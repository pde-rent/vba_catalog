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50" windowWidth="23715" windowHeight="9915"/>
  </bookViews>
  <sheets>
    <sheet name="League Table Import" sheetId="4" r:id="rId1"/>
    <sheet name="Dashboard" sheetId="1" r:id="rId2"/>
    <sheet name="Lists" sheetId="2" r:id="rId3"/>
    <sheet name="Lipper" sheetId="18" r:id="rId4"/>
    <sheet name="Morningstar" sheetId="17" r:id="rId5"/>
    <sheet name="Rework" sheetId="16" r:id="rId6"/>
  </sheets>
  <definedNames>
    <definedName name="_xlnm._FilterDatabase" localSheetId="3" hidden="1">Lipper!$A$5:$AB$5</definedName>
    <definedName name="_xlnm._FilterDatabase" localSheetId="4" hidden="1">Morningstar!$A$5:$AD$5</definedName>
    <definedName name="actual">Dashboard!$BY$12</definedName>
    <definedName name="arrow_clr">Dashboard!$C$19</definedName>
    <definedName name="caption">Dashboard!$C$7</definedName>
    <definedName name="ceil">Dashboard!$AZ$12</definedName>
    <definedName name="floor">Dashboard!$AA$12</definedName>
    <definedName name="increment">Dashboard!$DI$12</definedName>
    <definedName name="lipper_picker">OFFSET(Lipper!$A$6,,,COUNTIF(Lipper!$A:$A,"&lt;&gt;"&amp;""))</definedName>
    <definedName name="lipper_ptf">'League Table Import'!$AB$27</definedName>
    <definedName name="list_colors">OFFSET(Lists!$A$2,,,COUNTIF(Lists!$A:$A,"&lt;&gt;"&amp;""))</definedName>
    <definedName name="list_months">OFFSET(Lists!$C$2,,,COUNTIF(Lists!$C:$C,"&lt;&gt;"&amp;""))</definedName>
    <definedName name="list_years">OFFSET(Lists!$E$2,,,COUNTIF(Lists!$E:$E,"&lt;&gt;"&amp;""))</definedName>
    <definedName name="lvl_0">Dashboard!$EA$2</definedName>
    <definedName name="lvl_1">Dashboard!$EA$6</definedName>
    <definedName name="lvl_2">Dashboard!$EA$10</definedName>
    <definedName name="lvl_3">Dashboard!$EC$2</definedName>
    <definedName name="lvl_4">Dashboard!$EC$6</definedName>
    <definedName name="lvl_5">Dashboard!$EC$10</definedName>
    <definedName name="lvl_actual">Dashboard!$DY$6</definedName>
    <definedName name="lvl_max">Dashboard!$DY$10</definedName>
    <definedName name="lvl_min">Dashboard!$DY$2</definedName>
    <definedName name="month_txt">'League Table Import'!$B$2</definedName>
    <definedName name="morningstar_picker">OFFSET(Morningstar!$A$6,,,COUNTIF(Morningstar!$A:$A,"&lt;&gt;"&amp;""))</definedName>
    <definedName name="morningstar_ptf">'League Table Import'!$AB$21</definedName>
    <definedName name="test_range">#REF!</definedName>
    <definedName name="year_txt">'League Table Import'!$AA$2</definedName>
  </definedNames>
  <calcPr calcId="145621"/>
</workbook>
</file>

<file path=xl/calcChain.xml><?xml version="1.0" encoding="utf-8"?>
<calcChain xmlns="http://schemas.openxmlformats.org/spreadsheetml/2006/main">
  <c r="B9" i="4" l="1"/>
  <c r="E2" i="2"/>
  <c r="E4" i="2" l="1"/>
  <c r="E6" i="2"/>
  <c r="E5" i="2"/>
  <c r="E3" i="2"/>
  <c r="DI12" i="1"/>
  <c r="DY10" i="1"/>
  <c r="DY6" i="1"/>
  <c r="DY2" i="1"/>
  <c r="AA9" i="4" l="1"/>
  <c r="EC10" i="1"/>
  <c r="EA10" i="1"/>
  <c r="EA2" i="1"/>
  <c r="EC2" i="1"/>
  <c r="EC6" i="1"/>
  <c r="EA6" i="1"/>
</calcChain>
</file>

<file path=xl/sharedStrings.xml><?xml version="1.0" encoding="utf-8"?>
<sst xmlns="http://schemas.openxmlformats.org/spreadsheetml/2006/main" count="56040" uniqueCount="24713">
  <si>
    <t>CEIL (MAX)</t>
  </si>
  <si>
    <t>FLOOR (MIN)</t>
  </si>
  <si>
    <t>LEVEL</t>
  </si>
  <si>
    <t>TOOLBOX</t>
  </si>
  <si>
    <t>Incr. =</t>
  </si>
  <si>
    <t>YTD</t>
  </si>
  <si>
    <t>CAPTION</t>
  </si>
  <si>
    <t>ARROW COLOR</t>
  </si>
  <si>
    <t>Colors:</t>
  </si>
  <si>
    <t>Magenta</t>
  </si>
  <si>
    <t>Cyan</t>
  </si>
  <si>
    <t>Grey</t>
  </si>
  <si>
    <t>Navy</t>
  </si>
  <si>
    <t>Aqua</t>
  </si>
  <si>
    <t>Brown</t>
  </si>
  <si>
    <t>Orange</t>
  </si>
  <si>
    <t>Blue</t>
  </si>
  <si>
    <t>Pink</t>
  </si>
  <si>
    <t>Funds registered for sale in Europe or Asia</t>
  </si>
  <si>
    <t>OE = Open-End Funds</t>
  </si>
  <si>
    <r>
      <t>ì</t>
    </r>
    <r>
      <rPr>
        <sz val="8"/>
        <rFont val="Arial"/>
        <family val="2"/>
      </rPr>
      <t>:</t>
    </r>
    <r>
      <rPr>
        <i/>
        <sz val="8"/>
        <rFont val="Arial"/>
        <family val="2"/>
      </rPr>
      <t xml:space="preserve"> quartile ranking evolution relative to previous month</t>
    </r>
  </si>
  <si>
    <t xml:space="preserve">Morningstar </t>
  </si>
  <si>
    <t>Rankings</t>
  </si>
  <si>
    <t>Fund</t>
  </si>
  <si>
    <t>Firm Name</t>
  </si>
  <si>
    <t>Morningstar Universe &amp; Category</t>
  </si>
  <si>
    <t>Rating</t>
  </si>
  <si>
    <t>Sustainability</t>
  </si>
  <si>
    <t>1M</t>
  </si>
  <si>
    <t>3M</t>
  </si>
  <si>
    <t>6M</t>
  </si>
  <si>
    <t>1Y</t>
  </si>
  <si>
    <t>3Y</t>
  </si>
  <si>
    <t>5Y</t>
  </si>
  <si>
    <t>10Y</t>
  </si>
  <si>
    <t>ISIN</t>
  </si>
  <si>
    <t>Legal Structure</t>
  </si>
  <si>
    <t>Overall</t>
  </si>
  <si>
    <t xml:space="preserve">   Rank</t>
  </si>
  <si>
    <t>Qtl</t>
  </si>
  <si>
    <t>ì</t>
  </si>
  <si>
    <t>Acticcia 90</t>
  </si>
  <si>
    <t>Amundi</t>
  </si>
  <si>
    <t>EAA Fund Guaranteed Funds</t>
  </si>
  <si>
    <t>îîî</t>
  </si>
  <si>
    <t>690/891</t>
  </si>
  <si>
    <t>î</t>
  </si>
  <si>
    <t>/</t>
  </si>
  <si>
    <t>FR0011636174</t>
  </si>
  <si>
    <t>FCP</t>
  </si>
  <si>
    <t>Acticcia 90 N°10 C</t>
  </si>
  <si>
    <t>EAA Fund Capital Protected</t>
  </si>
  <si>
    <t>FR0013218617</t>
  </si>
  <si>
    <t>ìì</t>
  </si>
  <si>
    <t>Acticcia 90 N°2 C</t>
  </si>
  <si>
    <t>îî</t>
  </si>
  <si>
    <t>FR0011829076</t>
  </si>
  <si>
    <t>Acticcia 90 N°3 C</t>
  </si>
  <si>
    <t>FR0012017598</t>
  </si>
  <si>
    <t>Acticcia 90 N°4 C</t>
  </si>
  <si>
    <t>FR0012287233</t>
  </si>
  <si>
    <t>Acticcia 90 N°5 C</t>
  </si>
  <si>
    <t>FR0012591576</t>
  </si>
  <si>
    <t>Acticcia 90 N°6 C</t>
  </si>
  <si>
    <t>FR0012829356</t>
  </si>
  <si>
    <t>Acticcia 90 N°7 C</t>
  </si>
  <si>
    <t>622/820</t>
  </si>
  <si>
    <t>FR0013048279</t>
  </si>
  <si>
    <t>Acticcia 90 N°8 C</t>
  </si>
  <si>
    <t>FR0013112695</t>
  </si>
  <si>
    <t>Acticcia 90 N°9 C</t>
  </si>
  <si>
    <t>FR0013184983</t>
  </si>
  <si>
    <t>Acticcia Vie</t>
  </si>
  <si>
    <t>453/850</t>
  </si>
  <si>
    <t>FR0011636182</t>
  </si>
  <si>
    <t>Acticcia Vie 90 C</t>
  </si>
  <si>
    <t>FR0012287316</t>
  </si>
  <si>
    <t>Acticcia Vie 90 N°2 C</t>
  </si>
  <si>
    <t>FR0012829364</t>
  </si>
  <si>
    <t>Acticcia Vie 90 N°3 C</t>
  </si>
  <si>
    <t>FR0013048287</t>
  </si>
  <si>
    <t>Acticcia Vie 90 N°4 C</t>
  </si>
  <si>
    <t>FR0013118692</t>
  </si>
  <si>
    <t>Acticcia Vie 90 N°5 C</t>
  </si>
  <si>
    <t>FR0013184991</t>
  </si>
  <si>
    <t>Acticcia Vie N°2 C</t>
  </si>
  <si>
    <t>FR0011828177</t>
  </si>
  <si>
    <t>Acticcia Vie N°3 C</t>
  </si>
  <si>
    <t>FR0012018745</t>
  </si>
  <si>
    <t>Acticcia Vie N°4 C</t>
  </si>
  <si>
    <t>495/850</t>
  </si>
  <si>
    <t>FR0012297240</t>
  </si>
  <si>
    <t>Actions 50 D</t>
  </si>
  <si>
    <t>EAA Fund EUR Moderate Allocation</t>
  </si>
  <si>
    <t>««««</t>
  </si>
  <si>
    <t>FR0007021670</t>
  </si>
  <si>
    <t>Advantage Stock T</t>
  </si>
  <si>
    <t>Amundi Austria GmbH</t>
  </si>
  <si>
    <t>EAA Fund EUR Aggressive Allocation - Global</t>
  </si>
  <si>
    <t>Above Average</t>
  </si>
  <si>
    <t>AT0000703285</t>
  </si>
  <si>
    <t>Open Ended Investment Company</t>
  </si>
  <si>
    <t>Agipi Actions Emergents A/I</t>
  </si>
  <si>
    <t>BFT Investment Managers</t>
  </si>
  <si>
    <t>EAA Fund Global Emerging Markets Equity</t>
  </si>
  <si>
    <t>««</t>
  </si>
  <si>
    <t>FR0010996611</t>
  </si>
  <si>
    <t>SICAV</t>
  </si>
  <si>
    <t>EAA Fund Global Flex-Cap Equity</t>
  </si>
  <si>
    <t>FR0010492405</t>
  </si>
  <si>
    <t>Aguilón De Gateruela y Vantaros SICAV</t>
  </si>
  <si>
    <t>Amundi Iberia SGIIC</t>
  </si>
  <si>
    <t>EAA Fund Other Allocation</t>
  </si>
  <si>
    <t>ES0107261036</t>
  </si>
  <si>
    <t>SIMCAV</t>
  </si>
  <si>
    <t>Amplia C</t>
  </si>
  <si>
    <t>FR0011153329</t>
  </si>
  <si>
    <t>Amundi - KBI Aqua C</t>
  </si>
  <si>
    <t>EAA Fund Sector Equity Water</t>
  </si>
  <si>
    <t>Low</t>
  </si>
  <si>
    <t>FR0013216207</t>
  </si>
  <si>
    <t>Amundi 12 - 24 M E</t>
  </si>
  <si>
    <t>EAA Fund EUR Diversified Bond - Short Term</t>
  </si>
  <si>
    <t>FR0013085024</t>
  </si>
  <si>
    <t>Amundi 12 - 24 M I</t>
  </si>
  <si>
    <t>«««</t>
  </si>
  <si>
    <t>FR0010157511</t>
  </si>
  <si>
    <t>Amundi 12 - 24 M I USD</t>
  </si>
  <si>
    <t>FR0013186103</t>
  </si>
  <si>
    <t>Amundi 12 - 24 M I2</t>
  </si>
  <si>
    <t>FR0007061379</t>
  </si>
  <si>
    <t>Amundi 12 M B</t>
  </si>
  <si>
    <t>EAA Fund EUR Ultra Short-Term Bond</t>
  </si>
  <si>
    <t>FR0013192820</t>
  </si>
  <si>
    <t>Amundi 12 M CDN</t>
  </si>
  <si>
    <t>68/407</t>
  </si>
  <si>
    <t>FR0012330074</t>
  </si>
  <si>
    <t>Amundi 12 M DP</t>
  </si>
  <si>
    <t>116/431</t>
  </si>
  <si>
    <t>FR0011307057</t>
  </si>
  <si>
    <t>Amundi 12 M E</t>
  </si>
  <si>
    <t>FR0010830885</t>
  </si>
  <si>
    <t>Amundi 12 M I</t>
  </si>
  <si>
    <t>FR0010830844</t>
  </si>
  <si>
    <t>Amundi 12 M I GBP</t>
  </si>
  <si>
    <t>EAA Fund Other Bond</t>
  </si>
  <si>
    <t>Average</t>
  </si>
  <si>
    <t>FR0012058006</t>
  </si>
  <si>
    <t>Amundi 12 M I USD</t>
  </si>
  <si>
    <t>FR0012058022</t>
  </si>
  <si>
    <t>Amundi 12 M P</t>
  </si>
  <si>
    <t>FR0010829697</t>
  </si>
  <si>
    <t>69/443</t>
  </si>
  <si>
    <t>Amundi 24 M E</t>
  </si>
  <si>
    <t>EAA Fund Alt - Debt Arbitrage</t>
  </si>
  <si>
    <t>18/193</t>
  </si>
  <si>
    <t>7/190</t>
  </si>
  <si>
    <t>ììì</t>
  </si>
  <si>
    <t>FR0010700161</t>
  </si>
  <si>
    <t>Amundi 3 - 6 M E</t>
  </si>
  <si>
    <t>EAA Fund EUR Money Market</t>
  </si>
  <si>
    <t>FR0011365212</t>
  </si>
  <si>
    <t>Amundi 3 - 6 M I</t>
  </si>
  <si>
    <t>FR0011088657</t>
  </si>
  <si>
    <t>Amundi 3 - 6 M I USD</t>
  </si>
  <si>
    <t>EAA Fund Money Market - Other</t>
  </si>
  <si>
    <t>FR0013201274</t>
  </si>
  <si>
    <t>Amundi 3 M DP</t>
  </si>
  <si>
    <t>FR0011307065</t>
  </si>
  <si>
    <t>Amundi 3 M E</t>
  </si>
  <si>
    <t>FR0011408798</t>
  </si>
  <si>
    <t>Amundi 3 M I</t>
  </si>
  <si>
    <t>FR0007038138</t>
  </si>
  <si>
    <t>Amundi 3 M I2</t>
  </si>
  <si>
    <t>FR0013016607</t>
  </si>
  <si>
    <t>Amundi 3 M M</t>
  </si>
  <si>
    <t>FR0013221181</t>
  </si>
  <si>
    <t>Amundi 3 M P</t>
  </si>
  <si>
    <t>FR0011408764</t>
  </si>
  <si>
    <t>Amundi 3 Mois ESR A</t>
  </si>
  <si>
    <t>FCPE</t>
  </si>
  <si>
    <t>Amundi 6 M E A/I</t>
  </si>
  <si>
    <t>Below Average</t>
  </si>
  <si>
    <t>FR0012925758</t>
  </si>
  <si>
    <t>Amundi 6 M I A/I</t>
  </si>
  <si>
    <t>169/407</t>
  </si>
  <si>
    <t>FR0007032990</t>
  </si>
  <si>
    <t>Amundi 6 M I CHF A/I</t>
  </si>
  <si>
    <t>FR0012058055</t>
  </si>
  <si>
    <t>Amundi 6 M I GBP A/I</t>
  </si>
  <si>
    <t>FR0012058048</t>
  </si>
  <si>
    <t>Amundi 6 M I USD A/I</t>
  </si>
  <si>
    <t>FR0012058071</t>
  </si>
  <si>
    <t>Amundi 6 M IRL A/I</t>
  </si>
  <si>
    <t>FR0013113172</t>
  </si>
  <si>
    <t>Amundi 6 M P A/I</t>
  </si>
  <si>
    <t>FR0012925766</t>
  </si>
  <si>
    <t>Amundi ABS IC</t>
  </si>
  <si>
    <t>FR0010319996</t>
  </si>
  <si>
    <t>Amundi Absolute Return Harmony I (CHF)</t>
  </si>
  <si>
    <t>EAA Fund Alt - Fund of Funds - Multistrategy</t>
  </si>
  <si>
    <t>LU0184791761</t>
  </si>
  <si>
    <t>Amundi Absolute Return Harmony I (EUR)</t>
  </si>
  <si>
    <t>LU0088184105</t>
  </si>
  <si>
    <t>Amundi Absolute Return Harmony I (USD)</t>
  </si>
  <si>
    <t>LU0127016672</t>
  </si>
  <si>
    <t>Amundi Absolute Return Mix T</t>
  </si>
  <si>
    <t>EAA Fund Alt - Global Macro</t>
  </si>
  <si>
    <t>127/166</t>
  </si>
  <si>
    <t>37/49</t>
  </si>
  <si>
    <t>AT0000A03KV4</t>
  </si>
  <si>
    <t>Amundi Accumulaz Attiva Low Carbon</t>
  </si>
  <si>
    <t>Amundi SGR Spa</t>
  </si>
  <si>
    <t>IT0005114993</t>
  </si>
  <si>
    <t>Amundi Accumulaz Attiva Low Carbon DUE</t>
  </si>
  <si>
    <t>IT0005118606</t>
  </si>
  <si>
    <t>Amundi Accumulazione Attiva</t>
  </si>
  <si>
    <t>IT0005031072</t>
  </si>
  <si>
    <t>Amundi Accumulazione Attiva DUE</t>
  </si>
  <si>
    <t>IT0005053035</t>
  </si>
  <si>
    <t>Amundi Accumulazione Europa</t>
  </si>
  <si>
    <t>IT0005176208</t>
  </si>
  <si>
    <t>Amundi Accumulazione Flessibile</t>
  </si>
  <si>
    <t>IT0005053506</t>
  </si>
  <si>
    <t>Amundi Accumulazione Flessibile DUE</t>
  </si>
  <si>
    <t>IT0005069445</t>
  </si>
  <si>
    <t>Amundi Accumulazione Flessibile QUATTRO</t>
  </si>
  <si>
    <t>IT0005115032</t>
  </si>
  <si>
    <t>Amundi Accumulazione Flessibile TRE</t>
  </si>
  <si>
    <t>IT0005091449</t>
  </si>
  <si>
    <t>Amundi Accumulazione Low Carbon QUATTRO</t>
  </si>
  <si>
    <t>IT0005189094</t>
  </si>
  <si>
    <t>Amundi Accumulazione Low Carbon TRE</t>
  </si>
  <si>
    <t>IT0005125106</t>
  </si>
  <si>
    <t>Amundi Actions Asie IC</t>
  </si>
  <si>
    <t>FR0010187393</t>
  </si>
  <si>
    <t>Amundi Actions Asie PC</t>
  </si>
  <si>
    <t>FR0010176891</t>
  </si>
  <si>
    <t>Amundi Actions Emergents ESR</t>
  </si>
  <si>
    <t>QS0009091420</t>
  </si>
  <si>
    <t>FR0010556860</t>
  </si>
  <si>
    <t>FR0010953505</t>
  </si>
  <si>
    <t>FR0010188383</t>
  </si>
  <si>
    <t>Amundi Actions Euro IC</t>
  </si>
  <si>
    <t>EAA Fund Eurozone Large-Cap Equity</t>
  </si>
  <si>
    <t>FR0010314401</t>
  </si>
  <si>
    <t>Amundi Actions Euro ID</t>
  </si>
  <si>
    <t>FR0010315424</t>
  </si>
  <si>
    <t>Amundi Actions Euro ISR I</t>
  </si>
  <si>
    <t>FR0010773242</t>
  </si>
  <si>
    <t>Amundi Actions Euro ISR I2</t>
  </si>
  <si>
    <t>FR0010458760</t>
  </si>
  <si>
    <t>Amundi Actions Euro ISR P</t>
  </si>
  <si>
    <t>FR0010458745</t>
  </si>
  <si>
    <t>Amundi Actions Euro Mid Cap ESR 703</t>
  </si>
  <si>
    <t>Société Générale Gestion</t>
  </si>
  <si>
    <t>EAA Fund Eurozone Mid-Cap Equity</t>
  </si>
  <si>
    <t>32/82</t>
  </si>
  <si>
    <t>39/84</t>
  </si>
  <si>
    <t>24/49</t>
  </si>
  <si>
    <t>27/39</t>
  </si>
  <si>
    <t>QS0002905642</t>
  </si>
  <si>
    <t>Amundi Actions Euro Mid Cap ESR 723</t>
  </si>
  <si>
    <t>30/82</t>
  </si>
  <si>
    <t>35/84</t>
  </si>
  <si>
    <t>18/49</t>
  </si>
  <si>
    <t>26/39</t>
  </si>
  <si>
    <t>QS0002905659</t>
  </si>
  <si>
    <t>Amundi Actions Euro Mid Cap ESR 753</t>
  </si>
  <si>
    <t>29/82</t>
  </si>
  <si>
    <t>65/87</t>
  </si>
  <si>
    <t>32/84</t>
  </si>
  <si>
    <t>22/39</t>
  </si>
  <si>
    <t>QS0002905667</t>
  </si>
  <si>
    <t>Amundi Actions Euro P</t>
  </si>
  <si>
    <t>FR0010599373</t>
  </si>
  <si>
    <t>Amundi Actions Euroland ESR</t>
  </si>
  <si>
    <t>QS0009066224</t>
  </si>
  <si>
    <t>Amundi Actions Europe IC</t>
  </si>
  <si>
    <t>EAA Fund Europe Large-Cap Blend Equity</t>
  </si>
  <si>
    <t>FR0010363515</t>
  </si>
  <si>
    <t>Amundi Actions Europe ISR I A/I</t>
  </si>
  <si>
    <t>FR0010807842</t>
  </si>
  <si>
    <t>Amundi Actions Europe ISR I2 A/I</t>
  </si>
  <si>
    <t>FR0010807859</t>
  </si>
  <si>
    <t>Amundi Actions Europe ISR P A/I</t>
  </si>
  <si>
    <t>FR0000991432</t>
  </si>
  <si>
    <t>Amundi Actions Europe PD</t>
  </si>
  <si>
    <t>704/906</t>
  </si>
  <si>
    <t>FR0000289902</t>
  </si>
  <si>
    <t>Amundi Actions Européennes ESR</t>
  </si>
  <si>
    <t>QS0009010602</t>
  </si>
  <si>
    <t>Amundi Actions Foncier I</t>
  </si>
  <si>
    <t>EAA Fund Property - Indirect Europe</t>
  </si>
  <si>
    <t>FR0012929446</t>
  </si>
  <si>
    <t>Amundi Actions Foncier I2</t>
  </si>
  <si>
    <t>FR0012929461</t>
  </si>
  <si>
    <t>Amundi Actions Foncier PC</t>
  </si>
  <si>
    <t>«</t>
  </si>
  <si>
    <t>112/156</t>
  </si>
  <si>
    <t>134/154</t>
  </si>
  <si>
    <t>109/119</t>
  </si>
  <si>
    <t>FR0010716332</t>
  </si>
  <si>
    <t>Amundi Actions Foncier PD</t>
  </si>
  <si>
    <t>FR0000972655</t>
  </si>
  <si>
    <t>Amundi Actions France ESR</t>
  </si>
  <si>
    <t>EAA Fund France Large-Cap Equity</t>
  </si>
  <si>
    <t>84/244</t>
  </si>
  <si>
    <t>QS0009046184</t>
  </si>
  <si>
    <t>Amundi Actions France IC</t>
  </si>
  <si>
    <t>FR0010157545</t>
  </si>
  <si>
    <t>Amundi Actions France ISR IC</t>
  </si>
  <si>
    <t>60/244</t>
  </si>
  <si>
    <t>FR0010263491</t>
  </si>
  <si>
    <t>Amundi Actions France ISR ID</t>
  </si>
  <si>
    <t>103/246</t>
  </si>
  <si>
    <t>FR0010272898</t>
  </si>
  <si>
    <t>Amundi Actions France ISR PC</t>
  </si>
  <si>
    <t>FR0010844365</t>
  </si>
  <si>
    <t>Amundi Actions France ISR PD</t>
  </si>
  <si>
    <t>85/177</t>
  </si>
  <si>
    <t>FR0010750869</t>
  </si>
  <si>
    <t>Amundi Actions France PC</t>
  </si>
  <si>
    <t>75/177</t>
  </si>
  <si>
    <t>FR0000944696</t>
  </si>
  <si>
    <t>Amundi Actions France PD</t>
  </si>
  <si>
    <t>199/244</t>
  </si>
  <si>
    <t>FR0000944712</t>
  </si>
  <si>
    <t>Amundi Actions Immobilier Monde ESR</t>
  </si>
  <si>
    <t>EAA Fund Property - Indirect Global</t>
  </si>
  <si>
    <t>QS0009051192</t>
  </si>
  <si>
    <t>Amundi Actions Internationales C</t>
  </si>
  <si>
    <t>EAA Fund Global Large-Cap Blend Equity</t>
  </si>
  <si>
    <t>FR0007070594</t>
  </si>
  <si>
    <t>Amundi Actions Internationales D</t>
  </si>
  <si>
    <t>FR0010080424</t>
  </si>
  <si>
    <t>Amundi Actions Intionationales ESR F</t>
  </si>
  <si>
    <t>Amundi Actions Minergior P</t>
  </si>
  <si>
    <t>EAA Fund Sector Equity Natural Resources</t>
  </si>
  <si>
    <t>FR0010478768</t>
  </si>
  <si>
    <t>Amundi Actions Objectif Variance I2</t>
  </si>
  <si>
    <t>803/906</t>
  </si>
  <si>
    <t>FR0010549402</t>
  </si>
  <si>
    <t>Amundi Actions Objectif Variance P</t>
  </si>
  <si>
    <t>924/1372</t>
  </si>
  <si>
    <t>FR0010702829</t>
  </si>
  <si>
    <t>Amundi Actions Or ESR</t>
  </si>
  <si>
    <t>EAA Fund Sector Equity Precious Metals</t>
  </si>
  <si>
    <t>QS0009093186</t>
  </si>
  <si>
    <t>Amundi Actions Or O</t>
  </si>
  <si>
    <t>187/235</t>
  </si>
  <si>
    <t>FR0012336667</t>
  </si>
  <si>
    <t>Amundi Actions Or P</t>
  </si>
  <si>
    <t>FR0012336683</t>
  </si>
  <si>
    <t>Amundi Actions PME C</t>
  </si>
  <si>
    <t>EAA Fund Eurozone Small-Cap Equity</t>
  </si>
  <si>
    <t>13/73</t>
  </si>
  <si>
    <t>FR0011556828</t>
  </si>
  <si>
    <t>Amundi Actions PME S-C</t>
  </si>
  <si>
    <t>77/101</t>
  </si>
  <si>
    <t>26/94</t>
  </si>
  <si>
    <t>FR0013128824</t>
  </si>
  <si>
    <t>Amundi Actions Ressources Naturelles O</t>
  </si>
  <si>
    <t>FR0012336717</t>
  </si>
  <si>
    <t>Amundi Actions Ressources Naturelles P</t>
  </si>
  <si>
    <t>FR0012336709</t>
  </si>
  <si>
    <t>Amundi Actions Restructurations I</t>
  </si>
  <si>
    <t>FR0010157891</t>
  </si>
  <si>
    <t>Amundi Actions Restructurations P</t>
  </si>
  <si>
    <t>FR0010165944</t>
  </si>
  <si>
    <t>Amundi Actions Silver Age ESR</t>
  </si>
  <si>
    <t>CPR Asset Management</t>
  </si>
  <si>
    <t>EAA Fund Europe Large-Cap Growth Equity</t>
  </si>
  <si>
    <t>QS0009070218</t>
  </si>
  <si>
    <t>Amundi Actions USA ISR I</t>
  </si>
  <si>
    <t>EAA Fund US Large-Cap Blend Equity</t>
  </si>
  <si>
    <t>High</t>
  </si>
  <si>
    <t>FR0010175232</t>
  </si>
  <si>
    <t>Amundi Actions USA ISR P</t>
  </si>
  <si>
    <t>FR0010153320</t>
  </si>
  <si>
    <t>Amundi Active Japan Mother Fund</t>
  </si>
  <si>
    <t>Amundi Japan Ltd</t>
  </si>
  <si>
    <t>Japan Fund Japan Large-Cap Blend Equity</t>
  </si>
  <si>
    <t>Amundi AFD Avenirs Durables ESR</t>
  </si>
  <si>
    <t>EAA Fund EUR Cautious Allocation - Global</t>
  </si>
  <si>
    <t>QS0009103985</t>
  </si>
  <si>
    <t>FR0010713818</t>
  </si>
  <si>
    <t>FR0010698555</t>
  </si>
  <si>
    <t>FR0010713800</t>
  </si>
  <si>
    <t>Amundi Amerika Blue Chip Stock A</t>
  </si>
  <si>
    <t>74/1686</t>
  </si>
  <si>
    <t>AT0000825575</t>
  </si>
  <si>
    <t>Amundi Amerika Blue Chip Stock T</t>
  </si>
  <si>
    <t>AT0000716576</t>
  </si>
  <si>
    <t>Amundi Amerika Blue Chip Stock unhdgd A</t>
  </si>
  <si>
    <t>AT0000633268</t>
  </si>
  <si>
    <t>Amundi Amerika Blue Chip Stock unhdgd T</t>
  </si>
  <si>
    <t>AT0000633276</t>
  </si>
  <si>
    <t>Amundi Annual Protect 85 A/I</t>
  </si>
  <si>
    <t>FR0013186806</t>
  </si>
  <si>
    <t>Amundi Annual Protect 90 A/I</t>
  </si>
  <si>
    <t>341/926</t>
  </si>
  <si>
    <t>FR0013186814</t>
  </si>
  <si>
    <t>Amundi Arab Equity Fund</t>
  </si>
  <si>
    <t>Japan Fund Emerging Specific Country/Area Equity</t>
  </si>
  <si>
    <t>19/33</t>
  </si>
  <si>
    <t>21/33</t>
  </si>
  <si>
    <t>14/32</t>
  </si>
  <si>
    <t>4/28</t>
  </si>
  <si>
    <t>JP90C00059D6</t>
  </si>
  <si>
    <t>Amundi Asia High Yield Equity Mother</t>
  </si>
  <si>
    <t>Japan Fund Emerging Asia Equity</t>
  </si>
  <si>
    <t>Amundi Asia REIT Fund</t>
  </si>
  <si>
    <t>Japan Fund World REIT - Specific Region / Country</t>
  </si>
  <si>
    <t>32/55</t>
  </si>
  <si>
    <t>JP90C0008YK3</t>
  </si>
  <si>
    <t>Amundi Asia REIT Mother</t>
  </si>
  <si>
    <t>Amundi Asia Sovereign Mother</t>
  </si>
  <si>
    <t>Japan Fund Emerging Asia Bond</t>
  </si>
  <si>
    <t>Amundi Asian Silver Age AHU Acc</t>
  </si>
  <si>
    <t>Amundi Singapore Ltd</t>
  </si>
  <si>
    <t>EAA Fund Asia-Pacific Equity - Currency Hedged</t>
  </si>
  <si>
    <t>139/139</t>
  </si>
  <si>
    <t>SG9999014401</t>
  </si>
  <si>
    <t>Unit Trust</t>
  </si>
  <si>
    <t>Amundi Asian Silver Age AS Acc</t>
  </si>
  <si>
    <t>SG9999014112</t>
  </si>
  <si>
    <t>Amundi Asien Dynamik Stock Dachfonds A</t>
  </si>
  <si>
    <t>EAA Fund Asia-Pacific ex-Japan Equity</t>
  </si>
  <si>
    <t>AT0000A0A5V9</t>
  </si>
  <si>
    <t>Amundi Asien Dynamik Stock Dachfonds T</t>
  </si>
  <si>
    <t>AT0000A0A5L0</t>
  </si>
  <si>
    <t>Amundi Asset Moderate Mother</t>
  </si>
  <si>
    <t>Japan Fund Aggressive Allocation</t>
  </si>
  <si>
    <t>Amundi Best Selection Classic</t>
  </si>
  <si>
    <t>IT0005125064</t>
  </si>
  <si>
    <t>Amundi Best Selection Plus</t>
  </si>
  <si>
    <t>IT0005125049</t>
  </si>
  <si>
    <t>Amundi Best Selection Top</t>
  </si>
  <si>
    <t>EAA Fund EUR Moderate Allocation - Global</t>
  </si>
  <si>
    <t>IT0005125080</t>
  </si>
  <si>
    <t>Amundi Bond Global Aggregate MYR</t>
  </si>
  <si>
    <t>Amundi Malaysia Sdn Bhd</t>
  </si>
  <si>
    <t>Malaysia Fund Bonds - Global Hedged</t>
  </si>
  <si>
    <t>Amundi Bond Global Aggregate USD</t>
  </si>
  <si>
    <t>MYU9602AB000</t>
  </si>
  <si>
    <t>Amundi Canadian Bond A</t>
  </si>
  <si>
    <t>EAA Fund CAD Bond</t>
  </si>
  <si>
    <t>1/14</t>
  </si>
  <si>
    <t>1/12</t>
  </si>
  <si>
    <t>AT0000859731</t>
  </si>
  <si>
    <t>Amundi Canadian Bond T</t>
  </si>
  <si>
    <t>5/15</t>
  </si>
  <si>
    <t>2/14</t>
  </si>
  <si>
    <t>2/12</t>
  </si>
  <si>
    <t>AT0000810437</t>
  </si>
  <si>
    <t>Amundi Cash Corporate DP A/I</t>
  </si>
  <si>
    <t>FR0011307107</t>
  </si>
  <si>
    <t>Amundi Cash Corporate E</t>
  </si>
  <si>
    <t>FR0011799915</t>
  </si>
  <si>
    <t>Amundi Cash Corporate I2</t>
  </si>
  <si>
    <t>FR0013095312</t>
  </si>
  <si>
    <t>Amundi Cash Corporate IC</t>
  </si>
  <si>
    <t>FR0010251660</t>
  </si>
  <si>
    <t>Amundi Cash Corporate ID</t>
  </si>
  <si>
    <t>FR0010899005</t>
  </si>
  <si>
    <t>Amundi Cash Corporate M</t>
  </si>
  <si>
    <t>FR0013221199</t>
  </si>
  <si>
    <t>Amundi Cash Corporate P</t>
  </si>
  <si>
    <t>320/546</t>
  </si>
  <si>
    <t>FR0011630557</t>
  </si>
  <si>
    <t>Amundi Cash Institutions SRI DP</t>
  </si>
  <si>
    <t>FR0011307099</t>
  </si>
  <si>
    <t>Amundi Cash Institutions SRI E</t>
  </si>
  <si>
    <t>339/546</t>
  </si>
  <si>
    <t>FR0011176635</t>
  </si>
  <si>
    <t>Amundi Cash Institutions SRI I</t>
  </si>
  <si>
    <t>FR0007435920</t>
  </si>
  <si>
    <t>Amundi Cash Institutions SRI I2</t>
  </si>
  <si>
    <t>119/546</t>
  </si>
  <si>
    <t>FR0013016615</t>
  </si>
  <si>
    <t>Amundi Cash Institutions SRI P</t>
  </si>
  <si>
    <t>FR0011176627</t>
  </si>
  <si>
    <t>Amundi Cash Institutions SRI S</t>
  </si>
  <si>
    <t>FR0011210111</t>
  </si>
  <si>
    <t>Amundi Cedola 2021</t>
  </si>
  <si>
    <t>IT0005152159</t>
  </si>
  <si>
    <t>Amundi China Equity Fund</t>
  </si>
  <si>
    <t>Japan Fund Greater China Equity</t>
  </si>
  <si>
    <t>17/57</t>
  </si>
  <si>
    <t>JP90C00013H4</t>
  </si>
  <si>
    <t>Amundi Chindonesia Equity Fund</t>
  </si>
  <si>
    <t>26/105</t>
  </si>
  <si>
    <t>JP90C0006VR8</t>
  </si>
  <si>
    <t>Amundi Convertibles Euroland C</t>
  </si>
  <si>
    <t>EAA Fund Convertible Bond - Europe</t>
  </si>
  <si>
    <t>128/288</t>
  </si>
  <si>
    <t>123/139</t>
  </si>
  <si>
    <t>FR0010188136</t>
  </si>
  <si>
    <t>Amundi Convictions ESR E</t>
  </si>
  <si>
    <t>QS0009116201</t>
  </si>
  <si>
    <t>Amundi Convictions ESR F</t>
  </si>
  <si>
    <t>480/1016</t>
  </si>
  <si>
    <t>QS0009116219</t>
  </si>
  <si>
    <t>Amundi Corto Plazo FI</t>
  </si>
  <si>
    <t>225/308</t>
  </si>
  <si>
    <t>ES0126542036</t>
  </si>
  <si>
    <t>Amundi Crédit 1-3 Euro IC</t>
  </si>
  <si>
    <t>EAA Fund EUR Corporate Bond - Short Term</t>
  </si>
  <si>
    <t>FR0010001214</t>
  </si>
  <si>
    <t>Amundi Crédit 1-3 Euro PC</t>
  </si>
  <si>
    <t>26/229</t>
  </si>
  <si>
    <t>FR0010721407</t>
  </si>
  <si>
    <t>EAA Fund EUR Corporate Bond</t>
  </si>
  <si>
    <t>«««««</t>
  </si>
  <si>
    <t>FR0000446288</t>
  </si>
  <si>
    <t>FR0010628644</t>
  </si>
  <si>
    <t>Amundi Crédit Euro ISR IC</t>
  </si>
  <si>
    <t>647/749</t>
  </si>
  <si>
    <t>FR0010035162</t>
  </si>
  <si>
    <t>Amundi Crédit Euro ISR ID</t>
  </si>
  <si>
    <t>FR0010111146</t>
  </si>
  <si>
    <t>Amundi Crédit Euro ISR PC</t>
  </si>
  <si>
    <t>FR0010749853</t>
  </si>
  <si>
    <t>FR0010888792</t>
  </si>
  <si>
    <t>FR0010775429</t>
  </si>
  <si>
    <t>Amundi Distribuzione Attiva</t>
  </si>
  <si>
    <t>IT0005053142</t>
  </si>
  <si>
    <t>Amundi Divers Attiva 2018 QUATTRO</t>
  </si>
  <si>
    <t>IT0004965866</t>
  </si>
  <si>
    <t>Amundi Divers Attiva 2019</t>
  </si>
  <si>
    <t>IT0004981582</t>
  </si>
  <si>
    <t>Amundi Diversification Actions Emerg O</t>
  </si>
  <si>
    <t>FR0011386333</t>
  </si>
  <si>
    <t>Amundi Diversification Actions Emerg P</t>
  </si>
  <si>
    <t>FR0011368182</t>
  </si>
  <si>
    <t>Amundi Diversificazione Attiva 2018</t>
  </si>
  <si>
    <t>IT0004909799</t>
  </si>
  <si>
    <t>Amundi Diversificazione Attiva 2018 DUE</t>
  </si>
  <si>
    <t>IT0004931645</t>
  </si>
  <si>
    <t>Amundi Diversificazione Attiva 2018 TRE</t>
  </si>
  <si>
    <t>IT0004952351</t>
  </si>
  <si>
    <t>Amundi Diversificazione Attiva 2020</t>
  </si>
  <si>
    <t>IT0005008773</t>
  </si>
  <si>
    <t>Amundi Diversificazione Attiva 2020 DUE</t>
  </si>
  <si>
    <t>IT0005138893</t>
  </si>
  <si>
    <t>Amundi Dividendo Italia B</t>
  </si>
  <si>
    <t>EAA Fund Italy Equity</t>
  </si>
  <si>
    <t>109/134</t>
  </si>
  <si>
    <t>IT0004253800</t>
  </si>
  <si>
    <t>Amundi Double Watch</t>
  </si>
  <si>
    <t>Japan Fund Risk Control Allocation</t>
  </si>
  <si>
    <t>JP90C000CKE1</t>
  </si>
  <si>
    <t>Amundi Double Watch Japan</t>
  </si>
  <si>
    <t>61/89</t>
  </si>
  <si>
    <t>JP90C000DW26</t>
  </si>
  <si>
    <t>Amundi Dual Value Allocation A D2Y Hdg</t>
  </si>
  <si>
    <t>Japan Fund Moderately Conservative Allocation</t>
  </si>
  <si>
    <t>JP90C000BDG3</t>
  </si>
  <si>
    <t>Amundi Dual Value Allocation B D2Y UnHdg</t>
  </si>
  <si>
    <t>Japan Fund Moderate Allocation</t>
  </si>
  <si>
    <t>120/154</t>
  </si>
  <si>
    <t>JP90C000BDH1</t>
  </si>
  <si>
    <t>Amundi Dual Value Allocation C D1M Hdg</t>
  </si>
  <si>
    <t>JP90C000BDJ7</t>
  </si>
  <si>
    <t>Amundi Dual Value Allocation D D1M UnHdg</t>
  </si>
  <si>
    <t>121/154</t>
  </si>
  <si>
    <t>30/149</t>
  </si>
  <si>
    <t>JP90C000BDK5</t>
  </si>
  <si>
    <t>Amundi Duo Prudence</t>
  </si>
  <si>
    <t>Amundi Dynarbitrage Volatilité I</t>
  </si>
  <si>
    <t>EAA Fund Alt - Volatility</t>
  </si>
  <si>
    <t>25/160</t>
  </si>
  <si>
    <t>FR0010144568</t>
  </si>
  <si>
    <t>Amundi Dynarbitrage Volatilité P</t>
  </si>
  <si>
    <t>63/160</t>
  </si>
  <si>
    <t>42/86</t>
  </si>
  <si>
    <t>FR0010191866</t>
  </si>
  <si>
    <t>Amundi Edmond de Rothschild Sélection C</t>
  </si>
  <si>
    <t>FR0012618221</t>
  </si>
  <si>
    <t>FR0013227923</t>
  </si>
  <si>
    <t>Amundi Estrategia Bonos FI</t>
  </si>
  <si>
    <t>EAA Fund EUR Diversified Bond</t>
  </si>
  <si>
    <t>ES0164371033</t>
  </si>
  <si>
    <t>Amundi Estrategia Global FI</t>
  </si>
  <si>
    <t>ES0126545039</t>
  </si>
  <si>
    <t>Amundi EUR Geldmarktfonds A</t>
  </si>
  <si>
    <t>AT0000859715</t>
  </si>
  <si>
    <t>Amundi EUR Geldmarktfonds T</t>
  </si>
  <si>
    <t>AT0000810411</t>
  </si>
  <si>
    <t>Amundi EUR Geldmarktfonds VT</t>
  </si>
  <si>
    <t>294/407</t>
  </si>
  <si>
    <t>AT0000500756</t>
  </si>
  <si>
    <t>Amundi Eureka BRIC 2017</t>
  </si>
  <si>
    <t>IT0004626088</t>
  </si>
  <si>
    <t>Amundi Eureka Crescita Area Euro 2019</t>
  </si>
  <si>
    <t>IT0004881402</t>
  </si>
  <si>
    <t>Amundi Eureka Crescita Az DUE 2017</t>
  </si>
  <si>
    <t>IT0004762776</t>
  </si>
  <si>
    <t>Amundi Eureka Crescita Azionaria 2017 A</t>
  </si>
  <si>
    <t>IT0004706930</t>
  </si>
  <si>
    <t>Amundi Eureka Crescita Finanza 2017</t>
  </si>
  <si>
    <t>IT0004737547</t>
  </si>
  <si>
    <t>Amundi Eureka Crescita Italia 2018</t>
  </si>
  <si>
    <t>IT0004789175</t>
  </si>
  <si>
    <t>Amundi Eureka Crescita Settore Im 2017</t>
  </si>
  <si>
    <t>IT0004737521</t>
  </si>
  <si>
    <t>Amundi Eureka Crescita Taiwan 2018</t>
  </si>
  <si>
    <t>IT0004681299</t>
  </si>
  <si>
    <t>Amundi Eureka Crescita Valore 2017</t>
  </si>
  <si>
    <t>IT0004706955</t>
  </si>
  <si>
    <t>Amundi Eureka Crescita Valore 2018</t>
  </si>
  <si>
    <t>IT0004789191</t>
  </si>
  <si>
    <t>Amundi Eureka Energia Doppia Opp 2018</t>
  </si>
  <si>
    <t>IT0004789100</t>
  </si>
  <si>
    <t>Amundi Eureka Europa Emergente Rip. 2017</t>
  </si>
  <si>
    <t>IT0004566532</t>
  </si>
  <si>
    <t>Amundi Eureka Italia Doppia Opp 2019</t>
  </si>
  <si>
    <t>IT0004789142</t>
  </si>
  <si>
    <t>Amundi Eureka Materiali Industri DO 2018</t>
  </si>
  <si>
    <t>IT0004789126</t>
  </si>
  <si>
    <t>Amundi Eureka Mercati Emergenti 2018</t>
  </si>
  <si>
    <t>IT0004803877</t>
  </si>
  <si>
    <t>Amundi Eureka Sviluppo Germania 2018</t>
  </si>
  <si>
    <t>IT0004809452</t>
  </si>
  <si>
    <t>Amundi Eureka Sviluppo Grande Cina 2018</t>
  </si>
  <si>
    <t>IT0004869589</t>
  </si>
  <si>
    <t>Amundi Eureka Sviluppo It Fr Sp 2018</t>
  </si>
  <si>
    <t>IT0004851769</t>
  </si>
  <si>
    <t>Amundi Eureka Sviluppo Mercati EM 2017</t>
  </si>
  <si>
    <t>IT0004762792</t>
  </si>
  <si>
    <t>Amundi Eureka Sviluppo Russia 2018</t>
  </si>
  <si>
    <t>IT0004855158</t>
  </si>
  <si>
    <t>Amundi Eureka Sviluppo USA 2018</t>
  </si>
  <si>
    <t>IT0004789043</t>
  </si>
  <si>
    <t>Amundi Eureka Utilities Doppia Opp 2018</t>
  </si>
  <si>
    <t>IT0004809478</t>
  </si>
  <si>
    <t>Amundi Euro Bond ESR N</t>
  </si>
  <si>
    <t>EAA Fund EUR Government Bond</t>
  </si>
  <si>
    <t>FR0010313783</t>
  </si>
  <si>
    <t>Amundi Euro Bond ESR S</t>
  </si>
  <si>
    <t>FR0013187325</t>
  </si>
  <si>
    <t>Amundi Euro Bond Fund D1M</t>
  </si>
  <si>
    <t>Japan Fund Europe Bond</t>
  </si>
  <si>
    <t>1/32</t>
  </si>
  <si>
    <t>4/32</t>
  </si>
  <si>
    <t>7/32</t>
  </si>
  <si>
    <t>14/24</t>
  </si>
  <si>
    <t>3/20</t>
  </si>
  <si>
    <t>4/20</t>
  </si>
  <si>
    <t>JP90C0000DT5</t>
  </si>
  <si>
    <t>Amundi Euro Moderato ESR</t>
  </si>
  <si>
    <t>FR0011089424</t>
  </si>
  <si>
    <t>Amundi Euro Rent A</t>
  </si>
  <si>
    <t>AT0000947643</t>
  </si>
  <si>
    <t>Amundi Euro Rent T</t>
  </si>
  <si>
    <t>AT0000719281</t>
  </si>
  <si>
    <t>Amundi Europa Blue Chip Stock A</t>
  </si>
  <si>
    <t>EAA Fund Europe Large-Cap Value Equity</t>
  </si>
  <si>
    <t>53/362</t>
  </si>
  <si>
    <t>AT0000856521</t>
  </si>
  <si>
    <t>Amundi Europa Blue Chip Stock T</t>
  </si>
  <si>
    <t>AT0000717350</t>
  </si>
  <si>
    <t>Amundi Europa Dividende Plus A</t>
  </si>
  <si>
    <t>EAA Fund Europe Equity Income</t>
  </si>
  <si>
    <t>84/390</t>
  </si>
  <si>
    <t>AT0000A0B265</t>
  </si>
  <si>
    <t>Amundi Europa Dividende Plus T</t>
  </si>
  <si>
    <t>AT0000A0B273</t>
  </si>
  <si>
    <t>Amundi Europa Stock A</t>
  </si>
  <si>
    <t>AT0000949342</t>
  </si>
  <si>
    <t>Amundi Europa Stock T</t>
  </si>
  <si>
    <t>AT0000810445</t>
  </si>
  <si>
    <t>Amundi Europe CB Fund BRL D1M</t>
  </si>
  <si>
    <t>Japan Fund World Convertible Bond</t>
  </si>
  <si>
    <t>38/38</t>
  </si>
  <si>
    <t>37/38</t>
  </si>
  <si>
    <t>25/32</t>
  </si>
  <si>
    <t>JP90C000A6M2</t>
  </si>
  <si>
    <t>Amundi Europe CB Fund BRL D2Y</t>
  </si>
  <si>
    <t>26/32</t>
  </si>
  <si>
    <t>JP90C000A6N0</t>
  </si>
  <si>
    <t>Amundi Europe CB Fund EUR D1M</t>
  </si>
  <si>
    <t>9/37</t>
  </si>
  <si>
    <t>26/36</t>
  </si>
  <si>
    <t>28/32</t>
  </si>
  <si>
    <t>JP90C000A6E9</t>
  </si>
  <si>
    <t>Amundi Europe CB Fund EUR D2Y</t>
  </si>
  <si>
    <t>21/38</t>
  </si>
  <si>
    <t>29/32</t>
  </si>
  <si>
    <t>JP90C000A6J8</t>
  </si>
  <si>
    <t>Amundi Europe CB Fund JPY D1M</t>
  </si>
  <si>
    <t>Japan Fund World Convertible Bond - JPY Hedged</t>
  </si>
  <si>
    <t>16/22</t>
  </si>
  <si>
    <t>14/18</t>
  </si>
  <si>
    <t>9/13</t>
  </si>
  <si>
    <t>JP90C000A6R1</t>
  </si>
  <si>
    <t>Amundi Europe CB Fund JPY D2Y</t>
  </si>
  <si>
    <t>15/22</t>
  </si>
  <si>
    <t>13/18</t>
  </si>
  <si>
    <t>11/13</t>
  </si>
  <si>
    <t>JP90C000A6S9</t>
  </si>
  <si>
    <t>Amundi Europe CB Fund TRY D1M</t>
  </si>
  <si>
    <t>20/37</t>
  </si>
  <si>
    <t>35/36</t>
  </si>
  <si>
    <t>30/32</t>
  </si>
  <si>
    <t>JP90C000A6P5</t>
  </si>
  <si>
    <t>Amundi Europe CB Fund TRY D2Y</t>
  </si>
  <si>
    <t>24/38</t>
  </si>
  <si>
    <t>31/32</t>
  </si>
  <si>
    <t>JP90C000A6Q3</t>
  </si>
  <si>
    <t>Amundi Europe CB Fund USD D1M</t>
  </si>
  <si>
    <t>36/37</t>
  </si>
  <si>
    <t>36/38</t>
  </si>
  <si>
    <t>25/38</t>
  </si>
  <si>
    <t>28/36</t>
  </si>
  <si>
    <t>JP90C000A6K6</t>
  </si>
  <si>
    <t>Amundi Europe CB Fund USD D2Y</t>
  </si>
  <si>
    <t>35/38</t>
  </si>
  <si>
    <t>26/38</t>
  </si>
  <si>
    <t>JP90C000A6L4</t>
  </si>
  <si>
    <t>Amundi Europe High Yield Bond Fd AUD</t>
  </si>
  <si>
    <t>Japan Fund World Other Bond</t>
  </si>
  <si>
    <t>JP90C0007Z41</t>
  </si>
  <si>
    <t>Amundi Europe High Yield Bond Fd AUD D2Y</t>
  </si>
  <si>
    <t>JP90C000CQM1</t>
  </si>
  <si>
    <t>Amundi Europe High Yield Bond Fd BRL</t>
  </si>
  <si>
    <t>9/121</t>
  </si>
  <si>
    <t>JP90C0007FW9</t>
  </si>
  <si>
    <t>Amundi Europe High Yield Bond Fd BRL D2Y</t>
  </si>
  <si>
    <t>JP90C000CQN9</t>
  </si>
  <si>
    <t>Amundi Europe High Yield Bond Fd EUR</t>
  </si>
  <si>
    <t>Japan Fund World High Yield Bond Europe</t>
  </si>
  <si>
    <t>6/11</t>
  </si>
  <si>
    <t>3/11</t>
  </si>
  <si>
    <t>10/11</t>
  </si>
  <si>
    <t>7/7</t>
  </si>
  <si>
    <t>JP90C0007FV1</t>
  </si>
  <si>
    <t>Amundi Europe High Yield Bond Fd EUR D2Y</t>
  </si>
  <si>
    <t>11/11</t>
  </si>
  <si>
    <t>4/11</t>
  </si>
  <si>
    <t>8/11</t>
  </si>
  <si>
    <t>JP90C000CQK5</t>
  </si>
  <si>
    <t>Amundi Europe High Yield Bond Fd JPY</t>
  </si>
  <si>
    <t>Japan Fund World High Yield Bond Europe - JPY Hedged</t>
  </si>
  <si>
    <t>11/12</t>
  </si>
  <si>
    <t>12/12</t>
  </si>
  <si>
    <t>JP90C0007FY5</t>
  </si>
  <si>
    <t>Amundi Europe High Yield Bond Fd JPY D2Y</t>
  </si>
  <si>
    <t>JP90C000CQS8</t>
  </si>
  <si>
    <t>Amundi Europe High Yield Bond Fd MXP</t>
  </si>
  <si>
    <t>JP90C0009ZE1</t>
  </si>
  <si>
    <t>Amundi Europe High Yield Bond Fd MXP D2Y</t>
  </si>
  <si>
    <t>JP90C000CQQ2</t>
  </si>
  <si>
    <t>Amundi Europe High Yield Bond Fd Res Ccy</t>
  </si>
  <si>
    <t>92/225</t>
  </si>
  <si>
    <t>40/180</t>
  </si>
  <si>
    <t>27/121</t>
  </si>
  <si>
    <t>JP90C0007FX7</t>
  </si>
  <si>
    <t>Amundi Europe High Yield Bond Fd Res D2Y</t>
  </si>
  <si>
    <t>144/225</t>
  </si>
  <si>
    <t>JP90C000CQP4</t>
  </si>
  <si>
    <t>Amundi Europe High Yield Bond Fd TRY</t>
  </si>
  <si>
    <t>151/180</t>
  </si>
  <si>
    <t>82/121</t>
  </si>
  <si>
    <t>JP90C0007Z58</t>
  </si>
  <si>
    <t>Amundi Europe High Yield Bond Fd TRY D2Y</t>
  </si>
  <si>
    <t>JP90C000CQR0</t>
  </si>
  <si>
    <t>Amundi Europe High Yield Bond Fd USD</t>
  </si>
  <si>
    <t>133/225</t>
  </si>
  <si>
    <t>JP90C0009ZD3</t>
  </si>
  <si>
    <t>Amundi Europe High Yield Bond Fd USD D2Y</t>
  </si>
  <si>
    <t>JP90C000CQL3</t>
  </si>
  <si>
    <t>Amundi Europe Microcaps I C/D</t>
  </si>
  <si>
    <t>15/101</t>
  </si>
  <si>
    <t>3/94</t>
  </si>
  <si>
    <t>5/73</t>
  </si>
  <si>
    <t>FR0011223569</t>
  </si>
  <si>
    <t>Amundi Europe Microcaps I2 C/D</t>
  </si>
  <si>
    <t>2/94</t>
  </si>
  <si>
    <t>FR0007045232</t>
  </si>
  <si>
    <t>Amundi Europe Microcaps PC</t>
  </si>
  <si>
    <t>4/94</t>
  </si>
  <si>
    <t>FR0011223577</t>
  </si>
  <si>
    <t>Amundi Europe Monde D</t>
  </si>
  <si>
    <t>FR0010093682</t>
  </si>
  <si>
    <t>Amundi Europe Selective REIT Fd D1M</t>
  </si>
  <si>
    <t>JP90C000A6Y7</t>
  </si>
  <si>
    <t>Amundi Europe Selective REIT Fd D2Y</t>
  </si>
  <si>
    <t>65/166</t>
  </si>
  <si>
    <t>JP90C000A6Z4</t>
  </si>
  <si>
    <t>Amundi Europe Selective REIT Fd Hdg D1M</t>
  </si>
  <si>
    <t>26/163</t>
  </si>
  <si>
    <t>JP90C000DGJ6</t>
  </si>
  <si>
    <t>Amundi Europe Selective REIT Fd Hdg D2Y</t>
  </si>
  <si>
    <t>JP90C000DGK4</t>
  </si>
  <si>
    <t>Amundi Eurp REIT Fd HiIntr Ccy Strat D1M</t>
  </si>
  <si>
    <t>Japan Fund World Other REIT</t>
  </si>
  <si>
    <t>JP90C000A709</t>
  </si>
  <si>
    <t>Amundi Eurp REIT Fd HiIntr Ccy Strat D2Y</t>
  </si>
  <si>
    <t>36/46</t>
  </si>
  <si>
    <t>6/46</t>
  </si>
  <si>
    <t>4/39</t>
  </si>
  <si>
    <t>JP90C000A717</t>
  </si>
  <si>
    <t>Amundi Fds Absolute Vol Arbtrg AE-C</t>
  </si>
  <si>
    <t>Amundi Luxembourg S.A.</t>
  </si>
  <si>
    <t>21/42</t>
  </si>
  <si>
    <t>LU0228157250</t>
  </si>
  <si>
    <t>Amundi Fds Absolute Vol Arbtrg AE-D</t>
  </si>
  <si>
    <t>LU0228157508</t>
  </si>
  <si>
    <t>Amundi Fds Absolute Vol Arbtrg FE-C</t>
  </si>
  <si>
    <t>LU0557857082</t>
  </si>
  <si>
    <t>Amundi Fds Absolute Vol Arbtrg H-C</t>
  </si>
  <si>
    <t>44/86</t>
  </si>
  <si>
    <t>LU0228158068</t>
  </si>
  <si>
    <t>Amundi Fds Absolute Vol Arbtrg IE-C</t>
  </si>
  <si>
    <t>LU0228161443</t>
  </si>
  <si>
    <t>Amundi Fds Absolute Vol Arbtrg IE-D</t>
  </si>
  <si>
    <t>LU0228161104</t>
  </si>
  <si>
    <t>Amundi Fds Absolute Vol Arbtrg ME-C</t>
  </si>
  <si>
    <t>19/42</t>
  </si>
  <si>
    <t>LU0329441835</t>
  </si>
  <si>
    <t>Amundi Fds Absolute Vol Arbtrg Plus AE-C</t>
  </si>
  <si>
    <t>35/86</t>
  </si>
  <si>
    <t>LU0722566899</t>
  </si>
  <si>
    <t>Amundi Fds Absolute Vol Arbtrg Plus FE-C</t>
  </si>
  <si>
    <t>45/157</t>
  </si>
  <si>
    <t>LU0722567517</t>
  </si>
  <si>
    <t>Amundi Fds Absolute Vol Arbtrg Plus IE-C</t>
  </si>
  <si>
    <t>32/86</t>
  </si>
  <si>
    <t>LU0722567194</t>
  </si>
  <si>
    <t>Amundi Fds Absolute Vol Arbtrg Plus IE-D</t>
  </si>
  <si>
    <t>LU0722567277</t>
  </si>
  <si>
    <t>Amundi Fds Absolute Vol Arbtrg Plus ME-C</t>
  </si>
  <si>
    <t>LU0722567434</t>
  </si>
  <si>
    <t>Amundi Fds Absolute Vol Arbtrg Plus SE-C</t>
  </si>
  <si>
    <t>41/160</t>
  </si>
  <si>
    <t>55/149</t>
  </si>
  <si>
    <t>37/86</t>
  </si>
  <si>
    <t>LU0722567350</t>
  </si>
  <si>
    <t>Amundi Fds Absolute Vol Arbtrg SE-C</t>
  </si>
  <si>
    <t>24/160</t>
  </si>
  <si>
    <t>LU0228157680</t>
  </si>
  <si>
    <t>Amundi Fds Absolute Vol Euro Eqs AE-C</t>
  </si>
  <si>
    <t>108/157</t>
  </si>
  <si>
    <t>LU0272941971</t>
  </si>
  <si>
    <t>Amundi Fds Absolute Vol Euro Eqs AE-D</t>
  </si>
  <si>
    <t>LU0272942359</t>
  </si>
  <si>
    <t>Amundi Fds Absolute Vol Euro Eqs AHC-C</t>
  </si>
  <si>
    <t>LU0613079408</t>
  </si>
  <si>
    <t>Amundi Fds Absolute Vol Euro Eqs AHG-D</t>
  </si>
  <si>
    <t>121/157</t>
  </si>
  <si>
    <t>118/160</t>
  </si>
  <si>
    <t>126/149</t>
  </si>
  <si>
    <t>LU0418510235</t>
  </si>
  <si>
    <t>Amundi Fds Absolute Vol Euro Eqs FE-C</t>
  </si>
  <si>
    <t>LU0557872123</t>
  </si>
  <si>
    <t>Amundi Fds Absolute Vol Euro Eqs H-C</t>
  </si>
  <si>
    <t>111/157</t>
  </si>
  <si>
    <t>LU0272944215</t>
  </si>
  <si>
    <t>Amundi Fds Absolute Vol Euro Eqs IE-C</t>
  </si>
  <si>
    <t>49/86</t>
  </si>
  <si>
    <t>LU0272941112</t>
  </si>
  <si>
    <t>Amundi Fds Absolute Vol Euro Eqs IE-D</t>
  </si>
  <si>
    <t>48/86</t>
  </si>
  <si>
    <t>LU0272941385</t>
  </si>
  <si>
    <t>Amundi Fds Absolute Vol Euro Eqs IHC-C</t>
  </si>
  <si>
    <t>LU0613079150</t>
  </si>
  <si>
    <t>Amundi Fds Absolute Vol Euro Eqs IHG-D</t>
  </si>
  <si>
    <t>119/149</t>
  </si>
  <si>
    <t>LU0442407002</t>
  </si>
  <si>
    <t>Amundi Fds Absolute Vol Euro Eqs ME-C</t>
  </si>
  <si>
    <t>106/157</t>
  </si>
  <si>
    <t>51/86</t>
  </si>
  <si>
    <t>LU0329449069</t>
  </si>
  <si>
    <t>Amundi Fds Absolute Vol Euro Eqs RE-C</t>
  </si>
  <si>
    <t>32/42</t>
  </si>
  <si>
    <t>LU0839525630</t>
  </si>
  <si>
    <t>Amundi Fds Absolute Vol Euro Eqs RHG-D</t>
  </si>
  <si>
    <t>120/157</t>
  </si>
  <si>
    <t>LU0906520951</t>
  </si>
  <si>
    <t>Amundi Fds Absolute Vol Euro Eqs SE-C</t>
  </si>
  <si>
    <t>LU0272942433</t>
  </si>
  <si>
    <t>Amundi Fds Absolute Vol Wld Eqs AE-C</t>
  </si>
  <si>
    <t>LU0557872479</t>
  </si>
  <si>
    <t>Amundi Fds Absolute Vol Wld Eqs AE-D</t>
  </si>
  <si>
    <t>LU0557872552</t>
  </si>
  <si>
    <t>Amundi Fds Absolute Vol Wld Eqs AHC-C</t>
  </si>
  <si>
    <t>LU0752741651</t>
  </si>
  <si>
    <t>Amundi Fds Absolute Vol Wld Eqs AHE-C</t>
  </si>
  <si>
    <t>LU0442406889</t>
  </si>
  <si>
    <t>Amundi Fds Absolute Vol Wld Eqs AHE-D</t>
  </si>
  <si>
    <t>LU0644000290</t>
  </si>
  <si>
    <t>Amundi Fds Absolute Vol Wld Eqs AHG-C</t>
  </si>
  <si>
    <t>132/160</t>
  </si>
  <si>
    <t>LU0615786091</t>
  </si>
  <si>
    <t>Amundi Fds Absolute Vol Wld Eqs AHG-D</t>
  </si>
  <si>
    <t>131/160</t>
  </si>
  <si>
    <t>LU0418510581</t>
  </si>
  <si>
    <t>Amundi Fds Absolute Vol Wld Eqs AHS-C</t>
  </si>
  <si>
    <t>133/160</t>
  </si>
  <si>
    <t>137/160</t>
  </si>
  <si>
    <t>LU0752742626</t>
  </si>
  <si>
    <t>Amundi Fds Absolute Vol Wld Eqs AHS-D</t>
  </si>
  <si>
    <t>LU0752742899</t>
  </si>
  <si>
    <t>Amundi Fds Absolute Vol Wld Eqs AU-C</t>
  </si>
  <si>
    <t>144/157</t>
  </si>
  <si>
    <t>128/149</t>
  </si>
  <si>
    <t>LU0319687124</t>
  </si>
  <si>
    <t>Amundi Fds Absolute Vol Wld Eqs AU-D</t>
  </si>
  <si>
    <t>LU0319687397</t>
  </si>
  <si>
    <t>Amundi Fds Absolute Vol Wld Eqs FHE-C</t>
  </si>
  <si>
    <t>109/160</t>
  </si>
  <si>
    <t>125/149</t>
  </si>
  <si>
    <t>LU0644000456</t>
  </si>
  <si>
    <t>Amundi Fds Absolute Vol Wld Eqs FU-C</t>
  </si>
  <si>
    <t>LU0557872800</t>
  </si>
  <si>
    <t>Amundi Fds Absolute Vol Wld Eqs H-C</t>
  </si>
  <si>
    <t>150/160</t>
  </si>
  <si>
    <t>LU0319687553</t>
  </si>
  <si>
    <t>Amundi Fds Absolute Vol Wld Eqs IHC-C</t>
  </si>
  <si>
    <t>LU0752741578</t>
  </si>
  <si>
    <t>Amundi Fds Absolute Vol Wld Eqs IHE-C</t>
  </si>
  <si>
    <t>112/149</t>
  </si>
  <si>
    <t>LU0487547167</t>
  </si>
  <si>
    <t>Amundi Fds Absolute Vol Wld Eqs IHG-C</t>
  </si>
  <si>
    <t>128/160</t>
  </si>
  <si>
    <t>LU0615786174</t>
  </si>
  <si>
    <t>Amundi Fds Absolute Vol Wld Eqs IHG-D</t>
  </si>
  <si>
    <t>78/86</t>
  </si>
  <si>
    <t>LU0442407184</t>
  </si>
  <si>
    <t>Amundi Fds Absolute Vol Wld Eqs IHJ-C</t>
  </si>
  <si>
    <t>LU0643996597</t>
  </si>
  <si>
    <t>Amundi Fds Absolute Vol Wld Eqs IU-C</t>
  </si>
  <si>
    <t>26/42</t>
  </si>
  <si>
    <t>LU0319686829</t>
  </si>
  <si>
    <t>Amundi Fds Absolute Vol Wld Eqs IU-D</t>
  </si>
  <si>
    <t>136/160</t>
  </si>
  <si>
    <t>118/149</t>
  </si>
  <si>
    <t>LU0319687041</t>
  </si>
  <si>
    <t>Amundi Fds Absolute Vol Wld Eqs MU-C</t>
  </si>
  <si>
    <t>54/86</t>
  </si>
  <si>
    <t>LU0329449143</t>
  </si>
  <si>
    <t>Amundi Fds Absolute Vol Wld Eqs RG-C</t>
  </si>
  <si>
    <t>LU0839526281</t>
  </si>
  <si>
    <t>Amundi Fds Absolute Vol Wld Eqs RHE-C</t>
  </si>
  <si>
    <t>124/157</t>
  </si>
  <si>
    <t>LU0839527339</t>
  </si>
  <si>
    <t>Amundi Fds Absolute Vol Wld Eqs RHG-C</t>
  </si>
  <si>
    <t>LU0906521256</t>
  </si>
  <si>
    <t>Amundi Fds Absolute Vol Wld Eqs RU-C</t>
  </si>
  <si>
    <t>27/42</t>
  </si>
  <si>
    <t>LU0839527842</t>
  </si>
  <si>
    <t>Amundi Fds Absolute Vol Wld Eqs SHE-C</t>
  </si>
  <si>
    <t>LU0644000373</t>
  </si>
  <si>
    <t>Amundi Fds Absolute Vol Wld Eqs SU-C</t>
  </si>
  <si>
    <t>149/160</t>
  </si>
  <si>
    <t>33/42</t>
  </si>
  <si>
    <t>LU0319687470</t>
  </si>
  <si>
    <t>Amundi Fds Bd Asian Local Debt AU-C</t>
  </si>
  <si>
    <t>EAA Fund Asia Bond - Local Currency</t>
  </si>
  <si>
    <t>115/166</t>
  </si>
  <si>
    <t>61/146</t>
  </si>
  <si>
    <t>LU0945149838</t>
  </si>
  <si>
    <t>Amundi Fds Bd Asian Local Debt FHE-C</t>
  </si>
  <si>
    <t>LU0945150760</t>
  </si>
  <si>
    <t>Amundi Fds Bd Asian Local Debt FHE-MD</t>
  </si>
  <si>
    <t>LU0945150844</t>
  </si>
  <si>
    <t>Amundi Fds Bd Asian Local Debt FU-C</t>
  </si>
  <si>
    <t>66/173</t>
  </si>
  <si>
    <t>LU0945150687</t>
  </si>
  <si>
    <t>Amundi Fds Bd Asian Local Debt IHE-C</t>
  </si>
  <si>
    <t>LU0945149325</t>
  </si>
  <si>
    <t>Amundi Fds Bd Asian Local Debt IU-C</t>
  </si>
  <si>
    <t>LU0945149168</t>
  </si>
  <si>
    <t>Amundi Fds Bd Asian Local Debt SHE-C</t>
  </si>
  <si>
    <t>LU0945150505</t>
  </si>
  <si>
    <t>Amundi Fds Bd Asian Local Debt SU-C</t>
  </si>
  <si>
    <t>52/173</t>
  </si>
  <si>
    <t>81/146</t>
  </si>
  <si>
    <t>LU0945150414</t>
  </si>
  <si>
    <t>Amundi Fds Bd Euro Aggregate AE-C</t>
  </si>
  <si>
    <t>LU0616241476</t>
  </si>
  <si>
    <t>Amundi Fds Bd Euro Aggregate AE-D</t>
  </si>
  <si>
    <t>LU0616241559</t>
  </si>
  <si>
    <t>Amundi Fds Bd Euro Aggregate FE-C</t>
  </si>
  <si>
    <t>LU0616241989</t>
  </si>
  <si>
    <t>Amundi Fds Bd Euro Aggregate IE-C</t>
  </si>
  <si>
    <t>LU0616240585</t>
  </si>
  <si>
    <t>Amundi Fds Bd Euro Aggregate IE-D</t>
  </si>
  <si>
    <t>LU0616240742</t>
  </si>
  <si>
    <t>Amundi Fds Bd Euro Aggregate ME-C</t>
  </si>
  <si>
    <t>LU0616241047</t>
  </si>
  <si>
    <t>Amundi Fds Bd Euro Aggregate RE-C</t>
  </si>
  <si>
    <t>LU0839528493</t>
  </si>
  <si>
    <t>Amundi Fds Bd Euro Aggregate SE-C</t>
  </si>
  <si>
    <t>LU0616241807</t>
  </si>
  <si>
    <t>Amundi Fds Bd Euro Corporate A2E-C</t>
  </si>
  <si>
    <t>LU0839528907</t>
  </si>
  <si>
    <t>Amundi Fds Bd Euro Corporate AE-C</t>
  </si>
  <si>
    <t>LU0119099819</t>
  </si>
  <si>
    <t>Amundi Fds Bd Euro Corporate AE-D</t>
  </si>
  <si>
    <t>LU0119100179</t>
  </si>
  <si>
    <t>Amundi Fds Bd Euro Corporate AHK-C</t>
  </si>
  <si>
    <t>LU1049751511</t>
  </si>
  <si>
    <t>Amundi Fds Bd Euro Corporate FE-C</t>
  </si>
  <si>
    <t>LU0557859294</t>
  </si>
  <si>
    <t>Amundi Fds Bd Euro Corporate IE-C</t>
  </si>
  <si>
    <t>LU0119099496</t>
  </si>
  <si>
    <t>Amundi Fds Bd Euro Corporate IE-D</t>
  </si>
  <si>
    <t>LU0194910054</t>
  </si>
  <si>
    <t>Amundi Fds Bd Euro Corporate ME-C</t>
  </si>
  <si>
    <t>LU0329442999</t>
  </si>
  <si>
    <t>Amundi Fds Bd Euro Corporate RE-C</t>
  </si>
  <si>
    <t>LU0839529467</t>
  </si>
  <si>
    <t>Amundi Fds Bd Euro Corporate RE-D</t>
  </si>
  <si>
    <t>LU0839529897</t>
  </si>
  <si>
    <t>Amundi Fds Bd Euro Corporate S/T AE-C</t>
  </si>
  <si>
    <t>LU0945151578</t>
  </si>
  <si>
    <t>Amundi Fds Bd Euro Corporate S/T FE-C</t>
  </si>
  <si>
    <t>38/238</t>
  </si>
  <si>
    <t>162/194</t>
  </si>
  <si>
    <t>LU0945151818</t>
  </si>
  <si>
    <t>Amundi Fds Bd Euro Corporate S/T IE-C</t>
  </si>
  <si>
    <t>19/229</t>
  </si>
  <si>
    <t>LU0945150927</t>
  </si>
  <si>
    <t>Amundi Fds Bd Euro Corporate S/T IE-D</t>
  </si>
  <si>
    <t>LU0945151065</t>
  </si>
  <si>
    <t>Amundi Fds Bd Euro Corporate S/T SE-C</t>
  </si>
  <si>
    <t>34/238</t>
  </si>
  <si>
    <t>140/194</t>
  </si>
  <si>
    <t>LU0945151735</t>
  </si>
  <si>
    <t>Amundi Fds Bd Euro Corporate SE-C</t>
  </si>
  <si>
    <t>LU0119100252</t>
  </si>
  <si>
    <t>Amundi Fds Bd Euro Corporate XE-C</t>
  </si>
  <si>
    <t>LU1250882104</t>
  </si>
  <si>
    <t>Amundi Fds Bd Euro Government AE-C</t>
  </si>
  <si>
    <t>LU0518421895</t>
  </si>
  <si>
    <t>Amundi Fds Bd Euro Government AE-D</t>
  </si>
  <si>
    <t>LU0518421978</t>
  </si>
  <si>
    <t>Amundi Fds Bd Euro Government FE-C</t>
  </si>
  <si>
    <t>LU0557859450</t>
  </si>
  <si>
    <t>Amundi Fds Bd Euro Government IE-C</t>
  </si>
  <si>
    <t>LU0518422273</t>
  </si>
  <si>
    <t>Amundi Fds Bd Euro Government IE-D</t>
  </si>
  <si>
    <t>LU0521034792</t>
  </si>
  <si>
    <t>Amundi Fds Bd Euro Government ME-C</t>
  </si>
  <si>
    <t>LU0557859534</t>
  </si>
  <si>
    <t>Amundi Fds Bd Euro Government OFE-C</t>
  </si>
  <si>
    <t>LU1103151988</t>
  </si>
  <si>
    <t>Amundi Fds Bd Euro Government RE-C</t>
  </si>
  <si>
    <t>LU1103151475</t>
  </si>
  <si>
    <t>Amundi Fds Bd Euro Government SE-C</t>
  </si>
  <si>
    <t>LU0557859708</t>
  </si>
  <si>
    <t>Amundi Fds Bd Euro High Yield A2E-C</t>
  </si>
  <si>
    <t>EAA Fund EUR High Yield Bond</t>
  </si>
  <si>
    <t>LU0839530044</t>
  </si>
  <si>
    <t>Amundi Fds Bd Euro High Yield AE-C</t>
  </si>
  <si>
    <t>275/390</t>
  </si>
  <si>
    <t>LU0119110723</t>
  </si>
  <si>
    <t>Amundi Fds Bd Euro High Yield AE-D</t>
  </si>
  <si>
    <t>LU0119110996</t>
  </si>
  <si>
    <t>Amundi Fds Bd Euro High Yield AHK-C</t>
  </si>
  <si>
    <t>EAA Fund High Yield Bond - Other Hedged</t>
  </si>
  <si>
    <t>LU1049751867</t>
  </si>
  <si>
    <t>Amundi Fds Bd Euro High Yield AHU-C</t>
  </si>
  <si>
    <t>LU0987188777</t>
  </si>
  <si>
    <t>Amundi Fds Bd Euro High Yield FE-C</t>
  </si>
  <si>
    <t>LU0557859880</t>
  </si>
  <si>
    <t>LU0906522494</t>
  </si>
  <si>
    <t>Amundi Fds Bd Euro High Yield IE-C</t>
  </si>
  <si>
    <t>LU0119109980</t>
  </si>
  <si>
    <t>Amundi Fds Bd Euro High Yield IE-D</t>
  </si>
  <si>
    <t>LU0194908405</t>
  </si>
  <si>
    <t>Amundi Fds Bd Euro High Yield IHU-C</t>
  </si>
  <si>
    <t>LU0987188850</t>
  </si>
  <si>
    <t>Amundi Fds Bd Euro High Yield ME-C</t>
  </si>
  <si>
    <t>LU0329443294</t>
  </si>
  <si>
    <t>Amundi Fds Bd Euro High Yield RE-C</t>
  </si>
  <si>
    <t>LU0839530630</t>
  </si>
  <si>
    <t>Amundi Fds Bd Euro High Yield RE-D</t>
  </si>
  <si>
    <t>LU0839530986</t>
  </si>
  <si>
    <t>Amundi Fds Bd Euro High Yield S/T AE-C</t>
  </si>
  <si>
    <t>LU0907331507</t>
  </si>
  <si>
    <t>Amundi Fds Bd Euro High Yield S/T AE-D</t>
  </si>
  <si>
    <t>LU0907331689</t>
  </si>
  <si>
    <t>Amundi Fds Bd Euro High Yield S/T AHK-C</t>
  </si>
  <si>
    <t>LU1049751941</t>
  </si>
  <si>
    <t>Amundi Fds Bd Euro High Yield S/T FE-C</t>
  </si>
  <si>
    <t>LU0907331929</t>
  </si>
  <si>
    <t>Amundi Fds Bd Euro High Yield S/T FE-MD</t>
  </si>
  <si>
    <t>LU0945157427</t>
  </si>
  <si>
    <t>Amundi Fds Bd Euro High Yield S/T IE-C</t>
  </si>
  <si>
    <t>LU0907330798</t>
  </si>
  <si>
    <t>Amundi Fds Bd Euro High Yield S/T IE-D</t>
  </si>
  <si>
    <t>LU0907330871</t>
  </si>
  <si>
    <t>Amundi Fds Bd Euro High Yield S/T ME-C</t>
  </si>
  <si>
    <t>LU0907331176</t>
  </si>
  <si>
    <t>Amundi Fds Bd Euro High Yield S/T SE-C</t>
  </si>
  <si>
    <t>LU0907331846</t>
  </si>
  <si>
    <t>Amundi Fds Bd Euro High Yield S/T SE-MD</t>
  </si>
  <si>
    <t>LU0945157344</t>
  </si>
  <si>
    <t>Amundi Fds Bd Euro High Yield SE-C</t>
  </si>
  <si>
    <t>188/275</t>
  </si>
  <si>
    <t>LU0119111028</t>
  </si>
  <si>
    <t>LU0906522734</t>
  </si>
  <si>
    <t>Amundi Fds Bd Euro High Yield SHU-C</t>
  </si>
  <si>
    <t>LU1327396252</t>
  </si>
  <si>
    <t>LU1327396336</t>
  </si>
  <si>
    <t>Amundi Fds Bd Euro Inflation A2E-D</t>
  </si>
  <si>
    <t>EAA Fund EUR Inflation-Linked Bond</t>
  </si>
  <si>
    <t>LU0839531794</t>
  </si>
  <si>
    <t>Amundi Fds Bd Euro Inflation AE-C</t>
  </si>
  <si>
    <t>83/144</t>
  </si>
  <si>
    <t>LU0201576401</t>
  </si>
  <si>
    <t>Amundi Fds Bd Euro Inflation AE-D</t>
  </si>
  <si>
    <t>LU0201602504</t>
  </si>
  <si>
    <t>Amundi Fds Bd Euro Inflation AE-DH</t>
  </si>
  <si>
    <t>LU1049751602</t>
  </si>
  <si>
    <t>Amundi Fds Bd Euro Inflation FE-C</t>
  </si>
  <si>
    <t>LU0557860110</t>
  </si>
  <si>
    <t>Amundi Fds Bd Euro Inflation IE-C</t>
  </si>
  <si>
    <t>163/172</t>
  </si>
  <si>
    <t>LU0201577045</t>
  </si>
  <si>
    <t>Amundi Fds Bd Euro Inflation IE-D</t>
  </si>
  <si>
    <t>LU0201602843</t>
  </si>
  <si>
    <t>Amundi Fds Bd Euro Inflation ME-C</t>
  </si>
  <si>
    <t>116/177</t>
  </si>
  <si>
    <t>LU0329443377</t>
  </si>
  <si>
    <t>Amundi Fds Bd Euro Inflation RE-C</t>
  </si>
  <si>
    <t>164/172</t>
  </si>
  <si>
    <t>LU0839532099</t>
  </si>
  <si>
    <t>Amundi Fds Bd Euro Inflation RE-D</t>
  </si>
  <si>
    <t>122/177</t>
  </si>
  <si>
    <t>LU0839532255</t>
  </si>
  <si>
    <t>Amundi Fds Bd Euro Inflation SE-C</t>
  </si>
  <si>
    <t>140/156</t>
  </si>
  <si>
    <t>93/144</t>
  </si>
  <si>
    <t>LU0201576666</t>
  </si>
  <si>
    <t>Amundi Fds Bd Euro Inflation XE-C</t>
  </si>
  <si>
    <t>LU0752741818</t>
  </si>
  <si>
    <t>Amundi Fds Bd Europe AE-C</t>
  </si>
  <si>
    <t>EAA Fund Europe Bond</t>
  </si>
  <si>
    <t>14/75</t>
  </si>
  <si>
    <t>5/77</t>
  </si>
  <si>
    <t>7/77</t>
  </si>
  <si>
    <t>27/74</t>
  </si>
  <si>
    <t>17/58</t>
  </si>
  <si>
    <t>LU0201577391</t>
  </si>
  <si>
    <t>Amundi Fds Bd Europe AE-D</t>
  </si>
  <si>
    <t>13/75</t>
  </si>
  <si>
    <t>4/77</t>
  </si>
  <si>
    <t>8/77</t>
  </si>
  <si>
    <t>LU0201602926</t>
  </si>
  <si>
    <t>Amundi Fds Bd Europe FE-C</t>
  </si>
  <si>
    <t>12/77</t>
  </si>
  <si>
    <t>16/77</t>
  </si>
  <si>
    <t>45/74</t>
  </si>
  <si>
    <t>14/70</t>
  </si>
  <si>
    <t>LU0557860623</t>
  </si>
  <si>
    <t>Amundi Fds Bd Europe IE-C</t>
  </si>
  <si>
    <t>17/75</t>
  </si>
  <si>
    <t>21/72</t>
  </si>
  <si>
    <t>5/70</t>
  </si>
  <si>
    <t>LU0201578019</t>
  </si>
  <si>
    <t>Amundi Fds Bd Europe ME-C</t>
  </si>
  <si>
    <t>18/75</t>
  </si>
  <si>
    <t>31/74</t>
  </si>
  <si>
    <t>11/58</t>
  </si>
  <si>
    <t>LU0329444003</t>
  </si>
  <si>
    <t>Amundi Fds Bd Europe RE-C</t>
  </si>
  <si>
    <t>11/75</t>
  </si>
  <si>
    <t>4/70</t>
  </si>
  <si>
    <t>LU0839532503</t>
  </si>
  <si>
    <t>Amundi Fds Bd Europe SE-C</t>
  </si>
  <si>
    <t>11/77</t>
  </si>
  <si>
    <t>37/72</t>
  </si>
  <si>
    <t>20/58</t>
  </si>
  <si>
    <t>LU0201577631</t>
  </si>
  <si>
    <t>Amundi Fds Bd Glbl Emerg Hard Ccy AE-C</t>
  </si>
  <si>
    <t>EAA Fund Global Emerging Markets Bond - EUR Biased</t>
  </si>
  <si>
    <t>LU0907913460</t>
  </si>
  <si>
    <t>Amundi Fds Bd Glbl Emerg Hard Ccy AE-D</t>
  </si>
  <si>
    <t>LU0907913544</t>
  </si>
  <si>
    <t>Amundi Fds Bd Glbl Emerg Hard Ccy AU-C</t>
  </si>
  <si>
    <t>LU1543737131</t>
  </si>
  <si>
    <t>Amundi Fds Bd Glbl Emerg Hard Ccy FE-C</t>
  </si>
  <si>
    <t>LU0907913890</t>
  </si>
  <si>
    <t>Amundi Fds Bd Glbl Emerg Hard Ccy IE-C</t>
  </si>
  <si>
    <t>LU0907912579</t>
  </si>
  <si>
    <t>Amundi Fds Bd Glbl Emerg Hard Ccy IE-D</t>
  </si>
  <si>
    <t>135/581</t>
  </si>
  <si>
    <t>LU0907912652</t>
  </si>
  <si>
    <t>Amundi Fds Bd Glbl Emerg Hard Ccy IHU-C</t>
  </si>
  <si>
    <t>EAA Fund Global Emerging Markets Bond</t>
  </si>
  <si>
    <t>LU0907912736</t>
  </si>
  <si>
    <t>Amundi Fds Bd Glbl Emerg Hard Ccy ME-C</t>
  </si>
  <si>
    <t>LU0907913031</t>
  </si>
  <si>
    <t>Amundi Fds Bd Glbl Emerg Hard Ccy SE-C</t>
  </si>
  <si>
    <t>LU0907913627</t>
  </si>
  <si>
    <t>Amundi Fds Bd Glbl Emerg Lcl Ccy A2U-C</t>
  </si>
  <si>
    <t>EAA Fund Global Emerging Markets Bond - Local Currency</t>
  </si>
  <si>
    <t>LU0839536678</t>
  </si>
  <si>
    <t>Amundi Fds Bd Glbl Emerg Lcl Ccy AE-C</t>
  </si>
  <si>
    <t>LU0557857751</t>
  </si>
  <si>
    <t>Amundi Fds Bd Glbl Emerg Lcl Ccy AE-D</t>
  </si>
  <si>
    <t>LU0557857835</t>
  </si>
  <si>
    <t>Amundi Fds Bd Glbl Emerg Lcl Ccy AHE-C</t>
  </si>
  <si>
    <t>LU0945157930</t>
  </si>
  <si>
    <t>Amundi Fds Bd Glbl Emerg Lcl Ccy AHK-C</t>
  </si>
  <si>
    <t>LU1049753053</t>
  </si>
  <si>
    <t>Amundi Fds Bd Glbl Emerg Lcl Ccy AU-C</t>
  </si>
  <si>
    <t>LU0119097441</t>
  </si>
  <si>
    <t>Amundi Fds Bd Glbl Emerg Lcl Ccy AU-D</t>
  </si>
  <si>
    <t>LU0119097953</t>
  </si>
  <si>
    <t>Amundi Fds Bd Glbl Emerg Lcl Ccy FHE-C</t>
  </si>
  <si>
    <t>LU0613075836</t>
  </si>
  <si>
    <t>LU0613075919</t>
  </si>
  <si>
    <t>Amundi Fds Bd Glbl Emerg Lcl Ccy FU-C</t>
  </si>
  <si>
    <t>LU0557857918</t>
  </si>
  <si>
    <t>Amundi Fds Bd Glbl Emerg Lcl Ccy I4-C</t>
  </si>
  <si>
    <t>LU0839538880</t>
  </si>
  <si>
    <t>Amundi Fds Bd Glbl Emerg Lcl Ccy IHE-C</t>
  </si>
  <si>
    <t>LU0945157856</t>
  </si>
  <si>
    <t>Amundi Fds Bd Glbl Emerg Lcl Ccy IU-C</t>
  </si>
  <si>
    <t>LU0119096807</t>
  </si>
  <si>
    <t>Amundi Fds Bd Glbl Emerg Lcl Ccy MHE-C</t>
  </si>
  <si>
    <t>LU0613075323</t>
  </si>
  <si>
    <t>Amundi Fds Bd Glbl Emerg Lcl Ccy MU-C</t>
  </si>
  <si>
    <t>LU0329442569</t>
  </si>
  <si>
    <t>Amundi Fds Bd Glbl Emerg Lcl Ccy RU-C</t>
  </si>
  <si>
    <t>325/763</t>
  </si>
  <si>
    <t>LU0839538377</t>
  </si>
  <si>
    <t>Amundi Fds Bd Glbl Emerg Lcl Ccy RU-D</t>
  </si>
  <si>
    <t>LU0839538617</t>
  </si>
  <si>
    <t>Amundi Fds Bd Glbl Emerg Lcl Ccy SHE-C</t>
  </si>
  <si>
    <t>LU0613075596</t>
  </si>
  <si>
    <t>LU0613075752</t>
  </si>
  <si>
    <t>Amundi Fds Bd Glbl Emerg Lcl Ccy SU-C</t>
  </si>
  <si>
    <t>LU0119098332</t>
  </si>
  <si>
    <t>Amundi Fds Bd Global A2U-C</t>
  </si>
  <si>
    <t>EAA Fund Global Bond</t>
  </si>
  <si>
    <t>LU0839533063</t>
  </si>
  <si>
    <t>Amundi Fds Bd Global A2U-D</t>
  </si>
  <si>
    <t>LU0839533220</t>
  </si>
  <si>
    <t>Amundi Fds Bd Global AE-C</t>
  </si>
  <si>
    <t>LU0557861860</t>
  </si>
  <si>
    <t>Amundi Fds Bd Global AE-D</t>
  </si>
  <si>
    <t>LU0557861944</t>
  </si>
  <si>
    <t>Amundi Fds Bd Global Aggregate A2HS-C</t>
  </si>
  <si>
    <t>LU1049752246</t>
  </si>
  <si>
    <t>LU1049752089</t>
  </si>
  <si>
    <t>Amundi Fds Bd Global Aggregate A2U-C</t>
  </si>
  <si>
    <t>EAA Fund Global Flexible Bond - USD Hedged</t>
  </si>
  <si>
    <t>LU1049752592</t>
  </si>
  <si>
    <t>LU1049752162</t>
  </si>
  <si>
    <t>Amundi Fds Bd Global Aggregate AE-C</t>
  </si>
  <si>
    <t>LU0557861274</t>
  </si>
  <si>
    <t>Amundi Fds Bd Global Aggregate AE-D</t>
  </si>
  <si>
    <t>LU0557861357</t>
  </si>
  <si>
    <t>LU1327396765</t>
  </si>
  <si>
    <t>Amundi Fds Bd Global Aggregate AHC-C</t>
  </si>
  <si>
    <t>EAA Fund Global Flexible Bond - CHF Hedged</t>
  </si>
  <si>
    <t>LU0945157773</t>
  </si>
  <si>
    <t>Amundi Fds Bd Global Aggregate AHE-C</t>
  </si>
  <si>
    <t>EAA Fund Global Flexible Bond - EUR Hedged</t>
  </si>
  <si>
    <t>LU0906524193</t>
  </si>
  <si>
    <t>Amundi Fds Bd Global Aggregate AHE-D</t>
  </si>
  <si>
    <t>LU0906524276</t>
  </si>
  <si>
    <t>Amundi Fds Bd Global Aggregate AHK-C</t>
  </si>
  <si>
    <t>LU1049752758</t>
  </si>
  <si>
    <t>Amundi Fds Bd Global Aggregate AU-C</t>
  </si>
  <si>
    <t>25/89</t>
  </si>
  <si>
    <t>LU0319688015</t>
  </si>
  <si>
    <t>Amundi Fds Bd Global Aggregate AU-D</t>
  </si>
  <si>
    <t>LU0319688288</t>
  </si>
  <si>
    <t>LU0906524433</t>
  </si>
  <si>
    <t>Amundi Fds Bd Global Aggregate FHE-C</t>
  </si>
  <si>
    <t>73/170</t>
  </si>
  <si>
    <t>LU0613077535</t>
  </si>
  <si>
    <t>482/522</t>
  </si>
  <si>
    <t>72/170</t>
  </si>
  <si>
    <t>LU0613077709</t>
  </si>
  <si>
    <t>Amundi Fds Bd Global Aggregate FU-C</t>
  </si>
  <si>
    <t>LU0557861431</t>
  </si>
  <si>
    <t>Amundi Fds Bd Global Aggregate FU-D</t>
  </si>
  <si>
    <t>LU1250884811</t>
  </si>
  <si>
    <t>Amundi Fds Bd Global Aggregate IE-C</t>
  </si>
  <si>
    <t>LU0839535514</t>
  </si>
  <si>
    <t>Amundi Fds Bd Global Aggregate IHC-C</t>
  </si>
  <si>
    <t>LU0945157690</t>
  </si>
  <si>
    <t>Amundi Fds Bd Global Aggregate IHCA-D</t>
  </si>
  <si>
    <t>LU0906524789</t>
  </si>
  <si>
    <t>Amundi Fds Bd Global Aggregate IHE-C</t>
  </si>
  <si>
    <t>LU0839535357</t>
  </si>
  <si>
    <t>Amundi Fds Bd Global Aggregate IHE-D</t>
  </si>
  <si>
    <t>LU0987191722</t>
  </si>
  <si>
    <t>Amundi Fds Bd Global Aggregate IHE0-D</t>
  </si>
  <si>
    <t>81/602</t>
  </si>
  <si>
    <t>LU1327396500</t>
  </si>
  <si>
    <t>Amundi Fds Bd Global Aggregate IHG-C</t>
  </si>
  <si>
    <t>EAA Fund Global Flexible Bond - GBP Hedged</t>
  </si>
  <si>
    <t>269/397</t>
  </si>
  <si>
    <t>LU0987191565</t>
  </si>
  <si>
    <t>Amundi Fds Bd Global Aggregate IHG-D</t>
  </si>
  <si>
    <t>LU0987191649</t>
  </si>
  <si>
    <t>Amundi Fds Bd Global Aggregate IHG0-C</t>
  </si>
  <si>
    <t>LU1049752915</t>
  </si>
  <si>
    <t>Amundi Fds Bd Global Aggregate IU-C</t>
  </si>
  <si>
    <t>13/89</t>
  </si>
  <si>
    <t>LU0319687637</t>
  </si>
  <si>
    <t>Amundi Fds Bd Global Aggregate IU-D</t>
  </si>
  <si>
    <t>LU0319687710</t>
  </si>
  <si>
    <t>LU1327396419</t>
  </si>
  <si>
    <t>Amundi Fds Bd Global Aggregate MG-C</t>
  </si>
  <si>
    <t>LU1327396682</t>
  </si>
  <si>
    <t>Amundi Fds Bd Global Aggregate MHE-C</t>
  </si>
  <si>
    <t>LU0613076487</t>
  </si>
  <si>
    <t>Amundi Fds Bd Global Aggregate MU-C</t>
  </si>
  <si>
    <t>12/89</t>
  </si>
  <si>
    <t>LU0329444938</t>
  </si>
  <si>
    <t>Amundi Fds Bd Global Aggregate R2HE-C</t>
  </si>
  <si>
    <t>LU1508889729</t>
  </si>
  <si>
    <t>Amundi Fds Bd Global Aggregate RE-C</t>
  </si>
  <si>
    <t>LU1327397144</t>
  </si>
  <si>
    <t>Amundi Fds Bd Global Aggregate RE-D</t>
  </si>
  <si>
    <t>LU1327397227</t>
  </si>
  <si>
    <t>Amundi Fds Bd Global Aggregate RG-D</t>
  </si>
  <si>
    <t>LU0839533816</t>
  </si>
  <si>
    <t>Amundi Fds Bd Global Aggregate RHC-C</t>
  </si>
  <si>
    <t>13/107</t>
  </si>
  <si>
    <t>40/104</t>
  </si>
  <si>
    <t>LU1250884738</t>
  </si>
  <si>
    <t>Amundi Fds Bd Global Aggregate RHE-C</t>
  </si>
  <si>
    <t>416/522</t>
  </si>
  <si>
    <t>LU0839534111</t>
  </si>
  <si>
    <t>Amundi Fds Bd Global Aggregate RHE-D</t>
  </si>
  <si>
    <t>LU0839534384</t>
  </si>
  <si>
    <t>Amundi Fds Bd Global Aggregate RHG-C</t>
  </si>
  <si>
    <t>LU0906524862</t>
  </si>
  <si>
    <t>Amundi Fds Bd Global Aggregate RHG-D</t>
  </si>
  <si>
    <t>335/372</t>
  </si>
  <si>
    <t>LU0906524946</t>
  </si>
  <si>
    <t>Amundi Fds Bd Global Aggregate RU-C</t>
  </si>
  <si>
    <t>LU0839534624</t>
  </si>
  <si>
    <t>Amundi Fds Bd Global Aggregate RU-D</t>
  </si>
  <si>
    <t>LU0839534970</t>
  </si>
  <si>
    <t>Amundi Fds Bd Global Aggregate SHE-C</t>
  </si>
  <si>
    <t>LU0613076990</t>
  </si>
  <si>
    <t>LU0613077295</t>
  </si>
  <si>
    <t>Amundi Fds Bd Global Aggregate SHG-C</t>
  </si>
  <si>
    <t>181/290</t>
  </si>
  <si>
    <t>LU0797053575</t>
  </si>
  <si>
    <t>Amundi Fds Bd Global Aggregate SU-C</t>
  </si>
  <si>
    <t>6/21</t>
  </si>
  <si>
    <t>LU0319688361</t>
  </si>
  <si>
    <t>LU1327397060</t>
  </si>
  <si>
    <t>Amundi Fds Bd Global AU-C</t>
  </si>
  <si>
    <t>LU0119133188</t>
  </si>
  <si>
    <t>Amundi Fds Bd Global AU-D</t>
  </si>
  <si>
    <t>LU0119133691</t>
  </si>
  <si>
    <t>Amundi Fds Bd Global Corporate AE-C</t>
  </si>
  <si>
    <t>EAA Fund Global Corporate Bond - USD Hedged</t>
  </si>
  <si>
    <t>LU0557863056</t>
  </si>
  <si>
    <t>Amundi Fds Bd Global Corporate AE-D</t>
  </si>
  <si>
    <t>LU0557863130</t>
  </si>
  <si>
    <t>Amundi Fds Bd Global Corporate AHE-C</t>
  </si>
  <si>
    <t>EAA Fund Global Corporate Bond - EUR Hedged</t>
  </si>
  <si>
    <t>LU0839536322</t>
  </si>
  <si>
    <t>LU0906525240</t>
  </si>
  <si>
    <t>Amundi Fds Bd Global Corporate AU-C</t>
  </si>
  <si>
    <t>12/48</t>
  </si>
  <si>
    <t>LU0319688791</t>
  </si>
  <si>
    <t>Amundi Fds Bd Global Corporate AU-D</t>
  </si>
  <si>
    <t>17/90</t>
  </si>
  <si>
    <t>LU0319688874</t>
  </si>
  <si>
    <t>LU0906525323</t>
  </si>
  <si>
    <t>61/242</t>
  </si>
  <si>
    <t>187/228</t>
  </si>
  <si>
    <t>LU1103153091</t>
  </si>
  <si>
    <t>Amundi Fds Bd Global Corporate FU-C</t>
  </si>
  <si>
    <t>LU0557863213</t>
  </si>
  <si>
    <t>Amundi Fds Bd Global Corporate IHE-C</t>
  </si>
  <si>
    <t>43/242</t>
  </si>
  <si>
    <t>LU0839536082</t>
  </si>
  <si>
    <t>Amundi Fds Bd Global Corporate IU-C</t>
  </si>
  <si>
    <t>LU0319688445</t>
  </si>
  <si>
    <t>Amundi Fds Bd Global Corporate MU-C</t>
  </si>
  <si>
    <t>LU0329445315</t>
  </si>
  <si>
    <t>Amundi Fds Bd Global Corporate RHG-C</t>
  </si>
  <si>
    <t>EAA Fund Global Corporate Bond - GBP Hedged</t>
  </si>
  <si>
    <t>28/103</t>
  </si>
  <si>
    <t>LU0906525752</t>
  </si>
  <si>
    <t>LU1103152879</t>
  </si>
  <si>
    <t>Amundi Fds Bd Global Corporate SU-C</t>
  </si>
  <si>
    <t>LU0319688957</t>
  </si>
  <si>
    <t>LU1161086159</t>
  </si>
  <si>
    <t>LU1161086316</t>
  </si>
  <si>
    <t>LU1161086589</t>
  </si>
  <si>
    <t>LU1161085698</t>
  </si>
  <si>
    <t>LU1161085938</t>
  </si>
  <si>
    <t>LU1161086407</t>
  </si>
  <si>
    <t>Amundi Fds Bd Global Emerg Corp AE-C</t>
  </si>
  <si>
    <t>EAA Fund Global Emerging Markets Corporate Bond</t>
  </si>
  <si>
    <t>LU0755948790</t>
  </si>
  <si>
    <t>Amundi Fds Bd Global Emerg Corp AE-D</t>
  </si>
  <si>
    <t>LU0755948873</t>
  </si>
  <si>
    <t>Amundi Fds Bd Global Emerg Corp AHE-C</t>
  </si>
  <si>
    <t>EAA Fund Global Emerging Markets Corporate Bond - EUR Biased</t>
  </si>
  <si>
    <t>LU0755948956</t>
  </si>
  <si>
    <t>Amundi Fds Bd Global Emerg Corp AU-C</t>
  </si>
  <si>
    <t>LU0755948444</t>
  </si>
  <si>
    <t>Amundi Fds Bd Global Emerg Corp AU-D</t>
  </si>
  <si>
    <t>LU0755948527</t>
  </si>
  <si>
    <t>Amundi Fds Bd Global Emerg Corp FHE-C</t>
  </si>
  <si>
    <t>95/241</t>
  </si>
  <si>
    <t>LU0755949335</t>
  </si>
  <si>
    <t>89/241</t>
  </si>
  <si>
    <t>156/176</t>
  </si>
  <si>
    <t>LU0945158151</t>
  </si>
  <si>
    <t>Amundi Fds Bd Global Emerg Corp FU-C</t>
  </si>
  <si>
    <t>308/411</t>
  </si>
  <si>
    <t>LU0755949251</t>
  </si>
  <si>
    <t>Amundi Fds Bd Global Emerg Corp I4-C</t>
  </si>
  <si>
    <t>LU1327397904</t>
  </si>
  <si>
    <t>Amundi Fds Bd Global Emerg Corp IE-C</t>
  </si>
  <si>
    <t>202/438</t>
  </si>
  <si>
    <t>LU0755947982</t>
  </si>
  <si>
    <t>Amundi Fds Bd Global Emerg Corp IHE-C</t>
  </si>
  <si>
    <t>144/244</t>
  </si>
  <si>
    <t>LU0755947800</t>
  </si>
  <si>
    <t>Amundi Fds Bd Global Emerg Corp IU-C</t>
  </si>
  <si>
    <t>203/438</t>
  </si>
  <si>
    <t>67/289</t>
  </si>
  <si>
    <t>25/112</t>
  </si>
  <si>
    <t>LU0755947636</t>
  </si>
  <si>
    <t>Amundi Fds Bd Global Emerg Corp IU-D</t>
  </si>
  <si>
    <t>LU0755947719</t>
  </si>
  <si>
    <t>Amundi Fds Bd Global Emerg Corp MHE-C</t>
  </si>
  <si>
    <t>LU0755948287</t>
  </si>
  <si>
    <t>Amundi Fds Bd Global Emerg Corp MU-C</t>
  </si>
  <si>
    <t>LU0755948105</t>
  </si>
  <si>
    <t>Amundi Fds Bd Global Emerg Corp SHE-C</t>
  </si>
  <si>
    <t>181/244</t>
  </si>
  <si>
    <t>LU0755949178</t>
  </si>
  <si>
    <t>LU0945158078</t>
  </si>
  <si>
    <t>Amundi Fds Bd Global Emerg Corp SU-C</t>
  </si>
  <si>
    <t>LU0755949095</t>
  </si>
  <si>
    <t>Amundi Fds Bd Global FHE-C</t>
  </si>
  <si>
    <t>EAA Fund Global Bond - EUR Hedged</t>
  </si>
  <si>
    <t>LU0557862082</t>
  </si>
  <si>
    <t>LU0613078343</t>
  </si>
  <si>
    <t>Amundi Fds Bd Global FU-C</t>
  </si>
  <si>
    <t>LU0557862165</t>
  </si>
  <si>
    <t>EAA Fund Global High Yield Bond</t>
  </si>
  <si>
    <t>Amundi Fds Bd Global High Yield AU-C</t>
  </si>
  <si>
    <t>LU1162499369</t>
  </si>
  <si>
    <t>Amundi Fds Bd Global High Yield FHE-C</t>
  </si>
  <si>
    <t>EAA Fund Global High Yield Bond - EUR Hedged</t>
  </si>
  <si>
    <t>LU1162500042</t>
  </si>
  <si>
    <t>LU1250883417</t>
  </si>
  <si>
    <t>Amundi Fds Bd Global High Yield FU-C</t>
  </si>
  <si>
    <t>344/657</t>
  </si>
  <si>
    <t>LU1162499955</t>
  </si>
  <si>
    <t>Amundi Fds Bd Global High Yield IHE-C</t>
  </si>
  <si>
    <t>LU1162498981</t>
  </si>
  <si>
    <t>Amundi Fds Bd Global High Yield IU-C</t>
  </si>
  <si>
    <t>135/657</t>
  </si>
  <si>
    <t>LU1162498718</t>
  </si>
  <si>
    <t>Amundi Fds Bd Global High Yield SHE-C</t>
  </si>
  <si>
    <t>LU1162499872</t>
  </si>
  <si>
    <t>LU1250883334</t>
  </si>
  <si>
    <t>Amundi Fds Bd Global High Yield SU-C</t>
  </si>
  <si>
    <t>242/657</t>
  </si>
  <si>
    <t>LU1162499799</t>
  </si>
  <si>
    <t>Amundi Fds Bd Global Hybrid AE-C</t>
  </si>
  <si>
    <t>LU1328849358</t>
  </si>
  <si>
    <t>Amundi Fds Bd Global Hybrid AE-D</t>
  </si>
  <si>
    <t>LU1328849432</t>
  </si>
  <si>
    <t>Amundi Fds Bd Global Hybrid FE-C</t>
  </si>
  <si>
    <t>LU1328849606</t>
  </si>
  <si>
    <t>Amundi Fds Bd Global Hybrid IE-C</t>
  </si>
  <si>
    <t>LU1328848970</t>
  </si>
  <si>
    <t>Amundi Fds Bd Global Hybrid RE-C</t>
  </si>
  <si>
    <t>LU1328849788</t>
  </si>
  <si>
    <t>Amundi Fds Bd Global Hybrid RE-D</t>
  </si>
  <si>
    <t>LU1328849861</t>
  </si>
  <si>
    <t>Amundi Fds Bd Global Hybrid SE-C</t>
  </si>
  <si>
    <t>LU1328849515</t>
  </si>
  <si>
    <t>Amundi Fds Bd Global IE-D</t>
  </si>
  <si>
    <t>LU0228160049</t>
  </si>
  <si>
    <t>Amundi Fds Bd Global Inflation AE-C</t>
  </si>
  <si>
    <t>EAA Fund Global Inflation-Linked Bond - EUR Hedged</t>
  </si>
  <si>
    <t>LU0442405998</t>
  </si>
  <si>
    <t>Amundi Fds Bd Global Inflation AE-D</t>
  </si>
  <si>
    <t>LU0442406376</t>
  </si>
  <si>
    <t>Amundi Fds Bd Global Inflation AE-DH</t>
  </si>
  <si>
    <t>LU1399296083</t>
  </si>
  <si>
    <t>LU0906528699</t>
  </si>
  <si>
    <t>Amundi Fds Bd Global Inflation AHU-C</t>
  </si>
  <si>
    <t>EAA Fund Global Inflation-Linked Bond - USD Hedged</t>
  </si>
  <si>
    <t>73/74</t>
  </si>
  <si>
    <t>29/78</t>
  </si>
  <si>
    <t>48/70</t>
  </si>
  <si>
    <t>LU0752742972</t>
  </si>
  <si>
    <t>Amundi Fds Bd Global Inflation FE-C</t>
  </si>
  <si>
    <t>126/170</t>
  </si>
  <si>
    <t>95/136</t>
  </si>
  <si>
    <t>LU0557864377</t>
  </si>
  <si>
    <t>38/170</t>
  </si>
  <si>
    <t>15/64</t>
  </si>
  <si>
    <t>15/70</t>
  </si>
  <si>
    <t>Amundi Fds Bd Global Inflation IE-C</t>
  </si>
  <si>
    <t>82/170</t>
  </si>
  <si>
    <t>LU0442406616</t>
  </si>
  <si>
    <t>Amundi Fds Bd Global Inflation IE-D</t>
  </si>
  <si>
    <t>168/193</t>
  </si>
  <si>
    <t>LU0442406707</t>
  </si>
  <si>
    <t>Amundi Fds Bd Global Inflation IHU-C</t>
  </si>
  <si>
    <t>LU0752743194</t>
  </si>
  <si>
    <t>Amundi Fds Bd Global Inflation ME-C</t>
  </si>
  <si>
    <t>79/136</t>
  </si>
  <si>
    <t>58/110</t>
  </si>
  <si>
    <t>LU0442406533</t>
  </si>
  <si>
    <t>39/170</t>
  </si>
  <si>
    <t>Amundi Fds Bd Global Inflation RE-C</t>
  </si>
  <si>
    <t>173/193</t>
  </si>
  <si>
    <t>67/110</t>
  </si>
  <si>
    <t>LU0839539771</t>
  </si>
  <si>
    <t>Amundi Fds Bd Global Inflation RE-D</t>
  </si>
  <si>
    <t>174/193</t>
  </si>
  <si>
    <t>LU0839539938</t>
  </si>
  <si>
    <t>Amundi Fds Bd Global Inflation SE-C</t>
  </si>
  <si>
    <t>LU0442406459</t>
  </si>
  <si>
    <t>Amundi Fds Bd Global Inflation SHU-C</t>
  </si>
  <si>
    <t>55/70</t>
  </si>
  <si>
    <t>43/58</t>
  </si>
  <si>
    <t>LU0752743277</t>
  </si>
  <si>
    <t>Amundi Fds Bd Global IU-C</t>
  </si>
  <si>
    <t>LU0119131489</t>
  </si>
  <si>
    <t>Amundi Fds Bd Global IU-D</t>
  </si>
  <si>
    <t>LU0194911375</t>
  </si>
  <si>
    <t>Amundi Fds Bd Global MHE-C</t>
  </si>
  <si>
    <t>LU0557862322</t>
  </si>
  <si>
    <t>Amundi Fds Bd Global MU-C</t>
  </si>
  <si>
    <t>LU0329445158</t>
  </si>
  <si>
    <t>Amundi Fds Bd Global SHE-C</t>
  </si>
  <si>
    <t>19/462</t>
  </si>
  <si>
    <t>LU0557862678</t>
  </si>
  <si>
    <t>LU0613078186</t>
  </si>
  <si>
    <t>Amundi Fds Bd Global SU-C</t>
  </si>
  <si>
    <t>LU0119133931</t>
  </si>
  <si>
    <t>Amundi Fds Bd Global Total Return AE-C</t>
  </si>
  <si>
    <t>EAA Fund Global Flexible Bond</t>
  </si>
  <si>
    <t>LU1253539594</t>
  </si>
  <si>
    <t>Amundi Fds Bd Global Total Return AE-D</t>
  </si>
  <si>
    <t>74/137</t>
  </si>
  <si>
    <t>LU1253539677</t>
  </si>
  <si>
    <t>Amundi Fds Bd Global Total Return AE-QD</t>
  </si>
  <si>
    <t>32/61</t>
  </si>
  <si>
    <t>LU1253539750</t>
  </si>
  <si>
    <t>Amundi Fds Bd Global Total Return FE-C</t>
  </si>
  <si>
    <t>LU1253540097</t>
  </si>
  <si>
    <t>Amundi Fds Bd Global Total Return FE-QD</t>
  </si>
  <si>
    <t>LU1583992539</t>
  </si>
  <si>
    <t>Amundi Fds Bd Global Total Return IE-C</t>
  </si>
  <si>
    <t>LU1253539248</t>
  </si>
  <si>
    <t>Amundi Fds Bd Global Total Return IE-D</t>
  </si>
  <si>
    <t>107/323</t>
  </si>
  <si>
    <t>73/137</t>
  </si>
  <si>
    <t>LU1253539321</t>
  </si>
  <si>
    <t>Amundi Fds Bd Global Total Return SE-C</t>
  </si>
  <si>
    <t>LU1253539917</t>
  </si>
  <si>
    <t>Amundi Fds Bd Global Total Return SE-QD</t>
  </si>
  <si>
    <t>LU1583994071</t>
  </si>
  <si>
    <t>Amundi Fds Bd US Aggregate IHE-C</t>
  </si>
  <si>
    <t>LU1103148331</t>
  </si>
  <si>
    <t>Amundi Fds Bd US Aggregate IU-C</t>
  </si>
  <si>
    <t>EAA Fund USD Diversified Bond</t>
  </si>
  <si>
    <t>LU1103146715</t>
  </si>
  <si>
    <t>Amundi Fds Bd US Aggregate SHE-C</t>
  </si>
  <si>
    <t>LU1103148927</t>
  </si>
  <si>
    <t>Amundi Fds Bd US Aggregate SHE-MD</t>
  </si>
  <si>
    <t>LU1250883177</t>
  </si>
  <si>
    <t>Amundi Fds Bd US Aggregate SU-C</t>
  </si>
  <si>
    <t>LU1103147796</t>
  </si>
  <si>
    <t>Amundi Fds Bd US Corporate A3HSK-C</t>
  </si>
  <si>
    <t>LU1408339320</t>
  </si>
  <si>
    <t>Amundi Fds Bd US Corporate AHE-C</t>
  </si>
  <si>
    <t>LU1162498122</t>
  </si>
  <si>
    <t>Amundi Fds Bd US Corporate AU-C</t>
  </si>
  <si>
    <t>EAA Fund USD Corporate Bond</t>
  </si>
  <si>
    <t>49/317</t>
  </si>
  <si>
    <t>LU1162497827</t>
  </si>
  <si>
    <t>Amundi Fds Bd US Corporate FHE-C</t>
  </si>
  <si>
    <t>LU1162498635</t>
  </si>
  <si>
    <t>Amundi Fds Bd US Corporate FU-C</t>
  </si>
  <si>
    <t>LU1162498551</t>
  </si>
  <si>
    <t>Amundi Fds Bd US Corporate IHE-C</t>
  </si>
  <si>
    <t>LU1162497314</t>
  </si>
  <si>
    <t>Amundi Fds Bd US Corporate IU-C</t>
  </si>
  <si>
    <t>LU1162497157</t>
  </si>
  <si>
    <t>Amundi Fds Bd US Corporate IU-D</t>
  </si>
  <si>
    <t>LU1162497231</t>
  </si>
  <si>
    <t>Amundi Fds Bd US Corporate MHE-C</t>
  </si>
  <si>
    <t>LU1162497660</t>
  </si>
  <si>
    <t>Amundi Fds Bd US Corporate SHE-C</t>
  </si>
  <si>
    <t>LU1162498478</t>
  </si>
  <si>
    <t>Amundi Fds Bd US Corporate SU-C</t>
  </si>
  <si>
    <t>39/260</t>
  </si>
  <si>
    <t>LU1162498395</t>
  </si>
  <si>
    <t>Amundi Fds Bd US Oppc Core Plus AE-C</t>
  </si>
  <si>
    <t>LU0568617343</t>
  </si>
  <si>
    <t>Amundi Fds Bd US Oppc Core Plus AE-D</t>
  </si>
  <si>
    <t>352/548</t>
  </si>
  <si>
    <t>LU0568617426</t>
  </si>
  <si>
    <t>Amundi Fds Bd US Oppc Core Plus AHE-C</t>
  </si>
  <si>
    <t>LU0568617699</t>
  </si>
  <si>
    <t>Amundi Fds Bd US Oppc Core Plus AU-C</t>
  </si>
  <si>
    <t>LU0568617186</t>
  </si>
  <si>
    <t>Amundi Fds Bd US Oppc Core Plus AU-D</t>
  </si>
  <si>
    <t>LU0568617269</t>
  </si>
  <si>
    <t>Amundi Fds Bd US Oppc Core Plus FHE-C</t>
  </si>
  <si>
    <t>LU0568618077</t>
  </si>
  <si>
    <t>LU0752742543</t>
  </si>
  <si>
    <t>Amundi Fds Bd US Oppc Core Plus FU-C</t>
  </si>
  <si>
    <t>LU0568617939</t>
  </si>
  <si>
    <t>Amundi Fds Bd US Oppc Core Plus IHE-C</t>
  </si>
  <si>
    <t>LU0568616881</t>
  </si>
  <si>
    <t>Amundi Fds Bd US Oppc Core Plus IU-C</t>
  </si>
  <si>
    <t>LU0568616618</t>
  </si>
  <si>
    <t>Amundi Fds Bd US Oppc Core Plus IU-D</t>
  </si>
  <si>
    <t>116/529</t>
  </si>
  <si>
    <t>LU0568616709</t>
  </si>
  <si>
    <t>Amundi Fds Bd US Oppc Core Plus MHE-C</t>
  </si>
  <si>
    <t>LU0568617004</t>
  </si>
  <si>
    <t>Amundi Fds Bd US Oppc Core Plus MU-C</t>
  </si>
  <si>
    <t>LU0568616964</t>
  </si>
  <si>
    <t>Amundi Fds Bd US Oppc Core Plus SHE-C</t>
  </si>
  <si>
    <t>LU0568617855</t>
  </si>
  <si>
    <t>LU0752742469</t>
  </si>
  <si>
    <t>Amundi Fds Bd US Oppc Core Plus SU-C</t>
  </si>
  <si>
    <t>LU0568617772</t>
  </si>
  <si>
    <t>Amundi Fds BFT Absolute Global Div AE-C</t>
  </si>
  <si>
    <t>EAA Fund Alt - Multistrategy</t>
  </si>
  <si>
    <t>LU0907330012</t>
  </si>
  <si>
    <t>Amundi Fds BFT Absolute Global Div FE-C</t>
  </si>
  <si>
    <t>LU0907330525</t>
  </si>
  <si>
    <t>Amundi Fds BFT Absolute Global Div IE-C</t>
  </si>
  <si>
    <t>LU0907329352</t>
  </si>
  <si>
    <t>Amundi Fds BFT Absolute Global Div ME-C</t>
  </si>
  <si>
    <t>LU0907329600</t>
  </si>
  <si>
    <t>Amundi Fds BFT Absolute Global Div SE-C</t>
  </si>
  <si>
    <t>LU0907330442</t>
  </si>
  <si>
    <t>Amundi Fds BFT Optimal Income AE-C</t>
  </si>
  <si>
    <t>LU1386074295</t>
  </si>
  <si>
    <t>Amundi Fds BFT Optimal Income IE-C</t>
  </si>
  <si>
    <t>LU1386074378</t>
  </si>
  <si>
    <t>Amundi Fds Cash EUR AE-C</t>
  </si>
  <si>
    <t>LU0568620560</t>
  </si>
  <si>
    <t>Amundi Fds Cash EUR AE-D</t>
  </si>
  <si>
    <t>LU0568620644</t>
  </si>
  <si>
    <t>Amundi Fds Cash EUR FE-C</t>
  </si>
  <si>
    <t>LU0568620990</t>
  </si>
  <si>
    <t>Amundi Fds Cash EUR IE-C</t>
  </si>
  <si>
    <t>308/546</t>
  </si>
  <si>
    <t>LU0568620131</t>
  </si>
  <si>
    <t>Amundi Fds Cash EUR IE-D</t>
  </si>
  <si>
    <t>LU0568620214</t>
  </si>
  <si>
    <t>Amundi Fds Cash EUR ME-C</t>
  </si>
  <si>
    <t>LU0568620305</t>
  </si>
  <si>
    <t>Amundi Fds Cash EUR RE-C</t>
  </si>
  <si>
    <t>LU0987193264</t>
  </si>
  <si>
    <t>Amundi Fds Cash EUR RE-D</t>
  </si>
  <si>
    <t>LU0987193348</t>
  </si>
  <si>
    <t>Amundi Fds Cash EUR SE-C</t>
  </si>
  <si>
    <t>LU0568620727</t>
  </si>
  <si>
    <t>Amundi Fds Cash EUR XE-C</t>
  </si>
  <si>
    <t>LU1327400203</t>
  </si>
  <si>
    <t>Amundi Fds Cash USD AE-C</t>
  </si>
  <si>
    <t>EAA Fund USD Money Market</t>
  </si>
  <si>
    <t>25/122</t>
  </si>
  <si>
    <t>LU0568621881</t>
  </si>
  <si>
    <t>Amundi Fds Cash USD AU-C</t>
  </si>
  <si>
    <t>14/123</t>
  </si>
  <si>
    <t>LU0568621618</t>
  </si>
  <si>
    <t>Amundi Fds Cash USD AU-D</t>
  </si>
  <si>
    <t>22/120</t>
  </si>
  <si>
    <t>12/105</t>
  </si>
  <si>
    <t>11/94</t>
  </si>
  <si>
    <t>LU0568621709</t>
  </si>
  <si>
    <t>Amundi Fds Cash USD FU-C</t>
  </si>
  <si>
    <t>15/120</t>
  </si>
  <si>
    <t>14/114</t>
  </si>
  <si>
    <t>14/105</t>
  </si>
  <si>
    <t>14/94</t>
  </si>
  <si>
    <t>LU0568622186</t>
  </si>
  <si>
    <t>Amundi Fds Cash USD IU-C</t>
  </si>
  <si>
    <t>19/123</t>
  </si>
  <si>
    <t>15/105</t>
  </si>
  <si>
    <t>13/94</t>
  </si>
  <si>
    <t>LU0568621022</t>
  </si>
  <si>
    <t>Amundi Fds Cash USD IU-D</t>
  </si>
  <si>
    <t>LU0568621295</t>
  </si>
  <si>
    <t>Amundi Fds Cash USD MU-C</t>
  </si>
  <si>
    <t>17/105</t>
  </si>
  <si>
    <t>16/94</t>
  </si>
  <si>
    <t>LU0568621378</t>
  </si>
  <si>
    <t>Amundi Fds Cash USD SU-C</t>
  </si>
  <si>
    <t>13/105</t>
  </si>
  <si>
    <t>12/94</t>
  </si>
  <si>
    <t>LU0568622004</t>
  </si>
  <si>
    <t>Amundi Fds Cash USD XU-C</t>
  </si>
  <si>
    <t>6/123</t>
  </si>
  <si>
    <t>LU1327400468</t>
  </si>
  <si>
    <t>Amundi Fds Cash USD XU-D</t>
  </si>
  <si>
    <t>LU1327400542</t>
  </si>
  <si>
    <t>Amundi Fds Convertible Credit AE-C</t>
  </si>
  <si>
    <t>183/237</t>
  </si>
  <si>
    <t>LU0945152469</t>
  </si>
  <si>
    <t>Amundi Fds Convertible Credit IE-C</t>
  </si>
  <si>
    <t>LU0945151909</t>
  </si>
  <si>
    <t>Amundi Fds Convertible Europe AE-C</t>
  </si>
  <si>
    <t>254/288</t>
  </si>
  <si>
    <t>LU0568615057</t>
  </si>
  <si>
    <t>Amundi Fds Convertible Europe AE-D</t>
  </si>
  <si>
    <t>LU0568615214</t>
  </si>
  <si>
    <t>Amundi Fds Convertible Europe AHU-C</t>
  </si>
  <si>
    <t>EAA Fund Convertible Bond - Other Hedged</t>
  </si>
  <si>
    <t>LU1103153687</t>
  </si>
  <si>
    <t>Amundi Fds Convertible Europe FE-C</t>
  </si>
  <si>
    <t>69/139</t>
  </si>
  <si>
    <t>LU0568615487</t>
  </si>
  <si>
    <t>Amundi Fds Convertible Europe IE-C</t>
  </si>
  <si>
    <t>LU0568614670</t>
  </si>
  <si>
    <t>Amundi Fds Convertible Europe IE-D</t>
  </si>
  <si>
    <t>244/288</t>
  </si>
  <si>
    <t>159/275</t>
  </si>
  <si>
    <t>LU0568614753</t>
  </si>
  <si>
    <t>Amundi Fds Convertible Europe ME-C</t>
  </si>
  <si>
    <t>246/288</t>
  </si>
  <si>
    <t>LU0568614837</t>
  </si>
  <si>
    <t>Amundi Fds Convertible Europe RE-C</t>
  </si>
  <si>
    <t>250/288</t>
  </si>
  <si>
    <t>LU0987194742</t>
  </si>
  <si>
    <t>Amundi Fds Convertible Europe RE-D</t>
  </si>
  <si>
    <t>249/288</t>
  </si>
  <si>
    <t>LU0987194825</t>
  </si>
  <si>
    <t>Amundi Fds Convertible Europe SE-C</t>
  </si>
  <si>
    <t>LU0568615305</t>
  </si>
  <si>
    <t>Amundi Fds Convertible Global A2E-C</t>
  </si>
  <si>
    <t>EAA Fund Convertible Bond - Global, EUR Hedged</t>
  </si>
  <si>
    <t>LU0839541322</t>
  </si>
  <si>
    <t>Amundi Fds Convertible Global AE-C</t>
  </si>
  <si>
    <t>LU0119108826</t>
  </si>
  <si>
    <t>Amundi Fds Convertible Global AE-D</t>
  </si>
  <si>
    <t>LU0119109048</t>
  </si>
  <si>
    <t>Amundi Fds Convertible Global FE-C</t>
  </si>
  <si>
    <t>LU0557862835</t>
  </si>
  <si>
    <t>Amundi Fds Convertible Global IE-C</t>
  </si>
  <si>
    <t>LU0119108156</t>
  </si>
  <si>
    <t>Amundi Fds Convertible Global IE-D</t>
  </si>
  <si>
    <t>LU0194910997</t>
  </si>
  <si>
    <t>Amundi Fds Convertible Global IHU-C</t>
  </si>
  <si>
    <t>EAA Fund Convertible Bond - Global, USD Hedged</t>
  </si>
  <si>
    <t>LU0613078699</t>
  </si>
  <si>
    <t>Amundi Fds Convertible Global ME-C</t>
  </si>
  <si>
    <t>LU0329444185</t>
  </si>
  <si>
    <t>Amundi Fds Convertible Global RE-C</t>
  </si>
  <si>
    <t>LU0839541918</t>
  </si>
  <si>
    <t>Amundi Fds Convertible Global SE-C</t>
  </si>
  <si>
    <t>LU0119109550</t>
  </si>
  <si>
    <t>Amundi Fds CPR Global Gold Mines A2U-C</t>
  </si>
  <si>
    <t>142/158</t>
  </si>
  <si>
    <t>LU0823042667</t>
  </si>
  <si>
    <t>Amundi Fds CPR Global Gold Mines AE-C</t>
  </si>
  <si>
    <t>144/158</t>
  </si>
  <si>
    <t>LU0568608433</t>
  </si>
  <si>
    <t>Amundi Fds CPR Global Gold Mines AE-D</t>
  </si>
  <si>
    <t>145/158</t>
  </si>
  <si>
    <t>LU0568608516</t>
  </si>
  <si>
    <t>Amundi Fds CPR Global Gold Mines AU-C</t>
  </si>
  <si>
    <t>143/158</t>
  </si>
  <si>
    <t>LU0568608276</t>
  </si>
  <si>
    <t>Amundi Fds CPR Global Gold Mines AU-D</t>
  </si>
  <si>
    <t>LU0568608359</t>
  </si>
  <si>
    <t>Amundi Fds CPR Global Gold Mines FHE-C</t>
  </si>
  <si>
    <t>EAA Fund Sector Equity Other</t>
  </si>
  <si>
    <t>LU0644000613</t>
  </si>
  <si>
    <t>Amundi Fds CPR Global Gold Mines FU-C</t>
  </si>
  <si>
    <t>149/158</t>
  </si>
  <si>
    <t>LU0568611064</t>
  </si>
  <si>
    <t>Amundi Fds CPR Global Gold Mines IE-C</t>
  </si>
  <si>
    <t>201/235</t>
  </si>
  <si>
    <t>LU0906533855</t>
  </si>
  <si>
    <t>Amundi Fds CPR Global Gold Mines IU-C</t>
  </si>
  <si>
    <t>134/158</t>
  </si>
  <si>
    <t>LU0568607625</t>
  </si>
  <si>
    <t>Amundi Fds CPR Global Gold Mines ME-C</t>
  </si>
  <si>
    <t>LU0906534077</t>
  </si>
  <si>
    <t>Amundi Fds CPR Global Gold Mines MU-C</t>
  </si>
  <si>
    <t>133/158</t>
  </si>
  <si>
    <t>LU0568607971</t>
  </si>
  <si>
    <t>Amundi Fds CPR Global Gold Mines RU-C</t>
  </si>
  <si>
    <t>141/158</t>
  </si>
  <si>
    <t>LU0906534317</t>
  </si>
  <si>
    <t>Amundi Fds CPR Global Gold Mines SHE-C</t>
  </si>
  <si>
    <t>LU0644000530</t>
  </si>
  <si>
    <t>Amundi Fds CPR Global Gold Mines SU-C</t>
  </si>
  <si>
    <t>147/158</t>
  </si>
  <si>
    <t>LU0568608607</t>
  </si>
  <si>
    <t>EAA Fund Sector Equity Consumer Goods &amp; Services</t>
  </si>
  <si>
    <t>17/160</t>
  </si>
  <si>
    <t>LU0823043129</t>
  </si>
  <si>
    <t>LU0568611817</t>
  </si>
  <si>
    <t>LU0568611908</t>
  </si>
  <si>
    <t>LU1049755421</t>
  </si>
  <si>
    <t>84/233</t>
  </si>
  <si>
    <t>LU0568611650</t>
  </si>
  <si>
    <t>LU0568611734</t>
  </si>
  <si>
    <t>LU0644000886</t>
  </si>
  <si>
    <t>LU0568612112</t>
  </si>
  <si>
    <t>LU0906535041</t>
  </si>
  <si>
    <t>LU0906535124</t>
  </si>
  <si>
    <t>LU0568611148</t>
  </si>
  <si>
    <t>LU0568611494</t>
  </si>
  <si>
    <t>LU0987199972</t>
  </si>
  <si>
    <t>LU0906534580</t>
  </si>
  <si>
    <t>61/460</t>
  </si>
  <si>
    <t>68/196</t>
  </si>
  <si>
    <t>LU0644000704</t>
  </si>
  <si>
    <t>LU0568612039</t>
  </si>
  <si>
    <t>Amundi Fds CPR Global Resources A2U-C</t>
  </si>
  <si>
    <t>78/269</t>
  </si>
  <si>
    <t>LU0823043475</t>
  </si>
  <si>
    <t>Amundi Fds CPR Global Resources AE-C</t>
  </si>
  <si>
    <t>LU0557864617</t>
  </si>
  <si>
    <t>Amundi Fds CPR Global Resources AE-D</t>
  </si>
  <si>
    <t>LU0557864708</t>
  </si>
  <si>
    <t>Amundi Fds CPR Global Resources AK-C</t>
  </si>
  <si>
    <t>LU1049755348</t>
  </si>
  <si>
    <t>Amundi Fds CPR Global Resources AU-C</t>
  </si>
  <si>
    <t>230/263</t>
  </si>
  <si>
    <t>LU0347594136</t>
  </si>
  <si>
    <t>Amundi Fds CPR Global Resources AU-D</t>
  </si>
  <si>
    <t>LU0347594219</t>
  </si>
  <si>
    <t>Amundi Fds CPR Global Resources FHE-C</t>
  </si>
  <si>
    <t>LU0644001264</t>
  </si>
  <si>
    <t>Amundi Fds CPR Global Resources FU-C</t>
  </si>
  <si>
    <t>223/269</t>
  </si>
  <si>
    <t>LU0557864880</t>
  </si>
  <si>
    <t>Amundi Fds CPR Global Resources IU-C</t>
  </si>
  <si>
    <t>LU0347594482</t>
  </si>
  <si>
    <t>Amundi Fds CPR Global Resources MU-C</t>
  </si>
  <si>
    <t>208/269</t>
  </si>
  <si>
    <t>LU0347593914</t>
  </si>
  <si>
    <t>Amundi Fds CPR Global Resources RHE-D</t>
  </si>
  <si>
    <t>LU0987201380</t>
  </si>
  <si>
    <t>Amundi Fds CPR Global Resources SHE-C</t>
  </si>
  <si>
    <t>LU0644001181</t>
  </si>
  <si>
    <t>Amundi Fds CPR Global Resources SU-C</t>
  </si>
  <si>
    <t>80/269</t>
  </si>
  <si>
    <t>LU0347594300</t>
  </si>
  <si>
    <t>Amundi Fds Eq ASEAN A2U-C</t>
  </si>
  <si>
    <t>EAA Fund ASEAN Equity</t>
  </si>
  <si>
    <t>56/79</t>
  </si>
  <si>
    <t>58/78</t>
  </si>
  <si>
    <t>LU0823038715</t>
  </si>
  <si>
    <t>Amundi Fds Eq ASEAN A2U-D</t>
  </si>
  <si>
    <t>57/78</t>
  </si>
  <si>
    <t>LU0823038806</t>
  </si>
  <si>
    <t>Amundi Fds Eq ASEAN AU-C</t>
  </si>
  <si>
    <t>14/22</t>
  </si>
  <si>
    <t>LU0297165101</t>
  </si>
  <si>
    <t>Amundi Fds Eq ASEAN AU-D</t>
  </si>
  <si>
    <t>56/78</t>
  </si>
  <si>
    <t>LU0297165440</t>
  </si>
  <si>
    <t>Amundi Fds Eq ASEAN FU-C</t>
  </si>
  <si>
    <t>67/79</t>
  </si>
  <si>
    <t>65/78</t>
  </si>
  <si>
    <t>LU0557853842</t>
  </si>
  <si>
    <t>Amundi Fds Eq ASEAN IU-C</t>
  </si>
  <si>
    <t>70/80</t>
  </si>
  <si>
    <t>46/80</t>
  </si>
  <si>
    <t>LU0297162777</t>
  </si>
  <si>
    <t>Amundi Fds Eq ASEAN MU-C</t>
  </si>
  <si>
    <t>LU0329439938</t>
  </si>
  <si>
    <t>Amundi Fds Eq ASEAN RU-C</t>
  </si>
  <si>
    <t>LU0987195558</t>
  </si>
  <si>
    <t>Amundi Fds Eq ASEAN SU-C</t>
  </si>
  <si>
    <t>61/78</t>
  </si>
  <si>
    <t>39/44</t>
  </si>
  <si>
    <t>18/22</t>
  </si>
  <si>
    <t>LU0297165523</t>
  </si>
  <si>
    <t>Amundi Fds Eq Asia ex Japan A2U-C</t>
  </si>
  <si>
    <t>EAA Fund Asia ex Japan Equity</t>
  </si>
  <si>
    <t>LU0823038988</t>
  </si>
  <si>
    <t>Amundi Fds Eq Asia ex Japan A2U-D</t>
  </si>
  <si>
    <t>LU0823039010</t>
  </si>
  <si>
    <t>Amundi Fds Eq Asia ex Japan AE-C</t>
  </si>
  <si>
    <t>LU0557854147</t>
  </si>
  <si>
    <t>Amundi Fds Eq Asia ex Japan AU-C</t>
  </si>
  <si>
    <t>LU0119085271</t>
  </si>
  <si>
    <t>Amundi Fds Eq Asia ex Japan AU-D</t>
  </si>
  <si>
    <t>LU0119085867</t>
  </si>
  <si>
    <t>Amundi Fds Eq Asia ex Japan FU-C</t>
  </si>
  <si>
    <t>LU0557854493</t>
  </si>
  <si>
    <t>Amundi Fds Eq Asia ex Japan IU-C</t>
  </si>
  <si>
    <t>LU0119082419</t>
  </si>
  <si>
    <t>Amundi Fds Eq Asia ex Japan MU-C</t>
  </si>
  <si>
    <t>LU0329440605</t>
  </si>
  <si>
    <t>Amundi Fds Eq Asia ex Japan SHE-C</t>
  </si>
  <si>
    <t>EAA Fund Asia ex Japan Equity - Currency Hedged</t>
  </si>
  <si>
    <t>136/301</t>
  </si>
  <si>
    <t>LU1103154735</t>
  </si>
  <si>
    <t>Amundi Fds Eq Asia ex Japan SU-C</t>
  </si>
  <si>
    <t>LU0119086162</t>
  </si>
  <si>
    <t>Amundi Fds Eq Asia ex Japan XU-C</t>
  </si>
  <si>
    <t>LU0276935987</t>
  </si>
  <si>
    <t>Amundi Fds Eq Asia ex Jpn Concntr AE-C</t>
  </si>
  <si>
    <t>LU1253542549</t>
  </si>
  <si>
    <t>Amundi Fds Eq Asia ex Jpn Concntr IE-C</t>
  </si>
  <si>
    <t>LU1253542382</t>
  </si>
  <si>
    <t>Amundi Fds Eq Brazil A2U-C</t>
  </si>
  <si>
    <t>EAA Fund Brazil Equity</t>
  </si>
  <si>
    <t>36/96</t>
  </si>
  <si>
    <t>86/98</t>
  </si>
  <si>
    <t>56/77</t>
  </si>
  <si>
    <t>LU0823039101</t>
  </si>
  <si>
    <t>Amundi Fds Eq Brazil A2U-D</t>
  </si>
  <si>
    <t>LU0823039283</t>
  </si>
  <si>
    <t>Amundi Fds Eq Brazil AE-C</t>
  </si>
  <si>
    <t>25/94</t>
  </si>
  <si>
    <t>LU0557854733</t>
  </si>
  <si>
    <t>Amundi Fds Eq Brazil AU-C</t>
  </si>
  <si>
    <t>34/96</t>
  </si>
  <si>
    <t>85/98</t>
  </si>
  <si>
    <t>50/77</t>
  </si>
  <si>
    <t>LU0347592940</t>
  </si>
  <si>
    <t>Amundi Fds Eq Brazil AU-D</t>
  </si>
  <si>
    <t>32/96</t>
  </si>
  <si>
    <t>60/100</t>
  </si>
  <si>
    <t>LU0347593088</t>
  </si>
  <si>
    <t>Amundi Fds Eq Brazil FU-C</t>
  </si>
  <si>
    <t>41/96</t>
  </si>
  <si>
    <t>65/100</t>
  </si>
  <si>
    <t>93/98</t>
  </si>
  <si>
    <t>36/94</t>
  </si>
  <si>
    <t>70/77</t>
  </si>
  <si>
    <t>LU0557854907</t>
  </si>
  <si>
    <t>Amundi Fds Eq Brazil IU-C</t>
  </si>
  <si>
    <t>29/96</t>
  </si>
  <si>
    <t>57/100</t>
  </si>
  <si>
    <t>19/94</t>
  </si>
  <si>
    <t>LU0347593245</t>
  </si>
  <si>
    <t>Amundi Fds Eq Brazil MU-C</t>
  </si>
  <si>
    <t>31/96</t>
  </si>
  <si>
    <t>73/98</t>
  </si>
  <si>
    <t>59/91</t>
  </si>
  <si>
    <t>LU0347592866</t>
  </si>
  <si>
    <t>Amundi Fds Eq Brazil RU-C</t>
  </si>
  <si>
    <t>27/96</t>
  </si>
  <si>
    <t>76/98</t>
  </si>
  <si>
    <t>18/94</t>
  </si>
  <si>
    <t>LU0823039523</t>
  </si>
  <si>
    <t>Amundi Fds Eq Brazil SU-C</t>
  </si>
  <si>
    <t>88/98</t>
  </si>
  <si>
    <t>61/77</t>
  </si>
  <si>
    <t>29/43</t>
  </si>
  <si>
    <t>LU0347593161</t>
  </si>
  <si>
    <t>Amundi Fds Eq Emerging Cnsrv AHE-C</t>
  </si>
  <si>
    <t>EAA Fund Global Emerging Markets Equity - Currency Hedged</t>
  </si>
  <si>
    <t>LU0945154085</t>
  </si>
  <si>
    <t>Amundi Fds Eq Emerging Cnsrv AU-C</t>
  </si>
  <si>
    <t>LU0945153863</t>
  </si>
  <si>
    <t>Amundi Fds Eq Emerging Cnsrv FHE-C</t>
  </si>
  <si>
    <t>LU0945154671</t>
  </si>
  <si>
    <t>Amundi Fds Eq Emerging Cnsrv FU-C</t>
  </si>
  <si>
    <t>LU0945154598</t>
  </si>
  <si>
    <t>Amundi Fds Eq Emerging Cnsrv IHE-C</t>
  </si>
  <si>
    <t>LU0945153277</t>
  </si>
  <si>
    <t>Amundi Fds Eq Emerging Cnsrv IU-C</t>
  </si>
  <si>
    <t>LU0945152972</t>
  </si>
  <si>
    <t>Amundi Fds Eq Emerging Cnsrv MHE-C</t>
  </si>
  <si>
    <t>LU0945153517</t>
  </si>
  <si>
    <t>Amundi Fds Eq Emerging Cnsrv SHE-C</t>
  </si>
  <si>
    <t>175/246</t>
  </si>
  <si>
    <t>LU0945154242</t>
  </si>
  <si>
    <t>Amundi Fds Eq Emerging Cnsrv SU-C</t>
  </si>
  <si>
    <t>LU0945154168</t>
  </si>
  <si>
    <t>Amundi Fds Eq Emerging Focus A2U-C</t>
  </si>
  <si>
    <t>LU0823040885</t>
  </si>
  <si>
    <t>Amundi Fds Eq Emerging Focus AE-C</t>
  </si>
  <si>
    <t>LU0552028184</t>
  </si>
  <si>
    <t>Amundi Fds Eq Emerging Focus AE-D</t>
  </si>
  <si>
    <t>LU0552028341</t>
  </si>
  <si>
    <t>Amundi Fds Eq Emerging Focus AHE-C</t>
  </si>
  <si>
    <t>LU0613075240</t>
  </si>
  <si>
    <t>Amundi Fds Eq Emerging Focus AU-C</t>
  </si>
  <si>
    <t>LU0319685854</t>
  </si>
  <si>
    <t>Amundi Fds Eq Emerging Focus AU-D</t>
  </si>
  <si>
    <t>LU0319686076</t>
  </si>
  <si>
    <t>Amundi Fds Eq Emerging Focus FU-C</t>
  </si>
  <si>
    <t>LU0557857595</t>
  </si>
  <si>
    <t>Amundi Fds Eq Emerging Focus IHE-C</t>
  </si>
  <si>
    <t>152/263</t>
  </si>
  <si>
    <t>LU1534104887</t>
  </si>
  <si>
    <t>Amundi Fds Eq Emerging Focus IU-C</t>
  </si>
  <si>
    <t>LU0319685342</t>
  </si>
  <si>
    <t>Amundi Fds Eq Emerging Focus IU-D</t>
  </si>
  <si>
    <t>LU0319685425</t>
  </si>
  <si>
    <t>Amundi Fds Eq Emerging Focus MU-C</t>
  </si>
  <si>
    <t>LU0329442304</t>
  </si>
  <si>
    <t>Amundi Fds Eq Emerging Focus OFU-C</t>
  </si>
  <si>
    <t>LU1103156946</t>
  </si>
  <si>
    <t>Amundi Fds Eq Emerging Focus RHG-C</t>
  </si>
  <si>
    <t>144/246</t>
  </si>
  <si>
    <t>LU0987197331</t>
  </si>
  <si>
    <t>Amundi Fds Eq Emerging Focus SE-C</t>
  </si>
  <si>
    <t>LU0552028770</t>
  </si>
  <si>
    <t>Amundi Fds Eq Emerging Focus SU-C</t>
  </si>
  <si>
    <t>LU0319686159</t>
  </si>
  <si>
    <t>Amundi Fds Eq Emerging Focus XU-C</t>
  </si>
  <si>
    <t>LU0319685698</t>
  </si>
  <si>
    <t>Amundi Fds Eq Emerging World A2U-C</t>
  </si>
  <si>
    <t>LU0823041008</t>
  </si>
  <si>
    <t>Amundi Fds Eq Emerging World AE-C</t>
  </si>
  <si>
    <t>LU0557858130</t>
  </si>
  <si>
    <t>Amundi Fds Eq Emerging World AE-D</t>
  </si>
  <si>
    <t>LU0557858213</t>
  </si>
  <si>
    <t>Amundi Fds Eq Emerging World AHK-C</t>
  </si>
  <si>
    <t>76/157</t>
  </si>
  <si>
    <t>LU1049754457</t>
  </si>
  <si>
    <t>Amundi Fds Eq Emerging World AU-C</t>
  </si>
  <si>
    <t>LU0347592197</t>
  </si>
  <si>
    <t>Amundi Fds Eq Emerging World AU-D</t>
  </si>
  <si>
    <t>LU0347592270</t>
  </si>
  <si>
    <t>Amundi Fds Eq Emerging World FU-C</t>
  </si>
  <si>
    <t>LU0557858304</t>
  </si>
  <si>
    <t>Amundi Fds Eq Emerging World IE-C</t>
  </si>
  <si>
    <t>LU0906531487</t>
  </si>
  <si>
    <t>Amundi Fds Eq Emerging World IU-C</t>
  </si>
  <si>
    <t>LU0347592437</t>
  </si>
  <si>
    <t>Amundi Fds Eq Emerging World ME-C</t>
  </si>
  <si>
    <t>LU0906531644</t>
  </si>
  <si>
    <t>Amundi Fds Eq Emerging World MU-C</t>
  </si>
  <si>
    <t>LU0347591975</t>
  </si>
  <si>
    <t>Amundi Fds Eq Emerging World RU-C</t>
  </si>
  <si>
    <t>LU0823041859</t>
  </si>
  <si>
    <t>Amundi Fds Eq Emerging World RU-D</t>
  </si>
  <si>
    <t>LU0823041933</t>
  </si>
  <si>
    <t>Amundi Fds Eq Emerging World SU-C</t>
  </si>
  <si>
    <t>LU0347592353</t>
  </si>
  <si>
    <t>LU0401973978</t>
  </si>
  <si>
    <t>LU0401974190</t>
  </si>
  <si>
    <t>LU0557870424</t>
  </si>
  <si>
    <t>LU0401973549</t>
  </si>
  <si>
    <t>LU0401973895</t>
  </si>
  <si>
    <t>521/648</t>
  </si>
  <si>
    <t>LU0401974273</t>
  </si>
  <si>
    <t>Amundi Fds Eq Euro Risk Parity AE-C</t>
  </si>
  <si>
    <t>LU1328850950</t>
  </si>
  <si>
    <t>Amundi Fds Eq Euro Risk Parity IE-C</t>
  </si>
  <si>
    <t>LU1328850448</t>
  </si>
  <si>
    <t>Amundi Fds Eq Euro Risk Parity IE-D</t>
  </si>
  <si>
    <t>LU1328850521</t>
  </si>
  <si>
    <t>Amundi Fds Eq Euro Risk Parity XE-C</t>
  </si>
  <si>
    <t>LU1328850877</t>
  </si>
  <si>
    <t>Amundi Fds Eq Euroland Small Cap A2U-C</t>
  </si>
  <si>
    <t>42/87</t>
  </si>
  <si>
    <t>40/84</t>
  </si>
  <si>
    <t>LU1049754531</t>
  </si>
  <si>
    <t>Amundi Fds Eq Euroland Small Cap AE-C</t>
  </si>
  <si>
    <t>41/82</t>
  </si>
  <si>
    <t>37/84</t>
  </si>
  <si>
    <t>19/49</t>
  </si>
  <si>
    <t>LU0568607203</t>
  </si>
  <si>
    <t>Amundi Fds Eq Euroland Small Cap AE-D</t>
  </si>
  <si>
    <t>40/82</t>
  </si>
  <si>
    <t>39/87</t>
  </si>
  <si>
    <t>38/84</t>
  </si>
  <si>
    <t>16/49</t>
  </si>
  <si>
    <t>LU0568607385</t>
  </si>
  <si>
    <t>Amundi Fds Eq Euroland Small Cap AU-C</t>
  </si>
  <si>
    <t>39/82</t>
  </si>
  <si>
    <t>36/84</t>
  </si>
  <si>
    <t>52/80</t>
  </si>
  <si>
    <t>35/63</t>
  </si>
  <si>
    <t>LU1049754705</t>
  </si>
  <si>
    <t>Amundi Fds Eq Euroland Small Cap FE-C</t>
  </si>
  <si>
    <t>51/82</t>
  </si>
  <si>
    <t>50/84</t>
  </si>
  <si>
    <t>36/49</t>
  </si>
  <si>
    <t>LU0568607542</t>
  </si>
  <si>
    <t>Amundi Fds Eq Euroland Small Cap IE-C</t>
  </si>
  <si>
    <t>35/82</t>
  </si>
  <si>
    <t>23/84</t>
  </si>
  <si>
    <t>22/63</t>
  </si>
  <si>
    <t>11/49</t>
  </si>
  <si>
    <t>8/39</t>
  </si>
  <si>
    <t>LU0568606817</t>
  </si>
  <si>
    <t>Amundi Fds Eq Euroland Small Cap IE-D</t>
  </si>
  <si>
    <t>37/82</t>
  </si>
  <si>
    <t>37/87</t>
  </si>
  <si>
    <t>26/84</t>
  </si>
  <si>
    <t>LU0568606908</t>
  </si>
  <si>
    <t>Amundi Fds Eq Euroland Small Cap ME-C</t>
  </si>
  <si>
    <t>34/82</t>
  </si>
  <si>
    <t>33/87</t>
  </si>
  <si>
    <t>10/49</t>
  </si>
  <si>
    <t>LU0568607039</t>
  </si>
  <si>
    <t>Amundi Fds Eq Euroland Small Cap RE-C</t>
  </si>
  <si>
    <t>LU0945156379</t>
  </si>
  <si>
    <t>Amundi Fds Eq Euroland Small Cap SE-C</t>
  </si>
  <si>
    <t>44/82</t>
  </si>
  <si>
    <t>44/84</t>
  </si>
  <si>
    <t>26/49</t>
  </si>
  <si>
    <t>LU0568607468</t>
  </si>
  <si>
    <t>Amundi Fds Eq Europe Concentrated AE-C</t>
  </si>
  <si>
    <t>1027/1372</t>
  </si>
  <si>
    <t>LU0401974943</t>
  </si>
  <si>
    <t>Amundi Fds Eq Europe Concentrated AE-D</t>
  </si>
  <si>
    <t>1057/1372</t>
  </si>
  <si>
    <t>LU0401975163</t>
  </si>
  <si>
    <t>Amundi Fds Eq Europe Concentrated AHK-C</t>
  </si>
  <si>
    <t>EAA Fund Europe Equity - Currency Hedged</t>
  </si>
  <si>
    <t>LU1049755181</t>
  </si>
  <si>
    <t>Amundi Fds Eq Europe Concentrated FE-C</t>
  </si>
  <si>
    <t>LU0557870770</t>
  </si>
  <si>
    <t>Amundi Fds Eq Europe Concentrated IE-C</t>
  </si>
  <si>
    <t>LU0401974356</t>
  </si>
  <si>
    <t>Amundi Fds Eq Europe Concentrated IE-D</t>
  </si>
  <si>
    <t>LU0401974513</t>
  </si>
  <si>
    <t>Amundi Fds Eq Europe Concentrated ME-C</t>
  </si>
  <si>
    <t>LU0401974786</t>
  </si>
  <si>
    <t>Amundi Fds Eq Europe Concentrated SE-C</t>
  </si>
  <si>
    <t>LU0401975320</t>
  </si>
  <si>
    <t>Amundi Fds Eq Europe Conservative AE-C</t>
  </si>
  <si>
    <t>LU0755949848</t>
  </si>
  <si>
    <t>Amundi Fds Eq Europe Conservative AE-D</t>
  </si>
  <si>
    <t>LU0755949921</t>
  </si>
  <si>
    <t>Amundi Fds Eq Europe Conservative FE-C</t>
  </si>
  <si>
    <t>347/1372</t>
  </si>
  <si>
    <t>LU0755950184</t>
  </si>
  <si>
    <t>Amundi Fds Eq Europe Conservative I11-C</t>
  </si>
  <si>
    <t>LU1103155468</t>
  </si>
  <si>
    <t>Amundi Fds Eq Europe Conservative I4-C</t>
  </si>
  <si>
    <t>LU1103155625</t>
  </si>
  <si>
    <t>Amundi Fds Eq Europe Conservative IE-C</t>
  </si>
  <si>
    <t>LU0755949418</t>
  </si>
  <si>
    <t>Amundi Fds Eq Europe Conservative IE-D</t>
  </si>
  <si>
    <t>LU0755949509</t>
  </si>
  <si>
    <t>Amundi Fds Eq Europe Conservative ME-C</t>
  </si>
  <si>
    <t>LU0755949681</t>
  </si>
  <si>
    <t>Amundi Fds Eq Europe Conservative OFE-C</t>
  </si>
  <si>
    <t>LU1567497968</t>
  </si>
  <si>
    <t>Amundi Fds Eq Europe Conservative SE-C</t>
  </si>
  <si>
    <t>LU0755950002</t>
  </si>
  <si>
    <t>Amundi Fds Eq Europe Conservative XE-D</t>
  </si>
  <si>
    <t>LU0797053492</t>
  </si>
  <si>
    <t>Amundi Fds Eq Europe Small Cap AE-C</t>
  </si>
  <si>
    <t>EAA Fund Europe Mid-Cap Equity</t>
  </si>
  <si>
    <t>99/129</t>
  </si>
  <si>
    <t>72/103</t>
  </si>
  <si>
    <t>LU0945155215</t>
  </si>
  <si>
    <t>Amundi Fds Eq Europe Small Cap AE-D</t>
  </si>
  <si>
    <t>103/201</t>
  </si>
  <si>
    <t>100/129</t>
  </si>
  <si>
    <t>LU0945155306</t>
  </si>
  <si>
    <t>Amundi Fds Eq Europe Small Cap FE-C</t>
  </si>
  <si>
    <t>LU0945155561</t>
  </si>
  <si>
    <t>Amundi Fds Eq Europe Small Cap IE-C</t>
  </si>
  <si>
    <t>184/217</t>
  </si>
  <si>
    <t>LU0945154754</t>
  </si>
  <si>
    <t>Amundi Fds Eq Europe Small Cap IU-C</t>
  </si>
  <si>
    <t>LU1103154818</t>
  </si>
  <si>
    <t>Amundi Fds Eq Europe Small Cap ME-C</t>
  </si>
  <si>
    <t>LU0945154911</t>
  </si>
  <si>
    <t>Amundi Fds Eq Europe Small Cap RE-C</t>
  </si>
  <si>
    <t>LU0987198651</t>
  </si>
  <si>
    <t>Amundi Fds Eq Europe Small Cap RE-D</t>
  </si>
  <si>
    <t>188/217</t>
  </si>
  <si>
    <t>LU0987198735</t>
  </si>
  <si>
    <t>Amundi Fds Eq Europe Small Cap SE-C</t>
  </si>
  <si>
    <t>106/201</t>
  </si>
  <si>
    <t>LU0945155488</t>
  </si>
  <si>
    <t>Amundi Fds Eq Global Agriculture A2U-C</t>
  </si>
  <si>
    <t>EAA Fund Sector Equity Agriculture</t>
  </si>
  <si>
    <t>73/104</t>
  </si>
  <si>
    <t>22/96</t>
  </si>
  <si>
    <t>19/89</t>
  </si>
  <si>
    <t>LU0823042071</t>
  </si>
  <si>
    <t>Amundi Fds Eq Global Agriculture AE-C</t>
  </si>
  <si>
    <t>70/104</t>
  </si>
  <si>
    <t>LU0370201419</t>
  </si>
  <si>
    <t>Amundi Fds Eq Global Agriculture AHE-C</t>
  </si>
  <si>
    <t>LU0347595612</t>
  </si>
  <si>
    <t>Amundi Fds Eq Global Agriculture AU-C</t>
  </si>
  <si>
    <t>61/109</t>
  </si>
  <si>
    <t>69/104</t>
  </si>
  <si>
    <t>20/96</t>
  </si>
  <si>
    <t>13/70</t>
  </si>
  <si>
    <t>LU0347595026</t>
  </si>
  <si>
    <t>Amundi Fds Eq Global Agriculture AU-D</t>
  </si>
  <si>
    <t>60/109</t>
  </si>
  <si>
    <t>71/104</t>
  </si>
  <si>
    <t>19/96</t>
  </si>
  <si>
    <t>LU0347595299</t>
  </si>
  <si>
    <t>Amundi Fds Eq Global Agriculture FHE-C</t>
  </si>
  <si>
    <t>LU0644001009</t>
  </si>
  <si>
    <t>Amundi Fds Eq Global Agriculture FU-C</t>
  </si>
  <si>
    <t>44/96</t>
  </si>
  <si>
    <t>LU0557861605</t>
  </si>
  <si>
    <t>Amundi Fds Eq Global Agriculture IE-C</t>
  </si>
  <si>
    <t>54/109</t>
  </si>
  <si>
    <t>58/104</t>
  </si>
  <si>
    <t>LU1120875163</t>
  </si>
  <si>
    <t>Amundi Fds Eq Global Agriculture IE-D</t>
  </si>
  <si>
    <t>LU1120875247</t>
  </si>
  <si>
    <t>Amundi Fds Eq Global Agriculture IHE-C</t>
  </si>
  <si>
    <t>248/444</t>
  </si>
  <si>
    <t>LU0370201500</t>
  </si>
  <si>
    <t>Amundi Fds Eq Global Agriculture IU-C</t>
  </si>
  <si>
    <t>51/109</t>
  </si>
  <si>
    <t>LU0347595455</t>
  </si>
  <si>
    <t>Amundi Fds Eq Global Agriculture MU-C</t>
  </si>
  <si>
    <t>45/109</t>
  </si>
  <si>
    <t>11/96</t>
  </si>
  <si>
    <t>LU0347594722</t>
  </si>
  <si>
    <t>Amundi Fds Eq Global Agriculture R2E-C</t>
  </si>
  <si>
    <t>LU1508891626</t>
  </si>
  <si>
    <t>Amundi Fds Eq Global Agriculture RU-C</t>
  </si>
  <si>
    <t>57/109</t>
  </si>
  <si>
    <t>61/104</t>
  </si>
  <si>
    <t>LU0823042402</t>
  </si>
  <si>
    <t>Amundi Fds Eq Global Agriculture SHE-C</t>
  </si>
  <si>
    <t>LU0644000969</t>
  </si>
  <si>
    <t>Amundi Fds Eq Global Agriculture SU-C</t>
  </si>
  <si>
    <t>79/104</t>
  </si>
  <si>
    <t>29/70</t>
  </si>
  <si>
    <t>LU0347595372</t>
  </si>
  <si>
    <t>Amundi Fds Eq Global Concentrated A2U-C</t>
  </si>
  <si>
    <t>LU1050468047</t>
  </si>
  <si>
    <t>Amundi Fds Eq Global Concentrated AE-C</t>
  </si>
  <si>
    <t>LU1050467585</t>
  </si>
  <si>
    <t>Amundi Fds Eq Global Concentrated AE-D</t>
  </si>
  <si>
    <t>LU1050467668</t>
  </si>
  <si>
    <t>Amundi Fds Eq Global Concentrated AHE-C</t>
  </si>
  <si>
    <t>EAA Fund Global Equity - Currency Hedged</t>
  </si>
  <si>
    <t>LU1050467742</t>
  </si>
  <si>
    <t>Amundi Fds Eq Global Concentrated AHE-D</t>
  </si>
  <si>
    <t>LU1162500125</t>
  </si>
  <si>
    <t>Amundi Fds Eq Global Concentrated AU-C</t>
  </si>
  <si>
    <t>LU1050467312</t>
  </si>
  <si>
    <t>Amundi Fds Eq Global Concentrated AU-D</t>
  </si>
  <si>
    <t>LU1050467403</t>
  </si>
  <si>
    <t>Amundi Fds Eq Global Concentrated FHE-C</t>
  </si>
  <si>
    <t>LU1050468807</t>
  </si>
  <si>
    <t>Amundi Fds Eq Global Concentrated FU-C</t>
  </si>
  <si>
    <t>LU1050468633</t>
  </si>
  <si>
    <t>Amundi Fds Eq Global Concentrated IE-C</t>
  </si>
  <si>
    <t>LU1050466348</t>
  </si>
  <si>
    <t>Amundi Fds Eq Global Concentrated IHE-C</t>
  </si>
  <si>
    <t>LU1050466694</t>
  </si>
  <si>
    <t>Amundi Fds Eq Global Concentrated IU-C</t>
  </si>
  <si>
    <t>LU1050466181</t>
  </si>
  <si>
    <t>Amundi Fds Eq Global Concentrated MG-C</t>
  </si>
  <si>
    <t>LU1327394711</t>
  </si>
  <si>
    <t>Amundi Fds Eq Global Concentrated MHE-C</t>
  </si>
  <si>
    <t>LU1050466850</t>
  </si>
  <si>
    <t>Amundi Fds Eq Global Concentrated MU-C</t>
  </si>
  <si>
    <t>LU1050466777</t>
  </si>
  <si>
    <t>Amundi Fds Eq Global Concentrated SE-C</t>
  </si>
  <si>
    <t>LU1050468476</t>
  </si>
  <si>
    <t>Amundi Fds Eq Global Concentrated SHE-C</t>
  </si>
  <si>
    <t>LU1050468559</t>
  </si>
  <si>
    <t>Amundi Fds Eq Global Concentrated SU-C</t>
  </si>
  <si>
    <t>LU1050468393</t>
  </si>
  <si>
    <t>Amundi Fds Eq Global Conservative AE-C</t>
  </si>
  <si>
    <t>LU0985951127</t>
  </si>
  <si>
    <t>Amundi Fds Eq Global Conservative AE-D</t>
  </si>
  <si>
    <t>LU0985951473</t>
  </si>
  <si>
    <t>Amundi Fds Eq Global Conservative AU-C</t>
  </si>
  <si>
    <t>LU0801842559</t>
  </si>
  <si>
    <t>Amundi Fds Eq Global Conservative AU-D</t>
  </si>
  <si>
    <t>LU0801842716</t>
  </si>
  <si>
    <t>Amundi Fds Eq Global Conservative FU-C</t>
  </si>
  <si>
    <t>LU0801842989</t>
  </si>
  <si>
    <t>Amundi Fds Eq Global Conservative IE-C</t>
  </si>
  <si>
    <t>LU0801841585</t>
  </si>
  <si>
    <t>Amundi Fds Eq Global Conservative IHE-C</t>
  </si>
  <si>
    <t>LU0987200812</t>
  </si>
  <si>
    <t>Amundi Fds Eq Global Conservative IU-C</t>
  </si>
  <si>
    <t>LU0801841312</t>
  </si>
  <si>
    <t>Amundi Fds Eq Global Conservative RHE-C</t>
  </si>
  <si>
    <t>LU0987200143</t>
  </si>
  <si>
    <t>Amundi Fds Eq Global Conservative SU-C</t>
  </si>
  <si>
    <t>LU0801842807</t>
  </si>
  <si>
    <t>Amundi Fds Eq Global Income AU-C</t>
  </si>
  <si>
    <t>EAA Fund Global Equity Income</t>
  </si>
  <si>
    <t>LU1250166854</t>
  </si>
  <si>
    <t>Amundi Fds Eq Global Income IU-C</t>
  </si>
  <si>
    <t>LU1250166342</t>
  </si>
  <si>
    <t>Amundi Fds Eq Greater China A2U-C</t>
  </si>
  <si>
    <t>EAA Fund Greater China Equity</t>
  </si>
  <si>
    <t>219/278</t>
  </si>
  <si>
    <t>LU0823044523</t>
  </si>
  <si>
    <t>Amundi Fds Eq Greater China A2U-D</t>
  </si>
  <si>
    <t>LU0823044879</t>
  </si>
  <si>
    <t>Amundi Fds Eq Greater China AE-C</t>
  </si>
  <si>
    <t>LU0552028937</t>
  </si>
  <si>
    <t>Amundi Fds Eq Greater China AE-D</t>
  </si>
  <si>
    <t>LU0552029158</t>
  </si>
  <si>
    <t>Amundi Fds Eq Greater China AU-C</t>
  </si>
  <si>
    <t>85/124</t>
  </si>
  <si>
    <t>LU0165623512</t>
  </si>
  <si>
    <t>Amundi Fds Eq Greater China AU-D</t>
  </si>
  <si>
    <t>LU0165623603</t>
  </si>
  <si>
    <t>Amundi Fds Eq Greater China FU-C</t>
  </si>
  <si>
    <t>109/124</t>
  </si>
  <si>
    <t>LU0557865002</t>
  </si>
  <si>
    <t>Amundi Fds Eq Greater China IU-C</t>
  </si>
  <si>
    <t>LU0165623355</t>
  </si>
  <si>
    <t>Amundi Fds Eq Greater China MU-C</t>
  </si>
  <si>
    <t>LU0329446396</t>
  </si>
  <si>
    <t>Amundi Fds Eq Greater China RU-C</t>
  </si>
  <si>
    <t>223/284</t>
  </si>
  <si>
    <t>LU0823045256</t>
  </si>
  <si>
    <t>Amundi Fds Eq Greater China SU-C</t>
  </si>
  <si>
    <t>LU0165623785</t>
  </si>
  <si>
    <t>Amundi Fds Eq Greater China XU-C</t>
  </si>
  <si>
    <t>214/284</t>
  </si>
  <si>
    <t>176/278</t>
  </si>
  <si>
    <t>64/124</t>
  </si>
  <si>
    <t>LU0276939112</t>
  </si>
  <si>
    <t>Amundi Fds Eq Green Impact AE-C</t>
  </si>
  <si>
    <t>EAA Fund Europe Flex-Cap Equity</t>
  </si>
  <si>
    <t>LU1579337525</t>
  </si>
  <si>
    <t>Amundi Fds Eq Green Impact FE-C</t>
  </si>
  <si>
    <t>307/444</t>
  </si>
  <si>
    <t>LU1579337871</t>
  </si>
  <si>
    <t>Amundi Fds Eq Green Impact IE-C</t>
  </si>
  <si>
    <t>LU1579337442</t>
  </si>
  <si>
    <t>Amundi Fds Eq Green Impact SE-C</t>
  </si>
  <si>
    <t>LU1579337798</t>
  </si>
  <si>
    <t>Amundi Fds Eq India Infrastructure A2U-C</t>
  </si>
  <si>
    <t>EAA Fund Sector Equity Infrastructure</t>
  </si>
  <si>
    <t>LU0823045686</t>
  </si>
  <si>
    <t>Amundi Fds Eq India Infrastructure AU-C</t>
  </si>
  <si>
    <t>LU0334875175</t>
  </si>
  <si>
    <t>Amundi Fds Eq India Infrastructure AU-D</t>
  </si>
  <si>
    <t>LU0334875332</t>
  </si>
  <si>
    <t>Amundi Fds Eq India Infrastructure FU-C</t>
  </si>
  <si>
    <t>12/124</t>
  </si>
  <si>
    <t>LU0557866232</t>
  </si>
  <si>
    <t>Amundi Fds Eq India Infrastructure IU-C</t>
  </si>
  <si>
    <t>60/266</t>
  </si>
  <si>
    <t>LU0334874368</t>
  </si>
  <si>
    <t>Amundi Fds Eq India Infrastructure SU-C</t>
  </si>
  <si>
    <t>LU0334875415</t>
  </si>
  <si>
    <t>Amundi Fds Eq Japan Target AE-C</t>
  </si>
  <si>
    <t>EAA Fund Japan Small/Mid-Cap Equity</t>
  </si>
  <si>
    <t>95/99</t>
  </si>
  <si>
    <t>71/82</t>
  </si>
  <si>
    <t>LU0568583420</t>
  </si>
  <si>
    <t>Amundi Fds Eq Japan Target AE-D</t>
  </si>
  <si>
    <t>59/154</t>
  </si>
  <si>
    <t>LU0568583776</t>
  </si>
  <si>
    <t>Amundi Fds Eq Japan Target AHE-C</t>
  </si>
  <si>
    <t>EAA Fund Japan Equity - Currency Hedged</t>
  </si>
  <si>
    <t>49/598</t>
  </si>
  <si>
    <t>29/41</t>
  </si>
  <si>
    <t>LU0568583933</t>
  </si>
  <si>
    <t>Amundi Fds Eq Japan Target AHU-C</t>
  </si>
  <si>
    <t>LU0987202867</t>
  </si>
  <si>
    <t>Amundi Fds Eq Japan Target AJ-C</t>
  </si>
  <si>
    <t>57/154</t>
  </si>
  <si>
    <t>81/82</t>
  </si>
  <si>
    <t>LU0568583008</t>
  </si>
  <si>
    <t>Amundi Fds Eq Japan Target AJ-D</t>
  </si>
  <si>
    <t>LU0568583263</t>
  </si>
  <si>
    <t>Amundi Fds Eq Japan Target FHE-C</t>
  </si>
  <si>
    <t>20/41</t>
  </si>
  <si>
    <t>LU0568584584</t>
  </si>
  <si>
    <t>Amundi Fds Eq Japan Target FJ-C</t>
  </si>
  <si>
    <t>82/82</t>
  </si>
  <si>
    <t>LU0568584311</t>
  </si>
  <si>
    <t>Amundi Fds Eq Japan Target IHE-C</t>
  </si>
  <si>
    <t>43/598</t>
  </si>
  <si>
    <t>LU0797053906</t>
  </si>
  <si>
    <t>Amundi Fds Eq Japan Target IJ-C</t>
  </si>
  <si>
    <t>78/82</t>
  </si>
  <si>
    <t>LU0568582299</t>
  </si>
  <si>
    <t>Amundi Fds Eq Japan Target IJ-D</t>
  </si>
  <si>
    <t>83/99</t>
  </si>
  <si>
    <t>LU0568582455</t>
  </si>
  <si>
    <t>Amundi Fds Eq Japan Target MHE-C</t>
  </si>
  <si>
    <t>36/114</t>
  </si>
  <si>
    <t>LU0797053815</t>
  </si>
  <si>
    <t>Amundi Fds Eq Japan Target MJ-C</t>
  </si>
  <si>
    <t>84/99</t>
  </si>
  <si>
    <t>LU0568582612</t>
  </si>
  <si>
    <t>Amundi Fds Eq Japan Target RHE-C</t>
  </si>
  <si>
    <t>47/598</t>
  </si>
  <si>
    <t>15/41</t>
  </si>
  <si>
    <t>LU0823045926</t>
  </si>
  <si>
    <t>Amundi Fds Eq Japan Target RJ-C</t>
  </si>
  <si>
    <t>LU0823046148</t>
  </si>
  <si>
    <t>Amundi Fds Eq Japan Target SHE-C</t>
  </si>
  <si>
    <t>42/598</t>
  </si>
  <si>
    <t>LU0797053732</t>
  </si>
  <si>
    <t>Amundi Fds Eq Japan Target SJ-C</t>
  </si>
  <si>
    <t>LU0568584154</t>
  </si>
  <si>
    <t>Amundi Fds Eq Japan Value AE-C</t>
  </si>
  <si>
    <t>EAA Fund Japan Large-Cap Equity</t>
  </si>
  <si>
    <t>LU0557866588</t>
  </si>
  <si>
    <t>Amundi Fds Eq Japan Value AE-D</t>
  </si>
  <si>
    <t>LU0557867800</t>
  </si>
  <si>
    <t>Amundi Fds Eq Japan Value AHE-C</t>
  </si>
  <si>
    <t>170/330</t>
  </si>
  <si>
    <t>LU0945155991</t>
  </si>
  <si>
    <t>Amundi Fds Eq Japan Value AHK-C</t>
  </si>
  <si>
    <t>LU1049755934</t>
  </si>
  <si>
    <t>Amundi Fds Eq Japan Value AJ-C</t>
  </si>
  <si>
    <t>LU0248702192</t>
  </si>
  <si>
    <t>Amundi Fds Eq Japan Value AJ-D</t>
  </si>
  <si>
    <t>LU0248702275</t>
  </si>
  <si>
    <t>Amundi Fds Eq Japan Value FHE-C</t>
  </si>
  <si>
    <t>LU0945156296</t>
  </si>
  <si>
    <t>Amundi Fds Eq Japan Value FJ-C</t>
  </si>
  <si>
    <t>LU0557868360</t>
  </si>
  <si>
    <t>Amundi Fds Eq Japan Value IHE-C</t>
  </si>
  <si>
    <t>LU0945155728</t>
  </si>
  <si>
    <t>Amundi Fds Eq Japan Value IJ-C</t>
  </si>
  <si>
    <t>745/1060</t>
  </si>
  <si>
    <t>139/537</t>
  </si>
  <si>
    <t>LU0248702432</t>
  </si>
  <si>
    <t>Amundi Fds Eq Japan Value MJ-C</t>
  </si>
  <si>
    <t>LU0329447360</t>
  </si>
  <si>
    <t>Amundi Fds Eq Japan Value OFJ-C</t>
  </si>
  <si>
    <t>LU1103157670</t>
  </si>
  <si>
    <t>Amundi Fds Eq Japan Value RJ-C</t>
  </si>
  <si>
    <t>LU0987203592</t>
  </si>
  <si>
    <t>Amundi Fds Eq Japan Value SHE-C</t>
  </si>
  <si>
    <t>LU0945156023</t>
  </si>
  <si>
    <t>Amundi Fds Eq Japan Value SJ-C</t>
  </si>
  <si>
    <t>LU0248702358</t>
  </si>
  <si>
    <t>Amundi Fds Eq Korea AU-C</t>
  </si>
  <si>
    <t>EAA Fund Korea Equity</t>
  </si>
  <si>
    <t>32/73</t>
  </si>
  <si>
    <t>21/73</t>
  </si>
  <si>
    <t>30/46</t>
  </si>
  <si>
    <t>LU0158082171</t>
  </si>
  <si>
    <t>Amundi Fds Eq Korea AU-D</t>
  </si>
  <si>
    <t>47/64</t>
  </si>
  <si>
    <t>LU0169130571</t>
  </si>
  <si>
    <t>Amundi Fds Eq Korea FU-C</t>
  </si>
  <si>
    <t>LU0557869509</t>
  </si>
  <si>
    <t>Amundi Fds Eq Korea IU-C</t>
  </si>
  <si>
    <t>28/73</t>
  </si>
  <si>
    <t>28/53</t>
  </si>
  <si>
    <t>LU0158082684</t>
  </si>
  <si>
    <t>Amundi Fds Eq Korea SU-C</t>
  </si>
  <si>
    <t>36/73</t>
  </si>
  <si>
    <t>49/64</t>
  </si>
  <si>
    <t>LU0158082841</t>
  </si>
  <si>
    <t>Amundi Fds Eq Latin America A2U-C</t>
  </si>
  <si>
    <t>EAA Fund Latin America Equity</t>
  </si>
  <si>
    <t>LU0823046494</t>
  </si>
  <si>
    <t>Amundi Fds Eq Latin America A2U-D</t>
  </si>
  <si>
    <t>105/336</t>
  </si>
  <si>
    <t>LU0823046577</t>
  </si>
  <si>
    <t>Amundi Fds Eq Latin America AE-C</t>
  </si>
  <si>
    <t>101/336</t>
  </si>
  <si>
    <t>LU0552029406</t>
  </si>
  <si>
    <t>Amundi Fds Eq Latin America AE-D</t>
  </si>
  <si>
    <t>104/336</t>
  </si>
  <si>
    <t>LU0552029588</t>
  </si>
  <si>
    <t>Amundi Fds Eq Latin America AU-C</t>
  </si>
  <si>
    <t>209/232</t>
  </si>
  <si>
    <t>LU0201575346</t>
  </si>
  <si>
    <t>Amundi Fds Eq Latin America AU-D</t>
  </si>
  <si>
    <t>135/181</t>
  </si>
  <si>
    <t>LU0201602173</t>
  </si>
  <si>
    <t>Amundi Fds Eq Latin America FU-C</t>
  </si>
  <si>
    <t>LU0557869764</t>
  </si>
  <si>
    <t>Amundi Fds Eq Latin America IU-C</t>
  </si>
  <si>
    <t>160/232</t>
  </si>
  <si>
    <t>LU0201576070</t>
  </si>
  <si>
    <t>Amundi Fds Eq Latin America IU-D</t>
  </si>
  <si>
    <t>LU0201602413</t>
  </si>
  <si>
    <t>Amundi Fds Eq Latin America MU-C</t>
  </si>
  <si>
    <t>LU0329447527</t>
  </si>
  <si>
    <t>Amundi Fds Eq Latin America RU-C</t>
  </si>
  <si>
    <t>LU0823047039</t>
  </si>
  <si>
    <t>Amundi Fds Eq Latin America RU-D</t>
  </si>
  <si>
    <t>98/336</t>
  </si>
  <si>
    <t>181/232</t>
  </si>
  <si>
    <t>LU0823047112</t>
  </si>
  <si>
    <t>Amundi Fds Eq Latin America SE-C</t>
  </si>
  <si>
    <t>110/336</t>
  </si>
  <si>
    <t>163/326</t>
  </si>
  <si>
    <t>LU0552029661</t>
  </si>
  <si>
    <t>Amundi Fds Eq Latin America SU-C</t>
  </si>
  <si>
    <t>109/336</t>
  </si>
  <si>
    <t>LU0201575858</t>
  </si>
  <si>
    <t>Amundi Fds Eq MENA A2U-C</t>
  </si>
  <si>
    <t>EAA Fund Africa &amp; Middle East Equity</t>
  </si>
  <si>
    <t>45/134</t>
  </si>
  <si>
    <t>40/103</t>
  </si>
  <si>
    <t>LU0823047385</t>
  </si>
  <si>
    <t>Amundi Fds Eq MENA AE-C</t>
  </si>
  <si>
    <t>LU0569690554</t>
  </si>
  <si>
    <t>Amundi Fds Eq MENA AE-D</t>
  </si>
  <si>
    <t>12/134</t>
  </si>
  <si>
    <t>LU0569692097</t>
  </si>
  <si>
    <t>Amundi Fds Eq MENA AHE-C</t>
  </si>
  <si>
    <t>LU0569690471</t>
  </si>
  <si>
    <t>Amundi Fds Eq MENA AU-C</t>
  </si>
  <si>
    <t>8/134</t>
  </si>
  <si>
    <t>42/134</t>
  </si>
  <si>
    <t>34/80</t>
  </si>
  <si>
    <t>LU0568613946</t>
  </si>
  <si>
    <t>Amundi Fds Eq MENA AU-D</t>
  </si>
  <si>
    <t>LU0568614084</t>
  </si>
  <si>
    <t>Amundi Fds Eq MENA FHE-C</t>
  </si>
  <si>
    <t>21/90</t>
  </si>
  <si>
    <t>8/19</t>
  </si>
  <si>
    <t>LU0568614597</t>
  </si>
  <si>
    <t>Amundi Fds Eq MENA FU-C</t>
  </si>
  <si>
    <t>50/80</t>
  </si>
  <si>
    <t>LU0568614324</t>
  </si>
  <si>
    <t>Amundi Fds Eq MENA IHE-C</t>
  </si>
  <si>
    <t>4/19</t>
  </si>
  <si>
    <t>LU0568613607</t>
  </si>
  <si>
    <t>Amundi Fds Eq MENA IU-C</t>
  </si>
  <si>
    <t>33/134</t>
  </si>
  <si>
    <t>LU0568613433</t>
  </si>
  <si>
    <t>Amundi Fds Eq MENA IU-D</t>
  </si>
  <si>
    <t>32/134</t>
  </si>
  <si>
    <t>22/80</t>
  </si>
  <si>
    <t>23/54</t>
  </si>
  <si>
    <t>LU0568613516</t>
  </si>
  <si>
    <t>Amundi Fds Eq MENA MHE-C</t>
  </si>
  <si>
    <t>LU0568613862</t>
  </si>
  <si>
    <t>Amundi Fds Eq MENA MU-C</t>
  </si>
  <si>
    <t>35/103</t>
  </si>
  <si>
    <t>LU0568613789</t>
  </si>
  <si>
    <t>Amundi Fds Eq MENA RE-C</t>
  </si>
  <si>
    <t>LU0823047542</t>
  </si>
  <si>
    <t>Amundi Fds Eq MENA SHE-C</t>
  </si>
  <si>
    <t>LU0568614241</t>
  </si>
  <si>
    <t>Amundi Fds Eq MENA SU-C</t>
  </si>
  <si>
    <t>45/80</t>
  </si>
  <si>
    <t>LU0568614167</t>
  </si>
  <si>
    <t>Amundi Fds Eq Thailand AU-C</t>
  </si>
  <si>
    <t>EAA Fund Thailand Equity</t>
  </si>
  <si>
    <t>22/35</t>
  </si>
  <si>
    <t>17/35</t>
  </si>
  <si>
    <t>16/31</t>
  </si>
  <si>
    <t>11/27</t>
  </si>
  <si>
    <t>LU0158078906</t>
  </si>
  <si>
    <t>Amundi Fds Eq Thailand AU-D</t>
  </si>
  <si>
    <t>18/35</t>
  </si>
  <si>
    <t>17/31</t>
  </si>
  <si>
    <t>12/27</t>
  </si>
  <si>
    <t>LU0169129995</t>
  </si>
  <si>
    <t>Amundi Fds Eq Thailand FU-C</t>
  </si>
  <si>
    <t>30/35</t>
  </si>
  <si>
    <t>12/35</t>
  </si>
  <si>
    <t>25/35</t>
  </si>
  <si>
    <t>LU0752741735</t>
  </si>
  <si>
    <t>Amundi Fds Eq Thailand IU-C</t>
  </si>
  <si>
    <t>10/31</t>
  </si>
  <si>
    <t>6/27</t>
  </si>
  <si>
    <t>LU0158081363</t>
  </si>
  <si>
    <t>Amundi Fds Eq Thailand MU-C</t>
  </si>
  <si>
    <t>26/35</t>
  </si>
  <si>
    <t>20/35</t>
  </si>
  <si>
    <t>8/33</t>
  </si>
  <si>
    <t>LU0329448251</t>
  </si>
  <si>
    <t>Amundi Fds Eq Thailand SU-C</t>
  </si>
  <si>
    <t>27/35</t>
  </si>
  <si>
    <t>19/35</t>
  </si>
  <si>
    <t>LU0158081520</t>
  </si>
  <si>
    <t>Amundi Fds Eq US Relative Value AE-C</t>
  </si>
  <si>
    <t>EAA Fund US Large-Cap Value Equity</t>
  </si>
  <si>
    <t>86/507</t>
  </si>
  <si>
    <t>LU0568605926</t>
  </si>
  <si>
    <t>Amundi Fds Eq US Relative Value AE-D</t>
  </si>
  <si>
    <t>LU0568606064</t>
  </si>
  <si>
    <t>Amundi Fds Eq US Relative Value AHE-C</t>
  </si>
  <si>
    <t>EAA Fund US Equity - Currency Hedged</t>
  </si>
  <si>
    <t>LU0568606148</t>
  </si>
  <si>
    <t>Amundi Fds Eq US Relative Value AHK-C</t>
  </si>
  <si>
    <t>LU0568606221</t>
  </si>
  <si>
    <t>Amundi Fds Eq US Relative Value AU-C</t>
  </si>
  <si>
    <t>85/507</t>
  </si>
  <si>
    <t>LU0568605769</t>
  </si>
  <si>
    <t>Amundi Fds Eq US Relative Value AU-D</t>
  </si>
  <si>
    <t>LU0568605843</t>
  </si>
  <si>
    <t>Amundi Fds Eq US Relative Value FHE-C</t>
  </si>
  <si>
    <t>LU0568606734</t>
  </si>
  <si>
    <t>Amundi Fds Eq US Relative Value FU-C</t>
  </si>
  <si>
    <t>LU0568606650</t>
  </si>
  <si>
    <t>Amundi Fds Eq US Relative Value IHE-C</t>
  </si>
  <si>
    <t>LU0568605256</t>
  </si>
  <si>
    <t>Amundi Fds Eq US Relative Value IU-C</t>
  </si>
  <si>
    <t>LU0568605090</t>
  </si>
  <si>
    <t>Amundi Fds Eq US Relative Value IU-D</t>
  </si>
  <si>
    <t>LU0568605173</t>
  </si>
  <si>
    <t>Amundi Fds Eq US Relative Value MHE-C</t>
  </si>
  <si>
    <t>LU0568605413</t>
  </si>
  <si>
    <t>Amundi Fds Eq US Relative Value MU-C</t>
  </si>
  <si>
    <t>225/374</t>
  </si>
  <si>
    <t>LU0568605330</t>
  </si>
  <si>
    <t>Amundi Fds Eq US Relative Value RHE-C</t>
  </si>
  <si>
    <t>LU0987204566</t>
  </si>
  <si>
    <t>Amundi Fds Eq US Relative Value RU-C</t>
  </si>
  <si>
    <t>LU0823048862</t>
  </si>
  <si>
    <t>Amundi Fds Eq US Relative Value RU-D</t>
  </si>
  <si>
    <t>LU0823048946</t>
  </si>
  <si>
    <t>Amundi Fds Eq US Relative Value SHE-C</t>
  </si>
  <si>
    <t>203/307</t>
  </si>
  <si>
    <t>LU0568606577</t>
  </si>
  <si>
    <t>Amundi Fds Eq US Relative Value SU-C</t>
  </si>
  <si>
    <t>LU0568606494</t>
  </si>
  <si>
    <t>Amundi Fds Glbl Mac Bds &amp; Ccis AE-C</t>
  </si>
  <si>
    <t>LU0996172093</t>
  </si>
  <si>
    <t>Amundi Fds Glbl Mac Bds &amp; Ccis AE-D</t>
  </si>
  <si>
    <t>LU0996172176</t>
  </si>
  <si>
    <t>Amundi Fds Glbl Mac Bds &amp; Ccis AHU-C</t>
  </si>
  <si>
    <t>LU0996172259</t>
  </si>
  <si>
    <t>Amundi Fds Glbl Mac Bds &amp; Ccis AHU-D</t>
  </si>
  <si>
    <t>LU1073017714</t>
  </si>
  <si>
    <t>Amundi Fds Glbl Mac Bds &amp; Ccis FE-C</t>
  </si>
  <si>
    <t>LU0996172507</t>
  </si>
  <si>
    <t>Amundi Fds Glbl Mac Bds &amp; Ccis FE-MD</t>
  </si>
  <si>
    <t>LU1103150238</t>
  </si>
  <si>
    <t>Amundi Fds Glbl Mac Bds &amp; Ccis IE-C</t>
  </si>
  <si>
    <t>LU0996171368</t>
  </si>
  <si>
    <t>Amundi Fds Glbl Mac Bds &amp; Ccis ME-C</t>
  </si>
  <si>
    <t>20/193</t>
  </si>
  <si>
    <t>32/177</t>
  </si>
  <si>
    <t>LU0996171798</t>
  </si>
  <si>
    <t>Amundi Fds Glbl Mac Bds &amp; Ccis SE-C</t>
  </si>
  <si>
    <t>LU0996172333</t>
  </si>
  <si>
    <t>Amundi Fds Glbl Mac Bds &amp; Ccis SE-MD</t>
  </si>
  <si>
    <t>85/190</t>
  </si>
  <si>
    <t>LU1103150071</t>
  </si>
  <si>
    <t>Amundi Fds Glbl Mac Bds &amp; Ccis SHU</t>
  </si>
  <si>
    <t>LU0996172416</t>
  </si>
  <si>
    <t>Amundi Fds Glbl Mac Bds&amp;Ccis LwVol AE-C</t>
  </si>
  <si>
    <t>50/63</t>
  </si>
  <si>
    <t>21/25</t>
  </si>
  <si>
    <t>LU0210817283</t>
  </si>
  <si>
    <t>Amundi Fds Glbl Mac Bds&amp;Ccis LwVol AE-D</t>
  </si>
  <si>
    <t>LU0244994728</t>
  </si>
  <si>
    <t>Amundi Fds Glbl Mac Bds&amp;Ccis LwVol AHG-C</t>
  </si>
  <si>
    <t>59/63</t>
  </si>
  <si>
    <t>25/25</t>
  </si>
  <si>
    <t>LU0615785101</t>
  </si>
  <si>
    <t>Amundi Fds Glbl Mac Bds&amp;Ccis LwVol AHU-C</t>
  </si>
  <si>
    <t>180/190</t>
  </si>
  <si>
    <t>LU0752743517</t>
  </si>
  <si>
    <t>Amundi Fds Glbl Mac Bds&amp;Ccis LwVol AHU-D</t>
  </si>
  <si>
    <t>179/190</t>
  </si>
  <si>
    <t>25/63</t>
  </si>
  <si>
    <t>LU0752743608</t>
  </si>
  <si>
    <t>Amundi Fds Glbl Mac Bds&amp;Ccis LwVol FE-C</t>
  </si>
  <si>
    <t>LU0557852794</t>
  </si>
  <si>
    <t>Amundi Fds Glbl Mac Bds&amp;Ccis LwVol FHU-C</t>
  </si>
  <si>
    <t>183/190</t>
  </si>
  <si>
    <t>LU0752743947</t>
  </si>
  <si>
    <t>Amundi Fds Glbl Mac Bds&amp;Ccis LwVol H-C</t>
  </si>
  <si>
    <t>LU0228696471</t>
  </si>
  <si>
    <t>Amundi Fds Glbl Mac Bds&amp;Ccis LwVol IE-C</t>
  </si>
  <si>
    <t>54/92</t>
  </si>
  <si>
    <t>15/25</t>
  </si>
  <si>
    <t>LU0210817879</t>
  </si>
  <si>
    <t>Amundi Fds Glbl Mac Bds&amp;Ccis LwVol ME-C</t>
  </si>
  <si>
    <t>63/190</t>
  </si>
  <si>
    <t>47/63</t>
  </si>
  <si>
    <t>16/25</t>
  </si>
  <si>
    <t>LU0329439698</t>
  </si>
  <si>
    <t>Amundi Fds Glbl Mac Bds&amp;Ccis LwVol RE-C</t>
  </si>
  <si>
    <t>LU0987185328</t>
  </si>
  <si>
    <t>Amundi Fds Glbl Mac Bds&amp;Ccis LwVol SE-C</t>
  </si>
  <si>
    <t>23/25</t>
  </si>
  <si>
    <t>LU0210817440</t>
  </si>
  <si>
    <t>Amundi Fds Glbl Mac Bds&amp;Ccis LwVol SHU-C</t>
  </si>
  <si>
    <t>181/190</t>
  </si>
  <si>
    <t>LU0752743863</t>
  </si>
  <si>
    <t>Amundi Fds Glbl Mac Forex Strategic FE-C</t>
  </si>
  <si>
    <t>EAA Fund Alt - Currency</t>
  </si>
  <si>
    <t>LU1050466009</t>
  </si>
  <si>
    <t>81/110</t>
  </si>
  <si>
    <t>33/49</t>
  </si>
  <si>
    <t>LU0568619638</t>
  </si>
  <si>
    <t>26/136</t>
  </si>
  <si>
    <t>79/110</t>
  </si>
  <si>
    <t>LU0568619711</t>
  </si>
  <si>
    <t>LU0568620057</t>
  </si>
  <si>
    <t>35/165</t>
  </si>
  <si>
    <t>LU0613080323</t>
  </si>
  <si>
    <t>22/136</t>
  </si>
  <si>
    <t>74/110</t>
  </si>
  <si>
    <t>30/49</t>
  </si>
  <si>
    <t>LU0568619042</t>
  </si>
  <si>
    <t>76/110</t>
  </si>
  <si>
    <t>LU0568619398</t>
  </si>
  <si>
    <t>24/157</t>
  </si>
  <si>
    <t>38/136</t>
  </si>
  <si>
    <t>83/110</t>
  </si>
  <si>
    <t>34/49</t>
  </si>
  <si>
    <t>LU0568619802</t>
  </si>
  <si>
    <t>EAA Fund EUR Flexible Allocation - Global</t>
  </si>
  <si>
    <t>LU0907915168</t>
  </si>
  <si>
    <t>LU0907915242</t>
  </si>
  <si>
    <t>LU1327398548</t>
  </si>
  <si>
    <t>LU0907915598</t>
  </si>
  <si>
    <t>LU0907914518</t>
  </si>
  <si>
    <t>LU0907914609</t>
  </si>
  <si>
    <t>853/1182</t>
  </si>
  <si>
    <t>LU0907914781</t>
  </si>
  <si>
    <t>LU1049757476</t>
  </si>
  <si>
    <t>LU1049757559</t>
  </si>
  <si>
    <t>LU0907915325</t>
  </si>
  <si>
    <t>EAA Fund RMB Bond</t>
  </si>
  <si>
    <t>LU0907911175</t>
  </si>
  <si>
    <t>LU0907912140</t>
  </si>
  <si>
    <t>LU0945158318</t>
  </si>
  <si>
    <t>124/173</t>
  </si>
  <si>
    <t>LU0907912066</t>
  </si>
  <si>
    <t>LU0907910797</t>
  </si>
  <si>
    <t>LU0907910441</t>
  </si>
  <si>
    <t>123/172</t>
  </si>
  <si>
    <t>LU0907912223</t>
  </si>
  <si>
    <t>LU0907911928</t>
  </si>
  <si>
    <t>LU0945158235</t>
  </si>
  <si>
    <t>LU0907911845</t>
  </si>
  <si>
    <t>EAA Fund EUR Cautious Allocation</t>
  </si>
  <si>
    <t>LU1253540170</t>
  </si>
  <si>
    <t>LU1253540410</t>
  </si>
  <si>
    <t>LU1253541814</t>
  </si>
  <si>
    <t>LU1327398381</t>
  </si>
  <si>
    <t>LU1253540840</t>
  </si>
  <si>
    <t>LU1253541145</t>
  </si>
  <si>
    <t>LU1253542036</t>
  </si>
  <si>
    <t>LU1327398035</t>
  </si>
  <si>
    <t>LU1253541574</t>
  </si>
  <si>
    <t>LU1327398209</t>
  </si>
  <si>
    <t>Amundi Fds Protect 90 AE-C</t>
  </si>
  <si>
    <t>LU1433245245</t>
  </si>
  <si>
    <t>Amundi Fds Protect 90 SE-C</t>
  </si>
  <si>
    <t>LU1534106825</t>
  </si>
  <si>
    <t>EAA Fund India Equity</t>
  </si>
  <si>
    <t>LU0755947396</t>
  </si>
  <si>
    <t>LU0755947479</t>
  </si>
  <si>
    <t>LU0755947040</t>
  </si>
  <si>
    <t>LU0755947123</t>
  </si>
  <si>
    <t>LU0755947552</t>
  </si>
  <si>
    <t>LU0755946588</t>
  </si>
  <si>
    <t>LU0755946661</t>
  </si>
  <si>
    <t>LU0755946828</t>
  </si>
  <si>
    <t>Amundi Fds SBI FM Equity India A2U-C</t>
  </si>
  <si>
    <t>LU0823045413</t>
  </si>
  <si>
    <t>Amundi Fds SBI FM Equity India AE-C</t>
  </si>
  <si>
    <t>LU0552029232</t>
  </si>
  <si>
    <t>Amundi Fds SBI FM Equity India AE-D</t>
  </si>
  <si>
    <t>LU0552029315</t>
  </si>
  <si>
    <t>Amundi Fds SBI FM Equity India AU-C</t>
  </si>
  <si>
    <t>LU0236501697</t>
  </si>
  <si>
    <t>Amundi Fds SBI FM Equity India AU-D</t>
  </si>
  <si>
    <t>LU0236502158</t>
  </si>
  <si>
    <t>Amundi Fds SBI FM Equity India FU-C</t>
  </si>
  <si>
    <t>LU0557865937</t>
  </si>
  <si>
    <t>Amundi Fds SBI FM Equity India IU-C</t>
  </si>
  <si>
    <t>125/430</t>
  </si>
  <si>
    <t>LU0236502588</t>
  </si>
  <si>
    <t>Amundi Fds SBI FM Equity India IU-D</t>
  </si>
  <si>
    <t>LU0236502661</t>
  </si>
  <si>
    <t>Amundi Fds SBI FM Equity India MU-C</t>
  </si>
  <si>
    <t>LU0329446719</t>
  </si>
  <si>
    <t>Amundi Fds SBI FM Equity India SU-C</t>
  </si>
  <si>
    <t>LU0236502315</t>
  </si>
  <si>
    <t>Amundi Fds Sterling Strategic Bond IG-C</t>
  </si>
  <si>
    <t>EAA Fund GBP Diversified Bond</t>
  </si>
  <si>
    <t>LU1328849945</t>
  </si>
  <si>
    <t>Amundi Fds Sterling Strategic Bond RG-C</t>
  </si>
  <si>
    <t>LU1328850281</t>
  </si>
  <si>
    <t>LU1386074709</t>
  </si>
  <si>
    <t>LU1386074964</t>
  </si>
  <si>
    <t>LU1386074618</t>
  </si>
  <si>
    <t>LU1386074881</t>
  </si>
  <si>
    <t>LU0568602824</t>
  </si>
  <si>
    <t>LU0568603129</t>
  </si>
  <si>
    <t>LU0568602667</t>
  </si>
  <si>
    <t>LU0568602741</t>
  </si>
  <si>
    <t>LU0568603558</t>
  </si>
  <si>
    <t>LU0568603475</t>
  </si>
  <si>
    <t>LU0568585391</t>
  </si>
  <si>
    <t>LU0568584741</t>
  </si>
  <si>
    <t>LU0568585045</t>
  </si>
  <si>
    <t>LU0568585714</t>
  </si>
  <si>
    <t>LU0568585557</t>
  </si>
  <si>
    <t>LU0823048193</t>
  </si>
  <si>
    <t>LU0823048359</t>
  </si>
  <si>
    <t>LU0797054037</t>
  </si>
  <si>
    <t>LU0568603392</t>
  </si>
  <si>
    <t>Amundi Floor Allocation</t>
  </si>
  <si>
    <t>57/85</t>
  </si>
  <si>
    <t>84/89</t>
  </si>
  <si>
    <t>JP90C000CGX9</t>
  </si>
  <si>
    <t>Amundi Fondtesoro Largo Plazo FI</t>
  </si>
  <si>
    <t>ES0126531039</t>
  </si>
  <si>
    <t>Amundi Hong Kong Ltd</t>
  </si>
  <si>
    <t>HK0000310638</t>
  </si>
  <si>
    <t>Amundi Gemeindefonds A</t>
  </si>
  <si>
    <t>AT0000801105</t>
  </si>
  <si>
    <t>Amundi Gemeindefonds Absolute Return A</t>
  </si>
  <si>
    <t>EAA Fund Other</t>
  </si>
  <si>
    <t>AT0000618756</t>
  </si>
  <si>
    <t>Amundi Gemeindefonds Absolute Return T</t>
  </si>
  <si>
    <t>AT0000618764</t>
  </si>
  <si>
    <t>Amundi Gemeindefonds T</t>
  </si>
  <si>
    <t>AT0000717392</t>
  </si>
  <si>
    <t>Amundi Glbl Fishing Industry Eq Mother</t>
  </si>
  <si>
    <t>Japan Fund World Equity</t>
  </si>
  <si>
    <t>Amundi Glbl Luxury &amp; Lifestyle AS</t>
  </si>
  <si>
    <t>SG9999004543</t>
  </si>
  <si>
    <t>Amundi Glbl Luxury &amp; Lifestyle AU</t>
  </si>
  <si>
    <t>SG9999004550</t>
  </si>
  <si>
    <t>Amundi Global Bond A</t>
  </si>
  <si>
    <t>AT0000856513</t>
  </si>
  <si>
    <t>Amundi Global Bond T</t>
  </si>
  <si>
    <t>AT0000719299</t>
  </si>
  <si>
    <t>Amundi Global High Dividend Equity MF</t>
  </si>
  <si>
    <t>Amundi Global High Yield Bond A</t>
  </si>
  <si>
    <t>214/241</t>
  </si>
  <si>
    <t>AT0000729389</t>
  </si>
  <si>
    <t>Amundi Global High Yield Bond Kurz A</t>
  </si>
  <si>
    <t>297/343</t>
  </si>
  <si>
    <t>AT0000A13YS0</t>
  </si>
  <si>
    <t>Amundi Global High Yield Bond Kurz T</t>
  </si>
  <si>
    <t>AT0000A13YU6</t>
  </si>
  <si>
    <t>Amundi Global High Yield Bond Kurz VT</t>
  </si>
  <si>
    <t>293/343</t>
  </si>
  <si>
    <t>AT0000A13YW2</t>
  </si>
  <si>
    <t>Amundi Global High Yield Bond T</t>
  </si>
  <si>
    <t>AT0000729397</t>
  </si>
  <si>
    <t>Amundi Global Macro 2 IC</t>
  </si>
  <si>
    <t>19/25</t>
  </si>
  <si>
    <t>FR0007477146</t>
  </si>
  <si>
    <t>Amundi Global Macro 2 PC</t>
  </si>
  <si>
    <t>70/190</t>
  </si>
  <si>
    <t>FR0011261981</t>
  </si>
  <si>
    <t>Amundi Global Macro Multi-Asset I</t>
  </si>
  <si>
    <t>EAA Fund Alt - Diversified Arbitrage</t>
  </si>
  <si>
    <t>27/50</t>
  </si>
  <si>
    <t>15/50</t>
  </si>
  <si>
    <t>23/27</t>
  </si>
  <si>
    <t>18/19</t>
  </si>
  <si>
    <t>6/6</t>
  </si>
  <si>
    <t>FR0010194902</t>
  </si>
  <si>
    <t>Amundi Global Macro Multi-Asset P</t>
  </si>
  <si>
    <t>5/50</t>
  </si>
  <si>
    <t>25/50</t>
  </si>
  <si>
    <t>27/27</t>
  </si>
  <si>
    <t>FR0011524412</t>
  </si>
  <si>
    <t>Amundi Global Players Equity Fund A</t>
  </si>
  <si>
    <t>AT0000A016H3</t>
  </si>
  <si>
    <t>Amundi Global Players Equity Fund T</t>
  </si>
  <si>
    <t>AT0000A016J9</t>
  </si>
  <si>
    <t>Japan Fund World Other Equity</t>
  </si>
  <si>
    <t>JP90C000ALB9</t>
  </si>
  <si>
    <t>JP90C000ALA1</t>
  </si>
  <si>
    <t>Amundi Grand China Fund</t>
  </si>
  <si>
    <t>42/57</t>
  </si>
  <si>
    <t>46/57</t>
  </si>
  <si>
    <t>9/36</t>
  </si>
  <si>
    <t>JP90C0000DW9</t>
  </si>
  <si>
    <t>Amundi Green Bonds I A/I</t>
  </si>
  <si>
    <t>FR0013053451</t>
  </si>
  <si>
    <t>Amundi Green High Yield Equity Mother</t>
  </si>
  <si>
    <t>Japan Fund World ex-Japan Equity</t>
  </si>
  <si>
    <t>Amundi High Yield Dev Countrs Sov Mother</t>
  </si>
  <si>
    <t>Japan Fund World ex-Japan Bond</t>
  </si>
  <si>
    <t>Amundi HK - Game Changers Clsc USD Acc</t>
  </si>
  <si>
    <t>HK0000319415</t>
  </si>
  <si>
    <t>Amundi HK - Game Changers Instl III $Acc</t>
  </si>
  <si>
    <t>HK0000315660</t>
  </si>
  <si>
    <t>Amundi HK Balanced Cl A USD Acc</t>
  </si>
  <si>
    <t>EAA Fund USD Moderate Allocation</t>
  </si>
  <si>
    <t>HK0000267416</t>
  </si>
  <si>
    <t>Amundi HK Balanced Cl AUD H Dis</t>
  </si>
  <si>
    <t>HK0000251808</t>
  </si>
  <si>
    <t>Amundi HK Balanced Cl CAD H Dis</t>
  </si>
  <si>
    <t>HK0000279841</t>
  </si>
  <si>
    <t>Amundi HK Balanced Cl EUR H Dis</t>
  </si>
  <si>
    <t>HK0000279833</t>
  </si>
  <si>
    <t>Amundi HK Balanced Cl GBP H Dis</t>
  </si>
  <si>
    <t>HK0000267432</t>
  </si>
  <si>
    <t>Amundi HK Balanced Cl HKD Dis</t>
  </si>
  <si>
    <t>HK0000251790</t>
  </si>
  <si>
    <t>Amundi HK Balanced Cl Instl III USD Acc</t>
  </si>
  <si>
    <t>HK0000059805</t>
  </si>
  <si>
    <t>Amundi HK Balanced Cl NZD H Dis</t>
  </si>
  <si>
    <t>HK0000267424</t>
  </si>
  <si>
    <t>Amundi HK Balanced Cl RMB Acc</t>
  </si>
  <si>
    <t>HK0000179306</t>
  </si>
  <si>
    <t>Amundi HK Balanced Cl RMB Dis</t>
  </si>
  <si>
    <t>HK0000200615</t>
  </si>
  <si>
    <t>Amundi HK Balanced Cl RMB H Acc</t>
  </si>
  <si>
    <t>HK0000179314</t>
  </si>
  <si>
    <t>Amundi HK Balanced Cl RMB H Dis</t>
  </si>
  <si>
    <t>HK0000200607</t>
  </si>
  <si>
    <t>Amundi HK Balanced Cl USD Acc</t>
  </si>
  <si>
    <t>HK0000059771</t>
  </si>
  <si>
    <t>Amundi HK Balanced Cl USD Dis</t>
  </si>
  <si>
    <t>HK0000200599</t>
  </si>
  <si>
    <t>Amundi HK Defensive Bal Cl AUD H Dis</t>
  </si>
  <si>
    <t>HK0000291812</t>
  </si>
  <si>
    <t>Amundi HK Defensive Bal Cl CAD H Dis</t>
  </si>
  <si>
    <t>HK0000291853</t>
  </si>
  <si>
    <t>Amundi HK Defensive Bal Cl EUR H Dis</t>
  </si>
  <si>
    <t>HK0000291846</t>
  </si>
  <si>
    <t>Amundi HK Defensive Bal Cl GBP H Dis</t>
  </si>
  <si>
    <t>HK0000291838</t>
  </si>
  <si>
    <t>Amundi HK Defensive Bal Cl HKD Dis</t>
  </si>
  <si>
    <t>EAA Fund USD Cautious Allocation</t>
  </si>
  <si>
    <t>HK0000291861</t>
  </si>
  <si>
    <t>Amundi HK Defensive Bal Cl NZD H Dis</t>
  </si>
  <si>
    <t>HK0000291820</t>
  </si>
  <si>
    <t>Amundi HK Defensive Bal Cl RMB H Dis</t>
  </si>
  <si>
    <t>HK0000200573</t>
  </si>
  <si>
    <t>Amundi HK Defensive Bal Cl USD Acc</t>
  </si>
  <si>
    <t>HK0000059730</t>
  </si>
  <si>
    <t>Amundi HK Defensive Bal Cl USD Dis</t>
  </si>
  <si>
    <t>HK0000200565</t>
  </si>
  <si>
    <t>Amundi HK Defensive Bal Instl III USDAcc</t>
  </si>
  <si>
    <t>162/345</t>
  </si>
  <si>
    <t>HK0000059763</t>
  </si>
  <si>
    <t>Amundi HK Gb Agg Plnt Opp Cl AUD H Dis I</t>
  </si>
  <si>
    <t>HK0000251832</t>
  </si>
  <si>
    <t>Amundi HK Gb Agg Plnt Opp Cl CAD H Dis I</t>
  </si>
  <si>
    <t>HK0000279809</t>
  </si>
  <si>
    <t>Amundi HK Gb Agg Plnt Opp Cl EUR H Dis I</t>
  </si>
  <si>
    <t>HK0000279791</t>
  </si>
  <si>
    <t>Amundi HK Gb Agg Plnt Opp Cl GBP H Dis I</t>
  </si>
  <si>
    <t>HK0000267457</t>
  </si>
  <si>
    <t>Amundi HK Gb Agg Plnt Opp Cl HKD Acc</t>
  </si>
  <si>
    <t>HK0000220324</t>
  </si>
  <si>
    <t>Amundi HK Gb Agg Plnt Opp Cl HKD Dis I</t>
  </si>
  <si>
    <t>HK0000220332</t>
  </si>
  <si>
    <t>Amundi HK Gb Agg Plnt Opp Cl NZDH Dis I</t>
  </si>
  <si>
    <t>HK0000251824</t>
  </si>
  <si>
    <t>Amundi HK Gb Agg Plnt Opp Cl RMB Acc</t>
  </si>
  <si>
    <t>HK0000220340</t>
  </si>
  <si>
    <t>Amundi HK Gb Agg Plnt Opp Cl RMB Dis I</t>
  </si>
  <si>
    <t>HK0000220357</t>
  </si>
  <si>
    <t>Amundi HK Gb Agg Plnt Opp Cl RMB H Acc</t>
  </si>
  <si>
    <t>HK0000220365</t>
  </si>
  <si>
    <t>Amundi HK Gb Agg Plnt Opp Cl RMBH Dis I</t>
  </si>
  <si>
    <t>HK0000220373</t>
  </si>
  <si>
    <t>Amundi HK Gb Agg Plnt Opp Cl RMBH Dis II</t>
  </si>
  <si>
    <t>HK0000220381</t>
  </si>
  <si>
    <t>Amundi HK Gb Agg Plnt Opp Cl USD Acc</t>
  </si>
  <si>
    <t>HK0000220308</t>
  </si>
  <si>
    <t>Amundi HK Gb Agg Plnt Opp Cl USD Dis I</t>
  </si>
  <si>
    <t>HK0000220316</t>
  </si>
  <si>
    <t>Amundi HK Gb Agg Plnt Opp Inl II USD Acc</t>
  </si>
  <si>
    <t>HK0000222700</t>
  </si>
  <si>
    <t>Amundi HK Gb Agg Plnt Opp Inl III USDAcc</t>
  </si>
  <si>
    <t>HK0000220399</t>
  </si>
  <si>
    <t>Amundi HK Green Planet I</t>
  </si>
  <si>
    <t>HK0000034162</t>
  </si>
  <si>
    <t>Amundi HK Growth C</t>
  </si>
  <si>
    <t>EAA Fund USD Aggressive Allocation</t>
  </si>
  <si>
    <t>HK0000059813</t>
  </si>
  <si>
    <t>Amundi HK Growth I3</t>
  </si>
  <si>
    <t>HK0000059847</t>
  </si>
  <si>
    <t>Amundi HK Money Market USD I</t>
  </si>
  <si>
    <t>HK0000059854</t>
  </si>
  <si>
    <t>Amundi HK NewGen AsPaEqDivCl AUD H Acc</t>
  </si>
  <si>
    <t>37/128</t>
  </si>
  <si>
    <t>HK0000150976</t>
  </si>
  <si>
    <t>Amundi HK NewGen AsPaEqDivCl AUD H Dis I</t>
  </si>
  <si>
    <t>118/138</t>
  </si>
  <si>
    <t>39/128</t>
  </si>
  <si>
    <t>HK0000150984</t>
  </si>
  <si>
    <t>Amundi HK NewGen AsPaEqDivCl CAD H Dis I</t>
  </si>
  <si>
    <t>HK0000279825</t>
  </si>
  <si>
    <t>Amundi HK NewGen AsPaEqDivCl EUR H Dis I</t>
  </si>
  <si>
    <t>36/136</t>
  </si>
  <si>
    <t>79/128</t>
  </si>
  <si>
    <t>HK0000279817</t>
  </si>
  <si>
    <t>Amundi HK NewGen AsPaEqDivCl GBP H Dis I</t>
  </si>
  <si>
    <t>62/136</t>
  </si>
  <si>
    <t>HK0000267440</t>
  </si>
  <si>
    <t>Amundi HK NewGen AsPaEqDivCl HKD Acc</t>
  </si>
  <si>
    <t>130/281</t>
  </si>
  <si>
    <t>HK0000150950</t>
  </si>
  <si>
    <t>Amundi HK NewGen AsPaEqDivCl HKD Dis I</t>
  </si>
  <si>
    <t>127/281</t>
  </si>
  <si>
    <t>HK0000150968</t>
  </si>
  <si>
    <t>Amundi HK NewGen AsPaEqDivCl NZD H Dis I</t>
  </si>
  <si>
    <t>HK0000251816</t>
  </si>
  <si>
    <t>Amundi HK NewGen AsPaEqDivCl RMB Acc</t>
  </si>
  <si>
    <t>HK0000167319</t>
  </si>
  <si>
    <t>Amundi HK NewGen AsPaEqDivCl RMB Dis I</t>
  </si>
  <si>
    <t>HK0000167327</t>
  </si>
  <si>
    <t>Amundi HK NewGen AsPaEqDivCl RMB H Acc</t>
  </si>
  <si>
    <t>69/128</t>
  </si>
  <si>
    <t>HK0000151016</t>
  </si>
  <si>
    <t>Amundi HK NewGen AsPaEqDivCl RMB H Dis I</t>
  </si>
  <si>
    <t>56/136</t>
  </si>
  <si>
    <t>HK0000151024</t>
  </si>
  <si>
    <t>Amundi HK NewGen AsPaEqDivCl SGD H Acc</t>
  </si>
  <si>
    <t>HK0000150992</t>
  </si>
  <si>
    <t>Amundi HK NewGen AsPaEqDivCl SGD H Dis</t>
  </si>
  <si>
    <t>HK0000151008</t>
  </si>
  <si>
    <t>Amundi HK NewGen AsPaEqDivCl USD Acc</t>
  </si>
  <si>
    <t>HK0000150935</t>
  </si>
  <si>
    <t>Amundi HK NewGen AsPaEqDivCl USD Dis I</t>
  </si>
  <si>
    <t>HK0000150943</t>
  </si>
  <si>
    <t>Amundi Horizon C</t>
  </si>
  <si>
    <t>FR0011358092</t>
  </si>
  <si>
    <t>Amundi Impact Green Bond I C/D</t>
  </si>
  <si>
    <t>FR0013188729</t>
  </si>
  <si>
    <t>Amundi Impact Green Bond I2 C/D</t>
  </si>
  <si>
    <t>FR0013188737</t>
  </si>
  <si>
    <t>Amundi Impact Green Bond P</t>
  </si>
  <si>
    <t>FR0013188745</t>
  </si>
  <si>
    <t>Amundi India Infrastructure AS</t>
  </si>
  <si>
    <t>SG9999005375</t>
  </si>
  <si>
    <t>Amundi India Infrastructure AU</t>
  </si>
  <si>
    <t>SG9999005383</t>
  </si>
  <si>
    <t>Amundi Indian Bond IU USD</t>
  </si>
  <si>
    <t>SG9999008825</t>
  </si>
  <si>
    <t>Amundi Indonesia Fund</t>
  </si>
  <si>
    <t>JP90C0006YP6</t>
  </si>
  <si>
    <t>Amundi Inflation Monde I</t>
  </si>
  <si>
    <t>44/110</t>
  </si>
  <si>
    <t>FR0010187674</t>
  </si>
  <si>
    <t>Amundi Inflation Monde P</t>
  </si>
  <si>
    <t>42/68</t>
  </si>
  <si>
    <t>FR0010750877</t>
  </si>
  <si>
    <t>Amundi Inflation Protect Duration C</t>
  </si>
  <si>
    <t>FR0010883165</t>
  </si>
  <si>
    <t>Amundi Interinvest Capital Balanced C-C</t>
  </si>
  <si>
    <t>LU0290108116</t>
  </si>
  <si>
    <t>Amundi Interinvest Capital Balanced C2-C</t>
  </si>
  <si>
    <t>LU0310288500</t>
  </si>
  <si>
    <t>Amundi Interinvest China A Shares I-C</t>
  </si>
  <si>
    <t>EAA Fund China Equity - A Shares</t>
  </si>
  <si>
    <t>LU0832972474</t>
  </si>
  <si>
    <t>Amundi Interinvest China A Shares PU-C</t>
  </si>
  <si>
    <t>LU0832972805</t>
  </si>
  <si>
    <t>Amundi Interinvest Diversifiic C-C</t>
  </si>
  <si>
    <t>LU0085619079</t>
  </si>
  <si>
    <t>22/47</t>
  </si>
  <si>
    <t>38/40</t>
  </si>
  <si>
    <t>32/47</t>
  </si>
  <si>
    <t>29/40</t>
  </si>
  <si>
    <t>825/1100</t>
  </si>
  <si>
    <t>LU1050469367</t>
  </si>
  <si>
    <t>LU1050469441</t>
  </si>
  <si>
    <t>LU1050468989</t>
  </si>
  <si>
    <t>LU1050469011</t>
  </si>
  <si>
    <t>LU1050469102</t>
  </si>
  <si>
    <t>LU1050469524</t>
  </si>
  <si>
    <t>LU1050469797</t>
  </si>
  <si>
    <t>LU1544322305</t>
  </si>
  <si>
    <t>LU1437021626</t>
  </si>
  <si>
    <t>LU1437022350</t>
  </si>
  <si>
    <t>LU1437022434</t>
  </si>
  <si>
    <t>LU1437021972</t>
  </si>
  <si>
    <t>LU1525413255</t>
  </si>
  <si>
    <t>LU1525413412</t>
  </si>
  <si>
    <t>LU1525412018</t>
  </si>
  <si>
    <t>EAA Fund USD Inflation-Linked Bond</t>
  </si>
  <si>
    <t>LU1525415201</t>
  </si>
  <si>
    <t>LU1437019133</t>
  </si>
  <si>
    <t>LU1437018911</t>
  </si>
  <si>
    <t>LU1437020222</t>
  </si>
  <si>
    <t>LU1437019992</t>
  </si>
  <si>
    <t>LU1437020065</t>
  </si>
  <si>
    <t>LU1437020149</t>
  </si>
  <si>
    <t>LU1437019646</t>
  </si>
  <si>
    <t>LU1437019729</t>
  </si>
  <si>
    <t>LU1437021204</t>
  </si>
  <si>
    <t>LU1437020909</t>
  </si>
  <si>
    <t>LU1437020818</t>
  </si>
  <si>
    <t>LU1437021030</t>
  </si>
  <si>
    <t>LU1437021113</t>
  </si>
  <si>
    <t>LU1437020735</t>
  </si>
  <si>
    <t>LU1328852816</t>
  </si>
  <si>
    <t>LU1328852659</t>
  </si>
  <si>
    <t>423/636</t>
  </si>
  <si>
    <t>LU1328852493</t>
  </si>
  <si>
    <t>LU1328852220</t>
  </si>
  <si>
    <t>LU1328852147</t>
  </si>
  <si>
    <t>LU1328851503</t>
  </si>
  <si>
    <t>LU1328851339</t>
  </si>
  <si>
    <t>LU1328851768</t>
  </si>
  <si>
    <t>LU1328851685</t>
  </si>
  <si>
    <t>LU1328851255</t>
  </si>
  <si>
    <t>LU1328851172</t>
  </si>
  <si>
    <t>LU1328851842</t>
  </si>
  <si>
    <t>LU1328853384</t>
  </si>
  <si>
    <t>LU1328853202</t>
  </si>
  <si>
    <t>LU1050470373</t>
  </si>
  <si>
    <t>LU1050470456</t>
  </si>
  <si>
    <t>LU1050469870</t>
  </si>
  <si>
    <t>LU1050469953</t>
  </si>
  <si>
    <t>LU1050470027</t>
  </si>
  <si>
    <t>LU1050470530</t>
  </si>
  <si>
    <t>LU1050470613</t>
  </si>
  <si>
    <t>LU0389812933</t>
  </si>
  <si>
    <t>LU0389813071</t>
  </si>
  <si>
    <t>LU1435162026</t>
  </si>
  <si>
    <t>84/154</t>
  </si>
  <si>
    <t>LU0389812693</t>
  </si>
  <si>
    <t>403/462</t>
  </si>
  <si>
    <t>LU0389812776</t>
  </si>
  <si>
    <t>LU0389812859</t>
  </si>
  <si>
    <t>LU0987207585</t>
  </si>
  <si>
    <t>410/462</t>
  </si>
  <si>
    <t>LU0987207668</t>
  </si>
  <si>
    <t>EAA Fund Global Bond - GBP Hedged</t>
  </si>
  <si>
    <t>LU0987207742</t>
  </si>
  <si>
    <t>LU0987207825</t>
  </si>
  <si>
    <t>LU1162503061</t>
  </si>
  <si>
    <t>LU1162503145</t>
  </si>
  <si>
    <t>LU1162503228</t>
  </si>
  <si>
    <t>LU1162503491</t>
  </si>
  <si>
    <t>LU0996177134</t>
  </si>
  <si>
    <t>LU0996177217</t>
  </si>
  <si>
    <t>LU0996176912</t>
  </si>
  <si>
    <t>LU0996177050</t>
  </si>
  <si>
    <t>LU0996175948</t>
  </si>
  <si>
    <t>LU0996176086</t>
  </si>
  <si>
    <t>LU0996176243</t>
  </si>
  <si>
    <t>LU0996176326</t>
  </si>
  <si>
    <t>LU0996175781</t>
  </si>
  <si>
    <t>LU0996175864</t>
  </si>
  <si>
    <t>LU0996176599</t>
  </si>
  <si>
    <t>LU0996177308</t>
  </si>
  <si>
    <t>LU0996177480</t>
  </si>
  <si>
    <t>LU0389811372</t>
  </si>
  <si>
    <t>LU0389811455</t>
  </si>
  <si>
    <t>LU0389810994</t>
  </si>
  <si>
    <t>LU0389811026</t>
  </si>
  <si>
    <t>LU1322784072</t>
  </si>
  <si>
    <t>LU1322783934</t>
  </si>
  <si>
    <t>LU0389811299</t>
  </si>
  <si>
    <t>LU0987205530</t>
  </si>
  <si>
    <t>LU0987205613</t>
  </si>
  <si>
    <t>LU0987205704</t>
  </si>
  <si>
    <t>LU0987205886</t>
  </si>
  <si>
    <t>LU1327398894</t>
  </si>
  <si>
    <t>LU1327398977</t>
  </si>
  <si>
    <t>LU0389811885</t>
  </si>
  <si>
    <t>LU0389811968</t>
  </si>
  <si>
    <t>LU0389811539</t>
  </si>
  <si>
    <t>LU0389811612</t>
  </si>
  <si>
    <t>LU0389811703</t>
  </si>
  <si>
    <t>LU0987205969</t>
  </si>
  <si>
    <t>LU0987206181</t>
  </si>
  <si>
    <t>LU0987206264</t>
  </si>
  <si>
    <t>LU0987206348</t>
  </si>
  <si>
    <t>LU1162502253</t>
  </si>
  <si>
    <t>LU1162502337</t>
  </si>
  <si>
    <t>LU1162502410</t>
  </si>
  <si>
    <t>LU1162502501</t>
  </si>
  <si>
    <t>355/537</t>
  </si>
  <si>
    <t>LU0996180864</t>
  </si>
  <si>
    <t>LU0996180948</t>
  </si>
  <si>
    <t>LU0996179858</t>
  </si>
  <si>
    <t>LU0996179932</t>
  </si>
  <si>
    <t>LU0996180195</t>
  </si>
  <si>
    <t>LU0996180278</t>
  </si>
  <si>
    <t>LU1322783777</t>
  </si>
  <si>
    <t>LU0996180351</t>
  </si>
  <si>
    <t>LU1322783850</t>
  </si>
  <si>
    <t>LU0996179692</t>
  </si>
  <si>
    <t>LU0996179775</t>
  </si>
  <si>
    <t>LU0996180435</t>
  </si>
  <si>
    <t>LU0996181086</t>
  </si>
  <si>
    <t>LU0996181169</t>
  </si>
  <si>
    <t>LU1327399355</t>
  </si>
  <si>
    <t>LU1327399439</t>
  </si>
  <si>
    <t>LU0389812347</t>
  </si>
  <si>
    <t>LU0389812420</t>
  </si>
  <si>
    <t>LU1049757120</t>
  </si>
  <si>
    <t>LU1049757393</t>
  </si>
  <si>
    <t>LU0442407853</t>
  </si>
  <si>
    <t>LU1049756585</t>
  </si>
  <si>
    <t>LU0389812008</t>
  </si>
  <si>
    <t>LU0389812180</t>
  </si>
  <si>
    <t>LU1049757047</t>
  </si>
  <si>
    <t>LU0442407697</t>
  </si>
  <si>
    <t>LU1049756668</t>
  </si>
  <si>
    <t>LU0389812263</t>
  </si>
  <si>
    <t>LU1049756825</t>
  </si>
  <si>
    <t>LU0987206777</t>
  </si>
  <si>
    <t>LU0987206850</t>
  </si>
  <si>
    <t>LU0987206934</t>
  </si>
  <si>
    <t>LU0987207072</t>
  </si>
  <si>
    <t>LU0987206421</t>
  </si>
  <si>
    <t>LU0987206694</t>
  </si>
  <si>
    <t>LU1162502683</t>
  </si>
  <si>
    <t>LU1162502766</t>
  </si>
  <si>
    <t>LU1162502840</t>
  </si>
  <si>
    <t>LU1162502923</t>
  </si>
  <si>
    <t>LU0390717543</t>
  </si>
  <si>
    <t>277/411</t>
  </si>
  <si>
    <t>LU0390718277</t>
  </si>
  <si>
    <t>LU0390718863</t>
  </si>
  <si>
    <t>560/629</t>
  </si>
  <si>
    <t>LU0390718947</t>
  </si>
  <si>
    <t>569/629</t>
  </si>
  <si>
    <t>268/411</t>
  </si>
  <si>
    <t>LU0390717469</t>
  </si>
  <si>
    <t>LU0987207155</t>
  </si>
  <si>
    <t>567/629</t>
  </si>
  <si>
    <t>LU0987207239</t>
  </si>
  <si>
    <t>LU0987207312</t>
  </si>
  <si>
    <t>LU0987207403</t>
  </si>
  <si>
    <t>LU0996182563</t>
  </si>
  <si>
    <t>LU0996182647</t>
  </si>
  <si>
    <t>LU0996182308</t>
  </si>
  <si>
    <t>LU0996182480</t>
  </si>
  <si>
    <t>LU0996181599</t>
  </si>
  <si>
    <t>LU0996181672</t>
  </si>
  <si>
    <t>LU0996181755</t>
  </si>
  <si>
    <t>LU0996181839</t>
  </si>
  <si>
    <t>LU0996181243</t>
  </si>
  <si>
    <t>LU0996181326</t>
  </si>
  <si>
    <t>LU0996181912</t>
  </si>
  <si>
    <t>LU0996182720</t>
  </si>
  <si>
    <t>LU0996182993</t>
  </si>
  <si>
    <t>LU0996179262</t>
  </si>
  <si>
    <t>LU0996179007</t>
  </si>
  <si>
    <t>LU0996179189</t>
  </si>
  <si>
    <t>LU0996178884</t>
  </si>
  <si>
    <t>LU0996178967</t>
  </si>
  <si>
    <t>LU0996177720</t>
  </si>
  <si>
    <t>LU0996177993</t>
  </si>
  <si>
    <t>LU0996178025</t>
  </si>
  <si>
    <t>LU0996178298</t>
  </si>
  <si>
    <t>LU0996178371</t>
  </si>
  <si>
    <t>LU0996177563</t>
  </si>
  <si>
    <t>LU0996177647</t>
  </si>
  <si>
    <t>LU0996178454</t>
  </si>
  <si>
    <t>664/1686</t>
  </si>
  <si>
    <t>LU0996179346</t>
  </si>
  <si>
    <t>LU0996179429</t>
  </si>
  <si>
    <t>Amundi Islamic Asia Pacific Quant-C-C</t>
  </si>
  <si>
    <t>EAA Fund Islamic Equity - Other</t>
  </si>
  <si>
    <t>14/54</t>
  </si>
  <si>
    <t>LU0399639060</t>
  </si>
  <si>
    <t>Amundi Islamic Asia Pacific Quant S-C</t>
  </si>
  <si>
    <t>LU0399639144</t>
  </si>
  <si>
    <t>Amundi Islamic Bric Quant-C-C</t>
  </si>
  <si>
    <t>54/136</t>
  </si>
  <si>
    <t>18/27</t>
  </si>
  <si>
    <t>LU0399639573</t>
  </si>
  <si>
    <t>Amundi Islamic Bric Quant I-C</t>
  </si>
  <si>
    <t>LU0399639904</t>
  </si>
  <si>
    <t>Amundi Islamic Bric Quant S-C</t>
  </si>
  <si>
    <t>55/136</t>
  </si>
  <si>
    <t>31/136</t>
  </si>
  <si>
    <t>19/27</t>
  </si>
  <si>
    <t>LU0399639656</t>
  </si>
  <si>
    <t>Amundi Islamic Global Resources-C-C</t>
  </si>
  <si>
    <t>105/136</t>
  </si>
  <si>
    <t>LU0399640407</t>
  </si>
  <si>
    <t>Amundi Islamic Global Resources I-C</t>
  </si>
  <si>
    <t>102/136</t>
  </si>
  <si>
    <t>97/126</t>
  </si>
  <si>
    <t>LU0399640662</t>
  </si>
  <si>
    <t>Amundi Islamic Global Resources S-C</t>
  </si>
  <si>
    <t>107/136</t>
  </si>
  <si>
    <t>LU0399640589</t>
  </si>
  <si>
    <t>Amundi J-REIT Index Mother</t>
  </si>
  <si>
    <t>Japan Fund Japan REIT</t>
  </si>
  <si>
    <t>Amundi J-REIT Index Open</t>
  </si>
  <si>
    <t>66/103</t>
  </si>
  <si>
    <t>JP90C000AS90</t>
  </si>
  <si>
    <t>Amundi JaPAN-Asien Stock Dachfonds A</t>
  </si>
  <si>
    <t>104/287</t>
  </si>
  <si>
    <t>104/245</t>
  </si>
  <si>
    <t>AT0000746540</t>
  </si>
  <si>
    <t>Amundi JaPAN-Asien Stock Dachfonds T</t>
  </si>
  <si>
    <t>AT0000746557</t>
  </si>
  <si>
    <t>Amundi Japan Bond Strategy Mother</t>
  </si>
  <si>
    <t>Japan Fund Japan Bond - Long/Intermediate</t>
  </si>
  <si>
    <t>Amundi Japan Plus Bond Fund</t>
  </si>
  <si>
    <t>Japan Fund World Bond - JPY Hedged</t>
  </si>
  <si>
    <t>99/112</t>
  </si>
  <si>
    <t>13/25</t>
  </si>
  <si>
    <t>JP90C0007F94</t>
  </si>
  <si>
    <t>Amundi Japan Plus Bond Mother</t>
  </si>
  <si>
    <t>Amundi Japan Policy Allocation Equity Fd</t>
  </si>
  <si>
    <t>JP90C000D1U3</t>
  </si>
  <si>
    <t>Amundi Japan Policy Allocation Equity MF</t>
  </si>
  <si>
    <t>Amundi Japan Small-Cap Equity Mother Fd</t>
  </si>
  <si>
    <t>Japan Fund Japan Small/Mid-Cap Blend Equity</t>
  </si>
  <si>
    <t>Amundi JPX Nikkei 400 Open Mother</t>
  </si>
  <si>
    <t>Amundi JPY Bond Active Fund Mgd Acct</t>
  </si>
  <si>
    <t>25/110</t>
  </si>
  <si>
    <t>JP90C000DPC2</t>
  </si>
  <si>
    <t>Amundi Kapital &amp; Wert - Clever</t>
  </si>
  <si>
    <t>AT0000744958</t>
  </si>
  <si>
    <t>Amundi Label Actions Euroland ESR E2</t>
  </si>
  <si>
    <t>QS0009109305</t>
  </si>
  <si>
    <t>Amundi Label Actions Euroland ESR F</t>
  </si>
  <si>
    <t>QS0009084227</t>
  </si>
  <si>
    <t>Amundi Label Actions Solidaire ESR E</t>
  </si>
  <si>
    <t>641/1155</t>
  </si>
  <si>
    <t>QS0009106004</t>
  </si>
  <si>
    <t>Amundi Label Actions Solidaire ESR F</t>
  </si>
  <si>
    <t>QS0009081488</t>
  </si>
  <si>
    <t>Amundi Label Dynamique ESR F</t>
  </si>
  <si>
    <t>EAA Fund EUR Aggressive Allocation</t>
  </si>
  <si>
    <t>Amundi Label Equilibre ESR E2</t>
  </si>
  <si>
    <t>QS0009109321</t>
  </si>
  <si>
    <t>Amundi Label Equilibre ESR F</t>
  </si>
  <si>
    <t>QS0009080746</t>
  </si>
  <si>
    <t>Amundi Label Equilibre Solidaire ESR E</t>
  </si>
  <si>
    <t>QS0009106038</t>
  </si>
  <si>
    <t>Amundi Label Equilibre Solidaire ESR F</t>
  </si>
  <si>
    <t>QS0009079318</t>
  </si>
  <si>
    <t>Amundi Label Harmonie Solidaire ESR E</t>
  </si>
  <si>
    <t>QS0009102326</t>
  </si>
  <si>
    <t>Amundi Label Harmonie Solidaire ESR F</t>
  </si>
  <si>
    <t>QS0009102334</t>
  </si>
  <si>
    <t>Amundi Label Monétaire ESR E</t>
  </si>
  <si>
    <t>207/546</t>
  </si>
  <si>
    <t>QS0009106012</t>
  </si>
  <si>
    <t>Amundi Label Monétaire ESR E2</t>
  </si>
  <si>
    <t>QS0009109602</t>
  </si>
  <si>
    <t>Amundi Label Monétaire ESR F</t>
  </si>
  <si>
    <t>QS0009080720</t>
  </si>
  <si>
    <t>Amundi Label Obligataire ESR E2</t>
  </si>
  <si>
    <t>QS0009109339</t>
  </si>
  <si>
    <t>Amundi Label Obligataire ESR F</t>
  </si>
  <si>
    <t>QS0009084201</t>
  </si>
  <si>
    <t>Amundi Label Prudence ESR E</t>
  </si>
  <si>
    <t>QS0009106020</t>
  </si>
  <si>
    <t>Amundi Label Prudence ESR E2</t>
  </si>
  <si>
    <t>QS0009109610</t>
  </si>
  <si>
    <t>Amundi Label Prudence ESR F</t>
  </si>
  <si>
    <t>QS0009080738</t>
  </si>
  <si>
    <t>Amundi Ladies Japan Equity Mother Fund</t>
  </si>
  <si>
    <t>Amundi LCR Covered Bond Europe I</t>
  </si>
  <si>
    <t>FR0010538025</t>
  </si>
  <si>
    <t>Amundi LCR Crédit Europe IC</t>
  </si>
  <si>
    <t>FR0013155926</t>
  </si>
  <si>
    <t>Amundi LCR Gov Europe IC</t>
  </si>
  <si>
    <t>FR0013155934</t>
  </si>
  <si>
    <t>Amundi Libra A</t>
  </si>
  <si>
    <t>IT0005188906</t>
  </si>
  <si>
    <t>Amundi Libra B</t>
  </si>
  <si>
    <t>IT0005188922</t>
  </si>
  <si>
    <t>Amundi Luxury World Equity Mother Fund</t>
  </si>
  <si>
    <t>Amundi Meta 2018</t>
  </si>
  <si>
    <t>EAA Fund Fixed Term Bond</t>
  </si>
  <si>
    <t>407/1158</t>
  </si>
  <si>
    <t>IT0004889736</t>
  </si>
  <si>
    <t>Amundi Meta 2018 DUE</t>
  </si>
  <si>
    <t>IT0004906670</t>
  </si>
  <si>
    <t>Amundi Meta 2018 Premium</t>
  </si>
  <si>
    <t>351/1158</t>
  </si>
  <si>
    <t>IT0004919053</t>
  </si>
  <si>
    <t>Amundi Meta 2018 QUATTRO</t>
  </si>
  <si>
    <t>IT0004919988</t>
  </si>
  <si>
    <t>Amundi Meta 2018 TRE</t>
  </si>
  <si>
    <t>IT0004909955</t>
  </si>
  <si>
    <t>Amundi Meta 2019 Premium</t>
  </si>
  <si>
    <t>IT0004937758</t>
  </si>
  <si>
    <t>Amundi Meta 2019 Premium DUE</t>
  </si>
  <si>
    <t>IT0004976079</t>
  </si>
  <si>
    <t>Amundi Meta 2021 Secondo Trimestre</t>
  </si>
  <si>
    <t>IT0005161762</t>
  </si>
  <si>
    <t>Amundi Meta Opportunità 2017</t>
  </si>
  <si>
    <t>449/1158</t>
  </si>
  <si>
    <t>IT0004986201</t>
  </si>
  <si>
    <t>Amundi Meta Plus 2019 Area Euro</t>
  </si>
  <si>
    <t>IT0004932205</t>
  </si>
  <si>
    <t>Amundi Meta Plus 2019 Area Euro DUE</t>
  </si>
  <si>
    <t>IT0004942204</t>
  </si>
  <si>
    <t>Amundi Meta Plus 2019 Area Euro TRE</t>
  </si>
  <si>
    <t>IT0004969686</t>
  </si>
  <si>
    <t>Amundi Meta Plus 2019 Mercati Sviluppati</t>
  </si>
  <si>
    <t>IT0004981558</t>
  </si>
  <si>
    <t>Amundi Meta Plus 2019 USA</t>
  </si>
  <si>
    <t>IT0004960883</t>
  </si>
  <si>
    <t>Amundi Meta Plus 2020 Area Euro e USA</t>
  </si>
  <si>
    <t>IT0004987290</t>
  </si>
  <si>
    <t>Amundi Meta Plus 2020 Mercati Sviluppati</t>
  </si>
  <si>
    <t>IT0005001596</t>
  </si>
  <si>
    <t>Amundi Meta Plus Din 2020 Area Euro</t>
  </si>
  <si>
    <t>IT0005024838</t>
  </si>
  <si>
    <t>Amundi Meta Plus Din 2020 Area Euro&amp;USA</t>
  </si>
  <si>
    <t>IT0005026932</t>
  </si>
  <si>
    <t>Amundi Meta Plus Din 2020 Mrc Sviluppati</t>
  </si>
  <si>
    <t>IT0005053647</t>
  </si>
  <si>
    <t>Amundi Meta Sviluppo 2021</t>
  </si>
  <si>
    <t>IT0005171506</t>
  </si>
  <si>
    <t>Amundi Meta Sviluppo 2021 DUE</t>
  </si>
  <si>
    <t>IT0005176224</t>
  </si>
  <si>
    <t>Amundi Mexico Bond Fund</t>
  </si>
  <si>
    <t>Japan Fund Emerging Latin America Bond</t>
  </si>
  <si>
    <t>2/39</t>
  </si>
  <si>
    <t>34/39</t>
  </si>
  <si>
    <t>JP90C00093N4</t>
  </si>
  <si>
    <t>Amundi Mexico Bond Mother Fund</t>
  </si>
  <si>
    <t>Amundi Middle East Equity Fund</t>
  </si>
  <si>
    <t>20/33</t>
  </si>
  <si>
    <t>12/33</t>
  </si>
  <si>
    <t>10/32</t>
  </si>
  <si>
    <t>3/28</t>
  </si>
  <si>
    <t>1/23</t>
  </si>
  <si>
    <t>JP90C0005MP3</t>
  </si>
  <si>
    <t>Amundi Middle East Equity Money Pool Fd</t>
  </si>
  <si>
    <t>Japan Fund Japan Money Market</t>
  </si>
  <si>
    <t>63/78</t>
  </si>
  <si>
    <t>63/68</t>
  </si>
  <si>
    <t>JP90C0006GM0</t>
  </si>
  <si>
    <t>Amundi Mny Mkt Fd S/T (EUR)-DPV-C</t>
  </si>
  <si>
    <t>EAA Fund EUR Money Market - Short Term</t>
  </si>
  <si>
    <t>325/407</t>
  </si>
  <si>
    <t>LU0804424751</t>
  </si>
  <si>
    <t>Amundi Mny Mkt Fd S/T (EUR)-DPV-D</t>
  </si>
  <si>
    <t>LU0804424678</t>
  </si>
  <si>
    <t>Amundi Mny Mkt Fd S/T (EUR) IC-D</t>
  </si>
  <si>
    <t>LU0562498344</t>
  </si>
  <si>
    <t>Amundi Mny Mkt Fd S/T (EUR) IV-C</t>
  </si>
  <si>
    <t>262/396</t>
  </si>
  <si>
    <t>LU0562498773</t>
  </si>
  <si>
    <t>Amundi Mny Mkt Fd S/T (EUR) PC-D</t>
  </si>
  <si>
    <t>LU0619623878</t>
  </si>
  <si>
    <t>Amundi Mny Mkt Fd S/T (EUR) PV-C</t>
  </si>
  <si>
    <t>75/407</t>
  </si>
  <si>
    <t>LU0619623951</t>
  </si>
  <si>
    <t>Amundi Mny Mkt Fd S/T (EUR) XC-D</t>
  </si>
  <si>
    <t>LU0562499821</t>
  </si>
  <si>
    <t>Amundi Mny Mkt Fd S/T (EUR) XV-C</t>
  </si>
  <si>
    <t>LU0562500180</t>
  </si>
  <si>
    <t>Amundi Mny Mkt Fd S/T (GBP)-DPC-D</t>
  </si>
  <si>
    <t>EAA Fund GBP Money Market - Short Term</t>
  </si>
  <si>
    <t>110/232</t>
  </si>
  <si>
    <t>109/232</t>
  </si>
  <si>
    <t>LU0804148038</t>
  </si>
  <si>
    <t>Amundi Mny Mkt Fd S/T (GBP)-DPV-C</t>
  </si>
  <si>
    <t>LU0804147907</t>
  </si>
  <si>
    <t>Amundi Mny Mkt Fd S/T (GBP) IC-D</t>
  </si>
  <si>
    <t>LU0567780985</t>
  </si>
  <si>
    <t>Amundi Mny Mkt Fd S/T (GBP) IV-C</t>
  </si>
  <si>
    <t>LU0567781017</t>
  </si>
  <si>
    <t>Amundi Mny Mkt Fd S/T (GBP) PC-D</t>
  </si>
  <si>
    <t>LU0804147733</t>
  </si>
  <si>
    <t>Amundi Mny Mkt Fd S/T (GBP) PV-C</t>
  </si>
  <si>
    <t>LU0804147659</t>
  </si>
  <si>
    <t>Amundi Mny Mkt Fd S/T (GBP) XC-D</t>
  </si>
  <si>
    <t>LU0801640250</t>
  </si>
  <si>
    <t>Amundi Mny Mkt Fd S/T (GBP) XV-C</t>
  </si>
  <si>
    <t>LU0801640417</t>
  </si>
  <si>
    <t>Amundi Mny Mkt Fd S/T (USD) IC-D</t>
  </si>
  <si>
    <t>EAA Fund USD Money Market - Short Term</t>
  </si>
  <si>
    <t>LU0567780712</t>
  </si>
  <si>
    <t>Amundi Mny Mkt Fd S/T (USD) IV-C</t>
  </si>
  <si>
    <t>LU0567780803</t>
  </si>
  <si>
    <t>Amundi Mny Mkt Fd S/T (USD) OV-C</t>
  </si>
  <si>
    <t>LU0619623019</t>
  </si>
  <si>
    <t>Amundi Mny Mkt Fd S/T (USD) PC-D</t>
  </si>
  <si>
    <t>LU0619623449</t>
  </si>
  <si>
    <t>Amundi Mny Mkt Fd S/T (USD) PV-C</t>
  </si>
  <si>
    <t>LU0619623795</t>
  </si>
  <si>
    <t>Amundi Mny Mkt Fd S/T (USD) XC-D</t>
  </si>
  <si>
    <t>LU0619623282</t>
  </si>
  <si>
    <t>Amundi Mny Mkt Fd S/T (USD) XV-C</t>
  </si>
  <si>
    <t>LU0619623365</t>
  </si>
  <si>
    <t>Amundi Moderato ESR</t>
  </si>
  <si>
    <t>QS0009067370</t>
  </si>
  <si>
    <t>Amundi Money Pool Mother</t>
  </si>
  <si>
    <t>Amundi Multiasset 2020</t>
  </si>
  <si>
    <t>IT0005090185</t>
  </si>
  <si>
    <t>Amundi Multiasset 2020 DUE</t>
  </si>
  <si>
    <t>IT0005115065</t>
  </si>
  <si>
    <t>Amundi Multiasset 2021</t>
  </si>
  <si>
    <t>IT0005118580</t>
  </si>
  <si>
    <t>Amundi Multiasset 2021 DUE</t>
  </si>
  <si>
    <t>IT0005161788</t>
  </si>
  <si>
    <t>Amundi Multimanagers Oblig I</t>
  </si>
  <si>
    <t>EAA Fund Global Bond - EUR Biased</t>
  </si>
  <si>
    <t>123/171</t>
  </si>
  <si>
    <t>FR0011190875</t>
  </si>
  <si>
    <t>Amundi Multimanagers Oblig P</t>
  </si>
  <si>
    <t>130/170</t>
  </si>
  <si>
    <t>FR0000983637</t>
  </si>
  <si>
    <t>Amundi Mündel Rent A</t>
  </si>
  <si>
    <t>AT0000856505</t>
  </si>
  <si>
    <t>Amundi Mündel Rent Kurz A</t>
  </si>
  <si>
    <t>AT0000859723</t>
  </si>
  <si>
    <t>Amundi Mündel Rent Kurz T</t>
  </si>
  <si>
    <t>497/553</t>
  </si>
  <si>
    <t>AT0000810429</t>
  </si>
  <si>
    <t>Amundi Mündel Rent T</t>
  </si>
  <si>
    <t>AT0000719273</t>
  </si>
  <si>
    <t>Amundi Nikkei 225 Open Mother Fund</t>
  </si>
  <si>
    <t>Japan Fund Japan Large-Cap Growth Equity</t>
  </si>
  <si>
    <t>Amundi NIKKEI Index Open</t>
  </si>
  <si>
    <t>JP90C0007EN1</t>
  </si>
  <si>
    <t>Amundi Nikko Amundi Japan Policy Eq Fd</t>
  </si>
  <si>
    <t>JP90C000CG19</t>
  </si>
  <si>
    <t>Amundi Nikko Legend Eagle Fund Asset Gr</t>
  </si>
  <si>
    <t>Japan Fund Moderately Aggressive Allocation</t>
  </si>
  <si>
    <t>71/96</t>
  </si>
  <si>
    <t>25/75</t>
  </si>
  <si>
    <t>JP90C0006FS9</t>
  </si>
  <si>
    <t>Amundi Nikko Legend Eagle Fund D1M</t>
  </si>
  <si>
    <t>24/75</t>
  </si>
  <si>
    <t>JP90C0007HL8</t>
  </si>
  <si>
    <t>Amundi Nikko Legend Eagle Fund Hdg</t>
  </si>
  <si>
    <t>JP90C0007HK0</t>
  </si>
  <si>
    <t>Amundi Nikko Target Japan Fund</t>
  </si>
  <si>
    <t>13/35</t>
  </si>
  <si>
    <t>JP90C00068E5</t>
  </si>
  <si>
    <t>Amundi Oasis MENA AS</t>
  </si>
  <si>
    <t>19/54</t>
  </si>
  <si>
    <t>SG9999005045</t>
  </si>
  <si>
    <t>Amundi Oasis MENA AU</t>
  </si>
  <si>
    <t>111/134</t>
  </si>
  <si>
    <t>69/103</t>
  </si>
  <si>
    <t>41/80</t>
  </si>
  <si>
    <t>20/54</t>
  </si>
  <si>
    <t>SG9999005037</t>
  </si>
  <si>
    <t>Amundi Obbligazionario Breve Termine C</t>
  </si>
  <si>
    <t>IT0001250205</t>
  </si>
  <si>
    <t>Amundi Obbligazionario Breve Termine D</t>
  </si>
  <si>
    <t>IT0005028680</t>
  </si>
  <si>
    <t>Amundi Obbligazionario Breve Termine E</t>
  </si>
  <si>
    <t>IT0005243263</t>
  </si>
  <si>
    <t>Amundi Obbligazionario Obietti Cedola B</t>
  </si>
  <si>
    <t>EAA Fund EUR Flexible Bond</t>
  </si>
  <si>
    <t>IT0004243843</t>
  </si>
  <si>
    <t>Amundi Obiettivo Crescita 2022</t>
  </si>
  <si>
    <t>IT0005189011</t>
  </si>
  <si>
    <t>Amundi Obiettivo Crescita 2022 DUE</t>
  </si>
  <si>
    <t>IT0005216293</t>
  </si>
  <si>
    <t>Amundi Obiettivo Reddito 2022</t>
  </si>
  <si>
    <t>IT0005188971</t>
  </si>
  <si>
    <t>Amundi Obiettivo Reddito 2022 DUE</t>
  </si>
  <si>
    <t>IT0005216277</t>
  </si>
  <si>
    <t>Amundi Obiettivo Reddito 2022 TRE</t>
  </si>
  <si>
    <t>IT0005241408</t>
  </si>
  <si>
    <t>Amundi Obiettivo Risparmio 2022</t>
  </si>
  <si>
    <t>IT0005188955</t>
  </si>
  <si>
    <t>Amundi Obiettivo Risparmio 2022 DUE</t>
  </si>
  <si>
    <t>IT0005216251</t>
  </si>
  <si>
    <t>Amundi Obiettivo Risparmio 2022 TRE</t>
  </si>
  <si>
    <t>IT0005241424</t>
  </si>
  <si>
    <t>Amundi Obiettivo Trend 2022</t>
  </si>
  <si>
    <t>IT0005241366</t>
  </si>
  <si>
    <t>Amundi Objectif Retraite 2016 ESR</t>
  </si>
  <si>
    <t>QS0009108588</t>
  </si>
  <si>
    <t>Amundi Objectif Retraite 2020 ESR</t>
  </si>
  <si>
    <t>QS0009103555</t>
  </si>
  <si>
    <t>Amundi Objectif Retraite 2025 ESR</t>
  </si>
  <si>
    <t>488/850</t>
  </si>
  <si>
    <t>QS0009103563</t>
  </si>
  <si>
    <t>Amundi Objectif Retraite 2030 ESR</t>
  </si>
  <si>
    <t>QS0009103571</t>
  </si>
  <si>
    <t>Amundi Oblig 1-3 Euro I</t>
  </si>
  <si>
    <t>385/586</t>
  </si>
  <si>
    <t>FR0000442220</t>
  </si>
  <si>
    <t>Amundi Oblig 1-3 Euro P</t>
  </si>
  <si>
    <t>FR0010781245</t>
  </si>
  <si>
    <t>Amundi Oblig 5-7 Euro I C</t>
  </si>
  <si>
    <t>FR0011079433</t>
  </si>
  <si>
    <t>Amundi Oblig 5-7 Euro I D</t>
  </si>
  <si>
    <t>FR0011079441</t>
  </si>
  <si>
    <t>FR0011079458</t>
  </si>
  <si>
    <t>Amundi Oblig Etat ESR</t>
  </si>
  <si>
    <t>QS0009066240</t>
  </si>
  <si>
    <t>Amundi Oblig Euro C</t>
  </si>
  <si>
    <t>FR0010093724</t>
  </si>
  <si>
    <t>Amundi Oblig Euro D</t>
  </si>
  <si>
    <t>FR0010107169</t>
  </si>
  <si>
    <t>Amundi Oblig Internationales I EUR A/I</t>
  </si>
  <si>
    <t>8/84</t>
  </si>
  <si>
    <t>FR0010032573</t>
  </si>
  <si>
    <t>Amundi Oblig Internationales I GBP A/I</t>
  </si>
  <si>
    <t>FR0010988824</t>
  </si>
  <si>
    <t>Amundi Oblig Internationales I USD A/I</t>
  </si>
  <si>
    <t>3/84</t>
  </si>
  <si>
    <t>FR0010033217</t>
  </si>
  <si>
    <t>Amundi Oblig Internationales IHC A/I</t>
  </si>
  <si>
    <t>107/107</t>
  </si>
  <si>
    <t>FR0012712032</t>
  </si>
  <si>
    <t>Amundi Oblig Internationales P CHF A/I</t>
  </si>
  <si>
    <t>FR0010925602</t>
  </si>
  <si>
    <t>Amundi Oblig Internationales P EUR</t>
  </si>
  <si>
    <t>12/84</t>
  </si>
  <si>
    <t>FR0010156604</t>
  </si>
  <si>
    <t>Amundi Oblig Internationales P GBP A/I</t>
  </si>
  <si>
    <t>FR0010988840</t>
  </si>
  <si>
    <t>Amundi Oblig Internationales P USD</t>
  </si>
  <si>
    <t>FR0011041045</t>
  </si>
  <si>
    <t>Amundi Oblig Monde P</t>
  </si>
  <si>
    <t>65/84</t>
  </si>
  <si>
    <t>FR0000286338</t>
  </si>
  <si>
    <t>Amundi Obligataire ESR</t>
  </si>
  <si>
    <t>QS0009029891</t>
  </si>
  <si>
    <t>Amundi Öko Sozial Rent A</t>
  </si>
  <si>
    <t>AT0000A0FM61</t>
  </si>
  <si>
    <t>Amundi Öko Sozial Rent T</t>
  </si>
  <si>
    <t>AT0000A0FM79</t>
  </si>
  <si>
    <t>Amundi Öko Sozial Rent VT</t>
  </si>
  <si>
    <t>AT0000A0FMW8</t>
  </si>
  <si>
    <t>Amundi Öko Sozial Stock A</t>
  </si>
  <si>
    <t>EAA Fund Sector Equity Ecology</t>
  </si>
  <si>
    <t>AT0000A06Q23</t>
  </si>
  <si>
    <t>Amundi Öko Sozial Stock T</t>
  </si>
  <si>
    <t>221/227</t>
  </si>
  <si>
    <t>AT0000A06Q31</t>
  </si>
  <si>
    <t>Amundi Opportunites</t>
  </si>
  <si>
    <t>FR0010186668</t>
  </si>
  <si>
    <t>Amundi Opportunités ESR E</t>
  </si>
  <si>
    <t>Amundi Opportunités ESR F</t>
  </si>
  <si>
    <t>Amundi OptiRendite A</t>
  </si>
  <si>
    <t>AT0000A05TJ5</t>
  </si>
  <si>
    <t>Amundi OptiRendite T</t>
  </si>
  <si>
    <t>AT0000A05TK3</t>
  </si>
  <si>
    <t>Amundi Orizzonte 2019 Cedole e Div DUE</t>
  </si>
  <si>
    <t>IT0004957145</t>
  </si>
  <si>
    <t>Amundi Orizzonte 2019 Cedole e Dividendi</t>
  </si>
  <si>
    <t>IT0004942220</t>
  </si>
  <si>
    <t>Amundi Orizzonte 2019 Marchi Glbl e Lss</t>
  </si>
  <si>
    <t>IT0004969660</t>
  </si>
  <si>
    <t>Amundi Orizzonte 2020 Alpha Italia</t>
  </si>
  <si>
    <t>IT0005039448</t>
  </si>
  <si>
    <t>Amundi Orizzonte 2020 Globale</t>
  </si>
  <si>
    <t>IT0005001570</t>
  </si>
  <si>
    <t>Amundi Orizzonte 2020 Italia</t>
  </si>
  <si>
    <t>IT0004987274</t>
  </si>
  <si>
    <t>Amundi Orizzonte 2020 Mercati Emergenti</t>
  </si>
  <si>
    <t>IT0005075186</t>
  </si>
  <si>
    <t>Amundi Orizzonte 2020 PM Imprese</t>
  </si>
  <si>
    <t>IT0005026973</t>
  </si>
  <si>
    <t>Amundi Orizzonte 2020 Silver Age</t>
  </si>
  <si>
    <t>IT0004981608</t>
  </si>
  <si>
    <t>Amundi Orizzonte 2021</t>
  </si>
  <si>
    <t>IT0005138968</t>
  </si>
  <si>
    <t>Amundi Orizzonte Plus 2020 Petroliferi</t>
  </si>
  <si>
    <t>IT0005126856</t>
  </si>
  <si>
    <t>Amundi Orizzonte Plus 2020 Risorse Glbl</t>
  </si>
  <si>
    <t>IT0005090144</t>
  </si>
  <si>
    <t>Amundi Österreich Plus A</t>
  </si>
  <si>
    <t>EAA Fund Austria Equity</t>
  </si>
  <si>
    <t>19/28</t>
  </si>
  <si>
    <t>AT0000A05TE6</t>
  </si>
  <si>
    <t>Amundi Österreich Plus T</t>
  </si>
  <si>
    <t>21/37</t>
  </si>
  <si>
    <t>24/35</t>
  </si>
  <si>
    <t>20/28</t>
  </si>
  <si>
    <t>AT0000A05TF3</t>
  </si>
  <si>
    <t>Amundi Osteuropa Stock A</t>
  </si>
  <si>
    <t>EAA Fund Emerging Europe Equity</t>
  </si>
  <si>
    <t>AT0000685219</t>
  </si>
  <si>
    <t>Amundi Osteuropa Stock T</t>
  </si>
  <si>
    <t>AT0000685227</t>
  </si>
  <si>
    <t>Amundi Overseas Government Bd Mother Fd</t>
  </si>
  <si>
    <t>Amundi Patrimoine C</t>
  </si>
  <si>
    <t>882/1182</t>
  </si>
  <si>
    <t>FR0011199371</t>
  </si>
  <si>
    <t>Amundi Patrimoine ESR</t>
  </si>
  <si>
    <t>QS0009052919</t>
  </si>
  <si>
    <t>FR0012820744</t>
  </si>
  <si>
    <t>Amundi Patrimoine Japan D1Y</t>
  </si>
  <si>
    <t>Japan Fund Tactical Allocation</t>
  </si>
  <si>
    <t>113/123</t>
  </si>
  <si>
    <t>JP90C000CHT5</t>
  </si>
  <si>
    <t>Amundi Patrimoine Japan D2M</t>
  </si>
  <si>
    <t>JP90C000CHS7</t>
  </si>
  <si>
    <t>FR0011660851</t>
  </si>
  <si>
    <t>FR0011553692</t>
  </si>
  <si>
    <t>Amundi Patrimoine PEA C</t>
  </si>
  <si>
    <t>EAA Fund EUR Flexible Allocation</t>
  </si>
  <si>
    <t>FR0011649029</t>
  </si>
  <si>
    <t>Amundi Performance Absolue Equilibre I</t>
  </si>
  <si>
    <t>FR0010969766</t>
  </si>
  <si>
    <t>Amundi Più A</t>
  </si>
  <si>
    <t>IT0005122822</t>
  </si>
  <si>
    <t>Amundi Più B</t>
  </si>
  <si>
    <t>IT0003639462</t>
  </si>
  <si>
    <t>Amundi Più D</t>
  </si>
  <si>
    <t>IT0005161804</t>
  </si>
  <si>
    <t>Amundi Più E</t>
  </si>
  <si>
    <t>IT0005241507</t>
  </si>
  <si>
    <t>Amundi Post.Klassik A</t>
  </si>
  <si>
    <t>AT0000793880</t>
  </si>
  <si>
    <t>Amundi Post.Klassik T</t>
  </si>
  <si>
    <t>AT0000717384</t>
  </si>
  <si>
    <t>Amundi Post.KlassikPlus A</t>
  </si>
  <si>
    <t>AT0000793898</t>
  </si>
  <si>
    <t>Amundi Post.KlassikPlus T</t>
  </si>
  <si>
    <t>AT0000717376</t>
  </si>
  <si>
    <t>Amundi Protect 18 Mois C</t>
  </si>
  <si>
    <t>FR0007011408</t>
  </si>
  <si>
    <t>Amundi Protect 24 Mois C</t>
  </si>
  <si>
    <t>FR0007011416</t>
  </si>
  <si>
    <t>Amundi Protect 90 ESR</t>
  </si>
  <si>
    <t>QS0009099829</t>
  </si>
  <si>
    <t>Amundi Protect Solidaire</t>
  </si>
  <si>
    <t>FR0011389576</t>
  </si>
  <si>
    <t>FR0011314251</t>
  </si>
  <si>
    <t>FR0011314269</t>
  </si>
  <si>
    <t>Amundi Protezione 90</t>
  </si>
  <si>
    <t>IT0005175523</t>
  </si>
  <si>
    <t>Amundi Prudent C</t>
  </si>
  <si>
    <t>FR0010697466</t>
  </si>
  <si>
    <t>Amundi Pulsactions A/I</t>
  </si>
  <si>
    <t>FR0007481536</t>
  </si>
  <si>
    <t>Amundi Rendement Plus I2C</t>
  </si>
  <si>
    <t>FR0011027283</t>
  </si>
  <si>
    <t>Amundi Rendement Plus IC</t>
  </si>
  <si>
    <t>FR0010115295</t>
  </si>
  <si>
    <t>Amundi Rendement Plus MC</t>
  </si>
  <si>
    <t>FR0012518397</t>
  </si>
  <si>
    <t>Amundi Rendement Plus PC</t>
  </si>
  <si>
    <t>FR0010820332</t>
  </si>
  <si>
    <t>Amundi Resa Actions France N</t>
  </si>
  <si>
    <t>FR0010184887</t>
  </si>
  <si>
    <t>Amundi Resa Actions Internationales C</t>
  </si>
  <si>
    <t>FR0010199653</t>
  </si>
  <si>
    <t>FR0010185637</t>
  </si>
  <si>
    <t>FR0011418458</t>
  </si>
  <si>
    <t>Amundi Resona ASEAN Fund</t>
  </si>
  <si>
    <t>83/107</t>
  </si>
  <si>
    <t>66/106</t>
  </si>
  <si>
    <t>75/104</t>
  </si>
  <si>
    <t>83/87</t>
  </si>
  <si>
    <t>19/29</t>
  </si>
  <si>
    <t>JP90C0004MM3</t>
  </si>
  <si>
    <t>Amundi Resona Global Brand Fund</t>
  </si>
  <si>
    <t>13/127</t>
  </si>
  <si>
    <t>1/74</t>
  </si>
  <si>
    <t>JP90C0000FL7</t>
  </si>
  <si>
    <t>Amundi Resona India Fund</t>
  </si>
  <si>
    <t>Japan Fund India Equity</t>
  </si>
  <si>
    <t>15/29</t>
  </si>
  <si>
    <t>18/29</t>
  </si>
  <si>
    <t>8/27</t>
  </si>
  <si>
    <t>6/26</t>
  </si>
  <si>
    <t>JP90C0000DY5</t>
  </si>
  <si>
    <t>Amundi Resona Japan Eq Index Mother F</t>
  </si>
  <si>
    <t>Amundi Resona Japan Equity Mother F</t>
  </si>
  <si>
    <t>Amundi Resona Japan Growth Strat Eq Op</t>
  </si>
  <si>
    <t>Japan Fund Japan Small/Mid-Cap Growth Equity</t>
  </si>
  <si>
    <t>12/93</t>
  </si>
  <si>
    <t>JP90C0009749</t>
  </si>
  <si>
    <t>Amundi Resona JP Eq Rsrch Strat(Open)</t>
  </si>
  <si>
    <t>JP90C0009D03</t>
  </si>
  <si>
    <t>Amundi Resona JPX Nikkei 400 Open</t>
  </si>
  <si>
    <t>JP90C000A1F7</t>
  </si>
  <si>
    <t>Amundi Resona Nikkei 225 Open</t>
  </si>
  <si>
    <t>29/86</t>
  </si>
  <si>
    <t>JP90C00013U7</t>
  </si>
  <si>
    <t>Amundi Resona Nikkei225 Open Mother F</t>
  </si>
  <si>
    <t>Amundi Resona Small Cap Equity Fund</t>
  </si>
  <si>
    <t>15/52</t>
  </si>
  <si>
    <t>40/56</t>
  </si>
  <si>
    <t>32/35</t>
  </si>
  <si>
    <t>JP90C00013M4</t>
  </si>
  <si>
    <t>Amundi Resona Topix Open</t>
  </si>
  <si>
    <t>JP90C00013S1</t>
  </si>
  <si>
    <t>Amundi Resona US Gov Agency Sec MF</t>
  </si>
  <si>
    <t>Japan Fund North America Equity</t>
  </si>
  <si>
    <t>Amundi Resona US High Yield Bond Fd AUD</t>
  </si>
  <si>
    <t>88/121</t>
  </si>
  <si>
    <t>JP90C0006KS9</t>
  </si>
  <si>
    <t>Amundi Resona US High Yield Bond Fd BRL</t>
  </si>
  <si>
    <t>JP90C0006KT7</t>
  </si>
  <si>
    <t>Amundi Resona US High Yield Bond Fd CNY</t>
  </si>
  <si>
    <t>23/121</t>
  </si>
  <si>
    <t>JP90C0006Z26</t>
  </si>
  <si>
    <t>Amundi Resona US High Yield Bond Fd JPY</t>
  </si>
  <si>
    <t>Japan Fund World High Yield Bond US - JPY Hedged</t>
  </si>
  <si>
    <t>3/40</t>
  </si>
  <si>
    <t>4/42</t>
  </si>
  <si>
    <t>3/42</t>
  </si>
  <si>
    <t>13/39</t>
  </si>
  <si>
    <t>JP90C0006Z42</t>
  </si>
  <si>
    <t>Amundi Resona US High Yield Bond Fd MXP</t>
  </si>
  <si>
    <t>JP90C0009N35</t>
  </si>
  <si>
    <t>Amundi Resona US High Yield Bond Fd TRY</t>
  </si>
  <si>
    <t>JP90C0009N43</t>
  </si>
  <si>
    <t>Amundi Resona US High Yield Bond Fd USD</t>
  </si>
  <si>
    <t>Japan Fund World High Yield Bond US</t>
  </si>
  <si>
    <t>4/44</t>
  </si>
  <si>
    <t>JP90C0009N27</t>
  </si>
  <si>
    <t>Amundi Resona US High Yield Bond Fd ZAR</t>
  </si>
  <si>
    <t>JP90C0006Z34</t>
  </si>
  <si>
    <t>Amundi Resona Value &amp; Growth</t>
  </si>
  <si>
    <t>Japan Fund Japan Large-Cap Value Equity</t>
  </si>
  <si>
    <t>20/30</t>
  </si>
  <si>
    <t>15/27</t>
  </si>
  <si>
    <t>7/26</t>
  </si>
  <si>
    <t>12/22</t>
  </si>
  <si>
    <t>JP90C00013V5</t>
  </si>
  <si>
    <t>Amundi Resona World Select Fund</t>
  </si>
  <si>
    <t>85/143</t>
  </si>
  <si>
    <t>JP90C00048J6</t>
  </si>
  <si>
    <t>Amundi Revenus Annuels C/D</t>
  </si>
  <si>
    <t>FR0012635654</t>
  </si>
  <si>
    <t>Amundi Revenus Mensuels C/D</t>
  </si>
  <si>
    <t>FR0012635647</t>
  </si>
  <si>
    <t>Amundi Revenus OR C/D</t>
  </si>
  <si>
    <t>FR0013060126</t>
  </si>
  <si>
    <t>Amundi Revenus Trimestriels C/D</t>
  </si>
  <si>
    <t>FR0012635613</t>
  </si>
  <si>
    <t>Amundi Rohstoff Trend T</t>
  </si>
  <si>
    <t>EAA Fund Commodities - Broad Basket</t>
  </si>
  <si>
    <t>AT0000A0GXF8</t>
  </si>
  <si>
    <t>Amundi Russia &amp; East Europe Fund</t>
  </si>
  <si>
    <t>22/33</t>
  </si>
  <si>
    <t>18/33</t>
  </si>
  <si>
    <t>8/28</t>
  </si>
  <si>
    <t>11/23</t>
  </si>
  <si>
    <t>JP90C00013K8</t>
  </si>
  <si>
    <t>Amundi Securo Rent A</t>
  </si>
  <si>
    <t>AT0000859707</t>
  </si>
  <si>
    <t>Amundi Securo Rent T</t>
  </si>
  <si>
    <t>AT0000810403</t>
  </si>
  <si>
    <t>FR0013201555</t>
  </si>
  <si>
    <t>Amundi Sérénité PEA IC</t>
  </si>
  <si>
    <t>EAA Fund French PEA Eonia SWAP</t>
  </si>
  <si>
    <t>9/25</t>
  </si>
  <si>
    <t>FR0010173237</t>
  </si>
  <si>
    <t>Amundi Sérénité PEA ID</t>
  </si>
  <si>
    <t>21/31</t>
  </si>
  <si>
    <t>10/25</t>
  </si>
  <si>
    <t>FR0010179671</t>
  </si>
  <si>
    <t>Amundi Sérénité PEA OC</t>
  </si>
  <si>
    <t>FR0011636158</t>
  </si>
  <si>
    <t>Amundi Sérénité PEA PC</t>
  </si>
  <si>
    <t>29/36</t>
  </si>
  <si>
    <t>23/31</t>
  </si>
  <si>
    <t>FR0011408350</t>
  </si>
  <si>
    <t>Amundi SGY Japan Equity QA Mother</t>
  </si>
  <si>
    <t>Amundi Singapore Dividend Gr</t>
  </si>
  <si>
    <t>EAA Fund Singapore Equity</t>
  </si>
  <si>
    <t>22/28</t>
  </si>
  <si>
    <t>15/24</t>
  </si>
  <si>
    <t>SG9999001952</t>
  </si>
  <si>
    <t>Amundi Small Cap Europe IC</t>
  </si>
  <si>
    <t>FR0010158089</t>
  </si>
  <si>
    <t>Amundi Small Cap Europe PD</t>
  </si>
  <si>
    <t>93/201</t>
  </si>
  <si>
    <t>FR0000288185</t>
  </si>
  <si>
    <t>FR0010106880</t>
  </si>
  <si>
    <t>FR0010101972</t>
  </si>
  <si>
    <t>FR0010106856</t>
  </si>
  <si>
    <t>FR0010093716</t>
  </si>
  <si>
    <t>99/246</t>
  </si>
  <si>
    <t>FR0010106864</t>
  </si>
  <si>
    <t>Amundi Taiwan Mother</t>
  </si>
  <si>
    <t>Amundi Tangin World High Div Eq Fd D1M</t>
  </si>
  <si>
    <t>70/106</t>
  </si>
  <si>
    <t>JP90C0001373</t>
  </si>
  <si>
    <t>Amundi Target Japan 2009 Mother</t>
  </si>
  <si>
    <t>Amundi Target Japan Fund</t>
  </si>
  <si>
    <t>20/40</t>
  </si>
  <si>
    <t>JP90C00013G6</t>
  </si>
  <si>
    <t>Amundi TCW Emerging Bond Fund Asia Ccy</t>
  </si>
  <si>
    <t>Japan Fund Emerging Other Bond</t>
  </si>
  <si>
    <t>56/131</t>
  </si>
  <si>
    <t>JP90C00084L7</t>
  </si>
  <si>
    <t>Amundi TCW Emerging Bond Fund AUD</t>
  </si>
  <si>
    <t>25/132</t>
  </si>
  <si>
    <t>71/132</t>
  </si>
  <si>
    <t>87/125</t>
  </si>
  <si>
    <t>JP90C00084J1</t>
  </si>
  <si>
    <t>Amundi TCW Emerging Bond Fund BRL</t>
  </si>
  <si>
    <t>72/125</t>
  </si>
  <si>
    <t>JP90C00084K9</t>
  </si>
  <si>
    <t>Amundi TCW Emerging Bond Fund JPY</t>
  </si>
  <si>
    <t>Japan Fund Emerging Bond - JPY Hedged</t>
  </si>
  <si>
    <t>18/41</t>
  </si>
  <si>
    <t>36/41</t>
  </si>
  <si>
    <t>34/41</t>
  </si>
  <si>
    <t>4/41</t>
  </si>
  <si>
    <t>JP90C00084M5</t>
  </si>
  <si>
    <t>Amundi TCW Emerging Bond Fund USD</t>
  </si>
  <si>
    <t>Japan Fund Emerging Global Bond</t>
  </si>
  <si>
    <t>87/143</t>
  </si>
  <si>
    <t>8/103</t>
  </si>
  <si>
    <t>JP90C00084H5</t>
  </si>
  <si>
    <t>Amundi TCW US Income REIT Fund D1M</t>
  </si>
  <si>
    <t>Japan Fund US REIT</t>
  </si>
  <si>
    <t>JP90C000B509</t>
  </si>
  <si>
    <t>Amundi TCW US Income REIT Fund D2Y</t>
  </si>
  <si>
    <t>JP90C000B517</t>
  </si>
  <si>
    <t>Amundi The United Kingdom Bond Fund D1M</t>
  </si>
  <si>
    <t>JP90C000ANV3</t>
  </si>
  <si>
    <t>Amundi The United Kingdom Bond Fund D2Y</t>
  </si>
  <si>
    <t>32/32</t>
  </si>
  <si>
    <t>JP90C000ANW1</t>
  </si>
  <si>
    <t>Amundi The United Kingdom Bond Mother</t>
  </si>
  <si>
    <t>Amundi Top Trend T</t>
  </si>
  <si>
    <t>EAA Fund Alt - Systematic Futures</t>
  </si>
  <si>
    <t>19/66</t>
  </si>
  <si>
    <t>AT0000A09YQ2</t>
  </si>
  <si>
    <t>Amundi Traguardo 3%</t>
  </si>
  <si>
    <t>IT0004875867</t>
  </si>
  <si>
    <t>Amundi Transmission Actions</t>
  </si>
  <si>
    <t>EAA Fund Eurozone Flex-Cap Equity</t>
  </si>
  <si>
    <t>FR0011884048</t>
  </si>
  <si>
    <t>Amundi Transmission Patrimoine</t>
  </si>
  <si>
    <t>FR0011884055</t>
  </si>
  <si>
    <t>Amundi Tréso 6 Mois DP</t>
  </si>
  <si>
    <t>FR0011307081</t>
  </si>
  <si>
    <t>Amundi Tréso 6 Mois E</t>
  </si>
  <si>
    <t>FR0011096908</t>
  </si>
  <si>
    <t>Amundi Tréso 6 Mois I</t>
  </si>
  <si>
    <t>FR0007028493</t>
  </si>
  <si>
    <t>Amundi Tréso 6 Mois P</t>
  </si>
  <si>
    <t>305/407</t>
  </si>
  <si>
    <t>FR0010816413</t>
  </si>
  <si>
    <t>Amundi Tréso Court Terme EC</t>
  </si>
  <si>
    <t>FR0011220342</t>
  </si>
  <si>
    <t>Amundi Tréso Court Terme IC</t>
  </si>
  <si>
    <t>91/362</t>
  </si>
  <si>
    <t>FR0000983751</t>
  </si>
  <si>
    <t>Amundi Tréso Court Terme ID</t>
  </si>
  <si>
    <t>FR0000983769</t>
  </si>
  <si>
    <t>Amundi Tréso Court Terme PC</t>
  </si>
  <si>
    <t>FR0011220359</t>
  </si>
  <si>
    <t>Amundi Tréso Court Terme PD</t>
  </si>
  <si>
    <t>FR0011220862</t>
  </si>
  <si>
    <t>Amundi Tréso Diversifiée C</t>
  </si>
  <si>
    <t>FR0013198249</t>
  </si>
  <si>
    <t>Amundi Tréso Dollar C</t>
  </si>
  <si>
    <t>FR0007451604</t>
  </si>
  <si>
    <t>Amundi Tréso Etat E</t>
  </si>
  <si>
    <t>FR0011399633</t>
  </si>
  <si>
    <t>Amundi Tréso Etat I</t>
  </si>
  <si>
    <t>FR0007493549</t>
  </si>
  <si>
    <t>Amundi Tréso Euro Qualité E</t>
  </si>
  <si>
    <t>FR0011159862</t>
  </si>
  <si>
    <t>Amundi Tréso Euro Qualité I</t>
  </si>
  <si>
    <t>396/576</t>
  </si>
  <si>
    <t>FR0007007539</t>
  </si>
  <si>
    <t>Amundi Tréso Euro Qualité P</t>
  </si>
  <si>
    <t>FR0011165638</t>
  </si>
  <si>
    <t>Amundi Tréso Jour C</t>
  </si>
  <si>
    <t>FR0007070412</t>
  </si>
  <si>
    <t>QS0009083336</t>
  </si>
  <si>
    <t>Amundi US Euro High Yield Bond Fund</t>
  </si>
  <si>
    <t>Japan Fund World High Yield Bond Global</t>
  </si>
  <si>
    <t>10/18</t>
  </si>
  <si>
    <t>15/15</t>
  </si>
  <si>
    <t>9/10</t>
  </si>
  <si>
    <t>8/9</t>
  </si>
  <si>
    <t>JP90C0000DV1</t>
  </si>
  <si>
    <t>Amundi US Euro Investment Grade Bond Fd</t>
  </si>
  <si>
    <t>21/178</t>
  </si>
  <si>
    <t>JP90C0000DU3</t>
  </si>
  <si>
    <t>Amundi US Govt Agency Securities Mother</t>
  </si>
  <si>
    <t>Japan Fund North America Bond</t>
  </si>
  <si>
    <t>Amundi US Income Equity Fund D1M</t>
  </si>
  <si>
    <t>JP90C000BGU7</t>
  </si>
  <si>
    <t>Amundi US Income Equity Fund D2Y</t>
  </si>
  <si>
    <t>26/166</t>
  </si>
  <si>
    <t>JP90C000BGV5</t>
  </si>
  <si>
    <t>Amundi US Treasury Bond Fund D1M</t>
  </si>
  <si>
    <t>82/84</t>
  </si>
  <si>
    <t>53/76</t>
  </si>
  <si>
    <t>JP90C000B2V1</t>
  </si>
  <si>
    <t>Amundi US Treasury Bond Fund D2Y</t>
  </si>
  <si>
    <t>75/82</t>
  </si>
  <si>
    <t>81/84</t>
  </si>
  <si>
    <t>52/76</t>
  </si>
  <si>
    <t>JP90C000B2W9</t>
  </si>
  <si>
    <t>Amundi US Treasury Bond Mother</t>
  </si>
  <si>
    <t>Amundi USD Geldmarktfonds A</t>
  </si>
  <si>
    <t>38/120</t>
  </si>
  <si>
    <t>32/123</t>
  </si>
  <si>
    <t>55/105</t>
  </si>
  <si>
    <t>AT0000761630</t>
  </si>
  <si>
    <t>Amundi USD Geldmarktfonds T</t>
  </si>
  <si>
    <t>52/94</t>
  </si>
  <si>
    <t>AT0000761648</t>
  </si>
  <si>
    <t>FR0000991424</t>
  </si>
  <si>
    <t>Amundi Valore Italia PIR B</t>
  </si>
  <si>
    <t>IT0005241440</t>
  </si>
  <si>
    <t>Amundi Valore Italia PIR P</t>
  </si>
  <si>
    <t>IT0005241465</t>
  </si>
  <si>
    <t>Amundi Value Growth Mother Fund</t>
  </si>
  <si>
    <t>Amundi Vie P</t>
  </si>
  <si>
    <t>98/632</t>
  </si>
  <si>
    <t>FR0000973802</t>
  </si>
  <si>
    <t>Amundi Vietnam Opportunities</t>
  </si>
  <si>
    <t>EAA Fund Vietnam Equity</t>
  </si>
  <si>
    <t>9/38</t>
  </si>
  <si>
    <t>11/38</t>
  </si>
  <si>
    <t>7/13</t>
  </si>
  <si>
    <t>4/10</t>
  </si>
  <si>
    <t>Amundi Woman J Mother Fund</t>
  </si>
  <si>
    <t>Amundi World Envir Power Eq Mother</t>
  </si>
  <si>
    <t>Amundi World High Dividend Equity Fd D1M</t>
  </si>
  <si>
    <t>81/131</t>
  </si>
  <si>
    <t>JP90C0001449</t>
  </si>
  <si>
    <t>Amundi World Value Allocation A Hedged</t>
  </si>
  <si>
    <t>Japan Fund World Equity - JPY Hedged</t>
  </si>
  <si>
    <t>24/62</t>
  </si>
  <si>
    <t>31/41</t>
  </si>
  <si>
    <t>JP90C0008ES8</t>
  </si>
  <si>
    <t>Amundi World Value Allocation B UnHedged</t>
  </si>
  <si>
    <t>JP90C0008ET6</t>
  </si>
  <si>
    <t>Amundi Zielrendite 2017 A</t>
  </si>
  <si>
    <t>408/1158</t>
  </si>
  <si>
    <t>AT0000A0VQ18</t>
  </si>
  <si>
    <t>Amundi Zielrendite 2020 A</t>
  </si>
  <si>
    <t>AT0000A0ZE18</t>
  </si>
  <si>
    <t>Anboma Finanzas e Inversiones SICAV</t>
  </si>
  <si>
    <t>ES0109262032</t>
  </si>
  <si>
    <t>Antarius Fonds Actions Plus C</t>
  </si>
  <si>
    <t>Etoile Gestion</t>
  </si>
  <si>
    <t>FR0007068960</t>
  </si>
  <si>
    <t>Antarius Fonds Obligataire C</t>
  </si>
  <si>
    <t>FR0007068978</t>
  </si>
  <si>
    <t>Antarius Obli 1-3 Ans C</t>
  </si>
  <si>
    <t>FR0007068994</t>
  </si>
  <si>
    <t>Antarius Rotation Sectorielle C</t>
  </si>
  <si>
    <t>720/906</t>
  </si>
  <si>
    <t>FR0010467001</t>
  </si>
  <si>
    <t>Arcancia Actions Ethique &amp; Solidaire 701</t>
  </si>
  <si>
    <t>QS0002906087</t>
  </si>
  <si>
    <t>Arcancia Actions Ethique &amp; Solidaire 711</t>
  </si>
  <si>
    <t>QS0002906095</t>
  </si>
  <si>
    <t>Arcancia Actions Ethique &amp; Solidaire 721</t>
  </si>
  <si>
    <t>712/1372</t>
  </si>
  <si>
    <t>QS0002906103</t>
  </si>
  <si>
    <t>Arcancia Actions Ethique &amp; Solidaire 741</t>
  </si>
  <si>
    <t>Arcancia Actions Ethique &amp; Solidaire 751</t>
  </si>
  <si>
    <t>QS0002906111</t>
  </si>
  <si>
    <t>Arcancia Actions Euro 705</t>
  </si>
  <si>
    <t>Arcancia Actions Euro 715</t>
  </si>
  <si>
    <t>Arcancia Actions Euro 725</t>
  </si>
  <si>
    <t>Arcancia Actions Euro 745</t>
  </si>
  <si>
    <t>Arcancia Actions Euro 755</t>
  </si>
  <si>
    <t>Arcancia Actions France 700</t>
  </si>
  <si>
    <t>QS0002905881</t>
  </si>
  <si>
    <t>Arcancia Actions France 710</t>
  </si>
  <si>
    <t>QS0003044409</t>
  </si>
  <si>
    <t>Arcancia Actions France 720</t>
  </si>
  <si>
    <t>86/244</t>
  </si>
  <si>
    <t>QS0002905899</t>
  </si>
  <si>
    <t>Arcancia Actions France 740</t>
  </si>
  <si>
    <t>83/244</t>
  </si>
  <si>
    <t>QS0003044417</t>
  </si>
  <si>
    <t>Arcancia Actions France 750</t>
  </si>
  <si>
    <t>QS0002905907</t>
  </si>
  <si>
    <t>Arcancia Audace 804</t>
  </si>
  <si>
    <t>QS0002905915</t>
  </si>
  <si>
    <t>Arcancia Audace 814</t>
  </si>
  <si>
    <t>QS0003044425</t>
  </si>
  <si>
    <t>Arcancia Audace 824</t>
  </si>
  <si>
    <t>QS0002905923</t>
  </si>
  <si>
    <t>Arcancia Audace 844</t>
  </si>
  <si>
    <t>QS0003044433</t>
  </si>
  <si>
    <t>Arcancia Audace 854</t>
  </si>
  <si>
    <t>QS0002905931</t>
  </si>
  <si>
    <t>Arcancia Dynamique 501</t>
  </si>
  <si>
    <t>77/1016</t>
  </si>
  <si>
    <t>QS0002905964</t>
  </si>
  <si>
    <t>Arcancia Dynamique 511</t>
  </si>
  <si>
    <t>QS0003044441</t>
  </si>
  <si>
    <t>Arcancia Dynamique 521</t>
  </si>
  <si>
    <t>72/1016</t>
  </si>
  <si>
    <t>QS0002905972</t>
  </si>
  <si>
    <t>Arcancia Dynamique 541</t>
  </si>
  <si>
    <t>QS0003044458</t>
  </si>
  <si>
    <t>Arcancia Dynamique 551</t>
  </si>
  <si>
    <t>QS0002904702</t>
  </si>
  <si>
    <t>Arcancia Harmonie 403</t>
  </si>
  <si>
    <t>QS0002906129</t>
  </si>
  <si>
    <t>Arcancia Harmonie 413</t>
  </si>
  <si>
    <t>QS0003044490</t>
  </si>
  <si>
    <t>Arcancia Harmonie 423</t>
  </si>
  <si>
    <t>QS0002906137</t>
  </si>
  <si>
    <t>Arcancia Harmonie 433</t>
  </si>
  <si>
    <t>QS0002906145</t>
  </si>
  <si>
    <t>Arcancia Harmonie 443</t>
  </si>
  <si>
    <t>QS0003044508</t>
  </si>
  <si>
    <t>Arcancia Harmonie 453</t>
  </si>
  <si>
    <t>QS0002906152</t>
  </si>
  <si>
    <t>Arcancia Patrimoine 405</t>
  </si>
  <si>
    <t>QS0002906012</t>
  </si>
  <si>
    <t>Arcancia Patrimoine 415</t>
  </si>
  <si>
    <t>QS0003044466</t>
  </si>
  <si>
    <t>Arcancia Patrimoine 425</t>
  </si>
  <si>
    <t>QS0002906020</t>
  </si>
  <si>
    <t>Arcancia Patrimoine 435</t>
  </si>
  <si>
    <t>QS0002906038</t>
  </si>
  <si>
    <t>Arcancia Patrimoine 445</t>
  </si>
  <si>
    <t>QS0003044474</t>
  </si>
  <si>
    <t>Arcancia Patrimoine 455</t>
  </si>
  <si>
    <t>QS0002906046</t>
  </si>
  <si>
    <t>Arcancia Prudence 302</t>
  </si>
  <si>
    <t>QS0002906491</t>
  </si>
  <si>
    <t>Arcancia Prudence 312</t>
  </si>
  <si>
    <t>QS0003044516</t>
  </si>
  <si>
    <t>Arcancia Prudence 322</t>
  </si>
  <si>
    <t>QS0002906509</t>
  </si>
  <si>
    <t>Arcancia Prudence 332</t>
  </si>
  <si>
    <t>QS0002906517</t>
  </si>
  <si>
    <t>Arcancia Tempéré 307</t>
  </si>
  <si>
    <t>QS0002906574</t>
  </si>
  <si>
    <t>Arcancia Tempéré 317</t>
  </si>
  <si>
    <t>QS0003044532</t>
  </si>
  <si>
    <t>Arcancia Tempéré 327</t>
  </si>
  <si>
    <t>QS0002906582</t>
  </si>
  <si>
    <t>Arcancia Tempéré 347</t>
  </si>
  <si>
    <t>QS0003044540</t>
  </si>
  <si>
    <t>Arcancia Tempéré 357</t>
  </si>
  <si>
    <t>QS0002906590</t>
  </si>
  <si>
    <t>Arcancia Trésorerie 207</t>
  </si>
  <si>
    <t>QS0002905154</t>
  </si>
  <si>
    <t>Arcancia Trésorerie 217</t>
  </si>
  <si>
    <t>323/407</t>
  </si>
  <si>
    <t>QS0003044524</t>
  </si>
  <si>
    <t>Arcancia Trésorerie 227</t>
  </si>
  <si>
    <t>224/253</t>
  </si>
  <si>
    <t>QS0002906541</t>
  </si>
  <si>
    <t>Arcancia Trésorerie 237</t>
  </si>
  <si>
    <t>220/253</t>
  </si>
  <si>
    <t>QS0002906558</t>
  </si>
  <si>
    <t>Arcancia Trésorerie 247</t>
  </si>
  <si>
    <t>QS0002906566</t>
  </si>
  <si>
    <t>Arcancia Trésorerie 257</t>
  </si>
  <si>
    <t>QS0002904710</t>
  </si>
  <si>
    <t>Assurdix C/D</t>
  </si>
  <si>
    <t>FR0007481718</t>
  </si>
  <si>
    <t>Atout Clair Horizon C</t>
  </si>
  <si>
    <t>230/407</t>
  </si>
  <si>
    <t>FR0010713586</t>
  </si>
  <si>
    <t>Atout Modéractions C</t>
  </si>
  <si>
    <t>409/820</t>
  </si>
  <si>
    <t>FR0010251736</t>
  </si>
  <si>
    <t>Atout Monde C</t>
  </si>
  <si>
    <t>FR0010101980</t>
  </si>
  <si>
    <t>Atout Monde D</t>
  </si>
  <si>
    <t>FR0010106872</t>
  </si>
  <si>
    <t>Atout Opportunité C</t>
  </si>
  <si>
    <t>25/31</t>
  </si>
  <si>
    <t>FR0010230474</t>
  </si>
  <si>
    <t>Atout Prem's Actions</t>
  </si>
  <si>
    <t>107/139</t>
  </si>
  <si>
    <t>FR0010536565</t>
  </si>
  <si>
    <t>Atout Vert Horizon C</t>
  </si>
  <si>
    <t>309/407</t>
  </si>
  <si>
    <t>FR0010036962</t>
  </si>
  <si>
    <t>Barclays Quant Merger Arbtrg US A1</t>
  </si>
  <si>
    <t>EAA Fund Alt - Event Driven</t>
  </si>
  <si>
    <t>IE00B63C7F82</t>
  </si>
  <si>
    <t>Barclays Quant Merger Arbtrg US B1</t>
  </si>
  <si>
    <t>IE00B4VFNP71</t>
  </si>
  <si>
    <t>Bawag Spezial 1 A</t>
  </si>
  <si>
    <t>AT0000859749</t>
  </si>
  <si>
    <t>Bellavista Patrimonios 2008 SICAV</t>
  </si>
  <si>
    <t>ES0127074039</t>
  </si>
  <si>
    <t>Best Manager Selection FI</t>
  </si>
  <si>
    <t>ES0145807006</t>
  </si>
  <si>
    <t>BFT Actions Flexible ISR P C/D</t>
  </si>
  <si>
    <t>FR0000431280</t>
  </si>
  <si>
    <t>BFT Aureus I2 C</t>
  </si>
  <si>
    <t>78/546</t>
  </si>
  <si>
    <t>FR0013067790</t>
  </si>
  <si>
    <t>BFT Aureus I2 D</t>
  </si>
  <si>
    <t>77/546</t>
  </si>
  <si>
    <t>FR0013134723</t>
  </si>
  <si>
    <t>BFT Aureus IC</t>
  </si>
  <si>
    <t>72/318</t>
  </si>
  <si>
    <t>FR0010599399</t>
  </si>
  <si>
    <t>BFT Aureus ID</t>
  </si>
  <si>
    <t>FR0011463165</t>
  </si>
  <si>
    <t>FR0010539726</t>
  </si>
  <si>
    <t>FR0010551473</t>
  </si>
  <si>
    <t>BFT Convertibles ISR IC</t>
  </si>
  <si>
    <t>FR0010236091</t>
  </si>
  <si>
    <t>BFT Convertibles ISR PC</t>
  </si>
  <si>
    <t>FR0011660869</t>
  </si>
  <si>
    <t>FR0010796433</t>
  </si>
  <si>
    <t>FR0013222338</t>
  </si>
  <si>
    <t>BFT Crédit 6 Mois E</t>
  </si>
  <si>
    <t>FR0010796425</t>
  </si>
  <si>
    <t>BFT Crédit 6 Mois I</t>
  </si>
  <si>
    <t>FR0010816439</t>
  </si>
  <si>
    <t>BFT Crédit 6 Mois S</t>
  </si>
  <si>
    <t>FR0013221694</t>
  </si>
  <si>
    <t>BFT Crédit Opportunités I C/D</t>
  </si>
  <si>
    <t>79/238</t>
  </si>
  <si>
    <t>FR0012722890</t>
  </si>
  <si>
    <t>BFT Crédit Opportunités I2</t>
  </si>
  <si>
    <t>FR0012858710</t>
  </si>
  <si>
    <t>BFT Crédit Opportunités IC</t>
  </si>
  <si>
    <t>FR0010638676</t>
  </si>
  <si>
    <t>BFT Crédit Opportunités P</t>
  </si>
  <si>
    <t>FR0011528876</t>
  </si>
  <si>
    <t>BFT Crédit Opportunités Plus I</t>
  </si>
  <si>
    <t>EAA Fund Europe High Yield Bond</t>
  </si>
  <si>
    <t>FR0010744300</t>
  </si>
  <si>
    <t>BFT Crédit Opportunités Plus P</t>
  </si>
  <si>
    <t>FR0011653765</t>
  </si>
  <si>
    <t>BFT Ducat ISR IC</t>
  </si>
  <si>
    <t>FR0010925636</t>
  </si>
  <si>
    <t>BFT Europe Dividendes ISR IC</t>
  </si>
  <si>
    <t>188/390</t>
  </si>
  <si>
    <t>FR0010720631</t>
  </si>
  <si>
    <t>BFT Europe Dividendes ISR ID</t>
  </si>
  <si>
    <t>187/390</t>
  </si>
  <si>
    <t>209/284</t>
  </si>
  <si>
    <t>FR0010721266</t>
  </si>
  <si>
    <t>BFT Europe Dividendes ISR PC</t>
  </si>
  <si>
    <t>FR0011660877</t>
  </si>
  <si>
    <t>BFT Europe Dividendes ISR PD</t>
  </si>
  <si>
    <t>FR0011660992</t>
  </si>
  <si>
    <t>BFT France Futur EC</t>
  </si>
  <si>
    <t>EAA Fund France Small/Mid-Cap Equity</t>
  </si>
  <si>
    <t>56/166</t>
  </si>
  <si>
    <t>FR0010340612</t>
  </si>
  <si>
    <t>BFT France Futur ED</t>
  </si>
  <si>
    <t>44/143</t>
  </si>
  <si>
    <t>FR0010340620</t>
  </si>
  <si>
    <t>BFT France Futur IC</t>
  </si>
  <si>
    <t>42/143</t>
  </si>
  <si>
    <t>FR0011036912</t>
  </si>
  <si>
    <t>FR0011043009</t>
  </si>
  <si>
    <t>FR0011043025</t>
  </si>
  <si>
    <t>BFT LCR C</t>
  </si>
  <si>
    <t>FR0010544775</t>
  </si>
  <si>
    <t>BFT Monétaire Court Terme I2 C</t>
  </si>
  <si>
    <t>65/411</t>
  </si>
  <si>
    <t>FR0013067808</t>
  </si>
  <si>
    <t>BFT Monétaire Court Terme IC</t>
  </si>
  <si>
    <t>78/411</t>
  </si>
  <si>
    <t>FR0010232298</t>
  </si>
  <si>
    <t>BFT Monétaire Court Terme ID</t>
  </si>
  <si>
    <t>FR0011432558</t>
  </si>
  <si>
    <t>BFT Sélection Haut Rendement 2021 I C</t>
  </si>
  <si>
    <t>FR0013081171</t>
  </si>
  <si>
    <t>BFT Sélection Haut Rendement 2021 P C</t>
  </si>
  <si>
    <t>FR0013081197</t>
  </si>
  <si>
    <t>BFT Sélection Haut Rendement 2021 P C/D</t>
  </si>
  <si>
    <t>FR0013081205</t>
  </si>
  <si>
    <t>BFT Sequin ISR EC</t>
  </si>
  <si>
    <t>221/546</t>
  </si>
  <si>
    <t>FR0010114108</t>
  </si>
  <si>
    <t>BFT Sequin ISR ED</t>
  </si>
  <si>
    <t>FR0011374065</t>
  </si>
  <si>
    <t>BFT Sequin ISR I2 C</t>
  </si>
  <si>
    <t>123/546</t>
  </si>
  <si>
    <t>FR0013067824</t>
  </si>
  <si>
    <t>BFT Sequin ISR I2 D</t>
  </si>
  <si>
    <t>FR0013134756</t>
  </si>
  <si>
    <t>BFT Sequin ISR IC</t>
  </si>
  <si>
    <t>FR0012892404</t>
  </si>
  <si>
    <t>BFT Sequin ISR ID</t>
  </si>
  <si>
    <t>125/546</t>
  </si>
  <si>
    <t>FR0012892412</t>
  </si>
  <si>
    <t>BFT Sequin ISR RC</t>
  </si>
  <si>
    <t>FR0011215466</t>
  </si>
  <si>
    <t>BFT Statère EC</t>
  </si>
  <si>
    <t>FR0013182649</t>
  </si>
  <si>
    <t>BFT Statère IC</t>
  </si>
  <si>
    <t>FR0012046597</t>
  </si>
  <si>
    <t>BFT Statère ID</t>
  </si>
  <si>
    <t>FR0012046605</t>
  </si>
  <si>
    <t>BFT Statère PC</t>
  </si>
  <si>
    <t>FR0010891697</t>
  </si>
  <si>
    <t>BFT Statère PD</t>
  </si>
  <si>
    <t>FR0010892513</t>
  </si>
  <si>
    <t>BFT Statère SC</t>
  </si>
  <si>
    <t>FR0013221702</t>
  </si>
  <si>
    <t>BPV Gewinnbrieffonds VT</t>
  </si>
  <si>
    <t>AT0000A0GZH9</t>
  </si>
  <si>
    <t>Brent Inversiones SICAV</t>
  </si>
  <si>
    <t>ES0115177034</t>
  </si>
  <si>
    <t>CA Brio Actions Euroland</t>
  </si>
  <si>
    <t>558/1155</t>
  </si>
  <si>
    <t>QS0009089747</t>
  </si>
  <si>
    <t>CA Brio Actions Européennes</t>
  </si>
  <si>
    <t>QS0009074574</t>
  </si>
  <si>
    <t>CA Brio Actions France</t>
  </si>
  <si>
    <t>QS0009035252</t>
  </si>
  <si>
    <t>CA Brio Obligataire</t>
  </si>
  <si>
    <t>QS0009034404</t>
  </si>
  <si>
    <t>CA Brio Opportunités</t>
  </si>
  <si>
    <t>CA Brio Patrimoine</t>
  </si>
  <si>
    <t>QS0009034420</t>
  </si>
  <si>
    <t>CA Brio Prudence</t>
  </si>
  <si>
    <t>CA Brio Trésorerie</t>
  </si>
  <si>
    <t>226/253</t>
  </si>
  <si>
    <t>QS0009031830</t>
  </si>
  <si>
    <t>CA Innovation 10 A A/I</t>
  </si>
  <si>
    <t>Amundi Private Equity Funds</t>
  </si>
  <si>
    <t>FR0010784199</t>
  </si>
  <si>
    <t>FCPI</t>
  </si>
  <si>
    <t>CA Innovation 11 A</t>
  </si>
  <si>
    <t>FR0010926881</t>
  </si>
  <si>
    <t>CA Innovation 5 A A/I</t>
  </si>
  <si>
    <t>FR0010331835</t>
  </si>
  <si>
    <t>CA Innovation 6 A A/I</t>
  </si>
  <si>
    <t>FR0010328211</t>
  </si>
  <si>
    <t>CA Innovation 7 A A/I</t>
  </si>
  <si>
    <t>FR0010361725</t>
  </si>
  <si>
    <t>CA Innovation 8 A A/I</t>
  </si>
  <si>
    <t>FR0010507046</t>
  </si>
  <si>
    <t>CA Innovation 9 A A/I</t>
  </si>
  <si>
    <t>FR0010647768</t>
  </si>
  <si>
    <t>CA Investissement 1 A</t>
  </si>
  <si>
    <t>FR0010701581</t>
  </si>
  <si>
    <t>CA Investissement 2 A</t>
  </si>
  <si>
    <t>FR0010865352</t>
  </si>
  <si>
    <t>CA Master Europe C</t>
  </si>
  <si>
    <t>FR0000973810</t>
  </si>
  <si>
    <t>Cap Rendement C</t>
  </si>
  <si>
    <t>FR0013150133</t>
  </si>
  <si>
    <t>FR0013231685</t>
  </si>
  <si>
    <t>Capital Investment Spain International</t>
  </si>
  <si>
    <t>Amundi Asset Management</t>
  </si>
  <si>
    <t>LU0043136406</t>
  </si>
  <si>
    <t>Capitop Monétaire C</t>
  </si>
  <si>
    <t>FR0000439614</t>
  </si>
  <si>
    <t>Capitop Monétaire D</t>
  </si>
  <si>
    <t>FR0000439622</t>
  </si>
  <si>
    <t>Capitop Revenus D</t>
  </si>
  <si>
    <t>FR0000983330</t>
  </si>
  <si>
    <t>Carac Actions Euro</t>
  </si>
  <si>
    <t>FR0010669150</t>
  </si>
  <si>
    <t>Carac Actions Internationales ISR</t>
  </si>
  <si>
    <t>FR0010669168</t>
  </si>
  <si>
    <t>Chamonix Capital SICAV</t>
  </si>
  <si>
    <t>ES0118493032</t>
  </si>
  <si>
    <t>Club Stratédis A/I</t>
  </si>
  <si>
    <t>FR0012612612</t>
  </si>
  <si>
    <t>CNP Assur Indocrédit A/I</t>
  </si>
  <si>
    <t>FR0007071113</t>
  </si>
  <si>
    <t>Colombes 2 A/I</t>
  </si>
  <si>
    <t>FR0011429398</t>
  </si>
  <si>
    <t>Colombes 2 Bis A/I</t>
  </si>
  <si>
    <t>149/662</t>
  </si>
  <si>
    <t>FR0011548809</t>
  </si>
  <si>
    <t>Colombes 3 A/I</t>
  </si>
  <si>
    <t>FR0011429414</t>
  </si>
  <si>
    <t>Colombes 4 A/I</t>
  </si>
  <si>
    <t>107/662</t>
  </si>
  <si>
    <t>FR0011429430</t>
  </si>
  <si>
    <t>Colombes 4 Bis C/D</t>
  </si>
  <si>
    <t>FR0011548817</t>
  </si>
  <si>
    <t>Colombes 5 A/I</t>
  </si>
  <si>
    <t>FR0011429448</t>
  </si>
  <si>
    <t>Colombes 5 Bis A/I</t>
  </si>
  <si>
    <t>FR0011548825</t>
  </si>
  <si>
    <t>Colombes 6 A/I</t>
  </si>
  <si>
    <t>FR0011429455</t>
  </si>
  <si>
    <t>Coupole IM Multi Audace</t>
  </si>
  <si>
    <t>FR0000988180</t>
  </si>
  <si>
    <t>Coupole IM Multi Prudence</t>
  </si>
  <si>
    <t>FR0000988172</t>
  </si>
  <si>
    <t>CPR 7-10 Euro SR P</t>
  </si>
  <si>
    <t>FR0010376020</t>
  </si>
  <si>
    <t>CPR 7-10 Euro SR S</t>
  </si>
  <si>
    <t>FR0010679878</t>
  </si>
  <si>
    <t>EAA Fund Emerging Europe ex-Russia Equity</t>
  </si>
  <si>
    <t>45/83</t>
  </si>
  <si>
    <t>12/83</t>
  </si>
  <si>
    <t>49/68</t>
  </si>
  <si>
    <t>FR0010917625</t>
  </si>
  <si>
    <t>FR0010808915</t>
  </si>
  <si>
    <t>28/58</t>
  </si>
  <si>
    <t>FR0010330258</t>
  </si>
  <si>
    <t>CPR Actions France P</t>
  </si>
  <si>
    <t>51/244</t>
  </si>
  <si>
    <t>FR0011354646</t>
  </si>
  <si>
    <t>CPR Cash-Tréso Flux</t>
  </si>
  <si>
    <t>113/362</t>
  </si>
  <si>
    <t>FR0011030816</t>
  </si>
  <si>
    <t>CPR Cash I</t>
  </si>
  <si>
    <t>59/362</t>
  </si>
  <si>
    <t>FR0010413583</t>
  </si>
  <si>
    <t>CPR Cash P</t>
  </si>
  <si>
    <t>FR0000291239</t>
  </si>
  <si>
    <t>CPR Consommateur Actionnaire I</t>
  </si>
  <si>
    <t>235/294</t>
  </si>
  <si>
    <t>FR0011554237</t>
  </si>
  <si>
    <t>CPR Consommateur Actionnaire P</t>
  </si>
  <si>
    <t>FR0010258756</t>
  </si>
  <si>
    <t>CPR Convexité I</t>
  </si>
  <si>
    <t>220/288</t>
  </si>
  <si>
    <t>FR0013183738</t>
  </si>
  <si>
    <t>CPR Convexité PC</t>
  </si>
  <si>
    <t>122/139</t>
  </si>
  <si>
    <t>FR0010725499</t>
  </si>
  <si>
    <t>CPR Convexité PD</t>
  </si>
  <si>
    <t>226/288</t>
  </si>
  <si>
    <t>FR0010725507</t>
  </si>
  <si>
    <t>CPR Credixx Active US High Yield HI C</t>
  </si>
  <si>
    <t>FR0012735314</t>
  </si>
  <si>
    <t>CPR Credixx Active US High Yield HI D</t>
  </si>
  <si>
    <t>FR0013176195</t>
  </si>
  <si>
    <t>CPR Credixx Active US High Yield HP</t>
  </si>
  <si>
    <t>FR0012735306</t>
  </si>
  <si>
    <t>CPR Credixx Active US High Yield I</t>
  </si>
  <si>
    <t>EAA Fund USD High Yield Bond</t>
  </si>
  <si>
    <t>FR0012735298</t>
  </si>
  <si>
    <t>CPR Credixx Active US High Yield P</t>
  </si>
  <si>
    <t>FR0012735272</t>
  </si>
  <si>
    <t>CPR Credixx Global High Yield I</t>
  </si>
  <si>
    <t>FR0010899708</t>
  </si>
  <si>
    <t>CPR Credixx Global High Yield P</t>
  </si>
  <si>
    <t>FR0010926154</t>
  </si>
  <si>
    <t>CPR Credixx Invest Grade P</t>
  </si>
  <si>
    <t>7/141</t>
  </si>
  <si>
    <t>48/107</t>
  </si>
  <si>
    <t>FR0010560177</t>
  </si>
  <si>
    <t>CPR Credixx Invest Grade S</t>
  </si>
  <si>
    <t>FR0010725200</t>
  </si>
  <si>
    <t>CPR Croissance Défensive I</t>
  </si>
  <si>
    <t>FR0010965665</t>
  </si>
  <si>
    <t>CPR Croissance Défensive P</t>
  </si>
  <si>
    <t>FR0010097667</t>
  </si>
  <si>
    <t>CPR Croissance Dynamique I</t>
  </si>
  <si>
    <t>FR0010965129</t>
  </si>
  <si>
    <t>CPR Croissance Dynamique P</t>
  </si>
  <si>
    <t>FR0010097642</t>
  </si>
  <si>
    <t>CPR Croissance Réactive I</t>
  </si>
  <si>
    <t>FR0010965137</t>
  </si>
  <si>
    <t>CPR Croissance Réactive P</t>
  </si>
  <si>
    <t>FR0010097683</t>
  </si>
  <si>
    <t>CPR ES Audace</t>
  </si>
  <si>
    <t>QS0009068428</t>
  </si>
  <si>
    <t>CPR ES Croissance</t>
  </si>
  <si>
    <t>QS0009038249</t>
  </si>
  <si>
    <t>CPR Euro High Dividend I</t>
  </si>
  <si>
    <t>51/119</t>
  </si>
  <si>
    <t>FR0011096585</t>
  </si>
  <si>
    <t>CPR Euro High Dividend O A/I</t>
  </si>
  <si>
    <t>FR0012117422</t>
  </si>
  <si>
    <t>CPR Euro High Dividend P A/I</t>
  </si>
  <si>
    <t>50/83</t>
  </si>
  <si>
    <t>33/63</t>
  </si>
  <si>
    <t>FR0007024047</t>
  </si>
  <si>
    <t>CPR EuroGov LCR I</t>
  </si>
  <si>
    <t>FR0011766500</t>
  </si>
  <si>
    <t>CPR EuroGov+ MT I</t>
  </si>
  <si>
    <t>FR0011768399</t>
  </si>
  <si>
    <t>CPR EuroGov+ MT P</t>
  </si>
  <si>
    <t>FR0007479944</t>
  </si>
  <si>
    <t>CPR Euroland IC</t>
  </si>
  <si>
    <t>FR0010610758</t>
  </si>
  <si>
    <t>CPR Euroland ID</t>
  </si>
  <si>
    <t>FR0011472687</t>
  </si>
  <si>
    <t>CPR Euroland O A/I</t>
  </si>
  <si>
    <t>FR0011536663</t>
  </si>
  <si>
    <t>CPR Euroland P</t>
  </si>
  <si>
    <t>FR0010744532</t>
  </si>
  <si>
    <t>CPR Euroland Premium F</t>
  </si>
  <si>
    <t>FR0011052828</t>
  </si>
  <si>
    <t>CPR Euroland Premium I</t>
  </si>
  <si>
    <t>FR0011052844</t>
  </si>
  <si>
    <t>CPR Euroland Premium P</t>
  </si>
  <si>
    <t>FR0013199981</t>
  </si>
  <si>
    <t>CPR Europe G A/I</t>
  </si>
  <si>
    <t>FR0011271659</t>
  </si>
  <si>
    <t>CPR Europe I</t>
  </si>
  <si>
    <t>209/364</t>
  </si>
  <si>
    <t>72/199</t>
  </si>
  <si>
    <t>FR0010626408</t>
  </si>
  <si>
    <t>CPR Europe Low Carbon I A/I</t>
  </si>
  <si>
    <t>FR0010834432</t>
  </si>
  <si>
    <t>CPR Europe Low Carbon P A/I</t>
  </si>
  <si>
    <t>FR0010834457</t>
  </si>
  <si>
    <t>CPR Europe O A/I</t>
  </si>
  <si>
    <t>FR0010626390</t>
  </si>
  <si>
    <t>CPR Europe P A/I</t>
  </si>
  <si>
    <t>218/350</t>
  </si>
  <si>
    <t>FR0010619916</t>
  </si>
  <si>
    <t>CPR Focus Inflation I</t>
  </si>
  <si>
    <t>FR0010838722</t>
  </si>
  <si>
    <t>CPR Focus Inflation P</t>
  </si>
  <si>
    <t>FR0010832469</t>
  </si>
  <si>
    <t>CPR Focus Inflation US I</t>
  </si>
  <si>
    <t>FR0011607324</t>
  </si>
  <si>
    <t>CPR Focus Inflation US P</t>
  </si>
  <si>
    <t>110/136</t>
  </si>
  <si>
    <t>FR0010323287</t>
  </si>
  <si>
    <t>CPR Focus Inflation US SI</t>
  </si>
  <si>
    <t>FR0013233467</t>
  </si>
  <si>
    <t>CPR Gear Emergents I A/I</t>
  </si>
  <si>
    <t>FR0010922641</t>
  </si>
  <si>
    <t>CPR Gear Emergents P A/I</t>
  </si>
  <si>
    <t>FR0010922633</t>
  </si>
  <si>
    <t>CPR Global Equity All Regime I</t>
  </si>
  <si>
    <t>FR0011630540</t>
  </si>
  <si>
    <t>CPR Global Equity All Regime O A/I</t>
  </si>
  <si>
    <t>FR0010593871</t>
  </si>
  <si>
    <t>CPR Global Equity All Regime P A/I</t>
  </si>
  <si>
    <t>FR0007079975</t>
  </si>
  <si>
    <t>CPR Global Return Bond I</t>
  </si>
  <si>
    <t>FR0011486661</t>
  </si>
  <si>
    <t>CPR Global Return Bond P</t>
  </si>
  <si>
    <t>FR0010325605</t>
  </si>
  <si>
    <t>CPR Global Silver Age E</t>
  </si>
  <si>
    <t>FR0012844140</t>
  </si>
  <si>
    <t>CPR Global Silver Age I A/I</t>
  </si>
  <si>
    <t>FR0012300382</t>
  </si>
  <si>
    <t>CPR Global Silver Age P A/I</t>
  </si>
  <si>
    <t>FR0012300374</t>
  </si>
  <si>
    <t>CPR Invest Defensive A Acc</t>
  </si>
  <si>
    <t>LU1203018533</t>
  </si>
  <si>
    <t>CPR Invest Defensive A Dist</t>
  </si>
  <si>
    <t>LU1203018376</t>
  </si>
  <si>
    <t>CPR Invest Defensive F Acc</t>
  </si>
  <si>
    <t>LU1291159124</t>
  </si>
  <si>
    <t>CPR Invest Defensive I Acc</t>
  </si>
  <si>
    <t>LU1203018707</t>
  </si>
  <si>
    <t>CPR Invest Defensive R Acc</t>
  </si>
  <si>
    <t>LU1530898334</t>
  </si>
  <si>
    <t>CPR Invest Dynamic A Acc</t>
  </si>
  <si>
    <t>LU1203020190</t>
  </si>
  <si>
    <t>CPR Invest Dynamic A Dist</t>
  </si>
  <si>
    <t>LU1203019853</t>
  </si>
  <si>
    <t>CPR Invest Dynamic F Acc</t>
  </si>
  <si>
    <t>LU1291159553</t>
  </si>
  <si>
    <t>CPR Invest Dynamic I Acc</t>
  </si>
  <si>
    <t>LU1203020356</t>
  </si>
  <si>
    <t>CPR Invest Dynamic R Acc</t>
  </si>
  <si>
    <t>LU1530898763</t>
  </si>
  <si>
    <t>CPR Invest Euro High Dividend A Acc</t>
  </si>
  <si>
    <t>LU1203019267</t>
  </si>
  <si>
    <t>CPR Invest Euro High Dividend A Dist</t>
  </si>
  <si>
    <t>187/1155</t>
  </si>
  <si>
    <t>LU1203018962</t>
  </si>
  <si>
    <t>CPR Invest Euro High Dividend F Acc</t>
  </si>
  <si>
    <t>LU1291159470</t>
  </si>
  <si>
    <t>CPR Invest Euro High Dividend I Acc</t>
  </si>
  <si>
    <t>LU1203019697</t>
  </si>
  <si>
    <t>CPR Invest Europe Spec Situations A Acc</t>
  </si>
  <si>
    <t>LU1530900841</t>
  </si>
  <si>
    <t>CPR Invest Europe Spec Situations F Acc</t>
  </si>
  <si>
    <t>LU1565312862</t>
  </si>
  <si>
    <t>CPR Invest Europe Spec Situations I Acc</t>
  </si>
  <si>
    <t>LU1530901146</t>
  </si>
  <si>
    <t>CPR Invest Europe Spec Situations R Acc</t>
  </si>
  <si>
    <t>LU1530901229</t>
  </si>
  <si>
    <t>CPR Invest Glbl Disruptive Opp A Acc</t>
  </si>
  <si>
    <t>LU1530899142</t>
  </si>
  <si>
    <t>CPR Invest Glbl Disruptive Opp A USD Acc</t>
  </si>
  <si>
    <t>LU1530899498</t>
  </si>
  <si>
    <t>CPR Invest Glbl Disruptive Opp F Acc</t>
  </si>
  <si>
    <t>LU1565312433</t>
  </si>
  <si>
    <t>CPR Invest Glbl Disruptive Opp I Acc</t>
  </si>
  <si>
    <t>LU1530899811</t>
  </si>
  <si>
    <t>CPR Invest Glbl Disruptive Opp I USD Acc</t>
  </si>
  <si>
    <t>LU1530900098</t>
  </si>
  <si>
    <t>CPR Invest Glbl Disruptive Opp R Acc</t>
  </si>
  <si>
    <t>LU1530900684</t>
  </si>
  <si>
    <t>CPR Invest Glbl Silver Age A Acc</t>
  </si>
  <si>
    <t>LU1291158233</t>
  </si>
  <si>
    <t>CPR Invest Glbl Silver Age A CZKH Acc</t>
  </si>
  <si>
    <t>LU1425272355</t>
  </si>
  <si>
    <t>CPR Invest Glbl Silver Age A Dist</t>
  </si>
  <si>
    <t>LU1291158407</t>
  </si>
  <si>
    <t>CPR Invest Glbl Silver Age A USD Acc</t>
  </si>
  <si>
    <t>LU1425272603</t>
  </si>
  <si>
    <t>CPR Invest Glbl Silver Age F Acc</t>
  </si>
  <si>
    <t>LU1291158589</t>
  </si>
  <si>
    <t>CPR Invest Glbl Silver Age I Acc</t>
  </si>
  <si>
    <t>LU1291158316</t>
  </si>
  <si>
    <t>CPR Invest Glbl Silver Age I GBP Acc</t>
  </si>
  <si>
    <t>LU1425272785</t>
  </si>
  <si>
    <t>CPR Invest Reactive A Acc</t>
  </si>
  <si>
    <t>LU1103787690</t>
  </si>
  <si>
    <t>CPR Invest Reactive A Dist</t>
  </si>
  <si>
    <t>LU1203020943</t>
  </si>
  <si>
    <t>CPR Invest Reactive F Acc</t>
  </si>
  <si>
    <t>LU1291159637</t>
  </si>
  <si>
    <t>CPR Invest Reactive I Acc</t>
  </si>
  <si>
    <t>LU1103787930</t>
  </si>
  <si>
    <t>CPR Invest Reactive R Acc</t>
  </si>
  <si>
    <t>LU1530898177</t>
  </si>
  <si>
    <t>CPR Invest Silver Age A Acc</t>
  </si>
  <si>
    <t>LU1103786700</t>
  </si>
  <si>
    <t>CPR Invest Silver Age A Dist</t>
  </si>
  <si>
    <t>LU1203020513</t>
  </si>
  <si>
    <t>CPR Invest Silver Age A2 SGDH Acc</t>
  </si>
  <si>
    <t>LU1291160056</t>
  </si>
  <si>
    <t>CPR Invest Silver Age A2 USDH Acc</t>
  </si>
  <si>
    <t>LU1291159983</t>
  </si>
  <si>
    <t>CPR Invest Silver Age F Acc</t>
  </si>
  <si>
    <t>LU1291159710</t>
  </si>
  <si>
    <t>CPR Invest Silver Age I Acc</t>
  </si>
  <si>
    <t>LU1103787187</t>
  </si>
  <si>
    <t>CPR Japon H-I EUR</t>
  </si>
  <si>
    <t>FR0011132364</t>
  </si>
  <si>
    <t>CPR Japon H-P EUR</t>
  </si>
  <si>
    <t>FR0011597459</t>
  </si>
  <si>
    <t>CPR Japon I</t>
  </si>
  <si>
    <t>FR0010477836</t>
  </si>
  <si>
    <t>CPR Japon O A/I</t>
  </si>
  <si>
    <t>FR0012117455</t>
  </si>
  <si>
    <t>CPR Japon P</t>
  </si>
  <si>
    <t>FR0010469312</t>
  </si>
  <si>
    <t>CPR Middle-Cap France E</t>
  </si>
  <si>
    <t>111/170</t>
  </si>
  <si>
    <t>48/99</t>
  </si>
  <si>
    <t>FR0010917633</t>
  </si>
  <si>
    <t>CPR Middle-Cap France I A/I</t>
  </si>
  <si>
    <t>FR0012601169</t>
  </si>
  <si>
    <t>CPR Middle-Cap France O A/I</t>
  </si>
  <si>
    <t>FR0012117430</t>
  </si>
  <si>
    <t>CPR Middle-Cap France P</t>
  </si>
  <si>
    <t>FR0010565366</t>
  </si>
  <si>
    <t>CPR Moné Carry I</t>
  </si>
  <si>
    <t>66/546</t>
  </si>
  <si>
    <t>FR0011982669</t>
  </si>
  <si>
    <t>CPR Moné Carry P</t>
  </si>
  <si>
    <t>FR0010706879</t>
  </si>
  <si>
    <t>CPR Monétaire SR I</t>
  </si>
  <si>
    <t>FR0010979278</t>
  </si>
  <si>
    <t>CPR Monétaire SR P</t>
  </si>
  <si>
    <t>FR0010745216</t>
  </si>
  <si>
    <t>CPR Oblig 12 Mois I</t>
  </si>
  <si>
    <t>FR0010934042</t>
  </si>
  <si>
    <t>CPR Oblig 12 Mois P</t>
  </si>
  <si>
    <t>47/253</t>
  </si>
  <si>
    <t>FR0010304089</t>
  </si>
  <si>
    <t>CPR Oblig 24 Mois I</t>
  </si>
  <si>
    <t>147/586</t>
  </si>
  <si>
    <t>99/553</t>
  </si>
  <si>
    <t>FR0011525542</t>
  </si>
  <si>
    <t>CPR Oblig 24 mois P</t>
  </si>
  <si>
    <t>148/586</t>
  </si>
  <si>
    <t>FR0011945971</t>
  </si>
  <si>
    <t>CPR Oblig 6 Mois I</t>
  </si>
  <si>
    <t>FR0013215803</t>
  </si>
  <si>
    <t>CPR Patrimoine Solidaire A/I</t>
  </si>
  <si>
    <t>FR0010931584</t>
  </si>
  <si>
    <t>CPR Reflex Solidaire P A/I</t>
  </si>
  <si>
    <t>FR0010931576</t>
  </si>
  <si>
    <t>CPR Reflex Stratédis 0-100 I A/I</t>
  </si>
  <si>
    <t>FR0011144088</t>
  </si>
  <si>
    <t>CPR Reflex Stratédis 0-100 P A/I</t>
  </si>
  <si>
    <t>FR0011144070</t>
  </si>
  <si>
    <t>CPR Silver Age E</t>
  </si>
  <si>
    <t>FR0010917658</t>
  </si>
  <si>
    <t>CPR Silver Age I A/I</t>
  </si>
  <si>
    <t>185/343</t>
  </si>
  <si>
    <t>FR0010838284</t>
  </si>
  <si>
    <t>CPR Silver Age P A/I</t>
  </si>
  <si>
    <t>175/273</t>
  </si>
  <si>
    <t>FR0010836163</t>
  </si>
  <si>
    <t>CPR Stratédis C</t>
  </si>
  <si>
    <t>FR0000296436</t>
  </si>
  <si>
    <t>CPR USA H-G EUR A/I</t>
  </si>
  <si>
    <t>FR0013053816</t>
  </si>
  <si>
    <t>CPR USA H-P EUR</t>
  </si>
  <si>
    <t>349/787</t>
  </si>
  <si>
    <t>FR0013053790</t>
  </si>
  <si>
    <t>CPR USA I</t>
  </si>
  <si>
    <t>FR0010507913</t>
  </si>
  <si>
    <t>CPR USA O A/I</t>
  </si>
  <si>
    <t>FR0010593830</t>
  </si>
  <si>
    <t>CPR USA P</t>
  </si>
  <si>
    <t>FR0010501858</t>
  </si>
  <si>
    <t>Danone.Communities D.ISR Prudent A/I</t>
  </si>
  <si>
    <t>FR0010439935</t>
  </si>
  <si>
    <t>Danone.Communities Invtmt Rspn S1 A/I</t>
  </si>
  <si>
    <t>106/431</t>
  </si>
  <si>
    <t>FR0010439943</t>
  </si>
  <si>
    <t>Danone.Communities Invtmt Rspn S2 A/I</t>
  </si>
  <si>
    <t>FR0010440164</t>
  </si>
  <si>
    <t>Danone.Communities Invtmt Rspn S3 A/I</t>
  </si>
  <si>
    <t>FR0010440156</t>
  </si>
  <si>
    <t>Darwin Diversifié 0-20 C</t>
  </si>
  <si>
    <t>FR0010551689</t>
  </si>
  <si>
    <t>Darwin Diversifié 20-40 C</t>
  </si>
  <si>
    <t>FR0010551697</t>
  </si>
  <si>
    <t>Darwin Diversifié 40-60 C</t>
  </si>
  <si>
    <t>FR0010551705</t>
  </si>
  <si>
    <t>Darwin Diversifié 60-80 C</t>
  </si>
  <si>
    <t>775/1155</t>
  </si>
  <si>
    <t>FR0010551424</t>
  </si>
  <si>
    <t>Darwin Diversifié 80-100 C</t>
  </si>
  <si>
    <t>FR0010551457</t>
  </si>
  <si>
    <t>Egépargne Actions ISR</t>
  </si>
  <si>
    <t>Egépargne Sécurité</t>
  </si>
  <si>
    <t>Emérite 2 Echu C</t>
  </si>
  <si>
    <t>377/891</t>
  </si>
  <si>
    <t>FR0010922658</t>
  </si>
  <si>
    <t>Emporiki Protected Fund Midas VI A/I</t>
  </si>
  <si>
    <t>FR0011023597</t>
  </si>
  <si>
    <t>Enium</t>
  </si>
  <si>
    <t>FR0010752972</t>
  </si>
  <si>
    <t>Epargne Brio Quotidien C</t>
  </si>
  <si>
    <t>FR0007439781</t>
  </si>
  <si>
    <t>Epargne Libre Carrefour C</t>
  </si>
  <si>
    <t>FR0000430969</t>
  </si>
  <si>
    <t>Epargne Oblig Euro C</t>
  </si>
  <si>
    <t>FR0007080387</t>
  </si>
  <si>
    <t>Etoile Actions France C</t>
  </si>
  <si>
    <t>FR0010361279</t>
  </si>
  <si>
    <t>Etoile Actions France D</t>
  </si>
  <si>
    <t>FR0010383745</t>
  </si>
  <si>
    <t>Etoile Actions Internationales A/I</t>
  </si>
  <si>
    <t>FR0013197605</t>
  </si>
  <si>
    <t>106/177</t>
  </si>
  <si>
    <t>FR0010501684</t>
  </si>
  <si>
    <t>Etoile Actions Rendement C</t>
  </si>
  <si>
    <t>FR0011082023</t>
  </si>
  <si>
    <t>Etoile Actions Rendement D</t>
  </si>
  <si>
    <t>FR0010501676</t>
  </si>
  <si>
    <t>Etoile Actions Styles</t>
  </si>
  <si>
    <t>FR0010194464</t>
  </si>
  <si>
    <t>Etoile Actions US C</t>
  </si>
  <si>
    <t>FR0010540906</t>
  </si>
  <si>
    <t>Etoile Asie Pacifique C</t>
  </si>
  <si>
    <t>FR0000281503</t>
  </si>
  <si>
    <t>Etoile Assurance Europe</t>
  </si>
  <si>
    <t>EAA Fund Sector Equity Financial Services</t>
  </si>
  <si>
    <t>FR0010540922</t>
  </si>
  <si>
    <t>Etoile Banque Europe C</t>
  </si>
  <si>
    <t>FR0010540948</t>
  </si>
  <si>
    <t>Etoile Cliquet 90 I</t>
  </si>
  <si>
    <t>FR0012097244</t>
  </si>
  <si>
    <t>Etoile Cliquet 90 P</t>
  </si>
  <si>
    <t>FR0010931147</t>
  </si>
  <si>
    <t>Etoile Consommation Europe C</t>
  </si>
  <si>
    <t>FR0010540963</t>
  </si>
  <si>
    <t>Etoile Convertibles C</t>
  </si>
  <si>
    <t>EAA Fund Convertible Bond - Global</t>
  </si>
  <si>
    <t>41/43</t>
  </si>
  <si>
    <t>FR0013197613</t>
  </si>
  <si>
    <t>Etoile Développement Durable</t>
  </si>
  <si>
    <t>FR0010502088</t>
  </si>
  <si>
    <t>Etoile Energie Europe C</t>
  </si>
  <si>
    <t>EAA Fund Sector Equity Energy</t>
  </si>
  <si>
    <t>8/241</t>
  </si>
  <si>
    <t>FR0010541086</t>
  </si>
  <si>
    <t>Etoile Euro Actions 02/2022 C</t>
  </si>
  <si>
    <t>FR0013053568</t>
  </si>
  <si>
    <t>Etoile Euro Actions 03/2021 C</t>
  </si>
  <si>
    <t>6/926</t>
  </si>
  <si>
    <t>FR0012333276</t>
  </si>
  <si>
    <t>FR0013218468</t>
  </si>
  <si>
    <t>Etoile Euro Actions 05/2022 C</t>
  </si>
  <si>
    <t>FR0013096328</t>
  </si>
  <si>
    <t>Etoile Euro Actions 07/2021 C</t>
  </si>
  <si>
    <t>FR0012663532</t>
  </si>
  <si>
    <t>Etoile Euro Actions 10/2021 C</t>
  </si>
  <si>
    <t>12/926</t>
  </si>
  <si>
    <t>FR0012807246</t>
  </si>
  <si>
    <t>Etoile Euro Actions 11/2022 C</t>
  </si>
  <si>
    <t>FR0013186533</t>
  </si>
  <si>
    <t>Etoile Garanti Avril 2018</t>
  </si>
  <si>
    <t>FR0010853234</t>
  </si>
  <si>
    <t>Etoile Garanti Février 2020</t>
  </si>
  <si>
    <t>FR0011147115</t>
  </si>
  <si>
    <t>Etoile Garanti Juillet 2018</t>
  </si>
  <si>
    <t>FR0010883025</t>
  </si>
  <si>
    <t>Etoile Génération 2015-2019</t>
  </si>
  <si>
    <t>EAA Fund Target Date 2016 - 2020</t>
  </si>
  <si>
    <t>40/48</t>
  </si>
  <si>
    <t>13/48</t>
  </si>
  <si>
    <t>30/48</t>
  </si>
  <si>
    <t>43/48</t>
  </si>
  <si>
    <t>26/41</t>
  </si>
  <si>
    <t>31/33</t>
  </si>
  <si>
    <t>QS0002978151</t>
  </si>
  <si>
    <t>Etoile Génération 2020-2025</t>
  </si>
  <si>
    <t>EAA Fund Target Date 2021 - 2025</t>
  </si>
  <si>
    <t>21/70</t>
  </si>
  <si>
    <t>QS0002978169</t>
  </si>
  <si>
    <t>Etoile Génération Long Terme</t>
  </si>
  <si>
    <t>QS0002978177</t>
  </si>
  <si>
    <t>Etoile Horizon 18 Mois C</t>
  </si>
  <si>
    <t>FR0007010186</t>
  </si>
  <si>
    <t>Etoile Industrie Europe</t>
  </si>
  <si>
    <t>EAA Fund Sector Equity Industrial Materials</t>
  </si>
  <si>
    <t>24/82</t>
  </si>
  <si>
    <t>FR0010541094</t>
  </si>
  <si>
    <t>Etoile Jour Access</t>
  </si>
  <si>
    <t>FR0013202538</t>
  </si>
  <si>
    <t>Etoile Jour Carpa</t>
  </si>
  <si>
    <t>FR0013202579</t>
  </si>
  <si>
    <t>Etoile Jour Maaf</t>
  </si>
  <si>
    <t>FR0013202553</t>
  </si>
  <si>
    <t>Etoile Jour Maître A/I</t>
  </si>
  <si>
    <t>98/411</t>
  </si>
  <si>
    <t>FR0013202595</t>
  </si>
  <si>
    <t>Etoile Jour Premium</t>
  </si>
  <si>
    <t>106/407</t>
  </si>
  <si>
    <t>FR0013202587</t>
  </si>
  <si>
    <t>Etoile Jour Primo</t>
  </si>
  <si>
    <t>FR0013202561</t>
  </si>
  <si>
    <t>Etoile Jour Select</t>
  </si>
  <si>
    <t>FR0013202546</t>
  </si>
  <si>
    <t>Etoile Matières Premières</t>
  </si>
  <si>
    <t>FR0013210887</t>
  </si>
  <si>
    <t>Etoile Multi Gestion Actifs IC</t>
  </si>
  <si>
    <t>FR0012686343</t>
  </si>
  <si>
    <t>Etoile Multi Gestion Actifs PC</t>
  </si>
  <si>
    <t>FR0010541193</t>
  </si>
  <si>
    <t>Etoile Multi Gestion Actifs Plus C</t>
  </si>
  <si>
    <t>FR0010540831</t>
  </si>
  <si>
    <t>Etoile Multi Gestion Etats-Unis C</t>
  </si>
  <si>
    <t>49/161</t>
  </si>
  <si>
    <t>FR0010541425</t>
  </si>
  <si>
    <t>Etoile Multi Gestion Europe C</t>
  </si>
  <si>
    <t>FR0010540856</t>
  </si>
  <si>
    <t>Etoile Multi Gestion France C</t>
  </si>
  <si>
    <t>FR0011482074</t>
  </si>
  <si>
    <t>Etoile Multi Gestion Monde C</t>
  </si>
  <si>
    <t>FR0010233270</t>
  </si>
  <si>
    <t>Etoile Multi Gestion USA Couvert</t>
  </si>
  <si>
    <t>FR0013112745</t>
  </si>
  <si>
    <t>Etoile Multi Gestion USA P</t>
  </si>
  <si>
    <t>FR0010241281</t>
  </si>
  <si>
    <t>Etoile Obli 1-3 Ans C</t>
  </si>
  <si>
    <t>FR0013030061</t>
  </si>
  <si>
    <t>Etoile Obli 3-7 Ans C</t>
  </si>
  <si>
    <t>FR0013030079</t>
  </si>
  <si>
    <t>Etoile Obli 7 Ans et +</t>
  </si>
  <si>
    <t>EAA Fund EUR Bond - Long Term</t>
  </si>
  <si>
    <t>5/89</t>
  </si>
  <si>
    <t>49/65</t>
  </si>
  <si>
    <t>FR0010541235</t>
  </si>
  <si>
    <t>Etoile Obli Taux Plus C</t>
  </si>
  <si>
    <t>FR0010274282</t>
  </si>
  <si>
    <t>Etoile Oblig Opportunités C</t>
  </si>
  <si>
    <t>11/25</t>
  </si>
  <si>
    <t>FR0012951101</t>
  </si>
  <si>
    <t>Etoile Patrimoine 20 C</t>
  </si>
  <si>
    <t>FR0010501569</t>
  </si>
  <si>
    <t>Etoile Patrimoine 20 D</t>
  </si>
  <si>
    <t>568/692</t>
  </si>
  <si>
    <t>FR0010501585</t>
  </si>
  <si>
    <t>Etoile Patrimoine 50 C</t>
  </si>
  <si>
    <t>FR0010501593</t>
  </si>
  <si>
    <t>Etoile Patrimoine 50 D</t>
  </si>
  <si>
    <t>FR0010501601</t>
  </si>
  <si>
    <t>Etoile Patrimoine 70 C</t>
  </si>
  <si>
    <t>FR0010501619</t>
  </si>
  <si>
    <t>Etoile Patrimoine 70 D</t>
  </si>
  <si>
    <t>FR0010501627</t>
  </si>
  <si>
    <t>Etoile PEA Octobre 2019</t>
  </si>
  <si>
    <t>FR0011062231</t>
  </si>
  <si>
    <t>Etoile PEA Sérénité C</t>
  </si>
  <si>
    <t>36/36</t>
  </si>
  <si>
    <t>33/36</t>
  </si>
  <si>
    <t>28/31</t>
  </si>
  <si>
    <t>20/25</t>
  </si>
  <si>
    <t>FR0007011895</t>
  </si>
  <si>
    <t>Etoile PME C</t>
  </si>
  <si>
    <t>22/99</t>
  </si>
  <si>
    <t>FR0011637115</t>
  </si>
  <si>
    <t>Etoile Santé Europe</t>
  </si>
  <si>
    <t>EAA Fund Sector Equity Healthcare</t>
  </si>
  <si>
    <t>FR0010541284</t>
  </si>
  <si>
    <t>Etoile Sectorielle Europe I</t>
  </si>
  <si>
    <t>FR0010127555</t>
  </si>
  <si>
    <t>Etoile Sectorielle Europe P</t>
  </si>
  <si>
    <t>FR0010115436</t>
  </si>
  <si>
    <t>Etoile Sélection Développement Durable</t>
  </si>
  <si>
    <t>QS0002978284</t>
  </si>
  <si>
    <t>Etoile Sélection Harmonie</t>
  </si>
  <si>
    <t>Etoile Sélection Monétaire</t>
  </si>
  <si>
    <t>QS0002978425</t>
  </si>
  <si>
    <t>Etoile Sélection Multi Gestion</t>
  </si>
  <si>
    <t>QS0002978292</t>
  </si>
  <si>
    <t>Etoile Sélection Opportunités</t>
  </si>
  <si>
    <t>75/1016</t>
  </si>
  <si>
    <t>Etoile Sélection Patrimoine</t>
  </si>
  <si>
    <t>QS0002978557</t>
  </si>
  <si>
    <t>Etoile Stratégie Taux</t>
  </si>
  <si>
    <t>FR0010541250</t>
  </si>
  <si>
    <t>Etoile TMT Europe</t>
  </si>
  <si>
    <t>EAA Fund Sector Equity Communications</t>
  </si>
  <si>
    <t>1/57</t>
  </si>
  <si>
    <t>2/55</t>
  </si>
  <si>
    <t>7/42</t>
  </si>
  <si>
    <t>FR0010541185</t>
  </si>
  <si>
    <t>Etoile Trésorerie Access</t>
  </si>
  <si>
    <t>FR0011443886</t>
  </si>
  <si>
    <t>Etoile Trésorerie Primo</t>
  </si>
  <si>
    <t>306/539</t>
  </si>
  <si>
    <t>FR0011445931</t>
  </si>
  <si>
    <t>Etoile Trésorerie Sélect</t>
  </si>
  <si>
    <t>FR0011445923</t>
  </si>
  <si>
    <t>Etoile Valeurs Moyennes C</t>
  </si>
  <si>
    <t>102/166</t>
  </si>
  <si>
    <t>27/84</t>
  </si>
  <si>
    <t>FR0010148346</t>
  </si>
  <si>
    <t>Euroarradi SICAV</t>
  </si>
  <si>
    <t>ES0169532035</t>
  </si>
  <si>
    <t>Europportunity Bond A</t>
  </si>
  <si>
    <t>EAA Fund Emerging Europe Bond</t>
  </si>
  <si>
    <t>77/84</t>
  </si>
  <si>
    <t>51/84</t>
  </si>
  <si>
    <t>64/82</t>
  </si>
  <si>
    <t>65/66</t>
  </si>
  <si>
    <t>AT0000726070</t>
  </si>
  <si>
    <t>Europportunity Bond T</t>
  </si>
  <si>
    <t>78/84</t>
  </si>
  <si>
    <t>43/84</t>
  </si>
  <si>
    <t>64/66</t>
  </si>
  <si>
    <t>AT0000726088</t>
  </si>
  <si>
    <t>Expansia Vie</t>
  </si>
  <si>
    <t>FR0010840520</t>
  </si>
  <si>
    <t>Expansia Vie 2</t>
  </si>
  <si>
    <t>FR0010867754</t>
  </si>
  <si>
    <t>Expansia Vie 3</t>
  </si>
  <si>
    <t>FR0010893453</t>
  </si>
  <si>
    <t>Expansia Vie 4</t>
  </si>
  <si>
    <t>FR0010922666</t>
  </si>
  <si>
    <t>FCP Indosuez Bonds C</t>
  </si>
  <si>
    <t>154/177</t>
  </si>
  <si>
    <t>56/157</t>
  </si>
  <si>
    <t>FR0011032747</t>
  </si>
  <si>
    <t>FCP Indosuez Bonds D</t>
  </si>
  <si>
    <t>155/177</t>
  </si>
  <si>
    <t>166/170</t>
  </si>
  <si>
    <t>FR0011033968</t>
  </si>
  <si>
    <t>FCPI Innovation 12 A A/I</t>
  </si>
  <si>
    <t>FR0011098581</t>
  </si>
  <si>
    <t>FCPI Innovation 13 A1 A/I</t>
  </si>
  <si>
    <t>FR0011206895</t>
  </si>
  <si>
    <t>FCPI Innovation 13 A2 A/I</t>
  </si>
  <si>
    <t>FR0011230671</t>
  </si>
  <si>
    <t>FCPI Investissement 3 A A/I</t>
  </si>
  <si>
    <t>FR0011015361</t>
  </si>
  <si>
    <t>FDA 1 O A/I</t>
  </si>
  <si>
    <t>FR0011001015</t>
  </si>
  <si>
    <t>FDA 11 O A/I</t>
  </si>
  <si>
    <t>EAA Fund Alt - Long/Short Equity - Global</t>
  </si>
  <si>
    <t>FR0011001494</t>
  </si>
  <si>
    <t>FDA 12 O A/I</t>
  </si>
  <si>
    <t>EAA Fund Alt - Long/Short Equity - Europe</t>
  </si>
  <si>
    <t>FR0011015429</t>
  </si>
  <si>
    <t>EAA Fund Alt - Long/Short Equity - US</t>
  </si>
  <si>
    <t>FR0010998385</t>
  </si>
  <si>
    <t>FDA 17 O A/I</t>
  </si>
  <si>
    <t>EAA Fund Alt - Long/Short Debt</t>
  </si>
  <si>
    <t>316/661</t>
  </si>
  <si>
    <t>FR0011038405</t>
  </si>
  <si>
    <t>FDA 18 O A/I</t>
  </si>
  <si>
    <t>FR0011001940</t>
  </si>
  <si>
    <t>FDA 2 O A/I</t>
  </si>
  <si>
    <t>FR0011001965</t>
  </si>
  <si>
    <t>FDA 21 O A/I</t>
  </si>
  <si>
    <t>EAA Fund Alt - Long/Short Equity - Emerging Markets</t>
  </si>
  <si>
    <t>25/97</t>
  </si>
  <si>
    <t>FR0011055870</t>
  </si>
  <si>
    <t>FDA 7 O A/I</t>
  </si>
  <si>
    <t>34/94</t>
  </si>
  <si>
    <t>FR0011056118</t>
  </si>
  <si>
    <t>FDA RE O C/D</t>
  </si>
  <si>
    <t>FR0011001981</t>
  </si>
  <si>
    <t>FDC A1 O A/I</t>
  </si>
  <si>
    <t>FR0010988105</t>
  </si>
  <si>
    <t>FDC A2 P A/I</t>
  </si>
  <si>
    <t>FR0010827824</t>
  </si>
  <si>
    <t>FDC A3 P A/I</t>
  </si>
  <si>
    <t>FR0010850503</t>
  </si>
  <si>
    <t>FDC Opportunités O A/I</t>
  </si>
  <si>
    <t>FR0010988121</t>
  </si>
  <si>
    <t>FIP Amundi France Dévelop. 2015 A1 A/I</t>
  </si>
  <si>
    <t>FR0012538080</t>
  </si>
  <si>
    <t>FIP</t>
  </si>
  <si>
    <t>FIP Amundi France Dévelop. 2015 A2 A/I</t>
  </si>
  <si>
    <t>FR0012658367</t>
  </si>
  <si>
    <t>FIP Avenir Décolletage A A/I</t>
  </si>
  <si>
    <t>FR0010990119</t>
  </si>
  <si>
    <t>FIP Axe Croissance A1 A/I</t>
  </si>
  <si>
    <t>FR0011204734</t>
  </si>
  <si>
    <t>FIP Axe Croissance A2 A/I</t>
  </si>
  <si>
    <t>FR0011230697</t>
  </si>
  <si>
    <t>FIP Axe Ouest 2 A A/I</t>
  </si>
  <si>
    <t>FR0011015437</t>
  </si>
  <si>
    <t>FIP Axe Ouest A A/I</t>
  </si>
  <si>
    <t>FR0010867234</t>
  </si>
  <si>
    <t>FIP Axe Sud 2 A A/I</t>
  </si>
  <si>
    <t>FR0011015452</t>
  </si>
  <si>
    <t>FIP Axe Sud A A/I</t>
  </si>
  <si>
    <t>FR0010867275</t>
  </si>
  <si>
    <t>FIP Façade Atlantique A1 A/I</t>
  </si>
  <si>
    <t>FR0011204767</t>
  </si>
  <si>
    <t>FIP Façade Atlantique A2 A/I</t>
  </si>
  <si>
    <t>FR0011230937</t>
  </si>
  <si>
    <t>FIP Midi-Alpes A1 A/I</t>
  </si>
  <si>
    <t>FR0011205400</t>
  </si>
  <si>
    <t>FIP Midi-Alpes A2 A/I</t>
  </si>
  <si>
    <t>FR0011230945</t>
  </si>
  <si>
    <t>FIP Régions Ouest A A/I</t>
  </si>
  <si>
    <t>FR0011098847</t>
  </si>
  <si>
    <t>FIP Régions Sud A A/I</t>
  </si>
  <si>
    <t>FR0011098870</t>
  </si>
  <si>
    <t>370/838</t>
  </si>
  <si>
    <t>First Eagle Amundi Income Builder A2U-MD</t>
  </si>
  <si>
    <t>LU1412470004</t>
  </si>
  <si>
    <t>First Eagle Amundi Income Builder AE-QD</t>
  </si>
  <si>
    <t>LU1095739733</t>
  </si>
  <si>
    <t>First Eagle Amundi Income Builder AHE-C</t>
  </si>
  <si>
    <t>LU1095740236</t>
  </si>
  <si>
    <t>First Eagle Amundi Income Builder AHE-QD</t>
  </si>
  <si>
    <t>LU1095740319</t>
  </si>
  <si>
    <t>First Eagle Amundi Income Builder AHG-QD</t>
  </si>
  <si>
    <t>LU1095740400</t>
  </si>
  <si>
    <t>First Eagle Amundi Income Builder AHK-C</t>
  </si>
  <si>
    <t>LU1150488481</t>
  </si>
  <si>
    <t>First Eagle Amundi Income Builder AHS-MD</t>
  </si>
  <si>
    <t>LU1150488135</t>
  </si>
  <si>
    <t>First Eagle Amundi Income Builder AS-C</t>
  </si>
  <si>
    <t>LU1332727632</t>
  </si>
  <si>
    <t>First Eagle Amundi Income Builder AS-MD</t>
  </si>
  <si>
    <t>LU1332727715</t>
  </si>
  <si>
    <t>First Eagle Amundi Income Builder AU-C</t>
  </si>
  <si>
    <t>LU1095739816</t>
  </si>
  <si>
    <t>First Eagle Amundi Income Builder AU-QD</t>
  </si>
  <si>
    <t>LU1095739907</t>
  </si>
  <si>
    <t>First Eagle Amundi Income Builder AU2-MD</t>
  </si>
  <si>
    <t>LU1150488218</t>
  </si>
  <si>
    <t>First Eagle Amundi Income Builder FE-QD</t>
  </si>
  <si>
    <t>LU1095740665</t>
  </si>
  <si>
    <t>First Eagle Amundi Income Builder FHE-C</t>
  </si>
  <si>
    <t>LU1150488721</t>
  </si>
  <si>
    <t>First Eagle Amundi Income Builder FHE-QD</t>
  </si>
  <si>
    <t>LU1095740749</t>
  </si>
  <si>
    <t>First Eagle Amundi Income Builder FU-C</t>
  </si>
  <si>
    <t>LU1150488994</t>
  </si>
  <si>
    <t>First Eagle Amundi Income Builder FU-MD</t>
  </si>
  <si>
    <t>LU1150489299</t>
  </si>
  <si>
    <t>First Eagle Amundi Income Builder FU-QD</t>
  </si>
  <si>
    <t>LU1150488309</t>
  </si>
  <si>
    <t>First Eagle Amundi Income Builder IHE-C</t>
  </si>
  <si>
    <t>LU1230590934</t>
  </si>
  <si>
    <t>First Eagle Amundi Income Builder IHE-QD</t>
  </si>
  <si>
    <t>LU1095741556</t>
  </si>
  <si>
    <t>First Eagle Amundi Income Builder IU-C</t>
  </si>
  <si>
    <t>367/838</t>
  </si>
  <si>
    <t>LU1150489372</t>
  </si>
  <si>
    <t>First Eagle Amundi Income Builder IU-QD</t>
  </si>
  <si>
    <t>LU1095741473</t>
  </si>
  <si>
    <t>First Eagle Amundi International AE-C</t>
  </si>
  <si>
    <t>LU0565135745</t>
  </si>
  <si>
    <t>First Eagle Amundi International AE-QD</t>
  </si>
  <si>
    <t>LU0565419693</t>
  </si>
  <si>
    <t>First Eagle Amundi International AHC-C</t>
  </si>
  <si>
    <t>EAA Fund CHF Aggressive Allocation</t>
  </si>
  <si>
    <t>LU0650092850</t>
  </si>
  <si>
    <t>First Eagle Amundi International AHE-C</t>
  </si>
  <si>
    <t>LU0433182416</t>
  </si>
  <si>
    <t>First Eagle Amundi International AHE-QD</t>
  </si>
  <si>
    <t>LU0565134938</t>
  </si>
  <si>
    <t>First Eagle Amundi International AHG-C</t>
  </si>
  <si>
    <t>LU0565135232</t>
  </si>
  <si>
    <t>First Eagle Amundi International AHG-QD</t>
  </si>
  <si>
    <t>LU0565135406</t>
  </si>
  <si>
    <t>First Eagle Amundi International AHK-C</t>
  </si>
  <si>
    <t>LU1095742109</t>
  </si>
  <si>
    <t>First Eagle Amundi International AHS-C</t>
  </si>
  <si>
    <t>LU0985489474</t>
  </si>
  <si>
    <t>First Eagle Amundi International AHS-MD</t>
  </si>
  <si>
    <t>LU1489326972</t>
  </si>
  <si>
    <t>First Eagle Amundi International AHS-QD</t>
  </si>
  <si>
    <t>LU0878866978</t>
  </si>
  <si>
    <t>First Eagle Amundi International AS-C</t>
  </si>
  <si>
    <t>LU0433182093</t>
  </si>
  <si>
    <t>First Eagle Amundi International AU-C</t>
  </si>
  <si>
    <t>LU0068578508</t>
  </si>
  <si>
    <t>First Eagle Amundi International AU2-C</t>
  </si>
  <si>
    <t>LU0433181954</t>
  </si>
  <si>
    <t>First Eagle Amundi International FA-C</t>
  </si>
  <si>
    <t>LU1095741986</t>
  </si>
  <si>
    <t>First Eagle Amundi International FA-MD</t>
  </si>
  <si>
    <t>LU1095742018</t>
  </si>
  <si>
    <t>First Eagle Amundi International FE-C</t>
  </si>
  <si>
    <t>LU0565136552</t>
  </si>
  <si>
    <t>First Eagle Amundi International FHE-C</t>
  </si>
  <si>
    <t>LU0433182689</t>
  </si>
  <si>
    <t>First Eagle Amundi International FU-C</t>
  </si>
  <si>
    <t>LU0181962126</t>
  </si>
  <si>
    <t>First Eagle Amundi International FU-MD</t>
  </si>
  <si>
    <t>LU1095741804</t>
  </si>
  <si>
    <t>First Eagle Amundi International IE-C</t>
  </si>
  <si>
    <t>LU0565136040</t>
  </si>
  <si>
    <t>First Eagle Amundi International IHC-C</t>
  </si>
  <si>
    <t>LU0650093072</t>
  </si>
  <si>
    <t>First Eagle Amundi International IHE-C</t>
  </si>
  <si>
    <t>LU0433182507</t>
  </si>
  <si>
    <t>First Eagle Amundi International IHG-C</t>
  </si>
  <si>
    <t>LU0565136396</t>
  </si>
  <si>
    <t>First Eagle Amundi International IU-C</t>
  </si>
  <si>
    <t>LU0433182176</t>
  </si>
  <si>
    <t>First Eagle Amundi International IU2-C</t>
  </si>
  <si>
    <t>LU0433182259</t>
  </si>
  <si>
    <t>First Eagle Amundi International RE-C</t>
  </si>
  <si>
    <t>LU0878867430</t>
  </si>
  <si>
    <t>First Eagle Amundi International RHC-C</t>
  </si>
  <si>
    <t>17/135</t>
  </si>
  <si>
    <t>90/114</t>
  </si>
  <si>
    <t>LU1332727129</t>
  </si>
  <si>
    <t>First Eagle Amundi International RHE-C</t>
  </si>
  <si>
    <t>LU0878867869</t>
  </si>
  <si>
    <t>First Eagle Amundi International RHE-QD</t>
  </si>
  <si>
    <t>LU0878867943</t>
  </si>
  <si>
    <t>First Eagle Amundi International RU-C</t>
  </si>
  <si>
    <t>LU0878867604</t>
  </si>
  <si>
    <t>First Eagle Amundi International RU-QD</t>
  </si>
  <si>
    <t>LU0878867786</t>
  </si>
  <si>
    <t>First Eagle Amundi International XHG-C</t>
  </si>
  <si>
    <t>LU0716329387</t>
  </si>
  <si>
    <t>First Eagle Amundi International XU-C</t>
  </si>
  <si>
    <t>LU0716329205</t>
  </si>
  <si>
    <t>Fonds AV Echus C</t>
  </si>
  <si>
    <t>FR0011711621</t>
  </si>
  <si>
    <t>Fonds AV Echus FIA - A C</t>
  </si>
  <si>
    <t>FR0013201696</t>
  </si>
  <si>
    <t>Fonds AV Echus FIA - C C</t>
  </si>
  <si>
    <t>FR0013217650</t>
  </si>
  <si>
    <t>Fonds AV Echus FIA C</t>
  </si>
  <si>
    <t>FR0013201688</t>
  </si>
  <si>
    <t>Fonds AV Echus N°2 C</t>
  </si>
  <si>
    <t>FR0011932821</t>
  </si>
  <si>
    <t>Force Optima LCR A/I</t>
  </si>
  <si>
    <t>FR0007474424</t>
  </si>
  <si>
    <t>Galaxie A C</t>
  </si>
  <si>
    <t>FR0010671156</t>
  </si>
  <si>
    <t>GEN-i 2 A A/I</t>
  </si>
  <si>
    <t>FR0010099382</t>
  </si>
  <si>
    <t>Génova Inver. Empresariales SICAV</t>
  </si>
  <si>
    <t>ES0175992033</t>
  </si>
  <si>
    <t>Gestion Privée Rendement ID</t>
  </si>
  <si>
    <t>FR0011251560</t>
  </si>
  <si>
    <t>Gestion Privée Rendement PC</t>
  </si>
  <si>
    <t>FR0007388004</t>
  </si>
  <si>
    <t>Gestion Privée Rendement PD</t>
  </si>
  <si>
    <t>FR0007482310</t>
  </si>
  <si>
    <t>Gureeskun SICAV</t>
  </si>
  <si>
    <t>ES0107722037</t>
  </si>
  <si>
    <t>Hadrée C</t>
  </si>
  <si>
    <t>FR0013202611</t>
  </si>
  <si>
    <t>Hévéa Défensif C</t>
  </si>
  <si>
    <t>FR0007020508</t>
  </si>
  <si>
    <t>Hévéa Dynamique C</t>
  </si>
  <si>
    <t>76/312</t>
  </si>
  <si>
    <t>FR0007020474</t>
  </si>
  <si>
    <t>Hévéa Equilibre C</t>
  </si>
  <si>
    <t>FR0007020482</t>
  </si>
  <si>
    <t>Horida SICAV</t>
  </si>
  <si>
    <t>ES0182642035</t>
  </si>
  <si>
    <t>Hymnos I C/D</t>
  </si>
  <si>
    <t>FR0011285907</t>
  </si>
  <si>
    <t>Hymnos P C/D</t>
  </si>
  <si>
    <t>FR0007447891</t>
  </si>
  <si>
    <t>Ifimem Inversiones SICAV</t>
  </si>
  <si>
    <t>ES0147261004</t>
  </si>
  <si>
    <t>IKS Dluhopisovy Plus</t>
  </si>
  <si>
    <t>Investicni Kapitalova Spolecnost KB AS</t>
  </si>
  <si>
    <t>20/84</t>
  </si>
  <si>
    <t>26/82</t>
  </si>
  <si>
    <t>CZ0008471976</t>
  </si>
  <si>
    <t>IKS KB Dluhopisový A</t>
  </si>
  <si>
    <t>CZ0008472511</t>
  </si>
  <si>
    <t>IKS KB Penezni TRH A</t>
  </si>
  <si>
    <t>CZ0008472529</t>
  </si>
  <si>
    <t>IKS Penezni TRH Plus A</t>
  </si>
  <si>
    <t>CZ0008471992</t>
  </si>
  <si>
    <t>Indosuez Alpha Long Terme C</t>
  </si>
  <si>
    <t>22/50</t>
  </si>
  <si>
    <t>43/44</t>
  </si>
  <si>
    <t>26/27</t>
  </si>
  <si>
    <t>FR0010020537</t>
  </si>
  <si>
    <t>Indosuez Euribor C</t>
  </si>
  <si>
    <t>FR0010161281</t>
  </si>
  <si>
    <t>Indosuez Euribor D</t>
  </si>
  <si>
    <t>FR0010161620</t>
  </si>
  <si>
    <t>ING Direct FN Conservador FI</t>
  </si>
  <si>
    <t>ES0152747004</t>
  </si>
  <si>
    <t>ING Direct FN Euro Stoxx 50 FI</t>
  </si>
  <si>
    <t>1089/1155</t>
  </si>
  <si>
    <t>ES0152771038</t>
  </si>
  <si>
    <t>ING Direct FN Ibex 35 FI</t>
  </si>
  <si>
    <t>EAA Fund Spain Equity</t>
  </si>
  <si>
    <t>124/162</t>
  </si>
  <si>
    <t>ES0152741031</t>
  </si>
  <si>
    <t>ING Direct FN Moderado FI</t>
  </si>
  <si>
    <t>ES0152739001</t>
  </si>
  <si>
    <t>ING Direct FN S&amp;P 500 FI</t>
  </si>
  <si>
    <t>ES0152769032</t>
  </si>
  <si>
    <t>ING Direct Fondo Naranja Dinámico FI</t>
  </si>
  <si>
    <t>ES0152743003</t>
  </si>
  <si>
    <t>Innovation Protection 75 A A/I</t>
  </si>
  <si>
    <t>FR0010249342</t>
  </si>
  <si>
    <t>Innovation Technologies 2 A</t>
  </si>
  <si>
    <t>FR0010518183</t>
  </si>
  <si>
    <t>Innovation Technologies A A/I</t>
  </si>
  <si>
    <t>FR0010371773</t>
  </si>
  <si>
    <t>Inversiones Baca SICAV</t>
  </si>
  <si>
    <t>ES0155607031</t>
  </si>
  <si>
    <t>Inversiones Marreba SICAV</t>
  </si>
  <si>
    <t>ES0155943030</t>
  </si>
  <si>
    <t>Inversiones Matipe SICAV</t>
  </si>
  <si>
    <t>ES0143678037</t>
  </si>
  <si>
    <t>Inversiones Vallobal SICAV</t>
  </si>
  <si>
    <t>ES0181888001</t>
  </si>
  <si>
    <t>Investblue Activos SICAV</t>
  </si>
  <si>
    <t>ES0155939038</t>
  </si>
  <si>
    <t>Kalyani SICAV</t>
  </si>
  <si>
    <t>ES0156914030</t>
  </si>
  <si>
    <t>KBI Institutional Global ESG Eq EUR A</t>
  </si>
  <si>
    <t>KBI Institutional Fund ICAV</t>
  </si>
  <si>
    <t>IE00BD6GBM18</t>
  </si>
  <si>
    <t>KBI Institutional Global ESG Eq EUR C</t>
  </si>
  <si>
    <t>IE00BD6GBR62</t>
  </si>
  <si>
    <t>KBI Institutional Pan Eurp Eq A EUR Acc</t>
  </si>
  <si>
    <t>KBI Global Investors Ltd</t>
  </si>
  <si>
    <t>IE00BVYTX558</t>
  </si>
  <si>
    <t>KBI Instl 50/50 Global/Euroz Eq HIY50C</t>
  </si>
  <si>
    <t>IE00B3W1XV35</t>
  </si>
  <si>
    <t>KBI Instl ACWI Equity B GBP Inc</t>
  </si>
  <si>
    <t>EAA Fund Global Large-Cap Value Equity</t>
  </si>
  <si>
    <t>494/585</t>
  </si>
  <si>
    <t>IE00BWV6B851</t>
  </si>
  <si>
    <t>KBI Instl Agri A EUR</t>
  </si>
  <si>
    <t>87/109</t>
  </si>
  <si>
    <t>70/89</t>
  </si>
  <si>
    <t>IE00B2RCGG07</t>
  </si>
  <si>
    <t>KBI Instl Agri B Dis EUR</t>
  </si>
  <si>
    <t>98/109</t>
  </si>
  <si>
    <t>46/104</t>
  </si>
  <si>
    <t>61/70</t>
  </si>
  <si>
    <t>IE00B39JGB12</t>
  </si>
  <si>
    <t>KBI Instl Agri C EUR Acc</t>
  </si>
  <si>
    <t>80/109</t>
  </si>
  <si>
    <t>IE00B3M1NT16</t>
  </si>
  <si>
    <t>KBI Instl Agri D EUR</t>
  </si>
  <si>
    <t>88/109</t>
  </si>
  <si>
    <t>45/104</t>
  </si>
  <si>
    <t>95/96</t>
  </si>
  <si>
    <t>86/89</t>
  </si>
  <si>
    <t>IE00B39JG996</t>
  </si>
  <si>
    <t>KBI Instl Agri F EUR Acc</t>
  </si>
  <si>
    <t>94/96</t>
  </si>
  <si>
    <t>IE00B6560Y83</t>
  </si>
  <si>
    <t>KBI Instl Dev Eq HIYDW CAD A</t>
  </si>
  <si>
    <t>IE00BN8TJ246</t>
  </si>
  <si>
    <t>KBI Instl Dev Eq HIYDW EUR A</t>
  </si>
  <si>
    <t>IE00B3PDJZ27</t>
  </si>
  <si>
    <t>KBI Instl Dev Eq HIYDW EUR B</t>
  </si>
  <si>
    <t>IE00B44BMH76</t>
  </si>
  <si>
    <t>KBI Instl Dev Eq HIYDW EUR C</t>
  </si>
  <si>
    <t>208/952</t>
  </si>
  <si>
    <t>IE00B668CV44</t>
  </si>
  <si>
    <t>KBI Instl Dev Eq HIYDW EUR D Dist</t>
  </si>
  <si>
    <t>IE00BLLJ0B33</t>
  </si>
  <si>
    <t>KBI Instl Dev Eq HIYDW EUR H Acc</t>
  </si>
  <si>
    <t>IE00B589V552</t>
  </si>
  <si>
    <t>KBI Instl Dev Eq HIYDW GBP C Acc</t>
  </si>
  <si>
    <t>IE00B64HP148</t>
  </si>
  <si>
    <t>KBI Instl Dev Eq HIYDW GBP C Dist</t>
  </si>
  <si>
    <t>IE00B4023Z96</t>
  </si>
  <si>
    <t>KBI Instl Dev Eq HIYDW GBP D</t>
  </si>
  <si>
    <t>IE00B6WFFD23</t>
  </si>
  <si>
    <t>KBI Instl Dev Eq HIYDW USD B Dis</t>
  </si>
  <si>
    <t>IE00B9GXDD95</t>
  </si>
  <si>
    <t>KBI Instl Emerg Mkts Eq H EUR Inc</t>
  </si>
  <si>
    <t>IE00B5T1MV39</t>
  </si>
  <si>
    <t>KBI Instl Emerg Mkts Eq HIYEM CAD A</t>
  </si>
  <si>
    <t>IE00BN8TJ139</t>
  </si>
  <si>
    <t>KBI Instl Emerg Mkts Eq HIYEM EUR A</t>
  </si>
  <si>
    <t>IE00B54XT577</t>
  </si>
  <si>
    <t>KBI Instl Emerg Mkts Eq HIYEM EUR B</t>
  </si>
  <si>
    <t>IE00B83JN990</t>
  </si>
  <si>
    <t>KBI Instl Emerg Mkts Eq HIYEM EUR H</t>
  </si>
  <si>
    <t>IE00B60C6Q52</t>
  </si>
  <si>
    <t>KBI Instl Emerg Mkts Eq HIYEM GBP B Dis</t>
  </si>
  <si>
    <t>IE00B8NBVB36</t>
  </si>
  <si>
    <t>KBI Instl Emerg Mkts Eq HIYEM GBP D</t>
  </si>
  <si>
    <t>IE00B6WFFF47</t>
  </si>
  <si>
    <t>KBI Instl Emerg Mkts Eq HIYEM USD A</t>
  </si>
  <si>
    <t>IE00B4QCZW45</t>
  </si>
  <si>
    <t>KBI Instl Emerg Mkts Eq HIYEM USD B</t>
  </si>
  <si>
    <t>IE00BGDW6288</t>
  </si>
  <si>
    <t>KBI Instl Emerg Mkts Eq HIYEM USD D</t>
  </si>
  <si>
    <t>IE00B4467T97</t>
  </si>
  <si>
    <t>KBI Instl Emerg Mkts Eq USD B Inc</t>
  </si>
  <si>
    <t>IE00BYQDNC39</t>
  </si>
  <si>
    <t>KBI Instl Energy Solutions KBALT EUR A</t>
  </si>
  <si>
    <t>EAA Fund Sector Equity Alternative Energy</t>
  </si>
  <si>
    <t>29/105</t>
  </si>
  <si>
    <t>54/96</t>
  </si>
  <si>
    <t>23/87</t>
  </si>
  <si>
    <t>IE00B2Q0LH16</t>
  </si>
  <si>
    <t>KBI Instl Energy Solutions KBALT EUR C</t>
  </si>
  <si>
    <t>30/87</t>
  </si>
  <si>
    <t>IE00B44G8632</t>
  </si>
  <si>
    <t>KBI Instl Energy Solutions KBALT EUR D</t>
  </si>
  <si>
    <t>32/105</t>
  </si>
  <si>
    <t>28/106</t>
  </si>
  <si>
    <t>70/103</t>
  </si>
  <si>
    <t>IE00B4R1TM89</t>
  </si>
  <si>
    <t>KBI Instl Energy Solutions KBALT EUR F</t>
  </si>
  <si>
    <t>38/105</t>
  </si>
  <si>
    <t>50/87</t>
  </si>
  <si>
    <t>IE00B3M56T43</t>
  </si>
  <si>
    <t>KBI Instl Energy Solutions KBALT GBP A</t>
  </si>
  <si>
    <t>67/96</t>
  </si>
  <si>
    <t>IE00B2Q0LF91</t>
  </si>
  <si>
    <t>KBI Instl Energy Solutions KBALT USD C</t>
  </si>
  <si>
    <t>43/105</t>
  </si>
  <si>
    <t>78/103</t>
  </si>
  <si>
    <t>IE00BDGTG145</t>
  </si>
  <si>
    <t>KBI Instl Eurozone Equity HIYEU EUR A</t>
  </si>
  <si>
    <t>IE00B5LMB171</t>
  </si>
  <si>
    <t>KBI Instl Eurozone Equity HIYEU EUR B</t>
  </si>
  <si>
    <t>IE00B4KSHL14</t>
  </si>
  <si>
    <t>KBI Instl Eurozone Equity HIYEU EUR C</t>
  </si>
  <si>
    <t>IE00B3ZCH117</t>
  </si>
  <si>
    <t>KBI Instl Eurozone Equity HIYEU EUR E</t>
  </si>
  <si>
    <t>IE00B40BWL56</t>
  </si>
  <si>
    <t>KBI Instl GESS A EUR</t>
  </si>
  <si>
    <t>142/216</t>
  </si>
  <si>
    <t>IE00B3QJ9N79</t>
  </si>
  <si>
    <t>KBI Instl GESS D EUR Acc</t>
  </si>
  <si>
    <t>IE00B4L2YF59</t>
  </si>
  <si>
    <t>KBI Instl Long Bond Series 1EUR Acc</t>
  </si>
  <si>
    <t>27/83</t>
  </si>
  <si>
    <t>IE00B3KQHP21</t>
  </si>
  <si>
    <t>KBI Instl North Amer Eq HIYNA EUR D Dis</t>
  </si>
  <si>
    <t>IE00BK6MNH75</t>
  </si>
  <si>
    <t>KBI Instl North Amer Eq HIYNA GBP A Acc</t>
  </si>
  <si>
    <t>IE00BFRT9C98</t>
  </si>
  <si>
    <t>KBI Instl North Amer Eq HIYNA GBP A Dis</t>
  </si>
  <si>
    <t>IE00BFRT9F20</t>
  </si>
  <si>
    <t>KBI Instl North Amer Eq HIYNA USD B Acc</t>
  </si>
  <si>
    <t>IE00BK6MNK05</t>
  </si>
  <si>
    <t>KBI Instl North Amer Eq HIYNA USD B Dis</t>
  </si>
  <si>
    <t>IE00BK6MNL12</t>
  </si>
  <si>
    <t>KBI Instl Water A EUR</t>
  </si>
  <si>
    <t>25/93</t>
  </si>
  <si>
    <t>IE00B2Q0L939</t>
  </si>
  <si>
    <t>KBI Instl Water A GBP</t>
  </si>
  <si>
    <t>36/93</t>
  </si>
  <si>
    <t>25/56</t>
  </si>
  <si>
    <t>IE00B2Q0L608</t>
  </si>
  <si>
    <t>KBI Instl Water A USD Acc</t>
  </si>
  <si>
    <t>IE00B9KR3V52</t>
  </si>
  <si>
    <t>KBI Instl Water AUD A Acc</t>
  </si>
  <si>
    <t>IE00BY7S3J45</t>
  </si>
  <si>
    <t>KBI Instl Water AUD B Acc</t>
  </si>
  <si>
    <t>9/90</t>
  </si>
  <si>
    <t>IE00BZ2J7D12</t>
  </si>
  <si>
    <t>KBI Instl Water C EUR</t>
  </si>
  <si>
    <t>4/90</t>
  </si>
  <si>
    <t>IE00B43HDM83</t>
  </si>
  <si>
    <t>KBI Instl Water C USD</t>
  </si>
  <si>
    <t>IE00BCZRR312</t>
  </si>
  <si>
    <t>KBI Instl Water D EUR</t>
  </si>
  <si>
    <t>44/93</t>
  </si>
  <si>
    <t>IE00B4QKTF93</t>
  </si>
  <si>
    <t>KBI Instl Water E GBP Acc</t>
  </si>
  <si>
    <t>63/93</t>
  </si>
  <si>
    <t>IE00BFRBCR13</t>
  </si>
  <si>
    <t>KBI Instl Water F EUR</t>
  </si>
  <si>
    <t>IE00B608ZL18</t>
  </si>
  <si>
    <t>KBI Instl Water G EUR Acc</t>
  </si>
  <si>
    <t>IE00B64XVT21</t>
  </si>
  <si>
    <t>KBI Instl Water H EUR</t>
  </si>
  <si>
    <t>24/56</t>
  </si>
  <si>
    <t>IE00B64V3N43</t>
  </si>
  <si>
    <t>KBI Instl Water I EUR</t>
  </si>
  <si>
    <t>11/90</t>
  </si>
  <si>
    <t>IE00B5630V84</t>
  </si>
  <si>
    <t>KONZEPT : ERTRAG 2021 T</t>
  </si>
  <si>
    <t>17/70</t>
  </si>
  <si>
    <t>27/69</t>
  </si>
  <si>
    <t>AT0000A18W88</t>
  </si>
  <si>
    <t>KONZEPT : ERTRAG 2023 T</t>
  </si>
  <si>
    <t>64/67</t>
  </si>
  <si>
    <t>AT0000A1KWW5</t>
  </si>
  <si>
    <t>KONZEPT : ERTRAG 2025 T</t>
  </si>
  <si>
    <t>62/67</t>
  </si>
  <si>
    <t>47/70</t>
  </si>
  <si>
    <t>AT0000A1KWX3</t>
  </si>
  <si>
    <t>KONZEPT : ERTRAG 2027</t>
  </si>
  <si>
    <t>EAA Fund Target Date 2026 - 2030</t>
  </si>
  <si>
    <t>AT0000A1PDA0</t>
  </si>
  <si>
    <t>KONZEPT : ERTRAG 2029 T</t>
  </si>
  <si>
    <t>49/51</t>
  </si>
  <si>
    <t>50/51</t>
  </si>
  <si>
    <t>AT0000A18W96</t>
  </si>
  <si>
    <t>KONZEPT : ERTRAG 2029 VT</t>
  </si>
  <si>
    <t>51/51</t>
  </si>
  <si>
    <t>AT0000A18WA1</t>
  </si>
  <si>
    <t>KONZEPT : ERTRAG Aktien Welt A</t>
  </si>
  <si>
    <t>AT0000811336</t>
  </si>
  <si>
    <t>KONZEPT : ERTRAG Aktien Welt T</t>
  </si>
  <si>
    <t>AT0000811344</t>
  </si>
  <si>
    <t>KONZEPT : ERTRAG ausgewogen A</t>
  </si>
  <si>
    <t>AT0000810056</t>
  </si>
  <si>
    <t>KONZEPT : ERTRAG ausgewogen T</t>
  </si>
  <si>
    <t>AT0000738281</t>
  </si>
  <si>
    <t>KONZEPT : ERTRAG dynamisch A</t>
  </si>
  <si>
    <t>AT0000811351</t>
  </si>
  <si>
    <t>KONZEPT : ERTRAG dynamisch T</t>
  </si>
  <si>
    <t>AT0000811369</t>
  </si>
  <si>
    <t>KONZEPT : ERTRAG konservativ A</t>
  </si>
  <si>
    <t>269/692</t>
  </si>
  <si>
    <t>AT0000761655</t>
  </si>
  <si>
    <t>KONZEPT : ERTRAG konservativ T</t>
  </si>
  <si>
    <t>AT0000761663</t>
  </si>
  <si>
    <t>Konzept : Protect 90</t>
  </si>
  <si>
    <t>FR0012789774</t>
  </si>
  <si>
    <t>Lausanne N°2 A/I</t>
  </si>
  <si>
    <t>FR0012789782</t>
  </si>
  <si>
    <t>Lausanne N°2 Bis C/D</t>
  </si>
  <si>
    <t>FR0013135209</t>
  </si>
  <si>
    <t>Lausanne N°3 A/I</t>
  </si>
  <si>
    <t>FR0012789329</t>
  </si>
  <si>
    <t>LCL 4 Horizons (Juin 2014) C</t>
  </si>
  <si>
    <t>FR0011855790</t>
  </si>
  <si>
    <t>LCL 4 Horizons AV (Juin 2014) C</t>
  </si>
  <si>
    <t>FR0011855808</t>
  </si>
  <si>
    <t>FR0012562486</t>
  </si>
  <si>
    <t>FR0012562502</t>
  </si>
  <si>
    <t>LCL 6 Horizons (Juin 2015) C</t>
  </si>
  <si>
    <t>FR0012682086</t>
  </si>
  <si>
    <t>LCL 6 Horizons AV (Juin 2015) C</t>
  </si>
  <si>
    <t>FR0012672848</t>
  </si>
  <si>
    <t>LCL Actions Développement Durable</t>
  </si>
  <si>
    <t>FR0000989006</t>
  </si>
  <si>
    <t>LCL Actions Diversification C</t>
  </si>
  <si>
    <t>FR0007034327</t>
  </si>
  <si>
    <t>FR0000985061</t>
  </si>
  <si>
    <t>LCL Actions Etats-Unis ISR C</t>
  </si>
  <si>
    <t>FR0000985152</t>
  </si>
  <si>
    <t>LCL Actions Euro C</t>
  </si>
  <si>
    <t>FR0012384725</t>
  </si>
  <si>
    <t>LCL Actions Euro D</t>
  </si>
  <si>
    <t>FR0000018954</t>
  </si>
  <si>
    <t>LCL Actions Europe C</t>
  </si>
  <si>
    <t>886/1372</t>
  </si>
  <si>
    <t>FR0000985079</t>
  </si>
  <si>
    <t>LCL Actions France D</t>
  </si>
  <si>
    <t>FR0000018947</t>
  </si>
  <si>
    <t>LCL Actions Immobilier Europe C</t>
  </si>
  <si>
    <t>137/154</t>
  </si>
  <si>
    <t>80/99</t>
  </si>
  <si>
    <t>FR0000990525</t>
  </si>
  <si>
    <t>LCL Actions Midvaleurs Europe C</t>
  </si>
  <si>
    <t>100/201</t>
  </si>
  <si>
    <t>FR0000985145</t>
  </si>
  <si>
    <t>LCL Actions Monde</t>
  </si>
  <si>
    <t>FR0011689447</t>
  </si>
  <si>
    <t>LCL Actions Monde hors Europe D</t>
  </si>
  <si>
    <t>FR0000018756</t>
  </si>
  <si>
    <t>LCL Actions Or Monde C</t>
  </si>
  <si>
    <t>FR0007374145</t>
  </si>
  <si>
    <t>LCL Actions Pacifique C</t>
  </si>
  <si>
    <t>FR0000985160</t>
  </si>
  <si>
    <t>LCL Actions Ressources Naturelles C</t>
  </si>
  <si>
    <t>61/269</t>
  </si>
  <si>
    <t>112/263</t>
  </si>
  <si>
    <t>FR0000985178</t>
  </si>
  <si>
    <t>LCL Actions USA ISR (Euro) C</t>
  </si>
  <si>
    <t>FR0000994816</t>
  </si>
  <si>
    <t>FR0013133105</t>
  </si>
  <si>
    <t>LCL BDP Monétarisés - A C</t>
  </si>
  <si>
    <t>FR0013217668</t>
  </si>
  <si>
    <t>LCL BP Monétarises N°1 C</t>
  </si>
  <si>
    <t>FR0013123981</t>
  </si>
  <si>
    <t>LCL Développement PME C</t>
  </si>
  <si>
    <t>23/99</t>
  </si>
  <si>
    <t>10/73</t>
  </si>
  <si>
    <t>FR0011675180</t>
  </si>
  <si>
    <t>LCL Double Capture (Juin 2010)</t>
  </si>
  <si>
    <t>FR0010891242</t>
  </si>
  <si>
    <t>LCL Fonds Echus Monétarisés C</t>
  </si>
  <si>
    <t>FR0010636639</t>
  </si>
  <si>
    <t>LCL Fonds Echus PEA C</t>
  </si>
  <si>
    <t>22/29</t>
  </si>
  <si>
    <t>12/25</t>
  </si>
  <si>
    <t>FR0010177535</t>
  </si>
  <si>
    <t>LCL Formule Sécurité (Septembre 2010)</t>
  </si>
  <si>
    <t>FR0010920868</t>
  </si>
  <si>
    <t>LCL Formule Sécurité AV (Septembre 2010)</t>
  </si>
  <si>
    <t>FR0010921908</t>
  </si>
  <si>
    <t>LCL Formule Sécurité France (Avril 2011)</t>
  </si>
  <si>
    <t>FR0011013937</t>
  </si>
  <si>
    <t>LCL Formule Sécurité France (Fév. 2011)</t>
  </si>
  <si>
    <t>FR0010971093</t>
  </si>
  <si>
    <t>FR0011013945</t>
  </si>
  <si>
    <t>FR0010971101</t>
  </si>
  <si>
    <t>LCL Investissement Dynamique A/I</t>
  </si>
  <si>
    <t>FR0007481817</t>
  </si>
  <si>
    <t>FR0012384766</t>
  </si>
  <si>
    <t>FR0010833715</t>
  </si>
  <si>
    <t>LCL Investissement Prudent E</t>
  </si>
  <si>
    <t>FR0013186459</t>
  </si>
  <si>
    <t>LCL Investissement Prudent I</t>
  </si>
  <si>
    <t>FR0013186442</t>
  </si>
  <si>
    <t>LCL Investissement Prudent O</t>
  </si>
  <si>
    <t>FR0012384782</t>
  </si>
  <si>
    <t>LCL Investissement Prudent P C/D</t>
  </si>
  <si>
    <t>FR0010813956</t>
  </si>
  <si>
    <t>LCL Latitude 2017 C</t>
  </si>
  <si>
    <t>FR0013216512</t>
  </si>
  <si>
    <t>LCL Latitude Vie 2017</t>
  </si>
  <si>
    <t>FR0013216520</t>
  </si>
  <si>
    <t>LCL MGest Flexible 0-100 C</t>
  </si>
  <si>
    <t>FR0010435024</t>
  </si>
  <si>
    <t>LCL Mgest Patrimoine C</t>
  </si>
  <si>
    <t>922/1076</t>
  </si>
  <si>
    <t>FR0010435032</t>
  </si>
  <si>
    <t>LCL MGest PEA C</t>
  </si>
  <si>
    <t>FR0010433391</t>
  </si>
  <si>
    <t>LCL Moné Jour - 3M C</t>
  </si>
  <si>
    <t>FR0000018780</t>
  </si>
  <si>
    <t>LCL Moné Jour - 3M D</t>
  </si>
  <si>
    <t>349/546</t>
  </si>
  <si>
    <t>FR0000018772</t>
  </si>
  <si>
    <t>LCL Monétaire Large</t>
  </si>
  <si>
    <t>FR0011333764</t>
  </si>
  <si>
    <t>LCL Monétaire Medium</t>
  </si>
  <si>
    <t>FR0011333756</t>
  </si>
  <si>
    <t>LCL Monétaire Small</t>
  </si>
  <si>
    <t>FR0000098402</t>
  </si>
  <si>
    <t>LCL Multi-Stratégies Court Terme C</t>
  </si>
  <si>
    <t>FR0010154781</t>
  </si>
  <si>
    <t>35/177</t>
  </si>
  <si>
    <t>FR0010221143</t>
  </si>
  <si>
    <t>17/193</t>
  </si>
  <si>
    <t>36/177</t>
  </si>
  <si>
    <t>FR0010234211</t>
  </si>
  <si>
    <t>LCL Obligations Crédit Euro C</t>
  </si>
  <si>
    <t>FR0007038120</t>
  </si>
  <si>
    <t>LCL Obligations Diversification C</t>
  </si>
  <si>
    <t>FR0010025049</t>
  </si>
  <si>
    <t>LCL Obligations Euro A/I</t>
  </si>
  <si>
    <t>FR0000018855</t>
  </si>
  <si>
    <t>LCL Obligations Inflation Europe C</t>
  </si>
  <si>
    <t>FR0000985046</t>
  </si>
  <si>
    <t>LCL Obligations Monde C</t>
  </si>
  <si>
    <t>126/137</t>
  </si>
  <si>
    <t>75/84</t>
  </si>
  <si>
    <t>55/61</t>
  </si>
  <si>
    <t>FR0000985210</t>
  </si>
  <si>
    <t>FR0010642306</t>
  </si>
  <si>
    <t>LCL Obligations Moyen Terme Euro PC</t>
  </si>
  <si>
    <t>FR0000018921</t>
  </si>
  <si>
    <t>LCL Obligations Moyen Terme Euro PD</t>
  </si>
  <si>
    <t>FR0000018913</t>
  </si>
  <si>
    <t>FR0000985244</t>
  </si>
  <si>
    <t>FR0010217430</t>
  </si>
  <si>
    <t>FR0010217448</t>
  </si>
  <si>
    <t>LCL Optimium 2016 Echu C</t>
  </si>
  <si>
    <t>FR0013055308</t>
  </si>
  <si>
    <t>413/926</t>
  </si>
  <si>
    <t>LCL Phoenix 2016 C</t>
  </si>
  <si>
    <t>FR0013192655</t>
  </si>
  <si>
    <t>LCL Phoenix Vie 2016 C</t>
  </si>
  <si>
    <t>FR0013192671</t>
  </si>
  <si>
    <t>LCL Premium 2/4 C</t>
  </si>
  <si>
    <t>FR0012070118</t>
  </si>
  <si>
    <t>LCL Premium 2015 C</t>
  </si>
  <si>
    <t>FR0012638997</t>
  </si>
  <si>
    <t>LCL Premium Vie 2/4 C</t>
  </si>
  <si>
    <t>FR0012070126</t>
  </si>
  <si>
    <t>LCL Premium Vie 2015 C</t>
  </si>
  <si>
    <t>FR0012641843</t>
  </si>
  <si>
    <t>LCL Protection 90</t>
  </si>
  <si>
    <t>FR0010736629</t>
  </si>
  <si>
    <t>LCL Prudent C</t>
  </si>
  <si>
    <t>FR0010762963</t>
  </si>
  <si>
    <t>LCL Sécurité 100 (Juillet 2011) C</t>
  </si>
  <si>
    <t>FR0011042878</t>
  </si>
  <si>
    <t>LCL Sérénité PEA C</t>
  </si>
  <si>
    <t>25/29</t>
  </si>
  <si>
    <t>FR0007059670</t>
  </si>
  <si>
    <t>LCL Tempo 6 Ans (Sept. 2015) C</t>
  </si>
  <si>
    <t>FR0012830875</t>
  </si>
  <si>
    <t>LCL Tempo 6 Ans AV (Sept. 2015) C</t>
  </si>
  <si>
    <t>124/926</t>
  </si>
  <si>
    <t>FR0012830867</t>
  </si>
  <si>
    <t>LCL Tempo Duo (Mars 2016) C</t>
  </si>
  <si>
    <t>FR0013082757</t>
  </si>
  <si>
    <t>LCL Tréso 3 Mois E</t>
  </si>
  <si>
    <t>FR0007485743</t>
  </si>
  <si>
    <t>LCL Tréso 3 Mois P</t>
  </si>
  <si>
    <t>311/548</t>
  </si>
  <si>
    <t>342/546</t>
  </si>
  <si>
    <t>FR0011380401</t>
  </si>
  <si>
    <t>LCL Tréso 3 Mois PE</t>
  </si>
  <si>
    <t>340/546</t>
  </si>
  <si>
    <t>FR0010935023</t>
  </si>
  <si>
    <t>LCL Tréso 6 Mois E</t>
  </si>
  <si>
    <t>FR0010272047</t>
  </si>
  <si>
    <t>LCL Tréso 6 Mois PE</t>
  </si>
  <si>
    <t>233/407</t>
  </si>
  <si>
    <t>FR0010935031</t>
  </si>
  <si>
    <t>LCL Triple Horizon (Avril 2014) C</t>
  </si>
  <si>
    <t>FR0011734144</t>
  </si>
  <si>
    <t>LCL Triple Horizon (Janv. 2015) C</t>
  </si>
  <si>
    <t>FR0012316347</t>
  </si>
  <si>
    <t>LCL Triple Horizon (Janvier 2014)</t>
  </si>
  <si>
    <t>FR0011617703</t>
  </si>
  <si>
    <t>LCL Triple Horizon (Janvier 2017)</t>
  </si>
  <si>
    <t>FR0013220456</t>
  </si>
  <si>
    <t>LCL Triple Horizon (Sept 2014) C</t>
  </si>
  <si>
    <t>FR0012059996</t>
  </si>
  <si>
    <t>LCL Triple Horizon (Sept 2016) C</t>
  </si>
  <si>
    <t>FR0013188265</t>
  </si>
  <si>
    <t>LCL Triple Horizon AV (Avril 2014)</t>
  </si>
  <si>
    <t>FR0011734151</t>
  </si>
  <si>
    <t>LCL Triple Horizon AV (Janv. 2015)</t>
  </si>
  <si>
    <t>FR0012316362</t>
  </si>
  <si>
    <t>LCL Triple Horizon AV (Janvier 2014)</t>
  </si>
  <si>
    <t>FR0011617711</t>
  </si>
  <si>
    <t>377/926</t>
  </si>
  <si>
    <t>FR0013220464</t>
  </si>
  <si>
    <t>LCL Triple Horizon AV (Sept 2014) C</t>
  </si>
  <si>
    <t>FR0012059988</t>
  </si>
  <si>
    <t>LCL Triple Tempo (Fev. 2015) C</t>
  </si>
  <si>
    <t>FR0012443224</t>
  </si>
  <si>
    <t>LCL Triple Tempo (Nov 2016) C</t>
  </si>
  <si>
    <t>FR0013209889</t>
  </si>
  <si>
    <t>LCL Triple Tempo AV (Fev. 2015) C</t>
  </si>
  <si>
    <t>FR0012443240</t>
  </si>
  <si>
    <t>LCL Triple Tempo AV (Nov 2016) C</t>
  </si>
  <si>
    <t>FR0013209897</t>
  </si>
  <si>
    <t>LCL Vocation Rendement (Nov. 2012) C</t>
  </si>
  <si>
    <t>FR0011325331</t>
  </si>
  <si>
    <t>LCL Vocation Rendement 8 AV (Fév. 2010)</t>
  </si>
  <si>
    <t>FR0010840553</t>
  </si>
  <si>
    <t>LCR Bonds Euro A/I</t>
  </si>
  <si>
    <t>FR0011697044</t>
  </si>
  <si>
    <t>Levante 2.013 SICAV</t>
  </si>
  <si>
    <t>ES0156828032</t>
  </si>
  <si>
    <t>Lian Inversiones SICAV</t>
  </si>
  <si>
    <t>ES0158351033</t>
  </si>
  <si>
    <t>Lithos O C/D</t>
  </si>
  <si>
    <t>EAA Fund Alt - Other</t>
  </si>
  <si>
    <t>3/30</t>
  </si>
  <si>
    <t>26/30</t>
  </si>
  <si>
    <t>1/5</t>
  </si>
  <si>
    <t>FR0007034715</t>
  </si>
  <si>
    <t>Lodones Inversiones SICAV</t>
  </si>
  <si>
    <t>ES0109147035</t>
  </si>
  <si>
    <t>Médi-Convertibles D</t>
  </si>
  <si>
    <t>FR0000297939</t>
  </si>
  <si>
    <t>Médi Court Terme C</t>
  </si>
  <si>
    <t>253/407</t>
  </si>
  <si>
    <t>244/308</t>
  </si>
  <si>
    <t>223/253</t>
  </si>
  <si>
    <t>FR0007455415</t>
  </si>
  <si>
    <t>Médi Court Terme D</t>
  </si>
  <si>
    <t>FR0007451406</t>
  </si>
  <si>
    <t>Médi Emergents C</t>
  </si>
  <si>
    <t>FR0010894311</t>
  </si>
  <si>
    <t>Monétaire Bio C</t>
  </si>
  <si>
    <t>110/411</t>
  </si>
  <si>
    <t>FR0010077974</t>
  </si>
  <si>
    <t>Objectif Dynamisme A/I</t>
  </si>
  <si>
    <t>FR0007060348</t>
  </si>
  <si>
    <t>Objectif Long Terme</t>
  </si>
  <si>
    <t>FR0007059688</t>
  </si>
  <si>
    <t>FR0007059712</t>
  </si>
  <si>
    <t>Ocean Fund Equities Eastern Europe N</t>
  </si>
  <si>
    <t>35/245</t>
  </si>
  <si>
    <t>LU0376461488</t>
  </si>
  <si>
    <t>Opalia 2</t>
  </si>
  <si>
    <t>FR0011026525</t>
  </si>
  <si>
    <t>Opalia 3</t>
  </si>
  <si>
    <t>FR0011061852</t>
  </si>
  <si>
    <t>Opalia C</t>
  </si>
  <si>
    <t>32/36</t>
  </si>
  <si>
    <t>1/29</t>
  </si>
  <si>
    <t>FR0010967505</t>
  </si>
  <si>
    <t>Opalia Vie 2</t>
  </si>
  <si>
    <t>FR0011026533</t>
  </si>
  <si>
    <t>Opalia Vie 3</t>
  </si>
  <si>
    <t>FR0011061860</t>
  </si>
  <si>
    <t>FR0010967513</t>
  </si>
  <si>
    <t>FR0010696385</t>
  </si>
  <si>
    <t>Pacteo Actions Euroland</t>
  </si>
  <si>
    <t>QS0009089689</t>
  </si>
  <si>
    <t>Pacteo Actions Europe</t>
  </si>
  <si>
    <t>QS0009072321</t>
  </si>
  <si>
    <t>Pacteo Actions Européennes</t>
  </si>
  <si>
    <t>QS0009093517</t>
  </si>
  <si>
    <t>Pacteo Actions France</t>
  </si>
  <si>
    <t>110/177</t>
  </si>
  <si>
    <t>QS0009083344</t>
  </si>
  <si>
    <t>Pacteo Equilibre</t>
  </si>
  <si>
    <t>Pacteo Obligataire</t>
  </si>
  <si>
    <t>QS0009041896</t>
  </si>
  <si>
    <t>Pacteo Opportunités</t>
  </si>
  <si>
    <t>Pacteo Prudence</t>
  </si>
  <si>
    <t>Pacteo Trésorerie</t>
  </si>
  <si>
    <t>227/253</t>
  </si>
  <si>
    <t>QS0009011089</t>
  </si>
  <si>
    <t>Peg C</t>
  </si>
  <si>
    <t>FR0010675595</t>
  </si>
  <si>
    <t>Pensioninvest Capital SICAV</t>
  </si>
  <si>
    <t>ES0167473034</t>
  </si>
  <si>
    <t>Pervalor D</t>
  </si>
  <si>
    <t>FR0000291635</t>
  </si>
  <si>
    <t>Placements Rationnels "R" C</t>
  </si>
  <si>
    <t>FR0000297723</t>
  </si>
  <si>
    <t>Pluri-Investissements C</t>
  </si>
  <si>
    <t>FR0010010124</t>
  </si>
  <si>
    <t>Plyzosmar SICAV</t>
  </si>
  <si>
    <t>ES0170277034</t>
  </si>
  <si>
    <t>Pompeyo 74 SICAV</t>
  </si>
  <si>
    <t>ES0170352001</t>
  </si>
  <si>
    <t>Portfolio LCR Crédit A/I</t>
  </si>
  <si>
    <t>FR0011697069</t>
  </si>
  <si>
    <t>Portfolio LCR Gov 4A A/I</t>
  </si>
  <si>
    <t>FR0007039383</t>
  </si>
  <si>
    <t>FR0007447362</t>
  </si>
  <si>
    <t>Portfolio MSMG Actions Euro P</t>
  </si>
  <si>
    <t>FR0011000892</t>
  </si>
  <si>
    <t>Portfolio MSMG Actions France C</t>
  </si>
  <si>
    <t>FR0011000900</t>
  </si>
  <si>
    <t>Portfolio Oblig Crédit C</t>
  </si>
  <si>
    <t>FR0010322529</t>
  </si>
  <si>
    <t>Prédiquant Eurocroissance A2 O A/I</t>
  </si>
  <si>
    <t>FR0010988113</t>
  </si>
  <si>
    <t>Préférence Rendement</t>
  </si>
  <si>
    <t>FR0010812172</t>
  </si>
  <si>
    <t>Préférence Rendement Exclusif</t>
  </si>
  <si>
    <t>FR0010813303</t>
  </si>
  <si>
    <t>Richelieu Dynamique Part 700</t>
  </si>
  <si>
    <t>QS0002908141</t>
  </si>
  <si>
    <t>Richelieu Equilibre Part 400</t>
  </si>
  <si>
    <t>QS0002908166</t>
  </si>
  <si>
    <t>Sélectance 2017 C</t>
  </si>
  <si>
    <t>FR0011256635</t>
  </si>
  <si>
    <t>SG Actions Energie C</t>
  </si>
  <si>
    <t>46/199</t>
  </si>
  <si>
    <t>FR0000423147</t>
  </si>
  <si>
    <t>SG Actions Euro PME C</t>
  </si>
  <si>
    <t>31/101</t>
  </si>
  <si>
    <t>FR0011674738</t>
  </si>
  <si>
    <t>SG Actions Euro Sélection C</t>
  </si>
  <si>
    <t>FR0010397125</t>
  </si>
  <si>
    <t>SG Actions Euro Value C</t>
  </si>
  <si>
    <t>FR0007079199</t>
  </si>
  <si>
    <t>SG Actions Euro Value D</t>
  </si>
  <si>
    <t>FR0010379537</t>
  </si>
  <si>
    <t>SG Actions Europe C</t>
  </si>
  <si>
    <t>FR0010259986</t>
  </si>
  <si>
    <t>SG Actions Europe ISR P</t>
  </si>
  <si>
    <t>FR0000444275</t>
  </si>
  <si>
    <t>SG Actions Europe Largecap C</t>
  </si>
  <si>
    <t>946/1372</t>
  </si>
  <si>
    <t>FR0010286732</t>
  </si>
  <si>
    <t>SG Actions Europe Largecap D</t>
  </si>
  <si>
    <t>FR0010289009</t>
  </si>
  <si>
    <t>SG Actions Europe Midcap I</t>
  </si>
  <si>
    <t>143/201</t>
  </si>
  <si>
    <t>111/129</t>
  </si>
  <si>
    <t>FR0000448847</t>
  </si>
  <si>
    <t>SG Actions Europe Midcap P</t>
  </si>
  <si>
    <t>199/217</t>
  </si>
  <si>
    <t>160/201</t>
  </si>
  <si>
    <t>84/103</t>
  </si>
  <si>
    <t>FR0010316182</t>
  </si>
  <si>
    <t>SG Actions Europe Multigestion C</t>
  </si>
  <si>
    <t>FR0010346742</t>
  </si>
  <si>
    <t>SG Actions Europe Restructurations C</t>
  </si>
  <si>
    <t>FR0010284521</t>
  </si>
  <si>
    <t>SG Actions Europe Sélection C</t>
  </si>
  <si>
    <t>FR0010311993</t>
  </si>
  <si>
    <t>SG Actions France C</t>
  </si>
  <si>
    <t>FR0010259994</t>
  </si>
  <si>
    <t>SG Actions France Croissance C</t>
  </si>
  <si>
    <t>FR0000424467</t>
  </si>
  <si>
    <t>SG Actions France Dividendes C</t>
  </si>
  <si>
    <t>FR0011089069</t>
  </si>
  <si>
    <t>SG Actions France Dividendes D</t>
  </si>
  <si>
    <t>212/244</t>
  </si>
  <si>
    <t>FR0011109339</t>
  </si>
  <si>
    <t>SG Actions France Indiciel P</t>
  </si>
  <si>
    <t>202/246</t>
  </si>
  <si>
    <t>131/244</t>
  </si>
  <si>
    <t>FR0000423030</t>
  </si>
  <si>
    <t>SG Actions France Largecap C</t>
  </si>
  <si>
    <t>136/246</t>
  </si>
  <si>
    <t>FR0010287664</t>
  </si>
  <si>
    <t>SG Actions France Sélection C</t>
  </si>
  <si>
    <t>217/244</t>
  </si>
  <si>
    <t>162/177</t>
  </si>
  <si>
    <t>FR0010431015</t>
  </si>
  <si>
    <t>SG Actions Immobilier C</t>
  </si>
  <si>
    <t>FR0010285874</t>
  </si>
  <si>
    <t>SG Actions Immobilier D</t>
  </si>
  <si>
    <t>93/157</t>
  </si>
  <si>
    <t>140/154</t>
  </si>
  <si>
    <t>72/99</t>
  </si>
  <si>
    <t>FR0010284539</t>
  </si>
  <si>
    <t>SG Actions Japon C</t>
  </si>
  <si>
    <t>FR0010278408</t>
  </si>
  <si>
    <t>SG Actions Luxe C</t>
  </si>
  <si>
    <t>18/160</t>
  </si>
  <si>
    <t>FR0000988503</t>
  </si>
  <si>
    <t>SG Actions Matières Premières C</t>
  </si>
  <si>
    <t>95/146</t>
  </si>
  <si>
    <t>FR0000423527</t>
  </si>
  <si>
    <t>SG Actions Monde C</t>
  </si>
  <si>
    <t>FR0010260000</t>
  </si>
  <si>
    <t>SG Actions Monde Emergent C</t>
  </si>
  <si>
    <t>FR0010929869</t>
  </si>
  <si>
    <t>SG Actions Monde Multigestion C</t>
  </si>
  <si>
    <t>FR0010347260</t>
  </si>
  <si>
    <t>SG Actions Monde Sélection C</t>
  </si>
  <si>
    <t>EAA Fund Global Large-Cap Growth Equity</t>
  </si>
  <si>
    <t>FR0010278416</t>
  </si>
  <si>
    <t>SG Actions Monde Techno C</t>
  </si>
  <si>
    <t>EAA Fund Sector Equity Technology</t>
  </si>
  <si>
    <t>FR0000431538</t>
  </si>
  <si>
    <t>SG Actions Or C</t>
  </si>
  <si>
    <t>138/158</t>
  </si>
  <si>
    <t>FR0000424319</t>
  </si>
  <si>
    <t>SG Actions US C</t>
  </si>
  <si>
    <t>FR0010407247</t>
  </si>
  <si>
    <t>SG Actions US Sélection C</t>
  </si>
  <si>
    <t>EAA Fund US Flex-Cap Equity</t>
  </si>
  <si>
    <t>FR0000988495</t>
  </si>
  <si>
    <t>SG Diversifié France 85 D</t>
  </si>
  <si>
    <t>FR0010286740</t>
  </si>
  <si>
    <t>SG Elvancia Plus N°6 C</t>
  </si>
  <si>
    <t>FR0013117173</t>
  </si>
  <si>
    <t>SG FIP Axe Croissance A1 A/I</t>
  </si>
  <si>
    <t>FR0011206960</t>
  </si>
  <si>
    <t>SG FIP Axe Croissance A2 A/I</t>
  </si>
  <si>
    <t>FR0011230960</t>
  </si>
  <si>
    <t>SG FIP Axe Sud 2 A A/I</t>
  </si>
  <si>
    <t>FR0011015494</t>
  </si>
  <si>
    <t>SG FIP Façade Atlantique A1 A/I</t>
  </si>
  <si>
    <t>FR0011206978</t>
  </si>
  <si>
    <t>SG FIP Façade Atlantique A2 A/I</t>
  </si>
  <si>
    <t>FR0011231026</t>
  </si>
  <si>
    <t>SG FIP Midi-Alpes A1 A/I</t>
  </si>
  <si>
    <t>FR0011206986</t>
  </si>
  <si>
    <t>SG FIP Midi-Alpes A2 A/I</t>
  </si>
  <si>
    <t>FR0011231042</t>
  </si>
  <si>
    <t>SG FIP Opportunités A A/I</t>
  </si>
  <si>
    <t>FR0010559435</t>
  </si>
  <si>
    <t>SG FIP Opportunités Grand Sud A A/I</t>
  </si>
  <si>
    <t>FR0010733097</t>
  </si>
  <si>
    <t>SG FIP Opportunités IDF-Centre-Est A A/I</t>
  </si>
  <si>
    <t>FR0010733089</t>
  </si>
  <si>
    <t>SG FIP Régions Nord A1 A/I</t>
  </si>
  <si>
    <t>FR0011205442</t>
  </si>
  <si>
    <t>SG FIP Régions Nord A2 A/I</t>
  </si>
  <si>
    <t>FR0011231067</t>
  </si>
  <si>
    <t>SG Flexible PC</t>
  </si>
  <si>
    <t>FR0007468830</t>
  </si>
  <si>
    <t>SG Liquidité PEA C</t>
  </si>
  <si>
    <t>17/25</t>
  </si>
  <si>
    <t>FR0007010657</t>
  </si>
  <si>
    <t>SG Moné Tréso E</t>
  </si>
  <si>
    <t>FR0011370634</t>
  </si>
  <si>
    <t>SG Moné Tréso I</t>
  </si>
  <si>
    <t>FR0010248013</t>
  </si>
  <si>
    <t>SG Monétaire Dollar E</t>
  </si>
  <si>
    <t>34/105</t>
  </si>
  <si>
    <t>FR0010320440</t>
  </si>
  <si>
    <t>SG Monétaire Dollar I</t>
  </si>
  <si>
    <t>33/105</t>
  </si>
  <si>
    <t>40/94</t>
  </si>
  <si>
    <t>FR0010322511</t>
  </si>
  <si>
    <t>SG Monétaire EONIA ISR EC</t>
  </si>
  <si>
    <t>FR0010423228</t>
  </si>
  <si>
    <t>SG Monétaire EONIA ISR IC</t>
  </si>
  <si>
    <t>FR0010816421</t>
  </si>
  <si>
    <t>SG Monétaire EONIA ISR PC</t>
  </si>
  <si>
    <t>184/407</t>
  </si>
  <si>
    <t>FR0011360684</t>
  </si>
  <si>
    <t>SG Monétaire Etat EC</t>
  </si>
  <si>
    <t>352/411</t>
  </si>
  <si>
    <t>FR0000422982</t>
  </si>
  <si>
    <t>SG Monétaire Etat IC</t>
  </si>
  <si>
    <t>FR0010597344</t>
  </si>
  <si>
    <t>SG Monétaire Plus E</t>
  </si>
  <si>
    <t>FR0011047513</t>
  </si>
  <si>
    <t>SG Monétaire Plus I</t>
  </si>
  <si>
    <t>FR0000003964</t>
  </si>
  <si>
    <t>SG Monétaire Plus I2</t>
  </si>
  <si>
    <t>FR0013065257</t>
  </si>
  <si>
    <t>SG Monétaire Plus P</t>
  </si>
  <si>
    <t>FR0011362094</t>
  </si>
  <si>
    <t>SG Oblig Convertibles I</t>
  </si>
  <si>
    <t>FR0011110931</t>
  </si>
  <si>
    <t>SG Oblig Convertibles P</t>
  </si>
  <si>
    <t>FR0007065289</t>
  </si>
  <si>
    <t>SG Oblig Corporate 1-3 I</t>
  </si>
  <si>
    <t>FR0000448870</t>
  </si>
  <si>
    <t>SG Oblig Corporate 1-3 P</t>
  </si>
  <si>
    <t>FR0011099712</t>
  </si>
  <si>
    <t>SG Oblig Corporate ISR C</t>
  </si>
  <si>
    <t>FR0007074844</t>
  </si>
  <si>
    <t>SG Oblig Etat Euro PC</t>
  </si>
  <si>
    <t>FR0010283853</t>
  </si>
  <si>
    <t>SG Oblig Etat Euro PD</t>
  </si>
  <si>
    <t>FR0010284059</t>
  </si>
  <si>
    <t>SG Oblig Etat Euro R</t>
  </si>
  <si>
    <t>FR0011269620</t>
  </si>
  <si>
    <t>SG Oblig High Yield C</t>
  </si>
  <si>
    <t>FR0000443343</t>
  </si>
  <si>
    <t>SG Oblig Inflation I</t>
  </si>
  <si>
    <t>152/177</t>
  </si>
  <si>
    <t>FR0007039789</t>
  </si>
  <si>
    <t>SG Oblig Inflation P</t>
  </si>
  <si>
    <t>FR0010292912</t>
  </si>
  <si>
    <t>SG Oblig Monde</t>
  </si>
  <si>
    <t>FR0010286765</t>
  </si>
  <si>
    <t>SG Oblig Moyen Terme C</t>
  </si>
  <si>
    <t>FR0010278424</t>
  </si>
  <si>
    <t>SG Oblig Moyen Terme D</t>
  </si>
  <si>
    <t>FR0010279075</t>
  </si>
  <si>
    <t>SG Oblig Revenu Annuel</t>
  </si>
  <si>
    <t>FR0012223535</t>
  </si>
  <si>
    <t>SG Oblig Revenus Trim 1</t>
  </si>
  <si>
    <t>FR0012223501</t>
  </si>
  <si>
    <t>SG Oblig Revenus Trim 2</t>
  </si>
  <si>
    <t>FR0012223519</t>
  </si>
  <si>
    <t>SG Oblig Revenus Trim 3</t>
  </si>
  <si>
    <t>FR0012223527</t>
  </si>
  <si>
    <t>SG Obligations C</t>
  </si>
  <si>
    <t>FR0010260018</t>
  </si>
  <si>
    <t>SG Patrimoine C</t>
  </si>
  <si>
    <t>FR0011584416</t>
  </si>
  <si>
    <t>SG Patrimoine PEA C</t>
  </si>
  <si>
    <t>FR0012324226</t>
  </si>
  <si>
    <t>SG Prudence PEA C</t>
  </si>
  <si>
    <t>24/31</t>
  </si>
  <si>
    <t>1/25</t>
  </si>
  <si>
    <t>FR0007082888</t>
  </si>
  <si>
    <t>SG Solidarité CCFD Terre Solidaire A/I</t>
  </si>
  <si>
    <t>FR0012892172</t>
  </si>
  <si>
    <t>SG Solidarité Fondt pr La Rech Médic A/I</t>
  </si>
  <si>
    <t>FR0012892164</t>
  </si>
  <si>
    <t>SG Solidarité Habitat et Humanisme A/I</t>
  </si>
  <si>
    <t>FR0012892156</t>
  </si>
  <si>
    <t>SG Solidarité Les Restaurts du Coeur A/I</t>
  </si>
  <si>
    <t>FR0012881753</t>
  </si>
  <si>
    <t>SG Trésorerie 12 Mois E</t>
  </si>
  <si>
    <t>131/407</t>
  </si>
  <si>
    <t>FR0010895748</t>
  </si>
  <si>
    <t>SG Trésorerie 12 Mois I</t>
  </si>
  <si>
    <t>FR0010903682</t>
  </si>
  <si>
    <t>SG Trésorerie 6 Mois EC</t>
  </si>
  <si>
    <t>231/407</t>
  </si>
  <si>
    <t>FR0010895052</t>
  </si>
  <si>
    <t>SG Trésorerie 6 Mois IC</t>
  </si>
  <si>
    <t>FR0010914598</t>
  </si>
  <si>
    <t>SG Trésorerie 6 Mois PC</t>
  </si>
  <si>
    <t>FR0011192285</t>
  </si>
  <si>
    <t>SG Valor Alpha Actions France C</t>
  </si>
  <si>
    <t>FR0010289033</t>
  </si>
  <si>
    <t>SGAM AI Multi Stratégies Innv A A/I</t>
  </si>
  <si>
    <t>FR0010536169</t>
  </si>
  <si>
    <t>Siangui Inversiones 2016 SICAV</t>
  </si>
  <si>
    <t>ES0150482034</t>
  </si>
  <si>
    <t>Silvertree Capital SICAV</t>
  </si>
  <si>
    <t>ES0167469032</t>
  </si>
  <si>
    <t>Sogéactions Sélection Monde C</t>
  </si>
  <si>
    <t>FR0010145185</t>
  </si>
  <si>
    <t>Sogéretraite Actions C</t>
  </si>
  <si>
    <t>FR0010057414</t>
  </si>
  <si>
    <t>Solidaire Engie Rssmbl d'Ener Flex I A/I</t>
  </si>
  <si>
    <t>FR0011173970</t>
  </si>
  <si>
    <t>Solidarité Amundi I</t>
  </si>
  <si>
    <t>FR0011161181</t>
  </si>
  <si>
    <t>Solidarité Amundi P</t>
  </si>
  <si>
    <t>FR0011161173</t>
  </si>
  <si>
    <t>Solidarité CA Contre La Faim A/I</t>
  </si>
  <si>
    <t>FR0011363738</t>
  </si>
  <si>
    <t>Solidarité CA Habitat Et Humanisme A/I</t>
  </si>
  <si>
    <t>FR0011363712</t>
  </si>
  <si>
    <t>Solidarité CCFD Terre Solidaire A/I</t>
  </si>
  <si>
    <t>FR0011363761</t>
  </si>
  <si>
    <t>Solidarité Habitat Et Humanisme A/I</t>
  </si>
  <si>
    <t>FR0011363746</t>
  </si>
  <si>
    <t>Solidarité Initiatis Santé A/I</t>
  </si>
  <si>
    <t>FR0011363753</t>
  </si>
  <si>
    <t>Solidarité O A/I</t>
  </si>
  <si>
    <t>FR0012832764</t>
  </si>
  <si>
    <t>Sonance</t>
  </si>
  <si>
    <t>FR0010965632</t>
  </si>
  <si>
    <t>Sonance 2</t>
  </si>
  <si>
    <t>FR0011024223</t>
  </si>
  <si>
    <t>Sonance 3</t>
  </si>
  <si>
    <t>FR0011060854</t>
  </si>
  <si>
    <t>Sonance 4 C</t>
  </si>
  <si>
    <t>FR0011153352</t>
  </si>
  <si>
    <t>Sonance 5 C</t>
  </si>
  <si>
    <t>FR0011220847</t>
  </si>
  <si>
    <t>Sonance 90 (2) C</t>
  </si>
  <si>
    <t>FR0011368190</t>
  </si>
  <si>
    <t>Sonance 90 C</t>
  </si>
  <si>
    <t>FR0011302959</t>
  </si>
  <si>
    <t>Sonance 90 N°3 C</t>
  </si>
  <si>
    <t>FR0011458009</t>
  </si>
  <si>
    <t>Sonance 90 n°4</t>
  </si>
  <si>
    <t>FR0011530591</t>
  </si>
  <si>
    <t>Sonance Vie</t>
  </si>
  <si>
    <t>FR0010965657</t>
  </si>
  <si>
    <t>Sonance Vie 2</t>
  </si>
  <si>
    <t>FR0011024231</t>
  </si>
  <si>
    <t>Sonance Vie 3</t>
  </si>
  <si>
    <t>FR0011060862</t>
  </si>
  <si>
    <t>Sonance Vie 4 C</t>
  </si>
  <si>
    <t>FR0011153360</t>
  </si>
  <si>
    <t>Sonance Vie 5 C</t>
  </si>
  <si>
    <t>143/576</t>
  </si>
  <si>
    <t>FR0011220854</t>
  </si>
  <si>
    <t>Sonance Vie 6 C</t>
  </si>
  <si>
    <t>FR0011292333</t>
  </si>
  <si>
    <t>Sonance Vie 7 C</t>
  </si>
  <si>
    <t>FR0011368208</t>
  </si>
  <si>
    <t>Sonance Vie N°8 C</t>
  </si>
  <si>
    <t>FR0011458025</t>
  </si>
  <si>
    <t>Sonance Vie n°9</t>
  </si>
  <si>
    <t>FR0011538420</t>
  </si>
  <si>
    <t>Structura Amundi Tobam AB M-Asset RE-C</t>
  </si>
  <si>
    <t>EAA Fund USD Flexible Allocation</t>
  </si>
  <si>
    <t>LU1534920183</t>
  </si>
  <si>
    <t>Structura Amundi Tobam AB M-Asset RHE-C</t>
  </si>
  <si>
    <t>LU1534920266</t>
  </si>
  <si>
    <t>Structura Amundi Tobam AB M-Asset RU-C</t>
  </si>
  <si>
    <t>LU1534920001</t>
  </si>
  <si>
    <t>Structura Diversified Growth Fund AU</t>
  </si>
  <si>
    <t>LU1350002991</t>
  </si>
  <si>
    <t>Structura Diversified Growth Fund IHE</t>
  </si>
  <si>
    <t>LU1350003452</t>
  </si>
  <si>
    <t>Structura Diversified Growth Fund IHG</t>
  </si>
  <si>
    <t>LU1350003379</t>
  </si>
  <si>
    <t>Structura Diversified Growth Fund IU</t>
  </si>
  <si>
    <t>LU1350003296</t>
  </si>
  <si>
    <t>Suntán SICAV</t>
  </si>
  <si>
    <t>ES0176872036</t>
  </si>
  <si>
    <t>Terre d'Avenir Dynamique 65</t>
  </si>
  <si>
    <t>FR0010673343</t>
  </si>
  <si>
    <t>Terre d'Avenir Equilibre 60</t>
  </si>
  <si>
    <t>FR0010678508</t>
  </si>
  <si>
    <t>Terre d'Avenir Equilibre 65</t>
  </si>
  <si>
    <t>FR0010673335</t>
  </si>
  <si>
    <t>Terre d'Avenir Prudent 60</t>
  </si>
  <si>
    <t>FR0010678441</t>
  </si>
  <si>
    <t>Terre d'Avenir Prudent 65</t>
  </si>
  <si>
    <t>FR0010673327</t>
  </si>
  <si>
    <t>Testament Obsèques Financement C</t>
  </si>
  <si>
    <t>FR0010990093</t>
  </si>
  <si>
    <t>Torrla Inversiones 2000 SICAV</t>
  </si>
  <si>
    <t>ES0179573037</t>
  </si>
  <si>
    <t>Trialis</t>
  </si>
  <si>
    <t>102/926</t>
  </si>
  <si>
    <t>FR0012582153</t>
  </si>
  <si>
    <t>Trialis 6 Ans C</t>
  </si>
  <si>
    <t>FR0012830909</t>
  </si>
  <si>
    <t>Trialis 6 Ans N°2 C</t>
  </si>
  <si>
    <t>FR0013048295</t>
  </si>
  <si>
    <t>Trialis 6 Ans N°3 C</t>
  </si>
  <si>
    <t>FR0013112687</t>
  </si>
  <si>
    <t>Trialis 6 Ans N°4 C</t>
  </si>
  <si>
    <t>FR0013185063</t>
  </si>
  <si>
    <t>Trianance 6 Ans C</t>
  </si>
  <si>
    <t>FR0012285872</t>
  </si>
  <si>
    <t>Trianance 6 Ans N°2 C</t>
  </si>
  <si>
    <t>FR0013218666</t>
  </si>
  <si>
    <t>Uria 2009 SICAV</t>
  </si>
  <si>
    <t>ES0178192037</t>
  </si>
  <si>
    <t>USD Convergence Bond A</t>
  </si>
  <si>
    <t>83/84</t>
  </si>
  <si>
    <t>72/84</t>
  </si>
  <si>
    <t>3/82</t>
  </si>
  <si>
    <t>27/79</t>
  </si>
  <si>
    <t>AT0000672126</t>
  </si>
  <si>
    <t>USD Convergence Bond T</t>
  </si>
  <si>
    <t>71/84</t>
  </si>
  <si>
    <t>4/82</t>
  </si>
  <si>
    <t>AT0000613369</t>
  </si>
  <si>
    <t>Vendôme Obli Moyen Terme C</t>
  </si>
  <si>
    <t>FR0000980518</t>
  </si>
  <si>
    <t>Vendôme Obli Moyen Terme D</t>
  </si>
  <si>
    <t>FR0010080879</t>
  </si>
  <si>
    <t>Villamateo 2008 SICAV</t>
  </si>
  <si>
    <t>ES0128498039</t>
  </si>
  <si>
    <t>ZVE 2006 VT</t>
  </si>
  <si>
    <t>AT0000A000G9</t>
  </si>
  <si>
    <t>ZVE 2007 VT</t>
  </si>
  <si>
    <t>AT0000A03N11</t>
  </si>
  <si>
    <t>ZVE 2008 PLUS VT</t>
  </si>
  <si>
    <t>AT0000A07XW6</t>
  </si>
  <si>
    <t>ZVE 2010 Plus VT</t>
  </si>
  <si>
    <t>AT0000A0G6D9</t>
  </si>
  <si>
    <t>ZVE 2013 VT</t>
  </si>
  <si>
    <t>AT0000A10QG7</t>
  </si>
  <si>
    <t>ZVE 2014 VT</t>
  </si>
  <si>
    <t>AT0000A1AKK6</t>
  </si>
  <si>
    <t>Funds registered for sale in Europe</t>
  </si>
  <si>
    <t>Double-click on a fund name for complete category</t>
  </si>
  <si>
    <t>Lipper Rating</t>
  </si>
  <si>
    <t>Currency</t>
  </si>
  <si>
    <t>Lipper Global Sector</t>
  </si>
  <si>
    <t>Consist. Ret.</t>
  </si>
  <si>
    <t>3Y France</t>
  </si>
  <si>
    <t>Acticcia 90 (C)</t>
  </si>
  <si>
    <t>EUR</t>
  </si>
  <si>
    <t>Protected</t>
  </si>
  <si>
    <t>üüüü</t>
  </si>
  <si>
    <t>296/844</t>
  </si>
  <si>
    <t>ACTICCIA 90 N10 C</t>
  </si>
  <si>
    <t>Acticcia 90 N2 C</t>
  </si>
  <si>
    <t>üüü</t>
  </si>
  <si>
    <t>Acticcia 90 N3 C</t>
  </si>
  <si>
    <t>Acticcia 90 N4 C</t>
  </si>
  <si>
    <t>Acticcia 90 N5 C</t>
  </si>
  <si>
    <t>Acticcia 90 N6 C</t>
  </si>
  <si>
    <t>Acticcia 90 N7 C</t>
  </si>
  <si>
    <t>Acticcia 90 N8 C</t>
  </si>
  <si>
    <t>Acticcia 90 N9 C</t>
  </si>
  <si>
    <t>Acticcia Vie (C)</t>
  </si>
  <si>
    <t>Guaranteed</t>
  </si>
  <si>
    <t>Acticcia Vie 90 N2 C</t>
  </si>
  <si>
    <t>Acticcia Vie 90 N3 C</t>
  </si>
  <si>
    <t>Acticcia Vie 90 N4 C</t>
  </si>
  <si>
    <t>Acticcia Vie 90 N5 C</t>
  </si>
  <si>
    <t>Acticcia Vie N2 C</t>
  </si>
  <si>
    <t>516/589</t>
  </si>
  <si>
    <t>Acticcia Vie No3 C</t>
  </si>
  <si>
    <t>Acticcia Vie No4 C</t>
  </si>
  <si>
    <t>Mixed Asset EUR Agg - Global</t>
  </si>
  <si>
    <t>98/378</t>
  </si>
  <si>
    <t>Advantage Stock</t>
  </si>
  <si>
    <t>Equity Global</t>
  </si>
  <si>
    <t>Agipi Actions Emergents</t>
  </si>
  <si>
    <t>Equity Emerging Mkts Global</t>
  </si>
  <si>
    <t>üü</t>
  </si>
  <si>
    <t>Agipi Grandes Tendances</t>
  </si>
  <si>
    <t>Amplia</t>
  </si>
  <si>
    <t>üüüüü</t>
  </si>
  <si>
    <t>Amundi - KBI Aqua (C)</t>
  </si>
  <si>
    <t>Equity Sector Utilities</t>
  </si>
  <si>
    <t>Amundi 12 -24 M I</t>
  </si>
  <si>
    <t>Absolute Return EUR Low</t>
  </si>
  <si>
    <t>52/161</t>
  </si>
  <si>
    <t>Bond EUR Short Term</t>
  </si>
  <si>
    <t>ü</t>
  </si>
  <si>
    <t>Amundi 24 M E (C)</t>
  </si>
  <si>
    <t>Alternative Credit Focus</t>
  </si>
  <si>
    <t>36/171</t>
  </si>
  <si>
    <t>Amundi 3 - 6 M - I (C)</t>
  </si>
  <si>
    <t>Money Market EUR</t>
  </si>
  <si>
    <t>Amundi 3 M I - C</t>
  </si>
  <si>
    <t>186/587</t>
  </si>
  <si>
    <t>Amundi 6 M - I - EUR (C/D)</t>
  </si>
  <si>
    <t>90/130</t>
  </si>
  <si>
    <t>Amundi ABS - I (C)</t>
  </si>
  <si>
    <t>Absolute Return Other</t>
  </si>
  <si>
    <t>50/75</t>
  </si>
  <si>
    <t>Amundi Absolute Return Harmony Fund - A EUR</t>
  </si>
  <si>
    <t>Alternative Relative Value</t>
  </si>
  <si>
    <t>13/30</t>
  </si>
  <si>
    <t>12/34</t>
  </si>
  <si>
    <t>13/31</t>
  </si>
  <si>
    <t>20/29</t>
  </si>
  <si>
    <t>20/21</t>
  </si>
  <si>
    <t>LU0941771031</t>
  </si>
  <si>
    <t>Absolute Return EUR Medium</t>
  </si>
  <si>
    <t>Mixed Asset EUR Flex - Global</t>
  </si>
  <si>
    <t>Amundi Accumulazione Attiva Low Carbon</t>
  </si>
  <si>
    <t>Amundi Accumulazione Attiva Low Carbon DUE</t>
  </si>
  <si>
    <t>Mixed Asset EUR Flex - Europe</t>
  </si>
  <si>
    <t>Target Maturity MA EUR 2020</t>
  </si>
  <si>
    <t>94/115</t>
  </si>
  <si>
    <t>88/115</t>
  </si>
  <si>
    <t>Amundi Accumulazione Low Carbon Quattro</t>
  </si>
  <si>
    <t>Amundi Actions Asie P</t>
  </si>
  <si>
    <t>Equity Asia Pacific</t>
  </si>
  <si>
    <t>Amundi Actions Emergents - P (C)</t>
  </si>
  <si>
    <t>Equity EuroZone</t>
  </si>
  <si>
    <t>349/502</t>
  </si>
  <si>
    <t>Amundi Actions Europe - P (D)</t>
  </si>
  <si>
    <t>Equity Europe</t>
  </si>
  <si>
    <t>Amundi Actions Europe ISR - P</t>
  </si>
  <si>
    <t>446/1144</t>
  </si>
  <si>
    <t>Amundi Actions Foncier - P (D)</t>
  </si>
  <si>
    <t>Equity Sector Real Est Europe</t>
  </si>
  <si>
    <t>105/124</t>
  </si>
  <si>
    <t>Amundi Actions France - P (C)</t>
  </si>
  <si>
    <t>Equity France</t>
  </si>
  <si>
    <t>Amundi Actions France ISR P C</t>
  </si>
  <si>
    <t>51/132</t>
  </si>
  <si>
    <t>45/131</t>
  </si>
  <si>
    <t>Amundi Actions Or P C</t>
  </si>
  <si>
    <t>Equity Sector Gold&amp;Prec Metals</t>
  </si>
  <si>
    <t>21/81</t>
  </si>
  <si>
    <t>Amundi Actions PME (C)</t>
  </si>
  <si>
    <t>Equity EuroZone Sm&amp;Mid Cap</t>
  </si>
  <si>
    <t>49/75</t>
  </si>
  <si>
    <t>15/74</t>
  </si>
  <si>
    <t>6/33</t>
  </si>
  <si>
    <t>Amundi Actions Ressources Naturelles P C</t>
  </si>
  <si>
    <t>Amundi Actions USA ISR - P (C)</t>
  </si>
  <si>
    <t>Equity US</t>
  </si>
  <si>
    <t>Amundi AFD Avenirs Durables P1-C</t>
  </si>
  <si>
    <t>Mixed Asset EUR Cons - Global</t>
  </si>
  <si>
    <t>Amundi Amerika Blue Chip Stock (A)</t>
  </si>
  <si>
    <t>Amundi Amerika Blue Chip Stock unhedged (T)</t>
  </si>
  <si>
    <t>323/412</t>
  </si>
  <si>
    <t>Amundi Annual Protect 85 C/D</t>
  </si>
  <si>
    <t>Amundi Annual Protect 90 C/D</t>
  </si>
  <si>
    <t>Amundi Asien Dynamik Stock Dachfonds (T)</t>
  </si>
  <si>
    <t>Equity Asia Pacific ex Japan</t>
  </si>
  <si>
    <t>Amundi Canadian Bond (A)</t>
  </si>
  <si>
    <t>CAD</t>
  </si>
  <si>
    <t>Bond CAD</t>
  </si>
  <si>
    <t>2/7</t>
  </si>
  <si>
    <t>3/7</t>
  </si>
  <si>
    <t>1/7</t>
  </si>
  <si>
    <t>2/6</t>
  </si>
  <si>
    <t>4/5</t>
  </si>
  <si>
    <t>Amundi Cash Corporate - IC (C)</t>
  </si>
  <si>
    <t>Amundi Cash Institutions SRI - I</t>
  </si>
  <si>
    <t>Mixed Asset EUR Bal - Global</t>
  </si>
  <si>
    <t>Amundi Convertibles Euroland</t>
  </si>
  <si>
    <t>Bond Convertibles Europe</t>
  </si>
  <si>
    <t>51/97</t>
  </si>
  <si>
    <t>47/76</t>
  </si>
  <si>
    <t>Amundi Corto Plazo I, FI</t>
  </si>
  <si>
    <t>Amundi Credit 1-3 Euro - P (C)</t>
  </si>
  <si>
    <t>Bond EUR Corporates Short Term</t>
  </si>
  <si>
    <t>7/48</t>
  </si>
  <si>
    <t>11/47</t>
  </si>
  <si>
    <t>25/39</t>
  </si>
  <si>
    <t>Amundi Credit Euro - I (C)</t>
  </si>
  <si>
    <t>Bond EUR Corporates</t>
  </si>
  <si>
    <t>Amundi Credit Euro ISR - I (C)</t>
  </si>
  <si>
    <t>Amundi Diversification Actions Emergentes P - C</t>
  </si>
  <si>
    <t>177/237</t>
  </si>
  <si>
    <t>Amundi Diversificazione Attiva 2018 Quattro</t>
  </si>
  <si>
    <t>174/237</t>
  </si>
  <si>
    <t>Amundi Diversificazione Attiva 2019</t>
  </si>
  <si>
    <t>Absolute Return EUR High</t>
  </si>
  <si>
    <t>42/111</t>
  </si>
  <si>
    <t>Equity Italy</t>
  </si>
  <si>
    <t>Amundi Dynarbitrage Volatilite - P (C)</t>
  </si>
  <si>
    <t>18/30</t>
  </si>
  <si>
    <t>8/34</t>
  </si>
  <si>
    <t>21/29</t>
  </si>
  <si>
    <t>17/21</t>
  </si>
  <si>
    <t>5/7</t>
  </si>
  <si>
    <t>Amundi Edmond De Rothschild Selection (C)</t>
  </si>
  <si>
    <t>Amundi Estrategia Bonos, FI</t>
  </si>
  <si>
    <t>Bond Global</t>
  </si>
  <si>
    <t>Amundi Estrategia Global, FI</t>
  </si>
  <si>
    <t>131/237</t>
  </si>
  <si>
    <t>Amundi ETF BBB Corporate InvestmentGrade UCITS ETF</t>
  </si>
  <si>
    <t>FR0012951044</t>
  </si>
  <si>
    <t>Amundi ETF CAC 40 UCITS ETF DR (C)</t>
  </si>
  <si>
    <t>37/101</t>
  </si>
  <si>
    <t>FR0007080973</t>
  </si>
  <si>
    <t>Amundi ETF Cash 3Mths Eurmts InvesGrd UCITS ETF(C)</t>
  </si>
  <si>
    <t>FR0010754200</t>
  </si>
  <si>
    <t>Amundi ETF EUR CorporateExFinancialsiBOXX UCITSETF</t>
  </si>
  <si>
    <t>328/361</t>
  </si>
  <si>
    <t>FR0011020940</t>
  </si>
  <si>
    <t>Amundi ETF Euro CorporateFinancialsiBOXX UCITS ETF</t>
  </si>
  <si>
    <t>FR0011020957</t>
  </si>
  <si>
    <t>Amundi ETF Euro Corporates UCITS ETF(C)</t>
  </si>
  <si>
    <t>291/350</t>
  </si>
  <si>
    <t>FR0010754119</t>
  </si>
  <si>
    <t>Amundi ETF Euro High Yield Liquid Bond IBOXX UCITS</t>
  </si>
  <si>
    <t>Bond EUR High Yield</t>
  </si>
  <si>
    <t>35/99</t>
  </si>
  <si>
    <t>FR0011494822</t>
  </si>
  <si>
    <t>Amundi ETF Euro Inflation UCITS ETF(C)</t>
  </si>
  <si>
    <t>Bond EUR Inflation Linked</t>
  </si>
  <si>
    <t>47/69</t>
  </si>
  <si>
    <t>9/61</t>
  </si>
  <si>
    <t>FR0010754127</t>
  </si>
  <si>
    <t>Amundi ETF Euro Stoxx 50 UCITS ETF DR - EUR (C)</t>
  </si>
  <si>
    <t>FR0010654913</t>
  </si>
  <si>
    <t>Amundi ETF Euro Stoxx Small Cap UCITS ETF</t>
  </si>
  <si>
    <t>52/58</t>
  </si>
  <si>
    <t>FR0010900076</t>
  </si>
  <si>
    <t>Amundi ETF Floating Rate Euro Corporate 1-3 UCITS</t>
  </si>
  <si>
    <t>13/49</t>
  </si>
  <si>
    <t>34/47</t>
  </si>
  <si>
    <t>FR0012005734</t>
  </si>
  <si>
    <t>Amundi ETF Floating Rate USD Corporate UCITS ETF</t>
  </si>
  <si>
    <t>USD</t>
  </si>
  <si>
    <t>Bond USD Corporates</t>
  </si>
  <si>
    <t>91/95</t>
  </si>
  <si>
    <t>FR0012647451</t>
  </si>
  <si>
    <t>Amundi ETF FTSE EPRA Europe Real Estate UCITS ETF</t>
  </si>
  <si>
    <t>72/113</t>
  </si>
  <si>
    <t>44/106</t>
  </si>
  <si>
    <t>FR0010791160</t>
  </si>
  <si>
    <t>Amundi ETF FTSE MIB UCITS ETF</t>
  </si>
  <si>
    <t>FR0010892208</t>
  </si>
  <si>
    <t>Amundi ETF Global Emerg Bd Markit iBOXX UCITS ETF</t>
  </si>
  <si>
    <t>Bond Emerging Markets Global HC</t>
  </si>
  <si>
    <t>FR0010959668</t>
  </si>
  <si>
    <t>Amundi ETF Gov Bd EuroMTS Brd Inv Grade UCITS</t>
  </si>
  <si>
    <t>Bond EMU Government</t>
  </si>
  <si>
    <t>FR0010754192</t>
  </si>
  <si>
    <t>Amundi ETF Gov Bd Hi Rtd EuroMTS InvGrd 1-3 UCITs</t>
  </si>
  <si>
    <t>Bond EMU Government ST</t>
  </si>
  <si>
    <t>67/81</t>
  </si>
  <si>
    <t>49/76</t>
  </si>
  <si>
    <t>FR0011161215</t>
  </si>
  <si>
    <t>Amundi ETF Gov Bd Highest Rtd EuroMTS IG UCITS ETF</t>
  </si>
  <si>
    <t>224/259</t>
  </si>
  <si>
    <t>FR0010930636</t>
  </si>
  <si>
    <t>Amundi ETF GovtBd EuroMTS Brd IG 5-7 UCITS ETF</t>
  </si>
  <si>
    <t>Bond EMU Government LT</t>
  </si>
  <si>
    <t>FR0010754176</t>
  </si>
  <si>
    <t>Amundi ETF Japan Topix UCITS ETF - Dly Hged EUR</t>
  </si>
  <si>
    <t>Equity Japan</t>
  </si>
  <si>
    <t>46/345</t>
  </si>
  <si>
    <t>8/349</t>
  </si>
  <si>
    <t>FR0011314277</t>
  </si>
  <si>
    <t>Amundi ETF JPX-Nikkei 400 UCITS ETF - EUR</t>
  </si>
  <si>
    <t>FR0012205631</t>
  </si>
  <si>
    <t>Amundi ETF Leveraged CAC 40 Daily UCITS ETF</t>
  </si>
  <si>
    <t>Unclassified</t>
  </si>
  <si>
    <t>FR0010756064</t>
  </si>
  <si>
    <t>Amundi ETF Leveraged Euro Stoxx 50 Daily UCITS ETF</t>
  </si>
  <si>
    <t>FR0010756072</t>
  </si>
  <si>
    <t>Amundi ETF Leveraged MSCI Usa Daily UCITS ETF EUR</t>
  </si>
  <si>
    <t>2/477</t>
  </si>
  <si>
    <t>FR0010755611</t>
  </si>
  <si>
    <t>Amundi ETF MSCI China UCITS ETF - EUR</t>
  </si>
  <si>
    <t>Equity China</t>
  </si>
  <si>
    <t>68/104</t>
  </si>
  <si>
    <t>59/66</t>
  </si>
  <si>
    <t>FR0010713784</t>
  </si>
  <si>
    <t>Amundi ETF MSCI East Europe ExRussia UCITS ETF EUR</t>
  </si>
  <si>
    <t>Equity Emerging Mkts Europe</t>
  </si>
  <si>
    <t>FR0010717074</t>
  </si>
  <si>
    <t>Amundi ETF MSCI Em Asia UCITS ETF - EUR</t>
  </si>
  <si>
    <t>Equity Emerging Mkts Asia</t>
  </si>
  <si>
    <t>10/23</t>
  </si>
  <si>
    <t>12/18</t>
  </si>
  <si>
    <t>FR0011020965</t>
  </si>
  <si>
    <t>Amundi ETF MSCI Em Latin America UCITS ETF - EUR</t>
  </si>
  <si>
    <t>Equity Emerging Mkts Latin Am</t>
  </si>
  <si>
    <t>51/87</t>
  </si>
  <si>
    <t>33/88</t>
  </si>
  <si>
    <t>49/88</t>
  </si>
  <si>
    <t>25/82</t>
  </si>
  <si>
    <t>FR0011020973</t>
  </si>
  <si>
    <t>Amundi ETF MSCI Emerging Markets UCITS ETF - EUR</t>
  </si>
  <si>
    <t>FR0010959676</t>
  </si>
  <si>
    <t>Amundi ETF MSCI EMU High Dividend UCITS ETF</t>
  </si>
  <si>
    <t>Equity Europe Income</t>
  </si>
  <si>
    <t>FR0010717090</t>
  </si>
  <si>
    <t>Amundi ETF MSCI EMU UCITS ETF DR</t>
  </si>
  <si>
    <t>FR0010655688</t>
  </si>
  <si>
    <t>Amundi ETF MSCI Europe Banks UCITS ETF</t>
  </si>
  <si>
    <t>Equity Sector Financials</t>
  </si>
  <si>
    <t>56/81</t>
  </si>
  <si>
    <t>56/75</t>
  </si>
  <si>
    <t>FR0010688176</t>
  </si>
  <si>
    <t>Amundi ETF MSCI Europe BuyBack UCITS ETF</t>
  </si>
  <si>
    <t>FR0012805687</t>
  </si>
  <si>
    <t>Amundi ETF MSCI Europe Consumer Staples UCITS ETF</t>
  </si>
  <si>
    <t>Equity Sector Consumer Staples</t>
  </si>
  <si>
    <t>18/32</t>
  </si>
  <si>
    <t>FR0010688168</t>
  </si>
  <si>
    <t>Amundi ETF MSCI Europe Energy UCITS ETF</t>
  </si>
  <si>
    <t>Equity Sector Energy</t>
  </si>
  <si>
    <t>31/95</t>
  </si>
  <si>
    <t>FR0010930644</t>
  </si>
  <si>
    <t>Amundi ETF MSCI Europe Ex Emu UCITS ETF</t>
  </si>
  <si>
    <t>FR0010821819</t>
  </si>
  <si>
    <t>Amundi ETF MSCI Europe Ex Switzerland UCITS ETF</t>
  </si>
  <si>
    <t>FR0010821835</t>
  </si>
  <si>
    <t>Amundi ETF MSCI Europe Ex Uk UCITS ETF(C)</t>
  </si>
  <si>
    <t>Equity Europe ex UK</t>
  </si>
  <si>
    <t>FR0010988642</t>
  </si>
  <si>
    <t>Amundi ETF MSCI Europe Growth UCITS ETF</t>
  </si>
  <si>
    <t>FR0010717108</t>
  </si>
  <si>
    <t>Amundi ETF MSCI Europe Healthcare UCITS ETF</t>
  </si>
  <si>
    <t>Equity Sector Healthcare</t>
  </si>
  <si>
    <t>FR0010688192</t>
  </si>
  <si>
    <t>Amundi ETF MSCI Europe Industrials UCITS ETF</t>
  </si>
  <si>
    <t>Equity Sector Industrials</t>
  </si>
  <si>
    <t>2/29</t>
  </si>
  <si>
    <t>8/29</t>
  </si>
  <si>
    <t>FR0010688218</t>
  </si>
  <si>
    <t>Amundi ETF MSCI Europe Low Size Factor UCITS ETF</t>
  </si>
  <si>
    <t>Equity Europe Sm&amp;Mid Cap</t>
  </si>
  <si>
    <t>FR0010612218</t>
  </si>
  <si>
    <t>Amundi ETF MSCI Europe Materials UCITS ETF</t>
  </si>
  <si>
    <t>Equity Sector Materials</t>
  </si>
  <si>
    <t>15/48</t>
  </si>
  <si>
    <t>FR0010791137</t>
  </si>
  <si>
    <t>Amundi ETF MSCI Europe Momentum Factor UCITS ETF</t>
  </si>
  <si>
    <t>FR0013140514</t>
  </si>
  <si>
    <t>Amundi ETF MSCI Europe Quality Factor UCITS ETF</t>
  </si>
  <si>
    <t>FR0013140522</t>
  </si>
  <si>
    <t>Amundi ETF MSCI Europe Telecom Services UCITS ETF</t>
  </si>
  <si>
    <t>Equity Sector Telecom Srvcs</t>
  </si>
  <si>
    <t>9/24</t>
  </si>
  <si>
    <t>5/25</t>
  </si>
  <si>
    <t>FR0010713735</t>
  </si>
  <si>
    <t>Amundi ETF MSCI Europe UCITS ETF (C)</t>
  </si>
  <si>
    <t>FR0010655696</t>
  </si>
  <si>
    <t>Amundi ETF MSCI Europe Utilities UCITS ETF</t>
  </si>
  <si>
    <t>22/34</t>
  </si>
  <si>
    <t>FR0010688234</t>
  </si>
  <si>
    <t>Amundi ETF MSCI Europe Value Factor UCITS ETF</t>
  </si>
  <si>
    <t>FR0010717116</t>
  </si>
  <si>
    <t>Amundi ETF MSCI France UCITS ETF</t>
  </si>
  <si>
    <t>73/132</t>
  </si>
  <si>
    <t>FR0010655704</t>
  </si>
  <si>
    <t>Amundi ETF MSCI Germany UCITS ETF</t>
  </si>
  <si>
    <t>Equity Germany</t>
  </si>
  <si>
    <t>56/94</t>
  </si>
  <si>
    <t>47/84</t>
  </si>
  <si>
    <t>35/72</t>
  </si>
  <si>
    <t>FR0010655712</t>
  </si>
  <si>
    <t>Amundi ETF MSCI India UCITS ETF - EUR</t>
  </si>
  <si>
    <t>Equity India</t>
  </si>
  <si>
    <t>FR0010713727</t>
  </si>
  <si>
    <t>Amundi ETF MSCI Italy UCITS ETF</t>
  </si>
  <si>
    <t>45/48</t>
  </si>
  <si>
    <t>30/47</t>
  </si>
  <si>
    <t>FR0010655720</t>
  </si>
  <si>
    <t>Amundi ETF MSCI Japan UCITS ETF DR - EUR</t>
  </si>
  <si>
    <t>FR0010688242</t>
  </si>
  <si>
    <t>Amundi ETF MSCI Netherlands UCITS ETF</t>
  </si>
  <si>
    <t>Equity Netherlands</t>
  </si>
  <si>
    <t>8/17</t>
  </si>
  <si>
    <t>3/17</t>
  </si>
  <si>
    <t>FR0010688259</t>
  </si>
  <si>
    <t>Amundi ETF MSCI Nordic UCITS ETF</t>
  </si>
  <si>
    <t>Equity Nordic</t>
  </si>
  <si>
    <t>57/71</t>
  </si>
  <si>
    <t>FR0010655738</t>
  </si>
  <si>
    <t>Amundi ETF MSCI Pacific ExJapan UCITS ETF DR - EUR</t>
  </si>
  <si>
    <t>292/390</t>
  </si>
  <si>
    <t>FR0010713669</t>
  </si>
  <si>
    <t>Amundi ETF MSCI Spain UCITS ETF</t>
  </si>
  <si>
    <t>Equity Spain</t>
  </si>
  <si>
    <t>35/74</t>
  </si>
  <si>
    <t>28/55</t>
  </si>
  <si>
    <t>FR0010655746</t>
  </si>
  <si>
    <t>Amundi ETF MSCI Switzerland UCITS ETF - EUR</t>
  </si>
  <si>
    <t>Equity Switzerland</t>
  </si>
  <si>
    <t>FR0010655753</t>
  </si>
  <si>
    <t>Amundi ETF MSCI UK UCITS ETF</t>
  </si>
  <si>
    <t>Equity UK</t>
  </si>
  <si>
    <t>265/307</t>
  </si>
  <si>
    <t>FR0010655761</t>
  </si>
  <si>
    <t>Amundi ETF MSCI USA UCITS ETF - EUR</t>
  </si>
  <si>
    <t>FR0010688275</t>
  </si>
  <si>
    <t>Amundi ETF MSCI World Energy UCITS ETF - EUR</t>
  </si>
  <si>
    <t>56/99</t>
  </si>
  <si>
    <t>41/86</t>
  </si>
  <si>
    <t>22/71</t>
  </si>
  <si>
    <t>FR0010791145</t>
  </si>
  <si>
    <t>Amundi ETF MSCI World Ex EMU UCITS ETF - C/D</t>
  </si>
  <si>
    <t>FR0010756114</t>
  </si>
  <si>
    <t>Amundi ETF MSCI World Ex Europe UCITS ETF - EUR</t>
  </si>
  <si>
    <t>FR0010756122</t>
  </si>
  <si>
    <t>Amundi ETF MSCI World Financials UCITS ETF - USD</t>
  </si>
  <si>
    <t>22/70</t>
  </si>
  <si>
    <t>FR0010871194</t>
  </si>
  <si>
    <t>Amundi ETF MSCI World Low Carbon UCITS ETF - EUR</t>
  </si>
  <si>
    <t>FR0012657963</t>
  </si>
  <si>
    <t>Amundi ETF MSCI World UCITS ETF - EUR</t>
  </si>
  <si>
    <t>FR0010756098</t>
  </si>
  <si>
    <t>Amundi ETF MSCIEuropeHighDividend Factor UCITS ETF</t>
  </si>
  <si>
    <t>68/100</t>
  </si>
  <si>
    <t>FR0010718874</t>
  </si>
  <si>
    <t>Amundi ETF MSCIEuropeMinVolatilityFactor UCITS ETF</t>
  </si>
  <si>
    <t>FR0010713768</t>
  </si>
  <si>
    <t>Amundi ETF Nasdaq-100 UCITS ETF - EUR</t>
  </si>
  <si>
    <t>FR0010892216</t>
  </si>
  <si>
    <t>Amundi ETF Russell 2000 UCITS ETF USD</t>
  </si>
  <si>
    <t>Equity US Sm&amp;Mid Cap</t>
  </si>
  <si>
    <t>FR0011636208</t>
  </si>
  <si>
    <t>Amundi ETF S&amp;P 500 BuyBack UCITS ETF - USD</t>
  </si>
  <si>
    <t>FR0012395499</t>
  </si>
  <si>
    <t>Amundi ETF S&amp;P 500 UCITS ETF - EUR</t>
  </si>
  <si>
    <t>FR0010892224</t>
  </si>
  <si>
    <t>Amundi ETF S&amp;P Global Luxury UCITS ETF EUR</t>
  </si>
  <si>
    <t>Equity Sector Consumer Discretionary</t>
  </si>
  <si>
    <t>FR0010688226</t>
  </si>
  <si>
    <t>Amundi ETF Short CAC 40 Daily UCITS ETF</t>
  </si>
  <si>
    <t>FR0010717124</t>
  </si>
  <si>
    <t>Amundi ETF Short Euro Stoxx 50 Daily UCITS ETF</t>
  </si>
  <si>
    <t>403/477</t>
  </si>
  <si>
    <t>FR0010757781</t>
  </si>
  <si>
    <t>Amundi ETF Short MSCI USA Daily UCITS ETF</t>
  </si>
  <si>
    <t>FR0010791194</t>
  </si>
  <si>
    <t>Amundi ETF ShortUS Treasury 7-10Daily UCITS ETF(C)</t>
  </si>
  <si>
    <t>FR0010892745</t>
  </si>
  <si>
    <t>Amundi ETF Stoxx Europe 50 UCITS ETF</t>
  </si>
  <si>
    <t>FR0010790980</t>
  </si>
  <si>
    <t>Amundi ETF Stoxx Europe 600 UCITS ETF</t>
  </si>
  <si>
    <t>FR0010791004</t>
  </si>
  <si>
    <t>Amundi ETF US Treasury 1-3 UCITS ETF(C)</t>
  </si>
  <si>
    <t>Bond USD Government Short Term</t>
  </si>
  <si>
    <t>3/6</t>
  </si>
  <si>
    <t>FR0010892281</t>
  </si>
  <si>
    <t>Amundi ETF US Treasury 3-7 UCITS ETF (C)</t>
  </si>
  <si>
    <t>Bond USD Medium Term</t>
  </si>
  <si>
    <t>5/14</t>
  </si>
  <si>
    <t>13/14</t>
  </si>
  <si>
    <t>14/14</t>
  </si>
  <si>
    <t>5/12</t>
  </si>
  <si>
    <t>FR0010892299</t>
  </si>
  <si>
    <t>Amundi ETF US Treasury 7-10 UCITS ETF (C)</t>
  </si>
  <si>
    <t>Bond USD</t>
  </si>
  <si>
    <t>88/166</t>
  </si>
  <si>
    <t>FR0010892307</t>
  </si>
  <si>
    <t>Amundi ETFGovt BdEuroMTS Brd IG 3-5 UCITS ETF</t>
  </si>
  <si>
    <t>Bond EMU Government MT</t>
  </si>
  <si>
    <t>29/59</t>
  </si>
  <si>
    <t>38/59</t>
  </si>
  <si>
    <t>FR0010754168</t>
  </si>
  <si>
    <t>Amundi EUR Geldmarktfonds (A)</t>
  </si>
  <si>
    <t>Amundi Eureka Crescita Area Euro 2019 C</t>
  </si>
  <si>
    <t>69/115</t>
  </si>
  <si>
    <t>Amundi Eureka Crescita Azionaria 2017</t>
  </si>
  <si>
    <t>448/461</t>
  </si>
  <si>
    <t>Amundi Eureka Crescita Azionaria DUE 2017</t>
  </si>
  <si>
    <t>Target Maturity MA EUR 2045+</t>
  </si>
  <si>
    <t>24/27</t>
  </si>
  <si>
    <t>21/26</t>
  </si>
  <si>
    <t>19/21</t>
  </si>
  <si>
    <t>12/14</t>
  </si>
  <si>
    <t>Amundi Eureka Crescita Settore Immobiliare 2017</t>
  </si>
  <si>
    <t>4/30</t>
  </si>
  <si>
    <t>26/26</t>
  </si>
  <si>
    <t>Amundi Eureka Energia Doppia Opportunita 2018</t>
  </si>
  <si>
    <t>113/115</t>
  </si>
  <si>
    <t>Amundi Eureka Europa Emergente Ripresa 2017</t>
  </si>
  <si>
    <t>Amundi Eureka Italia Doppia Opportunita 2019</t>
  </si>
  <si>
    <t>Amundi Eureka Materiali Industriali Doppia Opp 18</t>
  </si>
  <si>
    <t>71/115</t>
  </si>
  <si>
    <t>13/23</t>
  </si>
  <si>
    <t>5/111</t>
  </si>
  <si>
    <t>Amundi Eureka Sviluppo Italia-Francia-Spagna 2018</t>
  </si>
  <si>
    <t>4/113</t>
  </si>
  <si>
    <t>Amundi Eureka Sviluppo Mercati Emergenti 2017</t>
  </si>
  <si>
    <t>113/113</t>
  </si>
  <si>
    <t>Amundi Eureka Utilities Doppia Opportunita 2018</t>
  </si>
  <si>
    <t>2/27</t>
  </si>
  <si>
    <t>10/30</t>
  </si>
  <si>
    <t>25/26</t>
  </si>
  <si>
    <t>21/21</t>
  </si>
  <si>
    <t>Amundi Euro Bond ESR - N (C)</t>
  </si>
  <si>
    <t>Amundi Euro Equity ESR - N (C)</t>
  </si>
  <si>
    <t>131/502</t>
  </si>
  <si>
    <t>FR0010313775</t>
  </si>
  <si>
    <t>Bond EUR</t>
  </si>
  <si>
    <t>25/300</t>
  </si>
  <si>
    <t>Amundi Europa Blue Chip Stock (A)</t>
  </si>
  <si>
    <t>Amundi Europa Dividende Plus (T)</t>
  </si>
  <si>
    <t>Amundi Europa Stock (A)</t>
  </si>
  <si>
    <t>Amundi Fds Absolute Volatility Arbitrage - AE (C)</t>
  </si>
  <si>
    <t>17/30</t>
  </si>
  <si>
    <t>16/21</t>
  </si>
  <si>
    <t>6/7</t>
  </si>
  <si>
    <t>Amundi Fds Absolute Volatility Arbtge Plus AE (C)</t>
  </si>
  <si>
    <t>11/30</t>
  </si>
  <si>
    <t>12/31</t>
  </si>
  <si>
    <t>Amundi Fds Absolute Volatility Euro Eq - AE (C)</t>
  </si>
  <si>
    <t>27/29</t>
  </si>
  <si>
    <t>Amundi Fds Absolute Volatility World Eq - AU (C)</t>
  </si>
  <si>
    <t>Absolute Return USD Medium</t>
  </si>
  <si>
    <t>17/17</t>
  </si>
  <si>
    <t>13/13</t>
  </si>
  <si>
    <t>92/101</t>
  </si>
  <si>
    <t>Amundi Fds BFT Absolute Global Dividend - IE (C)</t>
  </si>
  <si>
    <t>Alternative Multi Strategies</t>
  </si>
  <si>
    <t>Amundi Fds BFT Optimal Income - AE (C)</t>
  </si>
  <si>
    <t>Amundi Fds Bond Asian Local Debt - AU (C)</t>
  </si>
  <si>
    <t>Bond Asia Pacific LC</t>
  </si>
  <si>
    <t>14/34</t>
  </si>
  <si>
    <t>11/34</t>
  </si>
  <si>
    <t>24/33</t>
  </si>
  <si>
    <t>Amundi Fds Bond China Aggregate - AU (C)</t>
  </si>
  <si>
    <t>Bond CNY</t>
  </si>
  <si>
    <t>16/33</t>
  </si>
  <si>
    <t>17/34</t>
  </si>
  <si>
    <t>15/33</t>
  </si>
  <si>
    <t>19/30</t>
  </si>
  <si>
    <t>16/19</t>
  </si>
  <si>
    <t>Amundi Fds Bond Euro Aggregate - AE (C)</t>
  </si>
  <si>
    <t>Amundi Fds Bond Euro Corporate - AE (C)</t>
  </si>
  <si>
    <t>Amundi Fds Bond Euro Corporate Short Term - AE (C)</t>
  </si>
  <si>
    <t>8/49</t>
  </si>
  <si>
    <t>Amundi Fds Bond Euro Government - AE (C)</t>
  </si>
  <si>
    <t>Amundi Fds Bond Euro High Yield - AE (C)</t>
  </si>
  <si>
    <t>23/108</t>
  </si>
  <si>
    <t>58/88</t>
  </si>
  <si>
    <t>Amundi Fds Bond Euro Inflation - AE (C)</t>
  </si>
  <si>
    <t>53/66</t>
  </si>
  <si>
    <t>24/34</t>
  </si>
  <si>
    <t>Amundi Fds Bond Europe - AE (C)</t>
  </si>
  <si>
    <t>Bond Europe</t>
  </si>
  <si>
    <t>64/160</t>
  </si>
  <si>
    <t>11/103</t>
  </si>
  <si>
    <t>Amundi Fds Bond Glbl Emerg Hard Currency - AE (C)</t>
  </si>
  <si>
    <t>Amundi Fds Bond Glbl Emerging Corporate - AE (D)</t>
  </si>
  <si>
    <t>Bond Emerging Markets Global Corporates</t>
  </si>
  <si>
    <t>54/84</t>
  </si>
  <si>
    <t>52/87</t>
  </si>
  <si>
    <t>44/83</t>
  </si>
  <si>
    <t>29/68</t>
  </si>
  <si>
    <t>Amundi Fds Bond Global - AU (C)</t>
  </si>
  <si>
    <t>Amundi Fds Bond Global Aggregate - AU (C)</t>
  </si>
  <si>
    <t>Bond Global USD Hedged</t>
  </si>
  <si>
    <t>13/28</t>
  </si>
  <si>
    <t>5/28</t>
  </si>
  <si>
    <t>11/28</t>
  </si>
  <si>
    <t>Amundi Fds Bond Global Corporate - AU (C)</t>
  </si>
  <si>
    <t>Bond Global Corporates</t>
  </si>
  <si>
    <t>15/116</t>
  </si>
  <si>
    <t>Amundi Fds Bond Global Em Lcl Currency - AU (C)</t>
  </si>
  <si>
    <t>Bond Emerging Markets Global LC</t>
  </si>
  <si>
    <t>19/32</t>
  </si>
  <si>
    <t>Amundi Fds Bond Global Emerging Blended - AE (C)</t>
  </si>
  <si>
    <t>Amundi Fds Bond Global High Yield - AU (C)</t>
  </si>
  <si>
    <t>Bond Global High Yield</t>
  </si>
  <si>
    <t>Amundi Fds Bond Global Hybrid - IE (C)</t>
  </si>
  <si>
    <t>Bond Global EUR Hedged</t>
  </si>
  <si>
    <t>1/47</t>
  </si>
  <si>
    <t>2/40</t>
  </si>
  <si>
    <t>Amundi Fds Bond Global Inflation - AE (C)</t>
  </si>
  <si>
    <t>Bond Global Inflation Linked</t>
  </si>
  <si>
    <t>24/47</t>
  </si>
  <si>
    <t>32/39</t>
  </si>
  <si>
    <t>Amundi Fds Bond Global Total Return - AE (C)</t>
  </si>
  <si>
    <t>Amundi Fds Bond US Aggregate - IU (C)</t>
  </si>
  <si>
    <t>45/166</t>
  </si>
  <si>
    <t>Amundi Fds Bond US Corporate - AU (C)</t>
  </si>
  <si>
    <t>24/100</t>
  </si>
  <si>
    <t>16/82</t>
  </si>
  <si>
    <t>Amundi Fds Bond US Opp Core Plus - AU (C)</t>
  </si>
  <si>
    <t>51/153</t>
  </si>
  <si>
    <t>5/82</t>
  </si>
  <si>
    <t>Amundi Fds Cash EUR - AE (C)</t>
  </si>
  <si>
    <t>Amundi Fds Cash USD - AU (C)</t>
  </si>
  <si>
    <t>Money Market USD</t>
  </si>
  <si>
    <t>14/110</t>
  </si>
  <si>
    <t>Amundi Fds Convertible Credit - AE (C)</t>
  </si>
  <si>
    <t>35/95</t>
  </si>
  <si>
    <t>73/95</t>
  </si>
  <si>
    <t>Amundi Fds Convertible Europe - AE (C)</t>
  </si>
  <si>
    <t>Amundi Fds Convertible Global - AE (C)</t>
  </si>
  <si>
    <t>Bond Convertibles Global</t>
  </si>
  <si>
    <t>71/134</t>
  </si>
  <si>
    <t>79/109</t>
  </si>
  <si>
    <t>Alternative Global Macro</t>
  </si>
  <si>
    <t>31/71</t>
  </si>
  <si>
    <t>Amundi Fds Eq Glbl Luxury &amp; Lifestyle - AU (C)</t>
  </si>
  <si>
    <t>31/55</t>
  </si>
  <si>
    <t>Amundi Fds Eqty Asia Ex Japan Cncentrated - AE (C)</t>
  </si>
  <si>
    <t>Amundi Fds Equity ASEAN - AU (C)</t>
  </si>
  <si>
    <t>Equity ASEAN</t>
  </si>
  <si>
    <t>16/18</t>
  </si>
  <si>
    <t>13/15</t>
  </si>
  <si>
    <t>5/5</t>
  </si>
  <si>
    <t>Amundi Fds Equity Asia Ex-Japan - AU (C)</t>
  </si>
  <si>
    <t>Amundi Fds Equity Brazil - AU (C)</t>
  </si>
  <si>
    <t>Equity Brazil</t>
  </si>
  <si>
    <t>Amundi Fds Equity Emerging Conservative - AU (C)</t>
  </si>
  <si>
    <t>Amundi Fds Equity Emerging Focus - AU (C)</t>
  </si>
  <si>
    <t>89/455</t>
  </si>
  <si>
    <t>Amundi Fds Equity Emerging World - AU (C)</t>
  </si>
  <si>
    <t>Amundi Fds Equity Euro Risk Parity - IE (C)</t>
  </si>
  <si>
    <t>Amundi Fds Equity Euroland Small Cap - AE (C)</t>
  </si>
  <si>
    <t>41/71</t>
  </si>
  <si>
    <t>Amundi Fds Equity Europe Concentrated - AE (C)</t>
  </si>
  <si>
    <t>Amundi Fds Equity Europe Conservative - IE (C)</t>
  </si>
  <si>
    <t>Amundi Fds Equity Europe Small Cap - AE (C)</t>
  </si>
  <si>
    <t>166/240</t>
  </si>
  <si>
    <t>Amundi Fds Equity Global Agriculture - AU (C)</t>
  </si>
  <si>
    <t>Amundi Fds Equity Global Concentrated - AU (C)</t>
  </si>
  <si>
    <t>Amundi Fds Equity Global Conservative - AU (C)</t>
  </si>
  <si>
    <t>Amundi Fds Equity Global Income - AU (C)</t>
  </si>
  <si>
    <t>Equity Global Income</t>
  </si>
  <si>
    <t>Amundi Fds Equity Greater China - AU (C)</t>
  </si>
  <si>
    <t>Equity Greater China</t>
  </si>
  <si>
    <t>59/71</t>
  </si>
  <si>
    <t>Amundi Fds Equity India Infrastructure - AU (C)</t>
  </si>
  <si>
    <t>68/89</t>
  </si>
  <si>
    <t>Amundi Fds Equity Japan Target - AJ (C)</t>
  </si>
  <si>
    <t>JPY</t>
  </si>
  <si>
    <t>Amundi Fds Equity Japan Value - AJ (C)</t>
  </si>
  <si>
    <t>Amundi Fds Equity Korea - AU (C)</t>
  </si>
  <si>
    <t>Equity Korea</t>
  </si>
  <si>
    <t>11/22</t>
  </si>
  <si>
    <t>10/12</t>
  </si>
  <si>
    <t>Amundi Fds Equity Latin America - AU (C)</t>
  </si>
  <si>
    <t>29/88</t>
  </si>
  <si>
    <t>83/88</t>
  </si>
  <si>
    <t>72/82</t>
  </si>
  <si>
    <t>64/70</t>
  </si>
  <si>
    <t>Amundi Fds Equity MENA - AU (C)</t>
  </si>
  <si>
    <t>Equity MENA</t>
  </si>
  <si>
    <t>7/30</t>
  </si>
  <si>
    <t>9/20</t>
  </si>
  <si>
    <t>Amundi Fds Equity Thailand - AU (C)</t>
  </si>
  <si>
    <t>Equity Thailand</t>
  </si>
  <si>
    <t>6/9</t>
  </si>
  <si>
    <t>5/9</t>
  </si>
  <si>
    <t>4/6</t>
  </si>
  <si>
    <t>Amundi Fds Equity US Concentrated Core - AU (C)</t>
  </si>
  <si>
    <t>Amundi Fds Equity US Relative Value - AU (C)</t>
  </si>
  <si>
    <t>Amundi Fds Glb Macro Bonds &amp; Ccy Low Vol - AE (C)</t>
  </si>
  <si>
    <t>Amundi Fds Global Macro Bds &amp; Currencies - AE (C)</t>
  </si>
  <si>
    <t>Alternative Currency Strategies</t>
  </si>
  <si>
    <t>7/38</t>
  </si>
  <si>
    <t>Amundi Fds Global Macro Forex - AE (C)</t>
  </si>
  <si>
    <t>5/38</t>
  </si>
  <si>
    <t>8/13</t>
  </si>
  <si>
    <t>Mixed Asset EUR Cons - EuroZone</t>
  </si>
  <si>
    <t>44/144</t>
  </si>
  <si>
    <t>57/127</t>
  </si>
  <si>
    <t>Amundi Fds Protect 90 - AE (C)</t>
  </si>
  <si>
    <t>45/84</t>
  </si>
  <si>
    <t>26/68</t>
  </si>
  <si>
    <t>81/87</t>
  </si>
  <si>
    <t>Amundi Fds Sterling Strategic Bond - RG (C)</t>
  </si>
  <si>
    <t>GBP</t>
  </si>
  <si>
    <t>Bond GBP</t>
  </si>
  <si>
    <t>43/109</t>
  </si>
  <si>
    <t>50/106</t>
  </si>
  <si>
    <t>Amundi Fds Target Coupon - AE YD (D)</t>
  </si>
  <si>
    <t>Amundi Fondtesoro Largo Plazo, FI</t>
  </si>
  <si>
    <t>139/238</t>
  </si>
  <si>
    <t>240/334</t>
  </si>
  <si>
    <t>LU1437025296</t>
  </si>
  <si>
    <t>Amundi Funds Equity Green Impact AE C</t>
  </si>
  <si>
    <t>Amundi Gemeindefonds (A)</t>
  </si>
  <si>
    <t>Undisclosed</t>
  </si>
  <si>
    <t>Amundi Gemeindefonds Absolute Return (A)</t>
  </si>
  <si>
    <t>Amundi Global Bond (A)</t>
  </si>
  <si>
    <t>Amundi Global High Yield Bond (A)</t>
  </si>
  <si>
    <t>163/217</t>
  </si>
  <si>
    <t>109/129</t>
  </si>
  <si>
    <t>Amundi Global High Yield Bond Kurz (T)</t>
  </si>
  <si>
    <t>78/101</t>
  </si>
  <si>
    <t>Amundi Global Macro 2 - I (C)</t>
  </si>
  <si>
    <t>5/34</t>
  </si>
  <si>
    <t>Amundi Global Macro Multi-Asset - I (C)</t>
  </si>
  <si>
    <t>33/80</t>
  </si>
  <si>
    <t>Amundi Global Players Equity Fund (T)</t>
  </si>
  <si>
    <t>Amundi Green Bonds I - (C/D)</t>
  </si>
  <si>
    <t>Amundi Horizon (C)</t>
  </si>
  <si>
    <t>Amundi Idx Barclays US Gov Inf-Lnk Bd - UCT ETF DR</t>
  </si>
  <si>
    <t>Bond USD Inflation Linked</t>
  </si>
  <si>
    <t>LU1525419294</t>
  </si>
  <si>
    <t>Amundi Idx Eq Gbl Mti Smt Alcn Snfc Bta - IE (C)</t>
  </si>
  <si>
    <t>Amundi Impact Green Bond - P (C)</t>
  </si>
  <si>
    <t>Amundi Index Barclays Euro AGG Corporate - AE (C)</t>
  </si>
  <si>
    <t>Amundi Index Barclays Euro Corp BBB 1-5 - IE (C)</t>
  </si>
  <si>
    <t>Amundi Index Barclays Global Agg 500m IE - (C)</t>
  </si>
  <si>
    <t>Amundi Index Barclays US Corp BBB 1-5 - IE (C)</t>
  </si>
  <si>
    <t>Amundi Index Equity Europe Low Carbon - IE (C)</t>
  </si>
  <si>
    <t>Amundi Index Equity Global Low Carbon - AE (C)</t>
  </si>
  <si>
    <t>Amundi Index FTSE EPRA NAREIT Global - AE (C)</t>
  </si>
  <si>
    <t>Equity Sector Real Est Global</t>
  </si>
  <si>
    <t>161/264</t>
  </si>
  <si>
    <t>Amundi Index JP Morgan Glbl GBI Govies - AHE (C)</t>
  </si>
  <si>
    <t>Amundi Index MSCI EMU - AE (C)</t>
  </si>
  <si>
    <t>Amundi Index MSCI Europe - AE (C)</t>
  </si>
  <si>
    <t>Amundi Index MSCI Japan - AE (C)</t>
  </si>
  <si>
    <t>Amundi Index MSCI North America - AE (C)</t>
  </si>
  <si>
    <t>Amundi Index MSCI Pacific ex Japan - AE (C)</t>
  </si>
  <si>
    <t>Amundi Index MSCI World - AU (C)</t>
  </si>
  <si>
    <t>Amundi Index S&amp;P 500 - AE (C)</t>
  </si>
  <si>
    <t>16/47</t>
  </si>
  <si>
    <t>20/48</t>
  </si>
  <si>
    <t>39/39</t>
  </si>
  <si>
    <t>39/48</t>
  </si>
  <si>
    <t>1/49</t>
  </si>
  <si>
    <t>5/47</t>
  </si>
  <si>
    <t>LU1331050697</t>
  </si>
  <si>
    <t>Amundi Interinvest Capital Balanced - C (C)</t>
  </si>
  <si>
    <t>37/317</t>
  </si>
  <si>
    <t>Amundi interinvest China A Shares I USD Cap</t>
  </si>
  <si>
    <t>9/111</t>
  </si>
  <si>
    <t>87/104</t>
  </si>
  <si>
    <t>Amundi Interinvest Diversifie - C (C)</t>
  </si>
  <si>
    <t>Amundi Islamic Asia Pacific Quant - C (C)</t>
  </si>
  <si>
    <t>35/163</t>
  </si>
  <si>
    <t>Amundi Islamic Bric Quant - C (C)</t>
  </si>
  <si>
    <t>Amundi Islamic Global Resources - C (C)</t>
  </si>
  <si>
    <t>Amundi JaPAN-Asien Stock Dachfonds (A)</t>
  </si>
  <si>
    <t>37/131</t>
  </si>
  <si>
    <t>57/99</t>
  </si>
  <si>
    <t>Amundi LCR Covered Bond Europe - I (C)</t>
  </si>
  <si>
    <t>Amundi LCR Credit Europe - I (C)</t>
  </si>
  <si>
    <t>Amundi LCR Gov Europe - I (C)</t>
  </si>
  <si>
    <t>212/247</t>
  </si>
  <si>
    <t>122/194</t>
  </si>
  <si>
    <t>68/161</t>
  </si>
  <si>
    <t>Target Maturity Bond EUR 2020+</t>
  </si>
  <si>
    <t>84/460</t>
  </si>
  <si>
    <t>Amundi Meta Opportunita 2017</t>
  </si>
  <si>
    <t>75/237</t>
  </si>
  <si>
    <t>58/238</t>
  </si>
  <si>
    <t>Amundi Meta Plus Dinamico 2020 Area Euro</t>
  </si>
  <si>
    <t>Amundi Meta Plus Dinamico 2020 Area Euro e USA</t>
  </si>
  <si>
    <t>Amundi Meta Plus Dinamico 2020 Mercati Sviluppati</t>
  </si>
  <si>
    <t>5/115</t>
  </si>
  <si>
    <t>Target Maturity MA EUR 2025</t>
  </si>
  <si>
    <t>15/121</t>
  </si>
  <si>
    <t>33/74</t>
  </si>
  <si>
    <t>13/121</t>
  </si>
  <si>
    <t>Amundi Microcaps Europe P - (C)</t>
  </si>
  <si>
    <t>1/71</t>
  </si>
  <si>
    <t>2/58</t>
  </si>
  <si>
    <t>Amundi Money Market fd Short Term (EUR) - IC (D)</t>
  </si>
  <si>
    <t>Amundi Money Market fd Short Term (GBP) - PC (D)</t>
  </si>
  <si>
    <t>Money Market GBP</t>
  </si>
  <si>
    <t>Amundi Money Market Fd Short Term (USD) - XV (C)</t>
  </si>
  <si>
    <t>31/119</t>
  </si>
  <si>
    <t>29/110</t>
  </si>
  <si>
    <t>11/24</t>
  </si>
  <si>
    <t>8/20</t>
  </si>
  <si>
    <t>LU1437024992</t>
  </si>
  <si>
    <t>110/113</t>
  </si>
  <si>
    <t>Amundi Muendel Rent (A)</t>
  </si>
  <si>
    <t>Amundi Muendel Rent Kurz (A)</t>
  </si>
  <si>
    <t>90/99</t>
  </si>
  <si>
    <t>96/109</t>
  </si>
  <si>
    <t>47/74</t>
  </si>
  <si>
    <t>43/74</t>
  </si>
  <si>
    <t>Amundi Multimanagers Oblig P - C</t>
  </si>
  <si>
    <t>Amundi Obbligazionario Breve Termine - C</t>
  </si>
  <si>
    <t>2/82</t>
  </si>
  <si>
    <t>Amundi Obbligazionario Obiettivo Cedola B</t>
  </si>
  <si>
    <t>Amundi Obiettivo Crescita 2022 Due</t>
  </si>
  <si>
    <t>Amundi Obiettivo Reddito 2022 Due</t>
  </si>
  <si>
    <t>Amundi Obiettivo Reddito 2022 Tre</t>
  </si>
  <si>
    <t>Amundi Obiettivo Risparmio 2022 Due</t>
  </si>
  <si>
    <t>Amundi Obiettivo Risparmio 2022 Tre</t>
  </si>
  <si>
    <t>159/247</t>
  </si>
  <si>
    <t>Amundi Oblig 5-7 Euro P (C)</t>
  </si>
  <si>
    <t>Bond EUR Long Term</t>
  </si>
  <si>
    <t>21/62</t>
  </si>
  <si>
    <t>Amundi Oblig Euro - C</t>
  </si>
  <si>
    <t>Amundi Oblig Internationales EUR P</t>
  </si>
  <si>
    <t>Amundi Oeko Sozial Rent (T)</t>
  </si>
  <si>
    <t>Amundi Oeko Sozial Stock (T)</t>
  </si>
  <si>
    <t>Amundi Oesterreich Plus (T)</t>
  </si>
  <si>
    <t>Equity Austria</t>
  </si>
  <si>
    <t>10/15</t>
  </si>
  <si>
    <t>11/15</t>
  </si>
  <si>
    <t>7/14</t>
  </si>
  <si>
    <t>Amundi OptiRendite (T)</t>
  </si>
  <si>
    <t>147/247</t>
  </si>
  <si>
    <t>137/237</t>
  </si>
  <si>
    <t>113/237</t>
  </si>
  <si>
    <t>Amundi Orizzonte 2019 Cedole e Dividendi DUE</t>
  </si>
  <si>
    <t>Amundi Orizzonte 2019 Marchi Globali e Lusso</t>
  </si>
  <si>
    <t>59/260</t>
  </si>
  <si>
    <t>28/121</t>
  </si>
  <si>
    <t>34/109</t>
  </si>
  <si>
    <t>39/74</t>
  </si>
  <si>
    <t>Amundi Orizzonte 2020 Piccole e Medie Imprese</t>
  </si>
  <si>
    <t>Bond EUR Medium Term</t>
  </si>
  <si>
    <t>29/99</t>
  </si>
  <si>
    <t>Amundi Orizzonte Plus 2020 Risorse Globali</t>
  </si>
  <si>
    <t>Amundi Osteuropa Stock (A)</t>
  </si>
  <si>
    <t>108/155</t>
  </si>
  <si>
    <t>134/155</t>
  </si>
  <si>
    <t>117/155</t>
  </si>
  <si>
    <t>111/154</t>
  </si>
  <si>
    <t>82/143</t>
  </si>
  <si>
    <t>Amundi Patrimoine (C)</t>
  </si>
  <si>
    <t>Amundi Patrimoine PEA (C)</t>
  </si>
  <si>
    <t>26/134</t>
  </si>
  <si>
    <t>112/126</t>
  </si>
  <si>
    <t>Amundi Performance Absolue Equilibre I - C</t>
  </si>
  <si>
    <t>Amundi Piu B</t>
  </si>
  <si>
    <t>Amundi Post.Klassik (A)</t>
  </si>
  <si>
    <t>Amundi Post.KlassikPlus (A)</t>
  </si>
  <si>
    <t>Amundi Protect 18 Mois</t>
  </si>
  <si>
    <t>Amundi Protect 24 Mois</t>
  </si>
  <si>
    <t>Amundi Protect Solidarite (C)</t>
  </si>
  <si>
    <t>AMUNDI Protection 90</t>
  </si>
  <si>
    <t>AMUNDI Protection 95</t>
  </si>
  <si>
    <t>Amundi Pulsactions</t>
  </si>
  <si>
    <t>Mixed Asset Other Aggressive</t>
  </si>
  <si>
    <t>30/70</t>
  </si>
  <si>
    <t>36/50</t>
  </si>
  <si>
    <t>Amundi RE Europa</t>
  </si>
  <si>
    <t>Real Estate European</t>
  </si>
  <si>
    <t>8/208</t>
  </si>
  <si>
    <t>IT0001476412</t>
  </si>
  <si>
    <t>Amundi RE Italia</t>
  </si>
  <si>
    <t>IT0003017446</t>
  </si>
  <si>
    <t>Amundi Rendement Plus I</t>
  </si>
  <si>
    <t>15/162</t>
  </si>
  <si>
    <t>Amundi Resa Actions Euro N (C)</t>
  </si>
  <si>
    <t>FR0010184846</t>
  </si>
  <si>
    <t>Amundi Resa Oblig Diversifie - S (C)</t>
  </si>
  <si>
    <t>FR0013187416</t>
  </si>
  <si>
    <t>Amundi Resa ObligaTerme 2018</t>
  </si>
  <si>
    <t>Amundi Revenus Annuels - C/D</t>
  </si>
  <si>
    <t>Amundi Rohstoff Trend</t>
  </si>
  <si>
    <t>Commodity Blended</t>
  </si>
  <si>
    <t>83/121</t>
  </si>
  <si>
    <t>Amundi Securo Rent (A)</t>
  </si>
  <si>
    <t>Amundi Sentiero 2021 (C/D)</t>
  </si>
  <si>
    <t>Amundi Serenite PEA IC</t>
  </si>
  <si>
    <t>Amundi Small Cap Europe - P (D)</t>
  </si>
  <si>
    <t>225/257</t>
  </si>
  <si>
    <t>136/173</t>
  </si>
  <si>
    <t>Amundi Spezial 1</t>
  </si>
  <si>
    <t>308/629</t>
  </si>
  <si>
    <t>Amundi Spezial 24</t>
  </si>
  <si>
    <t>AT0000679642</t>
  </si>
  <si>
    <t>Amundi Subfundusz Akcji Malych i Srednich Spolek</t>
  </si>
  <si>
    <t>PLN</t>
  </si>
  <si>
    <t>2/64</t>
  </si>
  <si>
    <t>PLAMNDI00060</t>
  </si>
  <si>
    <t>Amundi Subfundusz Akcyjny</t>
  </si>
  <si>
    <t>1/64</t>
  </si>
  <si>
    <t>PLAMNDI00011</t>
  </si>
  <si>
    <t>Amundi Subfundusz Obligacji</t>
  </si>
  <si>
    <t>Bond PLN</t>
  </si>
  <si>
    <t>54/64</t>
  </si>
  <si>
    <t>PLAMNDI00029</t>
  </si>
  <si>
    <t>Amundi Subfundusz Plynnosciowy</t>
  </si>
  <si>
    <t>58/68</t>
  </si>
  <si>
    <t>44/61</t>
  </si>
  <si>
    <t>PLAMNDI00037</t>
  </si>
  <si>
    <t>Amundi Subfundusz Stabilnego Wzrostu</t>
  </si>
  <si>
    <t>Mixed Asset PLN Conservative</t>
  </si>
  <si>
    <t>5/21</t>
  </si>
  <si>
    <t>PLAMNDI00045</t>
  </si>
  <si>
    <t>Amundi Subfundusz Zrownowazony</t>
  </si>
  <si>
    <t>Mixed Asset PLN Balanced</t>
  </si>
  <si>
    <t>19/77</t>
  </si>
  <si>
    <t>PLAMNDI00052</t>
  </si>
  <si>
    <t>Amundi Top Trend (T)</t>
  </si>
  <si>
    <t>Amundi Transmission Actions C</t>
  </si>
  <si>
    <t>Amundi Transmission Patrimoine C</t>
  </si>
  <si>
    <t>Amundi Treso Court Terme I - C</t>
  </si>
  <si>
    <t>Amundi Treso Diversifiee C</t>
  </si>
  <si>
    <t>Amundi Treso Etat - I (C)</t>
  </si>
  <si>
    <t>Amundi Treso Euro Qualite P - C</t>
  </si>
  <si>
    <t>545/553</t>
  </si>
  <si>
    <t>Amundi Treso Jour</t>
  </si>
  <si>
    <t>Amundi USD Geldmarktfonds (A)</t>
  </si>
  <si>
    <t>26/130</t>
  </si>
  <si>
    <t>32/87</t>
  </si>
  <si>
    <t>Amundi Valeurs Durables - P</t>
  </si>
  <si>
    <t>Amundi Vie - P (C)</t>
  </si>
  <si>
    <t>Amundi Zielrendite 2017</t>
  </si>
  <si>
    <t>Amundi Zielrendite 2020</t>
  </si>
  <si>
    <t>AmundiETF GlEq MltSmartAllocScientificBeta UCITS E</t>
  </si>
  <si>
    <t>FR0011829084</t>
  </si>
  <si>
    <t>AmundiETF Gov Bd EurMTS Broad InvGd7-10 Dly UCITs</t>
  </si>
  <si>
    <t>FR0010754184</t>
  </si>
  <si>
    <t>AmundiETF Gov BD EuroMTS Brd InvGra10-15 UCITs</t>
  </si>
  <si>
    <t>46/84</t>
  </si>
  <si>
    <t>55/84</t>
  </si>
  <si>
    <t>14/69</t>
  </si>
  <si>
    <t>FR0010754143</t>
  </si>
  <si>
    <t>AmundiETF Gov Lwst Rtd EuroMTS InvGrd1-3 UCITS ETF</t>
  </si>
  <si>
    <t>FR0011807015</t>
  </si>
  <si>
    <t>AmundiETF GovBd Low Rated EuroMTS Inv Grade UCITs</t>
  </si>
  <si>
    <t>104/264</t>
  </si>
  <si>
    <t>FR0010892190</t>
  </si>
  <si>
    <t>AmundiETF Govt Bnd EurMTS Broad IG 1-3 UCITS ETF C</t>
  </si>
  <si>
    <t>42/80</t>
  </si>
  <si>
    <t>55/82</t>
  </si>
  <si>
    <t>37/81</t>
  </si>
  <si>
    <t>26/76</t>
  </si>
  <si>
    <t>FR0010754135</t>
  </si>
  <si>
    <t>AmundiETF MSCI Europe Consumer Discretionary UCITs</t>
  </si>
  <si>
    <t>FR0010688184</t>
  </si>
  <si>
    <t>AmundiETF ShortGov Bd EurMTS B InvG 10-15Dly UCITs</t>
  </si>
  <si>
    <t>FR0010823385</t>
  </si>
  <si>
    <t>AmundiETF ShortGov Bd EurMTSBroad IG Dly UCITS ETF</t>
  </si>
  <si>
    <t>FR0010821850</t>
  </si>
  <si>
    <t>AmundiETFEuropeEqMulti Smart All ScBeta UCITS ETF</t>
  </si>
  <si>
    <t>FR0013040292</t>
  </si>
  <si>
    <t>Antarius Fonds Actions Plus</t>
  </si>
  <si>
    <t>Antarius Fonds Obligataire</t>
  </si>
  <si>
    <t>Antarius Obli 1-3 Ans (C)</t>
  </si>
  <si>
    <t>Antarius Rotation Sectorielle</t>
  </si>
  <si>
    <t>Assurdix</t>
  </si>
  <si>
    <t>Mixed Asset EUR Agg - EuroZone</t>
  </si>
  <si>
    <t>19/58</t>
  </si>
  <si>
    <t>6/55</t>
  </si>
  <si>
    <t>Atout Clair Horizon</t>
  </si>
  <si>
    <t>24/113</t>
  </si>
  <si>
    <t>36/115</t>
  </si>
  <si>
    <t>9/23</t>
  </si>
  <si>
    <t>Atout Moderactions</t>
  </si>
  <si>
    <t>367/844</t>
  </si>
  <si>
    <t>Atout Opportunite</t>
  </si>
  <si>
    <t>Atout Vert Horizon</t>
  </si>
  <si>
    <t>40/58</t>
  </si>
  <si>
    <t>Aviva Actions S2 - I (D)</t>
  </si>
  <si>
    <t>FR0011982719</t>
  </si>
  <si>
    <t>BAWAG Spezial 6</t>
  </si>
  <si>
    <t>AT0000980685</t>
  </si>
  <si>
    <t>BAWAG Versicherung OK Pension</t>
  </si>
  <si>
    <t>AT0000780234</t>
  </si>
  <si>
    <t>BAWAG Versicherung OK Plus</t>
  </si>
  <si>
    <t>520/629</t>
  </si>
  <si>
    <t>AT0000780242</t>
  </si>
  <si>
    <t>Best Manager Selection, FI</t>
  </si>
  <si>
    <t>BFT AUREUS - I (C)</t>
  </si>
  <si>
    <t>28/95</t>
  </si>
  <si>
    <t>BFT Credit 12 Mois - ISR I (C)</t>
  </si>
  <si>
    <t>BFT Credit Opportunites - I (C)</t>
  </si>
  <si>
    <t>108/216</t>
  </si>
  <si>
    <t>BFT Credit Opportunites Plus - I (C)</t>
  </si>
  <si>
    <t>85/128</t>
  </si>
  <si>
    <t>133/553</t>
  </si>
  <si>
    <t>BFT Europe Dividendes ISR I (C)</t>
  </si>
  <si>
    <t>53/119</t>
  </si>
  <si>
    <t>Equity France Sm&amp;Mid Cap</t>
  </si>
  <si>
    <t>23/73</t>
  </si>
  <si>
    <t>25/69</t>
  </si>
  <si>
    <t>10/38</t>
  </si>
  <si>
    <t>BFT Global Long Short Equity IC</t>
  </si>
  <si>
    <t>Hedge/Multi Strategies-FoHF</t>
  </si>
  <si>
    <t>FR0010291112</t>
  </si>
  <si>
    <t>BFT Global Strategies Plus - A (C)</t>
  </si>
  <si>
    <t>BFT LCR (C)</t>
  </si>
  <si>
    <t>BFT LCR Niveau 2 C</t>
  </si>
  <si>
    <t>FR0012172773</t>
  </si>
  <si>
    <t>BFT Monetaire Court terme - I</t>
  </si>
  <si>
    <t>BFT Selection Haut Rendement 2021 P-C</t>
  </si>
  <si>
    <t>BFT Sequin ISR - E (C)</t>
  </si>
  <si>
    <t>BFT Statere - P (C)</t>
  </si>
  <si>
    <t>BPV Gewinnbrieffonds</t>
  </si>
  <si>
    <t>12/548</t>
  </si>
  <si>
    <t>Brie Picardie Croissance Part C/D</t>
  </si>
  <si>
    <t>FR0012486330</t>
  </si>
  <si>
    <t>Cap Rendement (C)</t>
  </si>
  <si>
    <t>Cap Rendement N2</t>
  </si>
  <si>
    <t>Capitop Monetaire C</t>
  </si>
  <si>
    <t>Capitop Oblig Monde - P (C)</t>
  </si>
  <si>
    <t>Capitop Revenus</t>
  </si>
  <si>
    <t>Money Market EUR Leveraged</t>
  </si>
  <si>
    <t>CPR 7-10 Euro SR - P</t>
  </si>
  <si>
    <t>14/87</t>
  </si>
  <si>
    <t>34/84</t>
  </si>
  <si>
    <t>CPR Apolline Inflation Long Terme</t>
  </si>
  <si>
    <t>62/69</t>
  </si>
  <si>
    <t>FR0007002985</t>
  </si>
  <si>
    <t>CPR Consommateur Actionnaire - P</t>
  </si>
  <si>
    <t>124/273</t>
  </si>
  <si>
    <t>CPR Convexite P-C</t>
  </si>
  <si>
    <t>71/95</t>
  </si>
  <si>
    <t>77/96</t>
  </si>
  <si>
    <t>52/88</t>
  </si>
  <si>
    <t>CPR Credixx Active US High Yield - P (C)</t>
  </si>
  <si>
    <t>CPR Credixx Global High Yield - P</t>
  </si>
  <si>
    <t>60/179</t>
  </si>
  <si>
    <t>4/83</t>
  </si>
  <si>
    <t>CPR Credixx Invest Grade - P</t>
  </si>
  <si>
    <t>55/108</t>
  </si>
  <si>
    <t>36/83</t>
  </si>
  <si>
    <t>CPR Croissance Defensive - P</t>
  </si>
  <si>
    <t>CPR Croissance Dynamique - P</t>
  </si>
  <si>
    <t>CPR Croissance Reactive P</t>
  </si>
  <si>
    <t>CPR EuroGov LCR - I</t>
  </si>
  <si>
    <t>CPR EuroGov+ MT - P</t>
  </si>
  <si>
    <t>32/57</t>
  </si>
  <si>
    <t>13/33</t>
  </si>
  <si>
    <t>CPR Euroland - P</t>
  </si>
  <si>
    <t>160/273</t>
  </si>
  <si>
    <t>CPR Euroland Premium - F</t>
  </si>
  <si>
    <t>60/69</t>
  </si>
  <si>
    <t>4/69</t>
  </si>
  <si>
    <t>61/61</t>
  </si>
  <si>
    <t>CPR Focus Inflation US - P (C)</t>
  </si>
  <si>
    <t>CPR Global Equity All Regime - P</t>
  </si>
  <si>
    <t>CPR Global Return Bond - P</t>
  </si>
  <si>
    <t>CPR Global Silver Age - P (C-D)</t>
  </si>
  <si>
    <t>CPR Invest - Dynamic - A - Cap</t>
  </si>
  <si>
    <t>CPR Invest - Euro High Dividend - A - Cap</t>
  </si>
  <si>
    <t>CPR Invest - Europe Special Situations A Acc</t>
  </si>
  <si>
    <t>CPR Invest - Global Silver Age - A (C)</t>
  </si>
  <si>
    <t>CPR Invest - Reactive - A - Acc</t>
  </si>
  <si>
    <t>CPR Invest - Silver Age - A - Acc</t>
  </si>
  <si>
    <t>CPR Invest Defensive A Cap</t>
  </si>
  <si>
    <t>CPR Invest Global Disruptive Opportunities A USD</t>
  </si>
  <si>
    <t>CPR Japon - P (C)</t>
  </si>
  <si>
    <t>56/73</t>
  </si>
  <si>
    <t>57/72</t>
  </si>
  <si>
    <t>CPR Mone Carry - P C</t>
  </si>
  <si>
    <t>CPR Monetaire SR - P C</t>
  </si>
  <si>
    <t>CPR Oblig 12 Mois - P C</t>
  </si>
  <si>
    <t>Bond Global Short Term</t>
  </si>
  <si>
    <t>29/65</t>
  </si>
  <si>
    <t>15/69</t>
  </si>
  <si>
    <t>16/28</t>
  </si>
  <si>
    <t>CPR Oblig 24 Mois - I C</t>
  </si>
  <si>
    <t>22/66</t>
  </si>
  <si>
    <t>CPR Oblig 6 Mois - I C</t>
  </si>
  <si>
    <t>28/69</t>
  </si>
  <si>
    <t>CPR Reflex Solidaire P</t>
  </si>
  <si>
    <t>CPR Reflex Stratedis 0-100 P</t>
  </si>
  <si>
    <t>CPR Silver Age - P (C-D)</t>
  </si>
  <si>
    <t>CPR Stratedis C</t>
  </si>
  <si>
    <t>CPR USA - P (C)</t>
  </si>
  <si>
    <t>Crelan Invest Euro &amp; Emerging Equity I</t>
  </si>
  <si>
    <t>BE6235189295</t>
  </si>
  <si>
    <t>Crelan Invest Euro Equity Low Risk</t>
  </si>
  <si>
    <t>BE6251433742</t>
  </si>
  <si>
    <t>Crelan Invest Euro Equity Select I</t>
  </si>
  <si>
    <t>BE6232795607</t>
  </si>
  <si>
    <t>Crelan Invest Euro Equity Select II</t>
  </si>
  <si>
    <t>BE6235190301</t>
  </si>
  <si>
    <t>Crelan Invest Lock-In Cap EUR</t>
  </si>
  <si>
    <t>BE6275677688</t>
  </si>
  <si>
    <t>Crelan Invest Opportunities</t>
  </si>
  <si>
    <t>BE6284594619</t>
  </si>
  <si>
    <t>Crelan Invest World Equity I Cap</t>
  </si>
  <si>
    <t>BE6226738175</t>
  </si>
  <si>
    <t>Crelan Invest World Equity II Cap</t>
  </si>
  <si>
    <t>299/844</t>
  </si>
  <si>
    <t>BE6237040371</t>
  </si>
  <si>
    <t>Danone.Communities D.ISR Prudent</t>
  </si>
  <si>
    <t>Danone.Communities Investissement Responsable S1</t>
  </si>
  <si>
    <t>Danone.Communities Investissement Responsable S2</t>
  </si>
  <si>
    <t>Danone.Communities Investissement Responsable S3</t>
  </si>
  <si>
    <t>87/127</t>
  </si>
  <si>
    <t>Darwin Diversifie 0-20 C</t>
  </si>
  <si>
    <t>Darwin Diversifie 20-40 C</t>
  </si>
  <si>
    <t>38/162</t>
  </si>
  <si>
    <t>27/157</t>
  </si>
  <si>
    <t>Darwin Diversifie 40-60 C</t>
  </si>
  <si>
    <t>Mixed Asset EUR Bal - EuroZone</t>
  </si>
  <si>
    <t>49/104</t>
  </si>
  <si>
    <t>49/106</t>
  </si>
  <si>
    <t>Darwin Diversifie 60-80 C</t>
  </si>
  <si>
    <t>24/58</t>
  </si>
  <si>
    <t>21/55</t>
  </si>
  <si>
    <t>Darwin Diversifie 80-100 C</t>
  </si>
  <si>
    <t>Elite Inter-Pharmaction C D</t>
  </si>
  <si>
    <t>FR0010343228</t>
  </si>
  <si>
    <t>Emerite 2 Echu C</t>
  </si>
  <si>
    <t>52/59</t>
  </si>
  <si>
    <t>23/49</t>
  </si>
  <si>
    <t>Etoile Actions Opportunites C/D</t>
  </si>
  <si>
    <t>113/131</t>
  </si>
  <si>
    <t>Etoile Actions Styles C</t>
  </si>
  <si>
    <t>Etoile Assurance Europe C</t>
  </si>
  <si>
    <t>60/78</t>
  </si>
  <si>
    <t>45/75</t>
  </si>
  <si>
    <t>18/70</t>
  </si>
  <si>
    <t>Etoile Cliquet 90 P - (C)</t>
  </si>
  <si>
    <t>8/25</t>
  </si>
  <si>
    <t>48/141</t>
  </si>
  <si>
    <t>59/84</t>
  </si>
  <si>
    <t>Etoile Developpement Durable (C)</t>
  </si>
  <si>
    <t>169/522</t>
  </si>
  <si>
    <t>251/502</t>
  </si>
  <si>
    <t>Etoile Euro Actions 02/2022 (C)</t>
  </si>
  <si>
    <t>Etoile Euro Actions 03/2021 (C)</t>
  </si>
  <si>
    <t>Etoile Euro Actions 03/2023</t>
  </si>
  <si>
    <t>Etoile Euro Actions 05/2022 (C)</t>
  </si>
  <si>
    <t>Etoile Euro Actions 07/2021 (C)</t>
  </si>
  <si>
    <t>Etoile Euro Actions 10/2021 (C)</t>
  </si>
  <si>
    <t>Etoile Euro Actions 11/2022 (C)</t>
  </si>
  <si>
    <t>Etoile Garanti Fevrier 2020 C</t>
  </si>
  <si>
    <t>7/28</t>
  </si>
  <si>
    <t>Etoile Jour - Maitre</t>
  </si>
  <si>
    <t>Etoile Matieres Premieres (C)</t>
  </si>
  <si>
    <t>Etoile Multi Gestion Actifs - PC</t>
  </si>
  <si>
    <t>Etoile Multi Gestion Actifs Plus (C)</t>
  </si>
  <si>
    <t>Etoile Multi Gestion USA - P (C)</t>
  </si>
  <si>
    <t>Etoile Obli 1 - 3 Ans - C C</t>
  </si>
  <si>
    <t>Etoile Obli 7 Ans Et Plus C</t>
  </si>
  <si>
    <t>68/83</t>
  </si>
  <si>
    <t>Etoile Oblig 3 - 7 Ans C</t>
  </si>
  <si>
    <t>Etoile Oblig Opportunites C</t>
  </si>
  <si>
    <t>Mixed Asset EUR Cons - Europe</t>
  </si>
  <si>
    <t>62/93</t>
  </si>
  <si>
    <t>48/97</t>
  </si>
  <si>
    <t>70/82</t>
  </si>
  <si>
    <t>61/73</t>
  </si>
  <si>
    <t>248/322</t>
  </si>
  <si>
    <t>Etoile PEA Serenite C</t>
  </si>
  <si>
    <t>8/71</t>
  </si>
  <si>
    <t>Etoile Sante Europe C</t>
  </si>
  <si>
    <t>Etoile Sectorielle Europe P-C</t>
  </si>
  <si>
    <t>509/598</t>
  </si>
  <si>
    <t>Etoile Strategie Taux (C)</t>
  </si>
  <si>
    <t>438/644</t>
  </si>
  <si>
    <t>Etoile TMT Europe (C)</t>
  </si>
  <si>
    <t>Etoile Tresorerie - Primo</t>
  </si>
  <si>
    <t>302/553</t>
  </si>
  <si>
    <t>57/73</t>
  </si>
  <si>
    <t>41/73</t>
  </si>
  <si>
    <t>36/69</t>
  </si>
  <si>
    <t>EUROPPORTUNITY Bond A</t>
  </si>
  <si>
    <t>70/161</t>
  </si>
  <si>
    <t>121/160</t>
  </si>
  <si>
    <t>92/128</t>
  </si>
  <si>
    <t>FCP Etoile Actions Internationales - C/D</t>
  </si>
  <si>
    <t>75/83</t>
  </si>
  <si>
    <t>FDA 14 - O (C/D)</t>
  </si>
  <si>
    <t>Alternative Long/Short Equity US</t>
  </si>
  <si>
    <t>2/25</t>
  </si>
  <si>
    <t>5/29</t>
  </si>
  <si>
    <t>2/28</t>
  </si>
  <si>
    <t>FDA 21 O (C/D)</t>
  </si>
  <si>
    <t>FDC A2 - P (C/D)</t>
  </si>
  <si>
    <t>FDC A3 P</t>
  </si>
  <si>
    <t>Alternative Other</t>
  </si>
  <si>
    <t>FR0011452051</t>
  </si>
  <si>
    <t>First Eagle Amundi Income Builder - AU (C)</t>
  </si>
  <si>
    <t>Mixed Asset USD Bal - Global</t>
  </si>
  <si>
    <t>60/121</t>
  </si>
  <si>
    <t>First Eagle Amundi International Fund - AU (C)</t>
  </si>
  <si>
    <t>Mixed Asset USD Aggressive</t>
  </si>
  <si>
    <t>49/55</t>
  </si>
  <si>
    <t>48/57</t>
  </si>
  <si>
    <t>17/28</t>
  </si>
  <si>
    <t>FONDS AV ECHUS FIA - C</t>
  </si>
  <si>
    <t>Fonds AV Echus FIA A C</t>
  </si>
  <si>
    <t>Fonds AV Echus N 1 C</t>
  </si>
  <si>
    <t>FR0011780675</t>
  </si>
  <si>
    <t>Force Alsace C/D</t>
  </si>
  <si>
    <t>FR0007010608</t>
  </si>
  <si>
    <t>Force Optimal LCR</t>
  </si>
  <si>
    <t>Galaxie A</t>
  </si>
  <si>
    <t>Gestion Privee Rendement P C</t>
  </si>
  <si>
    <t>23/62</t>
  </si>
  <si>
    <t>Hymnos - P (C/D)</t>
  </si>
  <si>
    <t>Mixed Asset EUR Bal - Europe</t>
  </si>
  <si>
    <t>31/66</t>
  </si>
  <si>
    <t>IKS akciovy fond -Str. a Vychodni Evropa</t>
  </si>
  <si>
    <t>CZK</t>
  </si>
  <si>
    <t>58/155</t>
  </si>
  <si>
    <t>CZ0008474632</t>
  </si>
  <si>
    <t>IKS Balancovany - konzervativni</t>
  </si>
  <si>
    <t>Mixed Asset CZK Conservative</t>
  </si>
  <si>
    <t>27/33</t>
  </si>
  <si>
    <t>12/15</t>
  </si>
  <si>
    <t>CZ0008472008</t>
  </si>
  <si>
    <t>IKS Dluhopisovy PLUS</t>
  </si>
  <si>
    <t>IKS Kratkodobych Dluhopisu</t>
  </si>
  <si>
    <t>Money Market CZK</t>
  </si>
  <si>
    <t>12/13</t>
  </si>
  <si>
    <t>2/11</t>
  </si>
  <si>
    <t>ING Direct Fondo Naranja Conservador, FI</t>
  </si>
  <si>
    <t>ING Direct Fondo Naranja Dinamico, FI</t>
  </si>
  <si>
    <t>139/237</t>
  </si>
  <si>
    <t>ING Direct Fondo Naranja Euro Stoxx 50, FI</t>
  </si>
  <si>
    <t>467/522</t>
  </si>
  <si>
    <t>ING Direct Fondo Naranja Ibex 35, FI</t>
  </si>
  <si>
    <t>25/73</t>
  </si>
  <si>
    <t>23/52</t>
  </si>
  <si>
    <t>ING Direct Fondo Naranja Moderado, FI</t>
  </si>
  <si>
    <t>ING Direct Fondo Naranja Standard&amp;Poor's 500, FI</t>
  </si>
  <si>
    <t>KB Absolutnich vynosu</t>
  </si>
  <si>
    <t>CZ0008473543</t>
  </si>
  <si>
    <t>KB Dluhopisovy</t>
  </si>
  <si>
    <t>1/160</t>
  </si>
  <si>
    <t>51/159</t>
  </si>
  <si>
    <t>21/74</t>
  </si>
  <si>
    <t>KB Konzervativni profil o.p.f. IKS KB</t>
  </si>
  <si>
    <t>30/33</t>
  </si>
  <si>
    <t>5/11</t>
  </si>
  <si>
    <t>CZ0008472156</t>
  </si>
  <si>
    <t>KB Penezni trh</t>
  </si>
  <si>
    <t>10/13</t>
  </si>
  <si>
    <t>9/11</t>
  </si>
  <si>
    <t>KB Privatni sprava aktiv 1</t>
  </si>
  <si>
    <t>28/159</t>
  </si>
  <si>
    <t>CZ0008473725</t>
  </si>
  <si>
    <t>KB Privatni sprava aktiv 2</t>
  </si>
  <si>
    <t>Mixed Asset Other Conservative</t>
  </si>
  <si>
    <t>11/78</t>
  </si>
  <si>
    <t>22/41</t>
  </si>
  <si>
    <t>CZ0008473154</t>
  </si>
  <si>
    <t>KB Privatni sprava aktiv 4</t>
  </si>
  <si>
    <t>Mixed Asset Other Balanced</t>
  </si>
  <si>
    <t>16/121</t>
  </si>
  <si>
    <t>CZ0008473162</t>
  </si>
  <si>
    <t>KB Vyvazeny profil o.p.f. IKS KB</t>
  </si>
  <si>
    <t>26/33</t>
  </si>
  <si>
    <t>16/20</t>
  </si>
  <si>
    <t>9/15</t>
  </si>
  <si>
    <t>CZ0008472149</t>
  </si>
  <si>
    <t>KBI Agri EUR D</t>
  </si>
  <si>
    <t>KBI Institutional 50/50 Global/Eurozone Eqty EUR C</t>
  </si>
  <si>
    <t>KBI Institutional ACWI Equity GBP D Dist</t>
  </si>
  <si>
    <t>KBI Institutional Developed Equity EUR A</t>
  </si>
  <si>
    <t>KBI Institutional Emerging Markets Equity EUR A</t>
  </si>
  <si>
    <t>KBI Institutional Energy Solutions EUR D</t>
  </si>
  <si>
    <t>KBI Institutional Eurozone Equity EUR A</t>
  </si>
  <si>
    <t>KBI Institutional GESS A EUR Acc</t>
  </si>
  <si>
    <t>KBI Institutional Global Equity H EUR Acc</t>
  </si>
  <si>
    <t>IE00B552D517</t>
  </si>
  <si>
    <t>KBI Water A GBP</t>
  </si>
  <si>
    <t>KONZEPT : ERTRAG 2021</t>
  </si>
  <si>
    <t>KONZEPT : ERTRAG 2029 (V)</t>
  </si>
  <si>
    <t>72/322</t>
  </si>
  <si>
    <t>65/486</t>
  </si>
  <si>
    <t>KONZEPT : PROTECT 90 (C)</t>
  </si>
  <si>
    <t>Lausanne N 2</t>
  </si>
  <si>
    <t>Lausanne N 3</t>
  </si>
  <si>
    <t>Lausanne N2 Bis - C/D</t>
  </si>
  <si>
    <t>Lausanne N3 Bis C/D</t>
  </si>
  <si>
    <t>FR0013220449</t>
  </si>
  <si>
    <t>LC Premium Vie 2015</t>
  </si>
  <si>
    <t>LCL 4 Horizons (Juin 2014)</t>
  </si>
  <si>
    <t>LCL 4 Horizons AV (Juin 2014)</t>
  </si>
  <si>
    <t>Target Maturity Other</t>
  </si>
  <si>
    <t>LCL 6 Horizons (Juin2015)</t>
  </si>
  <si>
    <t>LCL 6 Horizons AV (Juin 2015)</t>
  </si>
  <si>
    <t>24/891</t>
  </si>
  <si>
    <t>LCL Actions Developpement Durable</t>
  </si>
  <si>
    <t>LCL Actions Diversification</t>
  </si>
  <si>
    <t>LCL Actions Emergents</t>
  </si>
  <si>
    <t>LCL Actions Etats-Unis ISR (C)</t>
  </si>
  <si>
    <t>LCL Actions Europe</t>
  </si>
  <si>
    <t>LCL Actions France</t>
  </si>
  <si>
    <t>LCL Actions Immobilier Europe</t>
  </si>
  <si>
    <t>LCL Actions Midvaleurs Europe</t>
  </si>
  <si>
    <t>167/240</t>
  </si>
  <si>
    <t>LCL Actions Monde Hors Europe</t>
  </si>
  <si>
    <t>LCL Actions Or Monde</t>
  </si>
  <si>
    <t>44/80</t>
  </si>
  <si>
    <t>51/66</t>
  </si>
  <si>
    <t>30/41</t>
  </si>
  <si>
    <t>LCL Actions Pacifique</t>
  </si>
  <si>
    <t>LCL Actions Ressources Naturelles</t>
  </si>
  <si>
    <t>LCL Actions USA ISR (Euro)</t>
  </si>
  <si>
    <t>LCL BDP Monetarises - B (C)</t>
  </si>
  <si>
    <t>FR0013231008</t>
  </si>
  <si>
    <t>LCL BP Monetarises N1</t>
  </si>
  <si>
    <t>LCL BPD Monetaires - A (C)</t>
  </si>
  <si>
    <t>15/28</t>
  </si>
  <si>
    <t>LCL Developpement PME</t>
  </si>
  <si>
    <t>7/58</t>
  </si>
  <si>
    <t>LCL Double Horizon AV (NOV. 2014)</t>
  </si>
  <si>
    <t>FR0012169738</t>
  </si>
  <si>
    <t>LCL Fonds Echus Monetarises (C)</t>
  </si>
  <si>
    <t>LCL Fonds Echus PEA</t>
  </si>
  <si>
    <t>LCL Formule Securite (Septembre 2010)</t>
  </si>
  <si>
    <t>LCL Formule Securite AV (Septembre 2010)</t>
  </si>
  <si>
    <t>LCL Formule Securite France (Avril 2011)</t>
  </si>
  <si>
    <t>LCL Formule Securite France (Fev.2011)</t>
  </si>
  <si>
    <t>69/334</t>
  </si>
  <si>
    <t>LCL Formule Securite France AV (Avril 2011)</t>
  </si>
  <si>
    <t>51/589</t>
  </si>
  <si>
    <t>LCL Formule Securite France AV (Fev.2011)</t>
  </si>
  <si>
    <t>66/589</t>
  </si>
  <si>
    <t>LCL Investissement Dynamique C/D</t>
  </si>
  <si>
    <t>323/461</t>
  </si>
  <si>
    <t>LCL Investissement Equilibre C</t>
  </si>
  <si>
    <t>LCL Investissement Prudent - P (C/D)</t>
  </si>
  <si>
    <t>LCL Latitude Vie 2017 (C)</t>
  </si>
  <si>
    <t>LCL MGest Flexible 0-100</t>
  </si>
  <si>
    <t>LCL MGest Patrimoine</t>
  </si>
  <si>
    <t>LCL Mgest PEA</t>
  </si>
  <si>
    <t>LCL Mone Jour - 3M C</t>
  </si>
  <si>
    <t>LCL Monetaire - Action Small</t>
  </si>
  <si>
    <t>LCL Multi-Strategies Court Terme</t>
  </si>
  <si>
    <t>LCL Obligations Credit Euro</t>
  </si>
  <si>
    <t>LCL Obligations Diversification</t>
  </si>
  <si>
    <t>LCL Obligations Euro</t>
  </si>
  <si>
    <t>232/661</t>
  </si>
  <si>
    <t>49/66</t>
  </si>
  <si>
    <t>19/61</t>
  </si>
  <si>
    <t>LCL Obligations Monde (C)</t>
  </si>
  <si>
    <t>LCL Obligations Moyen Terme Euro P C</t>
  </si>
  <si>
    <t>16/48</t>
  </si>
  <si>
    <t>LCL Obligations Revenu Trim 3</t>
  </si>
  <si>
    <t>LCL Phoenix 2016 (C)</t>
  </si>
  <si>
    <t>LCL Phoenix Vie 2016 (C)</t>
  </si>
  <si>
    <t>LCL Premium Vie 2/4</t>
  </si>
  <si>
    <t>LCL Prudent</t>
  </si>
  <si>
    <t>LCL Securite 100 (Juillet 2011)</t>
  </si>
  <si>
    <t>LCL Serenite PEA</t>
  </si>
  <si>
    <t>LCL Tempo 6 Ans (Sept. 2015)</t>
  </si>
  <si>
    <t>LCL Tempo 6 Ans AV (SEPT. 2015)</t>
  </si>
  <si>
    <t>LCL Tempo Duo (Mars 2016)</t>
  </si>
  <si>
    <t>LCL Treso 3 Mois - PE C</t>
  </si>
  <si>
    <t>LCL Treso 6 Mois - E (C)</t>
  </si>
  <si>
    <t>22/30</t>
  </si>
  <si>
    <t>12/21</t>
  </si>
  <si>
    <t>LCL Triple Horizon (Avril 2014)</t>
  </si>
  <si>
    <t>187/913</t>
  </si>
  <si>
    <t>LCL Triple Horizon (Janv.2015) (C)</t>
  </si>
  <si>
    <t>57/104</t>
  </si>
  <si>
    <t>18/100</t>
  </si>
  <si>
    <t>LCL Triple Horizon (Sept 2014)</t>
  </si>
  <si>
    <t>LCL Triple Horizon (Sept 2016)</t>
  </si>
  <si>
    <t>188/913</t>
  </si>
  <si>
    <t>LCL Triple Horizon AV (Jan.2015)</t>
  </si>
  <si>
    <t>153/913</t>
  </si>
  <si>
    <t>LCL Triple Horizon Av (Janvier 2017) (C)</t>
  </si>
  <si>
    <t>LCL Triple Horizon AV (Sept 2014)</t>
  </si>
  <si>
    <t>LCL Vocation Rendement (NOV 2012)</t>
  </si>
  <si>
    <t>LCL Vocation Rendement 8 Av (Fev. 2010)</t>
  </si>
  <si>
    <t>LCR Bonds Euro C/D</t>
  </si>
  <si>
    <t>Lithos O - C/D</t>
  </si>
  <si>
    <t>62/124</t>
  </si>
  <si>
    <t>83/124</t>
  </si>
  <si>
    <t>47/106</t>
  </si>
  <si>
    <t>Medi Court Terme Cap</t>
  </si>
  <si>
    <t>Medi Emergents C</t>
  </si>
  <si>
    <t>MEDI-ACTIONS EURO</t>
  </si>
  <si>
    <t>87/502</t>
  </si>
  <si>
    <t>FR0011271568</t>
  </si>
  <si>
    <t>Medi-Convertibles</t>
  </si>
  <si>
    <t>53/95</t>
  </si>
  <si>
    <t>44/97</t>
  </si>
  <si>
    <t>70/88</t>
  </si>
  <si>
    <t>45/76</t>
  </si>
  <si>
    <t>Monetaire Bio C</t>
  </si>
  <si>
    <t>NV Bond 1</t>
  </si>
  <si>
    <t>AT0000A063P8</t>
  </si>
  <si>
    <t>Objectif Dynamisme</t>
  </si>
  <si>
    <t>99/378</t>
  </si>
  <si>
    <t>Objectif Long Terme (C)</t>
  </si>
  <si>
    <t>Objectif Prudence</t>
  </si>
  <si>
    <t>15/270</t>
  </si>
  <si>
    <t>139/155</t>
  </si>
  <si>
    <t>136/155</t>
  </si>
  <si>
    <t>57/143</t>
  </si>
  <si>
    <t>Ocean Fund Equities GCC Opportunities N</t>
  </si>
  <si>
    <t>Equity GCC (Gulf Coop Cncl)</t>
  </si>
  <si>
    <t>LU0343902077</t>
  </si>
  <si>
    <t>Opalia 2 (C)</t>
  </si>
  <si>
    <t>Opalia Vie 2 (C)</t>
  </si>
  <si>
    <t>Optalime</t>
  </si>
  <si>
    <t>FR0000425191</t>
  </si>
  <si>
    <t>P 1</t>
  </si>
  <si>
    <t>AT0000818281</t>
  </si>
  <si>
    <t>P 2</t>
  </si>
  <si>
    <t>131/629</t>
  </si>
  <si>
    <t>AT0000818299</t>
  </si>
  <si>
    <t>Mixed Asset EUR Flex - EuroZone</t>
  </si>
  <si>
    <t>14/77</t>
  </si>
  <si>
    <t>56/82</t>
  </si>
  <si>
    <t>15/80</t>
  </si>
  <si>
    <t>Placements Rationnels R</t>
  </si>
  <si>
    <t>Portfolio Equity Short Europe - I (C)</t>
  </si>
  <si>
    <t>FR0013154507</t>
  </si>
  <si>
    <t>Portfolio LCR Actions</t>
  </si>
  <si>
    <t>FR0012656270</t>
  </si>
  <si>
    <t>Portfolio LCR Credit (C/D)</t>
  </si>
  <si>
    <t>Portfolio LCR Gov</t>
  </si>
  <si>
    <t>Portfolio LCR Gov 4A C/D</t>
  </si>
  <si>
    <t>Portfolio MSMG Actions Euro P - C</t>
  </si>
  <si>
    <t>Portfolio MSMG Actions France</t>
  </si>
  <si>
    <t>24/132</t>
  </si>
  <si>
    <t>Preference Rendement</t>
  </si>
  <si>
    <t>Preference Rendement Exclusif</t>
  </si>
  <si>
    <t>Selectance 2017</t>
  </si>
  <si>
    <t>11/71</t>
  </si>
  <si>
    <t>52/75</t>
  </si>
  <si>
    <t>14/74</t>
  </si>
  <si>
    <t>175/522</t>
  </si>
  <si>
    <t>SG Actions Europe ISR PC</t>
  </si>
  <si>
    <t>151/173</t>
  </si>
  <si>
    <t>SG Actions Europe Multigestion (C)</t>
  </si>
  <si>
    <t>354/1144</t>
  </si>
  <si>
    <t>SG Actions Europe Selection C</t>
  </si>
  <si>
    <t>SG Actions France (C)</t>
  </si>
  <si>
    <t>59/132</t>
  </si>
  <si>
    <t>76/131</t>
  </si>
  <si>
    <t>SG Actions France Dividendes (C)</t>
  </si>
  <si>
    <t>82/120</t>
  </si>
  <si>
    <t>62/125</t>
  </si>
  <si>
    <t>46/70</t>
  </si>
  <si>
    <t>278/345</t>
  </si>
  <si>
    <t>17/54</t>
  </si>
  <si>
    <t>9/55</t>
  </si>
  <si>
    <t>27/44</t>
  </si>
  <si>
    <t>SG Actions Matieres Premieres C</t>
  </si>
  <si>
    <t>SG Actions Monde Multigestion (C)</t>
  </si>
  <si>
    <t>Equity Sector Information Tech</t>
  </si>
  <si>
    <t>47/80</t>
  </si>
  <si>
    <t>32/41</t>
  </si>
  <si>
    <t>SG Actions US Selection C</t>
  </si>
  <si>
    <t>51/59</t>
  </si>
  <si>
    <t>13/58</t>
  </si>
  <si>
    <t>SG Monetaire Dollar - E C</t>
  </si>
  <si>
    <t>17/130</t>
  </si>
  <si>
    <t>28/110</t>
  </si>
  <si>
    <t>21/87</t>
  </si>
  <si>
    <t>SG Monetaire Plus I</t>
  </si>
  <si>
    <t>80/88</t>
  </si>
  <si>
    <t>76/361</t>
  </si>
  <si>
    <t>SG Oblig High Yield (C)</t>
  </si>
  <si>
    <t>62/75</t>
  </si>
  <si>
    <t>12/69</t>
  </si>
  <si>
    <t>63/66</t>
  </si>
  <si>
    <t>29/34</t>
  </si>
  <si>
    <t>SG Oblig Monde C</t>
  </si>
  <si>
    <t>43/85</t>
  </si>
  <si>
    <t>39/85</t>
  </si>
  <si>
    <t>24/74</t>
  </si>
  <si>
    <t>SG Oblig Revenus Annuel (D)</t>
  </si>
  <si>
    <t>37/83</t>
  </si>
  <si>
    <t>SG Patrimoine (C)</t>
  </si>
  <si>
    <t>SG Patrimoine PEA (C)</t>
  </si>
  <si>
    <t>26/28</t>
  </si>
  <si>
    <t>27/30</t>
  </si>
  <si>
    <t>19/23</t>
  </si>
  <si>
    <t>79/162</t>
  </si>
  <si>
    <t>52/162</t>
  </si>
  <si>
    <t>9/21</t>
  </si>
  <si>
    <t>17/33</t>
  </si>
  <si>
    <t>Solidaire ENGIE Rassembleurs d'Energies Flex I C/D</t>
  </si>
  <si>
    <t>99/144</t>
  </si>
  <si>
    <t>134/497</t>
  </si>
  <si>
    <t>43/589</t>
  </si>
  <si>
    <t>Sonance 90 (C)</t>
  </si>
  <si>
    <t>Sonance Vie 2 (C)</t>
  </si>
  <si>
    <t>62/589</t>
  </si>
  <si>
    <t>Spezial 43</t>
  </si>
  <si>
    <t>194/347</t>
  </si>
  <si>
    <t>AT0000601182</t>
  </si>
  <si>
    <t>Structura - European High Yield Bond - I3 AUD</t>
  </si>
  <si>
    <t>Bond Europe High Yield</t>
  </si>
  <si>
    <t>44/59</t>
  </si>
  <si>
    <t>29/38</t>
  </si>
  <si>
    <t>LU0699229885</t>
  </si>
  <si>
    <t>Structura - Long Short Global - AE (C)</t>
  </si>
  <si>
    <t>Alternative Long/Short Equity Global</t>
  </si>
  <si>
    <t>77/99</t>
  </si>
  <si>
    <t>LU1534919763</t>
  </si>
  <si>
    <t>Structura - US High Yield Bond - I5 USD (D)</t>
  </si>
  <si>
    <t>Bond USD High Yield</t>
  </si>
  <si>
    <t>LU0463472000</t>
  </si>
  <si>
    <t>Structura Amundi Smart Japan Equities - IJ (C)</t>
  </si>
  <si>
    <t>54/345</t>
  </si>
  <si>
    <t>LU1046551575</t>
  </si>
  <si>
    <t>Structura AmundiTOBAM AntiBenchmark MultiAsset RUC</t>
  </si>
  <si>
    <t>Structura Diversified Growth Fund - AU (C)</t>
  </si>
  <si>
    <t>Structura Index Equity Poland - IP (C)</t>
  </si>
  <si>
    <t>Equity Poland</t>
  </si>
  <si>
    <t>6/69</t>
  </si>
  <si>
    <t>7/69</t>
  </si>
  <si>
    <t>LU1215314292</t>
  </si>
  <si>
    <t>Structura Pac ExJapan LC Opt. Select I - IU (C)</t>
  </si>
  <si>
    <t>LU1210661226</t>
  </si>
  <si>
    <t>Structura Patrimoine Absolute Return JPY IJ 3 C</t>
  </si>
  <si>
    <t>LU1309077250</t>
  </si>
  <si>
    <t>Terre D'Avenir Dynamique 65 - C</t>
  </si>
  <si>
    <t>91/106</t>
  </si>
  <si>
    <t>52/96</t>
  </si>
  <si>
    <t>36/91</t>
  </si>
  <si>
    <t>Terre D'Avenir Equilibre 65 - C</t>
  </si>
  <si>
    <t>45/96</t>
  </si>
  <si>
    <t>43/91</t>
  </si>
  <si>
    <t>Terre D'avenir Prudent - 65</t>
  </si>
  <si>
    <t>TreeTop World Equity Index A Cap EUR</t>
  </si>
  <si>
    <t>BE6275981817</t>
  </si>
  <si>
    <t>Trialis 6 Ans N 4 (C)</t>
  </si>
  <si>
    <t>Trianance 6 Ans N2</t>
  </si>
  <si>
    <t>151/166</t>
  </si>
  <si>
    <t>61/82</t>
  </si>
  <si>
    <t>VDF Rendement</t>
  </si>
  <si>
    <t>FR0010854547</t>
  </si>
  <si>
    <t>Vendome Obli Moyen Terme C</t>
  </si>
  <si>
    <t>25/62</t>
  </si>
  <si>
    <t>33/48</t>
  </si>
  <si>
    <t>31/35</t>
  </si>
  <si>
    <t>ZVE 2007</t>
  </si>
  <si>
    <t>ZVE 2007 Plus</t>
  </si>
  <si>
    <t>AT0000A06A05</t>
  </si>
  <si>
    <t>ZVE 2008 Plus</t>
  </si>
  <si>
    <t>ZVE 2009 Plus</t>
  </si>
  <si>
    <t>AT0000A0CKE7</t>
  </si>
  <si>
    <t>ZVE 2010 Plus</t>
  </si>
  <si>
    <t>ZVE 2013</t>
  </si>
  <si>
    <t>June</t>
  </si>
  <si>
    <t>MONTH</t>
  </si>
  <si>
    <t>YEAR</t>
  </si>
  <si>
    <t>Months:</t>
  </si>
  <si>
    <t>Years:</t>
  </si>
  <si>
    <t>January</t>
  </si>
  <si>
    <t>February</t>
  </si>
  <si>
    <t>March</t>
  </si>
  <si>
    <t>April</t>
  </si>
  <si>
    <t>May</t>
  </si>
  <si>
    <t>July</t>
  </si>
  <si>
    <t>August</t>
  </si>
  <si>
    <t>September</t>
  </si>
  <si>
    <t>October</t>
  </si>
  <si>
    <t>November</t>
  </si>
  <si>
    <t>December</t>
  </si>
  <si>
    <t>#</t>
  </si>
  <si>
    <t>PICK A FUND</t>
  </si>
  <si>
    <t>30/06/2017</t>
  </si>
  <si>
    <t>434/878</t>
  </si>
  <si>
    <t>817/895</t>
  </si>
  <si>
    <t>189/850</t>
  </si>
  <si>
    <t>212/772</t>
  </si>
  <si>
    <t>873/905</t>
  </si>
  <si>
    <t>707/936</t>
  </si>
  <si>
    <t>861/926</t>
  </si>
  <si>
    <t>Acticcia 90 N°11 C</t>
  </si>
  <si>
    <t>95/936</t>
  </si>
  <si>
    <t>FR0013242153</t>
  </si>
  <si>
    <t>746/878</t>
  </si>
  <si>
    <t>851/895</t>
  </si>
  <si>
    <t>846/891</t>
  </si>
  <si>
    <t>236/850</t>
  </si>
  <si>
    <t>277/772</t>
  </si>
  <si>
    <t>600/905</t>
  </si>
  <si>
    <t>687/936</t>
  </si>
  <si>
    <t>584/926</t>
  </si>
  <si>
    <t>296/820</t>
  </si>
  <si>
    <t>483/905</t>
  </si>
  <si>
    <t>629/936</t>
  </si>
  <si>
    <t>310/926</t>
  </si>
  <si>
    <t>314/820</t>
  </si>
  <si>
    <t>630/905</t>
  </si>
  <si>
    <t>673/936</t>
  </si>
  <si>
    <t>409/926</t>
  </si>
  <si>
    <t>439/820</t>
  </si>
  <si>
    <t>653/905</t>
  </si>
  <si>
    <t>595/936</t>
  </si>
  <si>
    <t>396/926</t>
  </si>
  <si>
    <t>517/820</t>
  </si>
  <si>
    <t>763/905</t>
  </si>
  <si>
    <t>670/936</t>
  </si>
  <si>
    <t>498/926</t>
  </si>
  <si>
    <t>599/905</t>
  </si>
  <si>
    <t>715/936</t>
  </si>
  <si>
    <t>249/926</t>
  </si>
  <si>
    <t>677/905</t>
  </si>
  <si>
    <t>746/936</t>
  </si>
  <si>
    <t>497/926</t>
  </si>
  <si>
    <t>551/878</t>
  </si>
  <si>
    <t>781/895</t>
  </si>
  <si>
    <t>732/891</t>
  </si>
  <si>
    <t>182/772</t>
  </si>
  <si>
    <t>718/905</t>
  </si>
  <si>
    <t>609/936</t>
  </si>
  <si>
    <t>529/926</t>
  </si>
  <si>
    <t>566/820</t>
  </si>
  <si>
    <t>685/905</t>
  </si>
  <si>
    <t>623/936</t>
  </si>
  <si>
    <t>330/926</t>
  </si>
  <si>
    <t>510/820</t>
  </si>
  <si>
    <t>701/905</t>
  </si>
  <si>
    <t>709/936</t>
  </si>
  <si>
    <t>367/926</t>
  </si>
  <si>
    <t>656/820</t>
  </si>
  <si>
    <t>554/905</t>
  </si>
  <si>
    <t>660/936</t>
  </si>
  <si>
    <t>318/926</t>
  </si>
  <si>
    <t>738/820</t>
  </si>
  <si>
    <t>742/905</t>
  </si>
  <si>
    <t>721/936</t>
  </si>
  <si>
    <t>532/926</t>
  </si>
  <si>
    <t>Acticcia Vie 90 N°7 C</t>
  </si>
  <si>
    <t>FR0013242161</t>
  </si>
  <si>
    <t>765/878</t>
  </si>
  <si>
    <t>713/895</t>
  </si>
  <si>
    <t>808/891</t>
  </si>
  <si>
    <t>452/850</t>
  </si>
  <si>
    <t>185/772</t>
  </si>
  <si>
    <t>653/878</t>
  </si>
  <si>
    <t>754/895</t>
  </si>
  <si>
    <t>702/891</t>
  </si>
  <si>
    <t>494/850</t>
  </si>
  <si>
    <t>578/878</t>
  </si>
  <si>
    <t>732/895</t>
  </si>
  <si>
    <t>572/891</t>
  </si>
  <si>
    <t>124/591</t>
  </si>
  <si>
    <t>480/616</t>
  </si>
  <si>
    <t>172/600</t>
  </si>
  <si>
    <t>212/574</t>
  </si>
  <si>
    <t>18/489</t>
  </si>
  <si>
    <t>148/423</t>
  </si>
  <si>
    <t>99/353</t>
  </si>
  <si>
    <t>280/994</t>
  </si>
  <si>
    <t>865/1027</t>
  </si>
  <si>
    <t>799/1016</t>
  </si>
  <si>
    <t>244/929</t>
  </si>
  <si>
    <t>9/731</t>
  </si>
  <si>
    <t>49/599</t>
  </si>
  <si>
    <t>47/491</t>
  </si>
  <si>
    <t>1452/2377</t>
  </si>
  <si>
    <t>1877/2457</t>
  </si>
  <si>
    <t>1418/2422</t>
  </si>
  <si>
    <t>1514/2253</t>
  </si>
  <si>
    <t>1437/1747</t>
  </si>
  <si>
    <t>997/1242</t>
  </si>
  <si>
    <t>Agipi Grandes Tendances C/D</t>
  </si>
  <si>
    <t>179/484</t>
  </si>
  <si>
    <t>367/499</t>
  </si>
  <si>
    <t>183/497</t>
  </si>
  <si>
    <t>253/471</t>
  </si>
  <si>
    <t>385/387</t>
  </si>
  <si>
    <t>296/298</t>
  </si>
  <si>
    <t>233/235</t>
  </si>
  <si>
    <t>1793/4580</t>
  </si>
  <si>
    <t>2346/4723</t>
  </si>
  <si>
    <t>1680/4658</t>
  </si>
  <si>
    <t>3146/4427</t>
  </si>
  <si>
    <t>2931/3396</t>
  </si>
  <si>
    <t>2465/2721</t>
  </si>
  <si>
    <t>1845/2374</t>
  </si>
  <si>
    <t>68/878</t>
  </si>
  <si>
    <t>859/895</t>
  </si>
  <si>
    <t>437/891</t>
  </si>
  <si>
    <t>31/850</t>
  </si>
  <si>
    <t>46/772</t>
  </si>
  <si>
    <t>39/576</t>
  </si>
  <si>
    <t>34/92</t>
  </si>
  <si>
    <t>8/93</t>
  </si>
  <si>
    <t>42/93</t>
  </si>
  <si>
    <t>16/576</t>
  </si>
  <si>
    <t>7/586</t>
  </si>
  <si>
    <t>7/583</t>
  </si>
  <si>
    <t>43/553</t>
  </si>
  <si>
    <t>11/576</t>
  </si>
  <si>
    <t>6/586</t>
  </si>
  <si>
    <t>6/583</t>
  </si>
  <si>
    <t>38/553</t>
  </si>
  <si>
    <t>92/478</t>
  </si>
  <si>
    <t>161/397</t>
  </si>
  <si>
    <t>75/314</t>
  </si>
  <si>
    <t>8/576</t>
  </si>
  <si>
    <t>5/586</t>
  </si>
  <si>
    <t>4/583</t>
  </si>
  <si>
    <t>33/553</t>
  </si>
  <si>
    <t>77/478</t>
  </si>
  <si>
    <t>136/397</t>
  </si>
  <si>
    <t>68/314</t>
  </si>
  <si>
    <t>84/431</t>
  </si>
  <si>
    <t>149/450</t>
  </si>
  <si>
    <t>105/443</t>
  </si>
  <si>
    <t>104/431</t>
  </si>
  <si>
    <t>168/450</t>
  </si>
  <si>
    <t>130/443</t>
  </si>
  <si>
    <t>181/450</t>
  </si>
  <si>
    <t>143/443</t>
  </si>
  <si>
    <t>79/407</t>
  </si>
  <si>
    <t>67/341</t>
  </si>
  <si>
    <t>153/431</t>
  </si>
  <si>
    <t>230/450</t>
  </si>
  <si>
    <t>177/443</t>
  </si>
  <si>
    <t>119/407</t>
  </si>
  <si>
    <t>107/341</t>
  </si>
  <si>
    <t>119/308</t>
  </si>
  <si>
    <t>92/431</t>
  </si>
  <si>
    <t>160/450</t>
  </si>
  <si>
    <t>117/443</t>
  </si>
  <si>
    <t>64/407</t>
  </si>
  <si>
    <t>61/341</t>
  </si>
  <si>
    <t>92/308</t>
  </si>
  <si>
    <t>3115/3842</t>
  </si>
  <si>
    <t>2501/4082</t>
  </si>
  <si>
    <t>2572/3983</t>
  </si>
  <si>
    <t>3329/3544</t>
  </si>
  <si>
    <t>3734/3842</t>
  </si>
  <si>
    <t>3334/4082</t>
  </si>
  <si>
    <t>3715/3983</t>
  </si>
  <si>
    <t>2785/3544</t>
  </si>
  <si>
    <t>229/431</t>
  </si>
  <si>
    <t>310/450</t>
  </si>
  <si>
    <t>250/443</t>
  </si>
  <si>
    <t>171/407</t>
  </si>
  <si>
    <t>183/341</t>
  </si>
  <si>
    <t>157/308</t>
  </si>
  <si>
    <t>Amundi 12 M S</t>
  </si>
  <si>
    <t>109/450</t>
  </si>
  <si>
    <t>FR0013224342</t>
  </si>
  <si>
    <t>11/186</t>
  </si>
  <si>
    <t>22/177</t>
  </si>
  <si>
    <t>38/92</t>
  </si>
  <si>
    <t>17/63</t>
  </si>
  <si>
    <t>6/25</t>
  </si>
  <si>
    <t>Amundi 24 M O A/I</t>
  </si>
  <si>
    <t>FR0013230562</t>
  </si>
  <si>
    <t>221/539</t>
  </si>
  <si>
    <t>268/548</t>
  </si>
  <si>
    <t>173/546</t>
  </si>
  <si>
    <t>202/530</t>
  </si>
  <si>
    <t>159/483</t>
  </si>
  <si>
    <t>89/539</t>
  </si>
  <si>
    <t>122/548</t>
  </si>
  <si>
    <t>58/546</t>
  </si>
  <si>
    <t>69/530</t>
  </si>
  <si>
    <t>39/483</t>
  </si>
  <si>
    <t>72/410</t>
  </si>
  <si>
    <t>245/319</t>
  </si>
  <si>
    <t>200/326</t>
  </si>
  <si>
    <t>241/324</t>
  </si>
  <si>
    <t>Amundi 3 - 6 M S</t>
  </si>
  <si>
    <t>171/548</t>
  </si>
  <si>
    <t>87/546</t>
  </si>
  <si>
    <t>FR0013224359</t>
  </si>
  <si>
    <t>169/539</t>
  </si>
  <si>
    <t>139/548</t>
  </si>
  <si>
    <t>146/546</t>
  </si>
  <si>
    <t>191/530</t>
  </si>
  <si>
    <t>113/483</t>
  </si>
  <si>
    <t>231/539</t>
  </si>
  <si>
    <t>190/548</t>
  </si>
  <si>
    <t>202/546</t>
  </si>
  <si>
    <t>250/530</t>
  </si>
  <si>
    <t>195/483</t>
  </si>
  <si>
    <t>111/483</t>
  </si>
  <si>
    <t>121/410</t>
  </si>
  <si>
    <t>90/318</t>
  </si>
  <si>
    <t>117/539</t>
  </si>
  <si>
    <t>106/548</t>
  </si>
  <si>
    <t>95/546</t>
  </si>
  <si>
    <t>127/530</t>
  </si>
  <si>
    <t>161/548</t>
  </si>
  <si>
    <t>154/546</t>
  </si>
  <si>
    <t>367/539</t>
  </si>
  <si>
    <t>321/548</t>
  </si>
  <si>
    <t>350/546</t>
  </si>
  <si>
    <t>366/530</t>
  </si>
  <si>
    <t>352/483</t>
  </si>
  <si>
    <t>224/539</t>
  </si>
  <si>
    <t>220/548</t>
  </si>
  <si>
    <t>211/546</t>
  </si>
  <si>
    <t>218/530</t>
  </si>
  <si>
    <t>141/483</t>
  </si>
  <si>
    <t>211/431</t>
  </si>
  <si>
    <t>194/450</t>
  </si>
  <si>
    <t>214/443</t>
  </si>
  <si>
    <t>189/407</t>
  </si>
  <si>
    <t>187/431</t>
  </si>
  <si>
    <t>174/450</t>
  </si>
  <si>
    <t>195/443</t>
  </si>
  <si>
    <t>98/341</t>
  </si>
  <si>
    <t>129/308</t>
  </si>
  <si>
    <t>88/253</t>
  </si>
  <si>
    <t>3157/3842</t>
  </si>
  <si>
    <t>2506/4082</t>
  </si>
  <si>
    <t>2601/3983</t>
  </si>
  <si>
    <t>3357/3544</t>
  </si>
  <si>
    <t>3752/3842</t>
  </si>
  <si>
    <t>3337/4082</t>
  </si>
  <si>
    <t>3743/3983</t>
  </si>
  <si>
    <t>2858/3544</t>
  </si>
  <si>
    <t>158/431</t>
  </si>
  <si>
    <t>162/450</t>
  </si>
  <si>
    <t>164/443</t>
  </si>
  <si>
    <t>141/407</t>
  </si>
  <si>
    <t>306/431</t>
  </si>
  <si>
    <t>306/450</t>
  </si>
  <si>
    <t>301/443</t>
  </si>
  <si>
    <t>274/407</t>
  </si>
  <si>
    <t>Amundi 6 M S</t>
  </si>
  <si>
    <t>167/450</t>
  </si>
  <si>
    <t>183/443</t>
  </si>
  <si>
    <t>FR0013224367</t>
  </si>
  <si>
    <t>1699/3842</t>
  </si>
  <si>
    <t>1115/4082</t>
  </si>
  <si>
    <t>1137/3983</t>
  </si>
  <si>
    <t>1488/3544</t>
  </si>
  <si>
    <t>1494/2338</t>
  </si>
  <si>
    <t>563/1166</t>
  </si>
  <si>
    <t>261/435</t>
  </si>
  <si>
    <t>185/431</t>
  </si>
  <si>
    <t>191/455</t>
  </si>
  <si>
    <t>135/451</t>
  </si>
  <si>
    <t>236/384</t>
  </si>
  <si>
    <t>176/239</t>
  </si>
  <si>
    <t>3109/4580</t>
  </si>
  <si>
    <t>2032/4723</t>
  </si>
  <si>
    <t>2419/4658</t>
  </si>
  <si>
    <t>3286/4427</t>
  </si>
  <si>
    <t>3202/4580</t>
  </si>
  <si>
    <t>1971/4723</t>
  </si>
  <si>
    <t>2187/4658</t>
  </si>
  <si>
    <t>3439/4427</t>
  </si>
  <si>
    <t>3499/4580</t>
  </si>
  <si>
    <t>2201/4723</t>
  </si>
  <si>
    <t>3050/4658</t>
  </si>
  <si>
    <t>3184/4427</t>
  </si>
  <si>
    <t>3538/4580</t>
  </si>
  <si>
    <t>2225/4723</t>
  </si>
  <si>
    <t>2916/4658</t>
  </si>
  <si>
    <t>3381/4427</t>
  </si>
  <si>
    <t>2487/4580</t>
  </si>
  <si>
    <t>2514/4723</t>
  </si>
  <si>
    <t>1261/4658</t>
  </si>
  <si>
    <t>3544/4427</t>
  </si>
  <si>
    <t>3420/4580</t>
  </si>
  <si>
    <t>1850/4723</t>
  </si>
  <si>
    <t>2641/4658</t>
  </si>
  <si>
    <t>3491/4427</t>
  </si>
  <si>
    <t>3448/4580</t>
  </si>
  <si>
    <t>2044/4723</t>
  </si>
  <si>
    <t>2549/4658</t>
  </si>
  <si>
    <t>3678/4427</t>
  </si>
  <si>
    <t>3595/4580</t>
  </si>
  <si>
    <t>1958/4723</t>
  </si>
  <si>
    <t>2569/4658</t>
  </si>
  <si>
    <t>3821/4427</t>
  </si>
  <si>
    <t>3591/4580</t>
  </si>
  <si>
    <t>2064/4723</t>
  </si>
  <si>
    <t>2679/4658</t>
  </si>
  <si>
    <t>3756/4427</t>
  </si>
  <si>
    <t>3917/4580</t>
  </si>
  <si>
    <t>1459/4723</t>
  </si>
  <si>
    <t>1714/4658</t>
  </si>
  <si>
    <t>3261/4580</t>
  </si>
  <si>
    <t>1862/4723</t>
  </si>
  <si>
    <t>2186/4658</t>
  </si>
  <si>
    <t>3657/4427</t>
  </si>
  <si>
    <t>EAA Fund Asia-Pacific incl Japan Equity</t>
  </si>
  <si>
    <t>279/354</t>
  </si>
  <si>
    <t>230/364</t>
  </si>
  <si>
    <t>236/360</t>
  </si>
  <si>
    <t>190/332</t>
  </si>
  <si>
    <t>152/287</t>
  </si>
  <si>
    <t>138/245</t>
  </si>
  <si>
    <t>103/206</t>
  </si>
  <si>
    <t>283/354</t>
  </si>
  <si>
    <t>231/364</t>
  </si>
  <si>
    <t>249/360</t>
  </si>
  <si>
    <t>208/332</t>
  </si>
  <si>
    <t>183/287</t>
  </si>
  <si>
    <t>155/245</t>
  </si>
  <si>
    <t>119/206</t>
  </si>
  <si>
    <t>1773/2377</t>
  </si>
  <si>
    <t>1688/2457</t>
  </si>
  <si>
    <t>1826/2422</t>
  </si>
  <si>
    <t>1497/2253</t>
  </si>
  <si>
    <t>1073/1747</t>
  </si>
  <si>
    <t>836/1242</t>
  </si>
  <si>
    <t>360/697</t>
  </si>
  <si>
    <t>Amundi Actions Emergents I C</t>
  </si>
  <si>
    <t>1623/2377</t>
  </si>
  <si>
    <t>1659/2457</t>
  </si>
  <si>
    <t>1669/2422</t>
  </si>
  <si>
    <t>1386/2253</t>
  </si>
  <si>
    <t>646/1747</t>
  </si>
  <si>
    <t>548/1242</t>
  </si>
  <si>
    <t>237/697</t>
  </si>
  <si>
    <t>Amundi Actions Emergents I2 C</t>
  </si>
  <si>
    <t>1598/2377</t>
  </si>
  <si>
    <t>1637/2457</t>
  </si>
  <si>
    <t>1625/2422</t>
  </si>
  <si>
    <t>1354/2253</t>
  </si>
  <si>
    <t>468/1747</t>
  </si>
  <si>
    <t>415/1242</t>
  </si>
  <si>
    <t>Amundi Actions Emergents P C</t>
  </si>
  <si>
    <t>1710/2377</t>
  </si>
  <si>
    <t>1705/2457</t>
  </si>
  <si>
    <t>1745/2422</t>
  </si>
  <si>
    <t>1479/2253</t>
  </si>
  <si>
    <t>924/1747</t>
  </si>
  <si>
    <t>752/1242</t>
  </si>
  <si>
    <t>329/697</t>
  </si>
  <si>
    <t>757/1145</t>
  </si>
  <si>
    <t>490/1161</t>
  </si>
  <si>
    <t>481/1155</t>
  </si>
  <si>
    <t>810/1114</t>
  </si>
  <si>
    <t>644/929</t>
  </si>
  <si>
    <t>525/795</t>
  </si>
  <si>
    <t>392/648</t>
  </si>
  <si>
    <t>408/1145</t>
  </si>
  <si>
    <t>706/1161</t>
  </si>
  <si>
    <t>643/1155</t>
  </si>
  <si>
    <t>475/1114</t>
  </si>
  <si>
    <t>366/929</t>
  </si>
  <si>
    <t>348/795</t>
  </si>
  <si>
    <t>393/1145</t>
  </si>
  <si>
    <t>698/1161</t>
  </si>
  <si>
    <t>635/1155</t>
  </si>
  <si>
    <t>461/1114</t>
  </si>
  <si>
    <t>306/929</t>
  </si>
  <si>
    <t>300/795</t>
  </si>
  <si>
    <t>284/648</t>
  </si>
  <si>
    <t>457/1145</t>
  </si>
  <si>
    <t>727/1161</t>
  </si>
  <si>
    <t>674/1155</t>
  </si>
  <si>
    <t>513/1114</t>
  </si>
  <si>
    <t>402/929</t>
  </si>
  <si>
    <t>385/795</t>
  </si>
  <si>
    <t>347/648</t>
  </si>
  <si>
    <t>71/87</t>
  </si>
  <si>
    <t>16/80</t>
  </si>
  <si>
    <t>28/63</t>
  </si>
  <si>
    <t>67/87</t>
  </si>
  <si>
    <t>13/80</t>
  </si>
  <si>
    <t>27/63</t>
  </si>
  <si>
    <t>11/80</t>
  </si>
  <si>
    <t>24/63</t>
  </si>
  <si>
    <t>15/49</t>
  </si>
  <si>
    <t>876/1145</t>
  </si>
  <si>
    <t>532/1161</t>
  </si>
  <si>
    <t>556/1155</t>
  </si>
  <si>
    <t>886/1114</t>
  </si>
  <si>
    <t>799/929</t>
  </si>
  <si>
    <t>658/795</t>
  </si>
  <si>
    <t>500/648</t>
  </si>
  <si>
    <t>556/1145</t>
  </si>
  <si>
    <t>688/1161</t>
  </si>
  <si>
    <t>509/1155</t>
  </si>
  <si>
    <t>223/1114</t>
  </si>
  <si>
    <t>610/929</t>
  </si>
  <si>
    <t>314/795</t>
  </si>
  <si>
    <t>395/648</t>
  </si>
  <si>
    <t>1271/1877</t>
  </si>
  <si>
    <t>761/1956</t>
  </si>
  <si>
    <t>922/1915</t>
  </si>
  <si>
    <t>1083/1770</t>
  </si>
  <si>
    <t>834/1372</t>
  </si>
  <si>
    <t>538/1112</t>
  </si>
  <si>
    <t>573/906</t>
  </si>
  <si>
    <t>636/1877</t>
  </si>
  <si>
    <t>1145/1956</t>
  </si>
  <si>
    <t>944/1915</t>
  </si>
  <si>
    <t>520/1770</t>
  </si>
  <si>
    <t>451/1372</t>
  </si>
  <si>
    <t>388/1112</t>
  </si>
  <si>
    <t>560/1877</t>
  </si>
  <si>
    <t>1174/1956</t>
  </si>
  <si>
    <t>846/1915</t>
  </si>
  <si>
    <t>477/1770</t>
  </si>
  <si>
    <t>405/1372</t>
  </si>
  <si>
    <t>342/1112</t>
  </si>
  <si>
    <t>642/1877</t>
  </si>
  <si>
    <t>1223/1956</t>
  </si>
  <si>
    <t>921/1915</t>
  </si>
  <si>
    <t>553/1770</t>
  </si>
  <si>
    <t>480/1372</t>
  </si>
  <si>
    <t>476/1112</t>
  </si>
  <si>
    <t>428/906</t>
  </si>
  <si>
    <t>1415/1877</t>
  </si>
  <si>
    <t>855/1956</t>
  </si>
  <si>
    <t>1063/1915</t>
  </si>
  <si>
    <t>1248/1770</t>
  </si>
  <si>
    <t>1034/1372</t>
  </si>
  <si>
    <t>731/1112</t>
  </si>
  <si>
    <t>984/1877</t>
  </si>
  <si>
    <t>1108/1956</t>
  </si>
  <si>
    <t>924/1915</t>
  </si>
  <si>
    <t>1034/1770</t>
  </si>
  <si>
    <t>1295/1372</t>
  </si>
  <si>
    <t>1013/1112</t>
  </si>
  <si>
    <t>831/906</t>
  </si>
  <si>
    <t>92/156</t>
  </si>
  <si>
    <t>83/157</t>
  </si>
  <si>
    <t>80/157</t>
  </si>
  <si>
    <t>123/154</t>
  </si>
  <si>
    <t>102/157</t>
  </si>
  <si>
    <t>85/157</t>
  </si>
  <si>
    <t>105/133</t>
  </si>
  <si>
    <t>75/99</t>
  </si>
  <si>
    <t>114/156</t>
  </si>
  <si>
    <t>101/157</t>
  </si>
  <si>
    <t>84/157</t>
  </si>
  <si>
    <t>135/154</t>
  </si>
  <si>
    <t>106/133</t>
  </si>
  <si>
    <t>110/119</t>
  </si>
  <si>
    <t>74/99</t>
  </si>
  <si>
    <t>117/246</t>
  </si>
  <si>
    <t>112/246</t>
  </si>
  <si>
    <t>68/246</t>
  </si>
  <si>
    <t>56/220</t>
  </si>
  <si>
    <t>35/203</t>
  </si>
  <si>
    <t>76/177</t>
  </si>
  <si>
    <t>223/246</t>
  </si>
  <si>
    <t>166/246</t>
  </si>
  <si>
    <t>214/246</t>
  </si>
  <si>
    <t>195/244</t>
  </si>
  <si>
    <t>156/220</t>
  </si>
  <si>
    <t>87/203</t>
  </si>
  <si>
    <t>68/177</t>
  </si>
  <si>
    <t>71/246</t>
  </si>
  <si>
    <t>102/246</t>
  </si>
  <si>
    <t>100/246</t>
  </si>
  <si>
    <t>34/220</t>
  </si>
  <si>
    <t>48/203</t>
  </si>
  <si>
    <t>61/177</t>
  </si>
  <si>
    <t>70/246</t>
  </si>
  <si>
    <t>101/246</t>
  </si>
  <si>
    <t>59/244</t>
  </si>
  <si>
    <t>35/220</t>
  </si>
  <si>
    <t>50/203</t>
  </si>
  <si>
    <t>62/177</t>
  </si>
  <si>
    <t>74/246</t>
  </si>
  <si>
    <t>109/246</t>
  </si>
  <si>
    <t>110/246</t>
  </si>
  <si>
    <t>65/244</t>
  </si>
  <si>
    <t>45/220</t>
  </si>
  <si>
    <t>79/203</t>
  </si>
  <si>
    <t>75/246</t>
  </si>
  <si>
    <t>66/244</t>
  </si>
  <si>
    <t>46/220</t>
  </si>
  <si>
    <t>80/203</t>
  </si>
  <si>
    <t>229/246</t>
  </si>
  <si>
    <t>173/246</t>
  </si>
  <si>
    <t>200/244</t>
  </si>
  <si>
    <t>171/220</t>
  </si>
  <si>
    <t>91/203</t>
  </si>
  <si>
    <t>230/246</t>
  </si>
  <si>
    <t>168/246</t>
  </si>
  <si>
    <t>222/246</t>
  </si>
  <si>
    <t>170/220</t>
  </si>
  <si>
    <t>90/203</t>
  </si>
  <si>
    <t>74/177</t>
  </si>
  <si>
    <t>13/636</t>
  </si>
  <si>
    <t>575/649</t>
  </si>
  <si>
    <t>9/649</t>
  </si>
  <si>
    <t>52/587</t>
  </si>
  <si>
    <t>311/440</t>
  </si>
  <si>
    <t>105/332</t>
  </si>
  <si>
    <t>182/238</t>
  </si>
  <si>
    <t>3680/4345</t>
  </si>
  <si>
    <t>3605/4572</t>
  </si>
  <si>
    <t>3746/4495</t>
  </si>
  <si>
    <t>3144/4016</t>
  </si>
  <si>
    <t>1510/2981</t>
  </si>
  <si>
    <t>1264/2184</t>
  </si>
  <si>
    <t>681/1651</t>
  </si>
  <si>
    <t>3679/4345</t>
  </si>
  <si>
    <t>3603/4572</t>
  </si>
  <si>
    <t>3744/4495</t>
  </si>
  <si>
    <t>3143/4016</t>
  </si>
  <si>
    <t>1509/2981</t>
  </si>
  <si>
    <t>1261/2184</t>
  </si>
  <si>
    <t>680/1651</t>
  </si>
  <si>
    <t>1687/4345</t>
  </si>
  <si>
    <t>1945/4572</t>
  </si>
  <si>
    <t>2098/4495</t>
  </si>
  <si>
    <t>2714/4016</t>
  </si>
  <si>
    <t>1237/2981</t>
  </si>
  <si>
    <t>1075/2184</t>
  </si>
  <si>
    <t>619/1651</t>
  </si>
  <si>
    <t>31/267</t>
  </si>
  <si>
    <t>151/269</t>
  </si>
  <si>
    <t>17/269</t>
  </si>
  <si>
    <t>226/263</t>
  </si>
  <si>
    <t>176/234</t>
  </si>
  <si>
    <t>106/196</t>
  </si>
  <si>
    <t>90/146</t>
  </si>
  <si>
    <t>1745/1877</t>
  </si>
  <si>
    <t>372/1956</t>
  </si>
  <si>
    <t>1320/1915</t>
  </si>
  <si>
    <t>1732/1770</t>
  </si>
  <si>
    <t>420/1372</t>
  </si>
  <si>
    <t>1059/1112</t>
  </si>
  <si>
    <t>1795/1877</t>
  </si>
  <si>
    <t>433/1956</t>
  </si>
  <si>
    <t>1488/1915</t>
  </si>
  <si>
    <t>1739/1770</t>
  </si>
  <si>
    <t>1093/1112</t>
  </si>
  <si>
    <t>867/906</t>
  </si>
  <si>
    <t>136/244</t>
  </si>
  <si>
    <t>238/254</t>
  </si>
  <si>
    <t>89/254</t>
  </si>
  <si>
    <t>203/235</t>
  </si>
  <si>
    <t>78/189</t>
  </si>
  <si>
    <t>6/158</t>
  </si>
  <si>
    <t>8/117</t>
  </si>
  <si>
    <t>112/244</t>
  </si>
  <si>
    <t>222/254</t>
  </si>
  <si>
    <t>70/254</t>
  </si>
  <si>
    <t>134/244</t>
  </si>
  <si>
    <t>232/254</t>
  </si>
  <si>
    <t>84/254</t>
  </si>
  <si>
    <t>198/235</t>
  </si>
  <si>
    <t>24/99</t>
  </si>
  <si>
    <t>82/101</t>
  </si>
  <si>
    <t>32/101</t>
  </si>
  <si>
    <t>33/94</t>
  </si>
  <si>
    <t>4/56</t>
  </si>
  <si>
    <t>5/44</t>
  </si>
  <si>
    <t>16/99</t>
  </si>
  <si>
    <t>28/101</t>
  </si>
  <si>
    <t>133/267</t>
  </si>
  <si>
    <t>60/269</t>
  </si>
  <si>
    <t>53/269</t>
  </si>
  <si>
    <t>96/263</t>
  </si>
  <si>
    <t>143/267</t>
  </si>
  <si>
    <t>65/269</t>
  </si>
  <si>
    <t>59/269</t>
  </si>
  <si>
    <t>103/263</t>
  </si>
  <si>
    <t>311/1877</t>
  </si>
  <si>
    <t>1189/1956</t>
  </si>
  <si>
    <t>1329/1915</t>
  </si>
  <si>
    <t>328/1770</t>
  </si>
  <si>
    <t>465/1372</t>
  </si>
  <si>
    <t>311/1112</t>
  </si>
  <si>
    <t>501/906</t>
  </si>
  <si>
    <t>362/1877</t>
  </si>
  <si>
    <t>1260/1956</t>
  </si>
  <si>
    <t>1400/1915</t>
  </si>
  <si>
    <t>395/1770</t>
  </si>
  <si>
    <t>448/1372</t>
  </si>
  <si>
    <t>332/1112</t>
  </si>
  <si>
    <t>550/906</t>
  </si>
  <si>
    <t>169/364</t>
  </si>
  <si>
    <t>14/371</t>
  </si>
  <si>
    <t>40/368</t>
  </si>
  <si>
    <t>189/343</t>
  </si>
  <si>
    <t>244/273</t>
  </si>
  <si>
    <t>71/192</t>
  </si>
  <si>
    <t>90/141</t>
  </si>
  <si>
    <t>1290/1686</t>
  </si>
  <si>
    <t>1304/1752</t>
  </si>
  <si>
    <t>1113/1730</t>
  </si>
  <si>
    <t>1047/1565</t>
  </si>
  <si>
    <t>563/1201</t>
  </si>
  <si>
    <t>489/932</t>
  </si>
  <si>
    <t>329/726</t>
  </si>
  <si>
    <t>1348/1686</t>
  </si>
  <si>
    <t>1342/1752</t>
  </si>
  <si>
    <t>1212/1730</t>
  </si>
  <si>
    <t>1137/1565</t>
  </si>
  <si>
    <t>684/1201</t>
  </si>
  <si>
    <t>590/932</t>
  </si>
  <si>
    <t>428/726</t>
  </si>
  <si>
    <t>1114/1720</t>
  </si>
  <si>
    <t>881/1802</t>
  </si>
  <si>
    <t>520/1779</t>
  </si>
  <si>
    <t>1184/1599</t>
  </si>
  <si>
    <t>827/1164</t>
  </si>
  <si>
    <t>508/875</t>
  </si>
  <si>
    <t>Amundi AFD Avenirs Durables I C</t>
  </si>
  <si>
    <t>1091/1720</t>
  </si>
  <si>
    <t>864/1802</t>
  </si>
  <si>
    <t>501/1779</t>
  </si>
  <si>
    <t>1155/1599</t>
  </si>
  <si>
    <t>805/1164</t>
  </si>
  <si>
    <t>492/875</t>
  </si>
  <si>
    <t>434/632</t>
  </si>
  <si>
    <t>Amundi AFD Avenirs Durables P1 C</t>
  </si>
  <si>
    <t>1276/1720</t>
  </si>
  <si>
    <t>963/1802</t>
  </si>
  <si>
    <t>614/1779</t>
  </si>
  <si>
    <t>1303/1599</t>
  </si>
  <si>
    <t>952/1164</t>
  </si>
  <si>
    <t>627/875</t>
  </si>
  <si>
    <t>502/632</t>
  </si>
  <si>
    <t>Amundi AFD Avenirs Durables P2 D</t>
  </si>
  <si>
    <t>1277/1720</t>
  </si>
  <si>
    <t>962/1802</t>
  </si>
  <si>
    <t>616/1779</t>
  </si>
  <si>
    <t>1302/1599</t>
  </si>
  <si>
    <t>953/1164</t>
  </si>
  <si>
    <t>625/875</t>
  </si>
  <si>
    <t>501/632</t>
  </si>
  <si>
    <t>227/1752</t>
  </si>
  <si>
    <t>33/1730</t>
  </si>
  <si>
    <t>1202/1565</t>
  </si>
  <si>
    <t>1181/1201</t>
  </si>
  <si>
    <t>899/932</t>
  </si>
  <si>
    <t>711/726</t>
  </si>
  <si>
    <t>75/1686</t>
  </si>
  <si>
    <t>228/1752</t>
  </si>
  <si>
    <t>32/1730</t>
  </si>
  <si>
    <t>1201/1565</t>
  </si>
  <si>
    <t>1182/1201</t>
  </si>
  <si>
    <t>898/932</t>
  </si>
  <si>
    <t>710/726</t>
  </si>
  <si>
    <t>1596/1686</t>
  </si>
  <si>
    <t>1624/1752</t>
  </si>
  <si>
    <t>1468/1730</t>
  </si>
  <si>
    <t>1334/1565</t>
  </si>
  <si>
    <t>959/1201</t>
  </si>
  <si>
    <t>751/932</t>
  </si>
  <si>
    <t>557/726</t>
  </si>
  <si>
    <t>1597/1686</t>
  </si>
  <si>
    <t>1634/1752</t>
  </si>
  <si>
    <t>1491/1730</t>
  </si>
  <si>
    <t>1339/1565</t>
  </si>
  <si>
    <t>961/1201</t>
  </si>
  <si>
    <t>756/932</t>
  </si>
  <si>
    <t>558/726</t>
  </si>
  <si>
    <t>615/905</t>
  </si>
  <si>
    <t>330/936</t>
  </si>
  <si>
    <t>4/33</t>
  </si>
  <si>
    <t>11/33</t>
  </si>
  <si>
    <t>2/23</t>
  </si>
  <si>
    <t>24/51</t>
  </si>
  <si>
    <t>38/55</t>
  </si>
  <si>
    <t>26/46</t>
  </si>
  <si>
    <t>5/24</t>
  </si>
  <si>
    <t>136/136</t>
  </si>
  <si>
    <t>138/138</t>
  </si>
  <si>
    <t>128/128</t>
  </si>
  <si>
    <t>128/354</t>
  </si>
  <si>
    <t>322/364</t>
  </si>
  <si>
    <t>171/360</t>
  </si>
  <si>
    <t>239/332</t>
  </si>
  <si>
    <t>282/619</t>
  </si>
  <si>
    <t>564/635</t>
  </si>
  <si>
    <t>291/629</t>
  </si>
  <si>
    <t>289/600</t>
  </si>
  <si>
    <t>284/497</t>
  </si>
  <si>
    <t>305/411</t>
  </si>
  <si>
    <t>257/319</t>
  </si>
  <si>
    <t>283/619</t>
  </si>
  <si>
    <t>563/635</t>
  </si>
  <si>
    <t>292/629</t>
  </si>
  <si>
    <t>287/600</t>
  </si>
  <si>
    <t>283/497</t>
  </si>
  <si>
    <t>304/411</t>
  </si>
  <si>
    <t>256/319</t>
  </si>
  <si>
    <t>1067/1720</t>
  </si>
  <si>
    <t>1384/1802</t>
  </si>
  <si>
    <t>1310/1779</t>
  </si>
  <si>
    <t>594/1599</t>
  </si>
  <si>
    <t>911/1720</t>
  </si>
  <si>
    <t>1565/1802</t>
  </si>
  <si>
    <t>1331/1779</t>
  </si>
  <si>
    <t>245/1599</t>
  </si>
  <si>
    <t>1454/2017</t>
  </si>
  <si>
    <t>1485/2107</t>
  </si>
  <si>
    <t>1533/2076</t>
  </si>
  <si>
    <t>1146/1882</t>
  </si>
  <si>
    <t>2/4</t>
  </si>
  <si>
    <t>3/4</t>
  </si>
  <si>
    <t>1/4</t>
  </si>
  <si>
    <t>4/4</t>
  </si>
  <si>
    <t>1/17</t>
  </si>
  <si>
    <t>4/17</t>
  </si>
  <si>
    <t>4/15</t>
  </si>
  <si>
    <t>2/17</t>
  </si>
  <si>
    <t>5/17</t>
  </si>
  <si>
    <t>124/539</t>
  </si>
  <si>
    <t>129/548</t>
  </si>
  <si>
    <t>114/546</t>
  </si>
  <si>
    <t>133/530</t>
  </si>
  <si>
    <t>61/483</t>
  </si>
  <si>
    <t>177/539</t>
  </si>
  <si>
    <t>168/548</t>
  </si>
  <si>
    <t>157/546</t>
  </si>
  <si>
    <t>208/530</t>
  </si>
  <si>
    <t>150/483</t>
  </si>
  <si>
    <t>92/539</t>
  </si>
  <si>
    <t>103/548</t>
  </si>
  <si>
    <t>89/546</t>
  </si>
  <si>
    <t>85/530</t>
  </si>
  <si>
    <t>129/539</t>
  </si>
  <si>
    <t>135/530</t>
  </si>
  <si>
    <t>62/483</t>
  </si>
  <si>
    <t>96/410</t>
  </si>
  <si>
    <t>84/318</t>
  </si>
  <si>
    <t>136/530</t>
  </si>
  <si>
    <t>63/483</t>
  </si>
  <si>
    <t>97/410</t>
  </si>
  <si>
    <t>185/548</t>
  </si>
  <si>
    <t>176/546</t>
  </si>
  <si>
    <t>331/539</t>
  </si>
  <si>
    <t>322/548</t>
  </si>
  <si>
    <t>351/530</t>
  </si>
  <si>
    <t>338/483</t>
  </si>
  <si>
    <t>194/539</t>
  </si>
  <si>
    <t>159/548</t>
  </si>
  <si>
    <t>158/546</t>
  </si>
  <si>
    <t>237/530</t>
  </si>
  <si>
    <t>186/483</t>
  </si>
  <si>
    <t>343/539</t>
  </si>
  <si>
    <t>306/548</t>
  </si>
  <si>
    <t>354/530</t>
  </si>
  <si>
    <t>327/483</t>
  </si>
  <si>
    <t>258/410</t>
  </si>
  <si>
    <t>180/539</t>
  </si>
  <si>
    <t>204/530</t>
  </si>
  <si>
    <t>142/483</t>
  </si>
  <si>
    <t>142/410</t>
  </si>
  <si>
    <t>111/318</t>
  </si>
  <si>
    <t>134/539</t>
  </si>
  <si>
    <t>126/548</t>
  </si>
  <si>
    <t>139/530</t>
  </si>
  <si>
    <t>341/539</t>
  </si>
  <si>
    <t>307/548</t>
  </si>
  <si>
    <t>337/546</t>
  </si>
  <si>
    <t>352/530</t>
  </si>
  <si>
    <t>326/483</t>
  </si>
  <si>
    <t>279/410</t>
  </si>
  <si>
    <t>234/539</t>
  </si>
  <si>
    <t>210/548</t>
  </si>
  <si>
    <t>218/546</t>
  </si>
  <si>
    <t>259/530</t>
  </si>
  <si>
    <t>182/483</t>
  </si>
  <si>
    <t>154/410</t>
  </si>
  <si>
    <t>2954/4580</t>
  </si>
  <si>
    <t>2282/4723</t>
  </si>
  <si>
    <t>2115/4658</t>
  </si>
  <si>
    <t>3059/4427</t>
  </si>
  <si>
    <t>26/57</t>
  </si>
  <si>
    <t>52/57</t>
  </si>
  <si>
    <t>36/57</t>
  </si>
  <si>
    <t>31/56</t>
  </si>
  <si>
    <t>29/51</t>
  </si>
  <si>
    <t>21/36</t>
  </si>
  <si>
    <t>61/107</t>
  </si>
  <si>
    <t>32/106</t>
  </si>
  <si>
    <t>17/104</t>
  </si>
  <si>
    <t>3/87</t>
  </si>
  <si>
    <t>9/73</t>
  </si>
  <si>
    <t>131/279</t>
  </si>
  <si>
    <t>81/282</t>
  </si>
  <si>
    <t>145/275</t>
  </si>
  <si>
    <t>200/237</t>
  </si>
  <si>
    <t>127/189</t>
  </si>
  <si>
    <t>173/994</t>
  </si>
  <si>
    <t>924/1027</t>
  </si>
  <si>
    <t>442/1016</t>
  </si>
  <si>
    <t>107/929</t>
  </si>
  <si>
    <t>201/994</t>
  </si>
  <si>
    <t>933/1027</t>
  </si>
  <si>
    <t>134/929</t>
  </si>
  <si>
    <t>284/431</t>
  </si>
  <si>
    <t>209/450</t>
  </si>
  <si>
    <t>304/443</t>
  </si>
  <si>
    <t>262/407</t>
  </si>
  <si>
    <t>205/341</t>
  </si>
  <si>
    <t>202/253</t>
  </si>
  <si>
    <t>14/229</t>
  </si>
  <si>
    <t>17/238</t>
  </si>
  <si>
    <t>16/235</t>
  </si>
  <si>
    <t>16/220</t>
  </si>
  <si>
    <t>39/194</t>
  </si>
  <si>
    <t>55/163</t>
  </si>
  <si>
    <t>28/111</t>
  </si>
  <si>
    <t>26/238</t>
  </si>
  <si>
    <t>23/235</t>
  </si>
  <si>
    <t>32/220</t>
  </si>
  <si>
    <t>113/194</t>
  </si>
  <si>
    <t>83/163</t>
  </si>
  <si>
    <t>50/111</t>
  </si>
  <si>
    <t>Amundi Crédit Euro I C</t>
  </si>
  <si>
    <t>170/1138</t>
  </si>
  <si>
    <t>223/1170</t>
  </si>
  <si>
    <t>138/1161</t>
  </si>
  <si>
    <t>174/1100</t>
  </si>
  <si>
    <t>173/932</t>
  </si>
  <si>
    <t>168/749</t>
  </si>
  <si>
    <t>83/524</t>
  </si>
  <si>
    <t>Amundi Crédit Euro I2 C</t>
  </si>
  <si>
    <t>119/1138</t>
  </si>
  <si>
    <t>155/1170</t>
  </si>
  <si>
    <t>71/1161</t>
  </si>
  <si>
    <t>139/1100</t>
  </si>
  <si>
    <t>81/932</t>
  </si>
  <si>
    <t>80/749</t>
  </si>
  <si>
    <t>26/524</t>
  </si>
  <si>
    <t>210/1138</t>
  </si>
  <si>
    <t>195/1170</t>
  </si>
  <si>
    <t>199/1161</t>
  </si>
  <si>
    <t>225/1100</t>
  </si>
  <si>
    <t>376/932</t>
  </si>
  <si>
    <t>462/524</t>
  </si>
  <si>
    <t>211/1138</t>
  </si>
  <si>
    <t>196/1170</t>
  </si>
  <si>
    <t>200/1161</t>
  </si>
  <si>
    <t>226/1100</t>
  </si>
  <si>
    <t>377/932</t>
  </si>
  <si>
    <t>648/749</t>
  </si>
  <si>
    <t>463/524</t>
  </si>
  <si>
    <t>267/1138</t>
  </si>
  <si>
    <t>231/1170</t>
  </si>
  <si>
    <t>265/1161</t>
  </si>
  <si>
    <t>320/1100</t>
  </si>
  <si>
    <t>654/932</t>
  </si>
  <si>
    <t>701/749</t>
  </si>
  <si>
    <t>Amundi Crédit Euro N C</t>
  </si>
  <si>
    <t>Amundi Crédit Euro P C</t>
  </si>
  <si>
    <t>217/1138</t>
  </si>
  <si>
    <t>237/1170</t>
  </si>
  <si>
    <t>169/1161</t>
  </si>
  <si>
    <t>207/1100</t>
  </si>
  <si>
    <t>311/932</t>
  </si>
  <si>
    <t>287/749</t>
  </si>
  <si>
    <t>2812/4580</t>
  </si>
  <si>
    <t>1816/4723</t>
  </si>
  <si>
    <t>1719/4658</t>
  </si>
  <si>
    <t>2981/4427</t>
  </si>
  <si>
    <t>3882/4580</t>
  </si>
  <si>
    <t>2586/4723</t>
  </si>
  <si>
    <t>3002/4658</t>
  </si>
  <si>
    <t>3447/4427</t>
  </si>
  <si>
    <t>3167/3396</t>
  </si>
  <si>
    <t>3873/4580</t>
  </si>
  <si>
    <t>2619/4723</t>
  </si>
  <si>
    <t>3009/4658</t>
  </si>
  <si>
    <t>3429/4427</t>
  </si>
  <si>
    <t>3154/3396</t>
  </si>
  <si>
    <t>1122/2377</t>
  </si>
  <si>
    <t>1225/2457</t>
  </si>
  <si>
    <t>1302/2422</t>
  </si>
  <si>
    <t>1071/2253</t>
  </si>
  <si>
    <t>909/1747</t>
  </si>
  <si>
    <t>1355/2377</t>
  </si>
  <si>
    <t>1327/2457</t>
  </si>
  <si>
    <t>1420/2422</t>
  </si>
  <si>
    <t>1250/2253</t>
  </si>
  <si>
    <t>1236/1747</t>
  </si>
  <si>
    <t>3918/4580</t>
  </si>
  <si>
    <t>2891/4723</t>
  </si>
  <si>
    <t>3079/4658</t>
  </si>
  <si>
    <t>3473/4427</t>
  </si>
  <si>
    <t>3142/3396</t>
  </si>
  <si>
    <t>3942/4580</t>
  </si>
  <si>
    <t>2852/4723</t>
  </si>
  <si>
    <t>3125/4658</t>
  </si>
  <si>
    <t>3477/4427</t>
  </si>
  <si>
    <t>3137/3396</t>
  </si>
  <si>
    <t>3900/4580</t>
  </si>
  <si>
    <t>2620/4723</t>
  </si>
  <si>
    <t>3035/4658</t>
  </si>
  <si>
    <t>3432/4427</t>
  </si>
  <si>
    <t>3157/3396</t>
  </si>
  <si>
    <t>4102/4580</t>
  </si>
  <si>
    <t>2490/4723</t>
  </si>
  <si>
    <t>3039/4658</t>
  </si>
  <si>
    <t>3922/4427</t>
  </si>
  <si>
    <t>3843/4580</t>
  </si>
  <si>
    <t>2458/4723</t>
  </si>
  <si>
    <t>2973/4658</t>
  </si>
  <si>
    <t>3427/4427</t>
  </si>
  <si>
    <t>94/144</t>
  </si>
  <si>
    <t>109/173</t>
  </si>
  <si>
    <t>80/150</t>
  </si>
  <si>
    <t>17/108</t>
  </si>
  <si>
    <t>12/76</t>
  </si>
  <si>
    <t>Amundi Dividendo Italia P</t>
  </si>
  <si>
    <t>111/173</t>
  </si>
  <si>
    <t>IT0005243289</t>
  </si>
  <si>
    <t>55/85</t>
  </si>
  <si>
    <t>77/89</t>
  </si>
  <si>
    <t>62/86</t>
  </si>
  <si>
    <t>57/75</t>
  </si>
  <si>
    <t>72/85</t>
  </si>
  <si>
    <t>69/86</t>
  </si>
  <si>
    <t>10/108</t>
  </si>
  <si>
    <t>106/112</t>
  </si>
  <si>
    <t>100/111</t>
  </si>
  <si>
    <t>90/104</t>
  </si>
  <si>
    <t>122/151</t>
  </si>
  <si>
    <t>113/156</t>
  </si>
  <si>
    <t>28/149</t>
  </si>
  <si>
    <t>11/108</t>
  </si>
  <si>
    <t>105/112</t>
  </si>
  <si>
    <t>99/111</t>
  </si>
  <si>
    <t>91/104</t>
  </si>
  <si>
    <t>123/151</t>
  </si>
  <si>
    <t>675/1720</t>
  </si>
  <si>
    <t>726/1802</t>
  </si>
  <si>
    <t>237/1779</t>
  </si>
  <si>
    <t>1016/1599</t>
  </si>
  <si>
    <t>389/1164</t>
  </si>
  <si>
    <t>90/875</t>
  </si>
  <si>
    <t>129/632</t>
  </si>
  <si>
    <t>67/157</t>
  </si>
  <si>
    <t>61/160</t>
  </si>
  <si>
    <t>66/149</t>
  </si>
  <si>
    <t>63/117</t>
  </si>
  <si>
    <t>34/86</t>
  </si>
  <si>
    <t>18/42</t>
  </si>
  <si>
    <t>72/157</t>
  </si>
  <si>
    <t>27/160</t>
  </si>
  <si>
    <t>73/149</t>
  </si>
  <si>
    <t>75/117</t>
  </si>
  <si>
    <t>22/42</t>
  </si>
  <si>
    <t>536/994</t>
  </si>
  <si>
    <t>408/1027</t>
  </si>
  <si>
    <t>670/1016</t>
  </si>
  <si>
    <t>532/929</t>
  </si>
  <si>
    <t>Amundi Equity Euro Conservative I2</t>
  </si>
  <si>
    <t>1071/1161</t>
  </si>
  <si>
    <t>352/1155</t>
  </si>
  <si>
    <t>Amundi Equity Euro Conservative Z-C</t>
  </si>
  <si>
    <t>FR0013248374</t>
  </si>
  <si>
    <t>497/1356</t>
  </si>
  <si>
    <t>123/1397</t>
  </si>
  <si>
    <t>978/1383</t>
  </si>
  <si>
    <t>454/1313</t>
  </si>
  <si>
    <t>1020/1170</t>
  </si>
  <si>
    <t>876/1007</t>
  </si>
  <si>
    <t>739/823</t>
  </si>
  <si>
    <t>971/1720</t>
  </si>
  <si>
    <t>993/1802</t>
  </si>
  <si>
    <t>842/1779</t>
  </si>
  <si>
    <t>1051/1599</t>
  </si>
  <si>
    <t>656/1164</t>
  </si>
  <si>
    <t>387/875</t>
  </si>
  <si>
    <t>424/632</t>
  </si>
  <si>
    <t>309/431</t>
  </si>
  <si>
    <t>321/450</t>
  </si>
  <si>
    <t>370/443</t>
  </si>
  <si>
    <t>292/407</t>
  </si>
  <si>
    <t>273/341</t>
  </si>
  <si>
    <t>278/308</t>
  </si>
  <si>
    <t>114/253</t>
  </si>
  <si>
    <t>318/431</t>
  </si>
  <si>
    <t>316/450</t>
  </si>
  <si>
    <t>369/443</t>
  </si>
  <si>
    <t>290/407</t>
  </si>
  <si>
    <t>270/341</t>
  </si>
  <si>
    <t>277/308</t>
  </si>
  <si>
    <t>115/253</t>
  </si>
  <si>
    <t>307/431</t>
  </si>
  <si>
    <t>308/450</t>
  </si>
  <si>
    <t>371/443</t>
  </si>
  <si>
    <t>272/341</t>
  </si>
  <si>
    <t>276/308</t>
  </si>
  <si>
    <t>113/253</t>
  </si>
  <si>
    <t>214/878</t>
  </si>
  <si>
    <t>653/895</t>
  </si>
  <si>
    <t>777/891</t>
  </si>
  <si>
    <t>133/850</t>
  </si>
  <si>
    <t>188/772</t>
  </si>
  <si>
    <t>236/576</t>
  </si>
  <si>
    <t>184/878</t>
  </si>
  <si>
    <t>405/895</t>
  </si>
  <si>
    <t>331/891</t>
  </si>
  <si>
    <t>130/850</t>
  </si>
  <si>
    <t>117/772</t>
  </si>
  <si>
    <t>147/878</t>
  </si>
  <si>
    <t>434/895</t>
  </si>
  <si>
    <t>246/891</t>
  </si>
  <si>
    <t>138/850</t>
  </si>
  <si>
    <t>205/772</t>
  </si>
  <si>
    <t>51/576</t>
  </si>
  <si>
    <t>815/878</t>
  </si>
  <si>
    <t>54/895</t>
  </si>
  <si>
    <t>867/891</t>
  </si>
  <si>
    <t>365/850</t>
  </si>
  <si>
    <t>769/772</t>
  </si>
  <si>
    <t>324/576</t>
  </si>
  <si>
    <t>64/878</t>
  </si>
  <si>
    <t>43/895</t>
  </si>
  <si>
    <t>34/891</t>
  </si>
  <si>
    <t>34/850</t>
  </si>
  <si>
    <t>177/772</t>
  </si>
  <si>
    <t>21/576</t>
  </si>
  <si>
    <t>149/878</t>
  </si>
  <si>
    <t>209/895</t>
  </si>
  <si>
    <t>202/891</t>
  </si>
  <si>
    <t>63/850</t>
  </si>
  <si>
    <t>170/772</t>
  </si>
  <si>
    <t>22/576</t>
  </si>
  <si>
    <t>458/878</t>
  </si>
  <si>
    <t>225/895</t>
  </si>
  <si>
    <t>280/891</t>
  </si>
  <si>
    <t>364/850</t>
  </si>
  <si>
    <t>226/772</t>
  </si>
  <si>
    <t>56/576</t>
  </si>
  <si>
    <t>445/878</t>
  </si>
  <si>
    <t>71/895</t>
  </si>
  <si>
    <t>340/891</t>
  </si>
  <si>
    <t>265/850</t>
  </si>
  <si>
    <t>268/772</t>
  </si>
  <si>
    <t>30/576</t>
  </si>
  <si>
    <t>479/878</t>
  </si>
  <si>
    <t>226/895</t>
  </si>
  <si>
    <t>398/891</t>
  </si>
  <si>
    <t>282/850</t>
  </si>
  <si>
    <t>175/772</t>
  </si>
  <si>
    <t>45/576</t>
  </si>
  <si>
    <t>314/878</t>
  </si>
  <si>
    <t>184/895</t>
  </si>
  <si>
    <t>310/891</t>
  </si>
  <si>
    <t>238/850</t>
  </si>
  <si>
    <t>217/772</t>
  </si>
  <si>
    <t>49/576</t>
  </si>
  <si>
    <t>867/878</t>
  </si>
  <si>
    <t>857/895</t>
  </si>
  <si>
    <t>877/891</t>
  </si>
  <si>
    <t>168/850</t>
  </si>
  <si>
    <t>757/772</t>
  </si>
  <si>
    <t>3/878</t>
  </si>
  <si>
    <t>190/895</t>
  </si>
  <si>
    <t>104/891</t>
  </si>
  <si>
    <t>4/850</t>
  </si>
  <si>
    <t>23/772</t>
  </si>
  <si>
    <t>33/576</t>
  </si>
  <si>
    <t>77/878</t>
  </si>
  <si>
    <t>601/895</t>
  </si>
  <si>
    <t>117/891</t>
  </si>
  <si>
    <t>56/850</t>
  </si>
  <si>
    <t>192/772</t>
  </si>
  <si>
    <t>210/878</t>
  </si>
  <si>
    <t>19/895</t>
  </si>
  <si>
    <t>349/891</t>
  </si>
  <si>
    <t>10/850</t>
  </si>
  <si>
    <t>303/772</t>
  </si>
  <si>
    <t>148/576</t>
  </si>
  <si>
    <t>401/878</t>
  </si>
  <si>
    <t>298/895</t>
  </si>
  <si>
    <t>425/891</t>
  </si>
  <si>
    <t>309/850</t>
  </si>
  <si>
    <t>674/772</t>
  </si>
  <si>
    <t>423/576</t>
  </si>
  <si>
    <t>57/878</t>
  </si>
  <si>
    <t>531/895</t>
  </si>
  <si>
    <t>172/891</t>
  </si>
  <si>
    <t>28/850</t>
  </si>
  <si>
    <t>54/772</t>
  </si>
  <si>
    <t>30/878</t>
  </si>
  <si>
    <t>3/895</t>
  </si>
  <si>
    <t>8/891</t>
  </si>
  <si>
    <t>53/850</t>
  </si>
  <si>
    <t>104/772</t>
  </si>
  <si>
    <t>24/878</t>
  </si>
  <si>
    <t>829/895</t>
  </si>
  <si>
    <t>52/891</t>
  </si>
  <si>
    <t>13/850</t>
  </si>
  <si>
    <t>131/772</t>
  </si>
  <si>
    <t>138/878</t>
  </si>
  <si>
    <t>665/895</t>
  </si>
  <si>
    <t>486/891</t>
  </si>
  <si>
    <t>87/850</t>
  </si>
  <si>
    <t>694/772</t>
  </si>
  <si>
    <t>470/576</t>
  </si>
  <si>
    <t>878/878</t>
  </si>
  <si>
    <t>886/895</t>
  </si>
  <si>
    <t>891/891</t>
  </si>
  <si>
    <t>141/850</t>
  </si>
  <si>
    <t>683/772</t>
  </si>
  <si>
    <t>145/878</t>
  </si>
  <si>
    <t>16/895</t>
  </si>
  <si>
    <t>162/891</t>
  </si>
  <si>
    <t>62/850</t>
  </si>
  <si>
    <t>75/772</t>
  </si>
  <si>
    <t>27/878</t>
  </si>
  <si>
    <t>621/895</t>
  </si>
  <si>
    <t>6/891</t>
  </si>
  <si>
    <t>96/850</t>
  </si>
  <si>
    <t>696/772</t>
  </si>
  <si>
    <t>136/576</t>
  </si>
  <si>
    <t>429/740</t>
  </si>
  <si>
    <t>244/754</t>
  </si>
  <si>
    <t>210/750</t>
  </si>
  <si>
    <t>331/722</t>
  </si>
  <si>
    <t>318/641</t>
  </si>
  <si>
    <t>181/557</t>
  </si>
  <si>
    <t>233/414</t>
  </si>
  <si>
    <t>430/740</t>
  </si>
  <si>
    <t>243/754</t>
  </si>
  <si>
    <t>209/750</t>
  </si>
  <si>
    <t>5/32</t>
  </si>
  <si>
    <t>1048/1720</t>
  </si>
  <si>
    <t>114/1802</t>
  </si>
  <si>
    <t>366/1779</t>
  </si>
  <si>
    <t>1261/1599</t>
  </si>
  <si>
    <t>1035/1164</t>
  </si>
  <si>
    <t>826/875</t>
  </si>
  <si>
    <t>733/1356</t>
  </si>
  <si>
    <t>463/1397</t>
  </si>
  <si>
    <t>553/1383</t>
  </si>
  <si>
    <t>828/1313</t>
  </si>
  <si>
    <t>460/1170</t>
  </si>
  <si>
    <t>311/1007</t>
  </si>
  <si>
    <t>190/823</t>
  </si>
  <si>
    <t>560/1356</t>
  </si>
  <si>
    <t>457/1397</t>
  </si>
  <si>
    <t>344/1383</t>
  </si>
  <si>
    <t>774/1313</t>
  </si>
  <si>
    <t>424/1170</t>
  </si>
  <si>
    <t>290/1007</t>
  </si>
  <si>
    <t>188/823</t>
  </si>
  <si>
    <t>33/350</t>
  </si>
  <si>
    <t>127/364</t>
  </si>
  <si>
    <t>227/339</t>
  </si>
  <si>
    <t>177/284</t>
  </si>
  <si>
    <t>203/250</t>
  </si>
  <si>
    <t>160/199</t>
  </si>
  <si>
    <t>34/350</t>
  </si>
  <si>
    <t>132/364</t>
  </si>
  <si>
    <t>56/362</t>
  </si>
  <si>
    <t>228/339</t>
  </si>
  <si>
    <t>178/284</t>
  </si>
  <si>
    <t>204/250</t>
  </si>
  <si>
    <t>161/199</t>
  </si>
  <si>
    <t>321/382</t>
  </si>
  <si>
    <t>210/387</t>
  </si>
  <si>
    <t>332/373</t>
  </si>
  <si>
    <t>189/284</t>
  </si>
  <si>
    <t>174/212</t>
  </si>
  <si>
    <t>116/145</t>
  </si>
  <si>
    <t>320/382</t>
  </si>
  <si>
    <t>83/390</t>
  </si>
  <si>
    <t>209/387</t>
  </si>
  <si>
    <t>331/373</t>
  </si>
  <si>
    <t>187/284</t>
  </si>
  <si>
    <t>171/212</t>
  </si>
  <si>
    <t>115/145</t>
  </si>
  <si>
    <t>1403/1877</t>
  </si>
  <si>
    <t>673/1956</t>
  </si>
  <si>
    <t>618/1915</t>
  </si>
  <si>
    <t>915/1770</t>
  </si>
  <si>
    <t>960/1372</t>
  </si>
  <si>
    <t>563/1112</t>
  </si>
  <si>
    <t>569/906</t>
  </si>
  <si>
    <t>1398/1877</t>
  </si>
  <si>
    <t>703/1956</t>
  </si>
  <si>
    <t>582/1915</t>
  </si>
  <si>
    <t>914/1770</t>
  </si>
  <si>
    <t>957/1372</t>
  </si>
  <si>
    <t>575/1112</t>
  </si>
  <si>
    <t>571/906</t>
  </si>
  <si>
    <t>30/37</t>
  </si>
  <si>
    <t>14/36</t>
  </si>
  <si>
    <t>31/37</t>
  </si>
  <si>
    <t>13/36</t>
  </si>
  <si>
    <t>19/38</t>
  </si>
  <si>
    <t>1/38</t>
  </si>
  <si>
    <t>10/37</t>
  </si>
  <si>
    <t>2/38</t>
  </si>
  <si>
    <t>25/36</t>
  </si>
  <si>
    <t>23/24</t>
  </si>
  <si>
    <t>20/24</t>
  </si>
  <si>
    <t>24/24</t>
  </si>
  <si>
    <t>19/24</t>
  </si>
  <si>
    <t>23/38</t>
  </si>
  <si>
    <t>3/38</t>
  </si>
  <si>
    <t>18/37</t>
  </si>
  <si>
    <t>4/38</t>
  </si>
  <si>
    <t>34/36</t>
  </si>
  <si>
    <t>15/32</t>
  </si>
  <si>
    <t>37/37</t>
  </si>
  <si>
    <t>27/36</t>
  </si>
  <si>
    <t>71/225</t>
  </si>
  <si>
    <t>30/225</t>
  </si>
  <si>
    <t>99/225</t>
  </si>
  <si>
    <t>99/220</t>
  </si>
  <si>
    <t>91/180</t>
  </si>
  <si>
    <t>54/121</t>
  </si>
  <si>
    <t>52/225</t>
  </si>
  <si>
    <t>31/225</t>
  </si>
  <si>
    <t>100/225</t>
  </si>
  <si>
    <t>91/220</t>
  </si>
  <si>
    <t>166/225</t>
  </si>
  <si>
    <t>150/225</t>
  </si>
  <si>
    <t>211/225</t>
  </si>
  <si>
    <t>63/220</t>
  </si>
  <si>
    <t>44/180</t>
  </si>
  <si>
    <t>182/225</t>
  </si>
  <si>
    <t>153/225</t>
  </si>
  <si>
    <t>218/225</t>
  </si>
  <si>
    <t>95/220</t>
  </si>
  <si>
    <t>3/12</t>
  </si>
  <si>
    <t>4/12</t>
  </si>
  <si>
    <t>10/225</t>
  </si>
  <si>
    <t>2/225</t>
  </si>
  <si>
    <t>19/225</t>
  </si>
  <si>
    <t>72/220</t>
  </si>
  <si>
    <t>148/180</t>
  </si>
  <si>
    <t>18/225</t>
  </si>
  <si>
    <t>20/225</t>
  </si>
  <si>
    <t>40/225</t>
  </si>
  <si>
    <t>70/220</t>
  </si>
  <si>
    <t>88/225</t>
  </si>
  <si>
    <t>139/225</t>
  </si>
  <si>
    <t>39/220</t>
  </si>
  <si>
    <t>75/225</t>
  </si>
  <si>
    <t>95/225</t>
  </si>
  <si>
    <t>40/220</t>
  </si>
  <si>
    <t>107/225</t>
  </si>
  <si>
    <t>63/225</t>
  </si>
  <si>
    <t>14/225</t>
  </si>
  <si>
    <t>186/220</t>
  </si>
  <si>
    <t>120/225</t>
  </si>
  <si>
    <t>65/225</t>
  </si>
  <si>
    <t>6/225</t>
  </si>
  <si>
    <t>187/220</t>
  </si>
  <si>
    <t>198/225</t>
  </si>
  <si>
    <t>98/225</t>
  </si>
  <si>
    <t>128/220</t>
  </si>
  <si>
    <t>10/180</t>
  </si>
  <si>
    <t>199/225</t>
  </si>
  <si>
    <t>135/225</t>
  </si>
  <si>
    <t>101/225</t>
  </si>
  <si>
    <t>131/220</t>
  </si>
  <si>
    <t>4/99</t>
  </si>
  <si>
    <t>2/101</t>
  </si>
  <si>
    <t>1/99</t>
  </si>
  <si>
    <t>14/101</t>
  </si>
  <si>
    <t>1/101</t>
  </si>
  <si>
    <t>2/73</t>
  </si>
  <si>
    <t>1/56</t>
  </si>
  <si>
    <t>1/44</t>
  </si>
  <si>
    <t>5/99</t>
  </si>
  <si>
    <t>16/101</t>
  </si>
  <si>
    <t>3/101</t>
  </si>
  <si>
    <t>6/73</t>
  </si>
  <si>
    <t>2/56</t>
  </si>
  <si>
    <t>1309/1877</t>
  </si>
  <si>
    <t>417/1956</t>
  </si>
  <si>
    <t>1502/1915</t>
  </si>
  <si>
    <t>730/1770</t>
  </si>
  <si>
    <t>638/1372</t>
  </si>
  <si>
    <t>536/1112</t>
  </si>
  <si>
    <t>466/906</t>
  </si>
  <si>
    <t>13/153</t>
  </si>
  <si>
    <t>75/166</t>
  </si>
  <si>
    <t>2/163</t>
  </si>
  <si>
    <t>71/143</t>
  </si>
  <si>
    <t>36/111</t>
  </si>
  <si>
    <t>11/153</t>
  </si>
  <si>
    <t>1/163</t>
  </si>
  <si>
    <t>69/143</t>
  </si>
  <si>
    <t>44/111</t>
  </si>
  <si>
    <t>86/153</t>
  </si>
  <si>
    <t>157/166</t>
  </si>
  <si>
    <t>12/45</t>
  </si>
  <si>
    <t>37/46</t>
  </si>
  <si>
    <t>7/46</t>
  </si>
  <si>
    <t>11/45</t>
  </si>
  <si>
    <t>3/39</t>
  </si>
  <si>
    <t>9/45</t>
  </si>
  <si>
    <t>8/45</t>
  </si>
  <si>
    <t>66/157</t>
  </si>
  <si>
    <t>26/160</t>
  </si>
  <si>
    <t>60/160</t>
  </si>
  <si>
    <t>67/149</t>
  </si>
  <si>
    <t>68/117</t>
  </si>
  <si>
    <t>40/86</t>
  </si>
  <si>
    <t>65/157</t>
  </si>
  <si>
    <t>23/160</t>
  </si>
  <si>
    <t>58/160</t>
  </si>
  <si>
    <t>65/149</t>
  </si>
  <si>
    <t>67/117</t>
  </si>
  <si>
    <t>39/86</t>
  </si>
  <si>
    <t>20/42</t>
  </si>
  <si>
    <t>74/157</t>
  </si>
  <si>
    <t>31/160</t>
  </si>
  <si>
    <t>67/160</t>
  </si>
  <si>
    <t>74/149</t>
  </si>
  <si>
    <t>81/117</t>
  </si>
  <si>
    <t>45/86</t>
  </si>
  <si>
    <t>68/157</t>
  </si>
  <si>
    <t>22/160</t>
  </si>
  <si>
    <t>59/160</t>
  </si>
  <si>
    <t>68/149</t>
  </si>
  <si>
    <t>72/117</t>
  </si>
  <si>
    <t>25/42</t>
  </si>
  <si>
    <t>62/157</t>
  </si>
  <si>
    <t>21/160</t>
  </si>
  <si>
    <t>56/160</t>
  </si>
  <si>
    <t>62/149</t>
  </si>
  <si>
    <t>61/117</t>
  </si>
  <si>
    <t>33/86</t>
  </si>
  <si>
    <t>17/42</t>
  </si>
  <si>
    <t>63/157</t>
  </si>
  <si>
    <t>20/160</t>
  </si>
  <si>
    <t>57/160</t>
  </si>
  <si>
    <t>63/149</t>
  </si>
  <si>
    <t>62/117</t>
  </si>
  <si>
    <t>36/86</t>
  </si>
  <si>
    <t>41/157</t>
  </si>
  <si>
    <t>30/160</t>
  </si>
  <si>
    <t>37/160</t>
  </si>
  <si>
    <t>49/149</t>
  </si>
  <si>
    <t>65/117</t>
  </si>
  <si>
    <t>33/160</t>
  </si>
  <si>
    <t>42/160</t>
  </si>
  <si>
    <t>57/149</t>
  </si>
  <si>
    <t>80/117</t>
  </si>
  <si>
    <t>39/157</t>
  </si>
  <si>
    <t>28/160</t>
  </si>
  <si>
    <t>32/160</t>
  </si>
  <si>
    <t>47/149</t>
  </si>
  <si>
    <t>59/117</t>
  </si>
  <si>
    <t>36/157</t>
  </si>
  <si>
    <t>29/160</t>
  </si>
  <si>
    <t>34/160</t>
  </si>
  <si>
    <t>46/149</t>
  </si>
  <si>
    <t>44/157</t>
  </si>
  <si>
    <t>71/117</t>
  </si>
  <si>
    <t>69/157</t>
  </si>
  <si>
    <t>62/160</t>
  </si>
  <si>
    <t>70/149</t>
  </si>
  <si>
    <t>70/117</t>
  </si>
  <si>
    <t>43/86</t>
  </si>
  <si>
    <t>24/42</t>
  </si>
  <si>
    <t>88/160</t>
  </si>
  <si>
    <t>103/149</t>
  </si>
  <si>
    <t>84/117</t>
  </si>
  <si>
    <t>58/86</t>
  </si>
  <si>
    <t>35/42</t>
  </si>
  <si>
    <t>109/157</t>
  </si>
  <si>
    <t>89/160</t>
  </si>
  <si>
    <t>104/149</t>
  </si>
  <si>
    <t>83/117</t>
  </si>
  <si>
    <t>57/86</t>
  </si>
  <si>
    <t>34/42</t>
  </si>
  <si>
    <t>122/157</t>
  </si>
  <si>
    <t>108/160</t>
  </si>
  <si>
    <t>112/160</t>
  </si>
  <si>
    <t>110/149</t>
  </si>
  <si>
    <t>44/117</t>
  </si>
  <si>
    <t>47/86</t>
  </si>
  <si>
    <t>116/160</t>
  </si>
  <si>
    <t>99/117</t>
  </si>
  <si>
    <t>70/86</t>
  </si>
  <si>
    <t>113/157</t>
  </si>
  <si>
    <t>94/160</t>
  </si>
  <si>
    <t>93/160</t>
  </si>
  <si>
    <t>107/149</t>
  </si>
  <si>
    <t>91/117</t>
  </si>
  <si>
    <t>66/86</t>
  </si>
  <si>
    <t>92/160</t>
  </si>
  <si>
    <t>108/149</t>
  </si>
  <si>
    <t>88/117</t>
  </si>
  <si>
    <t>64/86</t>
  </si>
  <si>
    <t>38/42</t>
  </si>
  <si>
    <t>104/157</t>
  </si>
  <si>
    <t>84/160</t>
  </si>
  <si>
    <t>83/160</t>
  </si>
  <si>
    <t>97/149</t>
  </si>
  <si>
    <t>76/117</t>
  </si>
  <si>
    <t>28/42</t>
  </si>
  <si>
    <t>105/157</t>
  </si>
  <si>
    <t>85/160</t>
  </si>
  <si>
    <t>98/149</t>
  </si>
  <si>
    <t>74/117</t>
  </si>
  <si>
    <t>119/157</t>
  </si>
  <si>
    <t>105/160</t>
  </si>
  <si>
    <t>107/160</t>
  </si>
  <si>
    <t>109/149</t>
  </si>
  <si>
    <t>33/117</t>
  </si>
  <si>
    <t>46/86</t>
  </si>
  <si>
    <t>118/157</t>
  </si>
  <si>
    <t>115/160</t>
  </si>
  <si>
    <t>114/160</t>
  </si>
  <si>
    <t>98/117</t>
  </si>
  <si>
    <t>63/86</t>
  </si>
  <si>
    <t>86/160</t>
  </si>
  <si>
    <t>99/149</t>
  </si>
  <si>
    <t>78/117</t>
  </si>
  <si>
    <t>30/42</t>
  </si>
  <si>
    <t>107/157</t>
  </si>
  <si>
    <t>87/160</t>
  </si>
  <si>
    <t>101/149</t>
  </si>
  <si>
    <t>77/117</t>
  </si>
  <si>
    <t>50/86</t>
  </si>
  <si>
    <t>117/160</t>
  </si>
  <si>
    <t>123/149</t>
  </si>
  <si>
    <t>110/157</t>
  </si>
  <si>
    <t>91/160</t>
  </si>
  <si>
    <t>106/149</t>
  </si>
  <si>
    <t>87/117</t>
  </si>
  <si>
    <t>59/86</t>
  </si>
  <si>
    <t>37/42</t>
  </si>
  <si>
    <t>146/157</t>
  </si>
  <si>
    <t>140/160</t>
  </si>
  <si>
    <t>148/160</t>
  </si>
  <si>
    <t>129/149</t>
  </si>
  <si>
    <t>55/117</t>
  </si>
  <si>
    <t>67/86</t>
  </si>
  <si>
    <t>145/157</t>
  </si>
  <si>
    <t>141/160</t>
  </si>
  <si>
    <t>145/160</t>
  </si>
  <si>
    <t>135/157</t>
  </si>
  <si>
    <t>122/160</t>
  </si>
  <si>
    <t>127/160</t>
  </si>
  <si>
    <t>133/149</t>
  </si>
  <si>
    <t>95/117</t>
  </si>
  <si>
    <t>72/86</t>
  </si>
  <si>
    <t>126/157</t>
  </si>
  <si>
    <t>102/160</t>
  </si>
  <si>
    <t>115/149</t>
  </si>
  <si>
    <t>102/117</t>
  </si>
  <si>
    <t>75/86</t>
  </si>
  <si>
    <t>125/157</t>
  </si>
  <si>
    <t>104/160</t>
  </si>
  <si>
    <t>116/149</t>
  </si>
  <si>
    <t>103/117</t>
  </si>
  <si>
    <t>76/86</t>
  </si>
  <si>
    <t>134/157</t>
  </si>
  <si>
    <t>142/149</t>
  </si>
  <si>
    <t>110/117</t>
  </si>
  <si>
    <t>81/86</t>
  </si>
  <si>
    <t>136/157</t>
  </si>
  <si>
    <t>137/149</t>
  </si>
  <si>
    <t>85/117</t>
  </si>
  <si>
    <t>71/86</t>
  </si>
  <si>
    <t>142/160</t>
  </si>
  <si>
    <t>147/160</t>
  </si>
  <si>
    <t>43/117</t>
  </si>
  <si>
    <t>60/86</t>
  </si>
  <si>
    <t>29/42</t>
  </si>
  <si>
    <t>143/157</t>
  </si>
  <si>
    <t>143/160</t>
  </si>
  <si>
    <t>146/160</t>
  </si>
  <si>
    <t>127/149</t>
  </si>
  <si>
    <t>45/117</t>
  </si>
  <si>
    <t>61/86</t>
  </si>
  <si>
    <t>31/42</t>
  </si>
  <si>
    <t>128/157</t>
  </si>
  <si>
    <t>106/117</t>
  </si>
  <si>
    <t>80/86</t>
  </si>
  <si>
    <t>149/157</t>
  </si>
  <si>
    <t>151/160</t>
  </si>
  <si>
    <t>134/149</t>
  </si>
  <si>
    <t>57/117</t>
  </si>
  <si>
    <t>148/157</t>
  </si>
  <si>
    <t>132/149</t>
  </si>
  <si>
    <t>56/117</t>
  </si>
  <si>
    <t>68/86</t>
  </si>
  <si>
    <t>36/42</t>
  </si>
  <si>
    <t>133/157</t>
  </si>
  <si>
    <t>119/160</t>
  </si>
  <si>
    <t>126/160</t>
  </si>
  <si>
    <t>124/149</t>
  </si>
  <si>
    <t>92/117</t>
  </si>
  <si>
    <t>123/157</t>
  </si>
  <si>
    <t>99/160</t>
  </si>
  <si>
    <t>100/160</t>
  </si>
  <si>
    <t>100/117</t>
  </si>
  <si>
    <t>73/86</t>
  </si>
  <si>
    <t>130/157</t>
  </si>
  <si>
    <t>138/149</t>
  </si>
  <si>
    <t>107/117</t>
  </si>
  <si>
    <t>77/86</t>
  </si>
  <si>
    <t>131/157</t>
  </si>
  <si>
    <t>129/160</t>
  </si>
  <si>
    <t>130/160</t>
  </si>
  <si>
    <t>139/149</t>
  </si>
  <si>
    <t>108/117</t>
  </si>
  <si>
    <t>139/157</t>
  </si>
  <si>
    <t>135/160</t>
  </si>
  <si>
    <t>117/149</t>
  </si>
  <si>
    <t>29/117</t>
  </si>
  <si>
    <t>52/86</t>
  </si>
  <si>
    <t>140/157</t>
  </si>
  <si>
    <t>31/117</t>
  </si>
  <si>
    <t>53/86</t>
  </si>
  <si>
    <t>141/157</t>
  </si>
  <si>
    <t>139/160</t>
  </si>
  <si>
    <t>144/160</t>
  </si>
  <si>
    <t>120/149</t>
  </si>
  <si>
    <t>34/117</t>
  </si>
  <si>
    <t>138/157</t>
  </si>
  <si>
    <t>114/149</t>
  </si>
  <si>
    <t>42/117</t>
  </si>
  <si>
    <t>101/160</t>
  </si>
  <si>
    <t>113/149</t>
  </si>
  <si>
    <t>101/117</t>
  </si>
  <si>
    <t>74/86</t>
  </si>
  <si>
    <t>132/157</t>
  </si>
  <si>
    <t>140/149</t>
  </si>
  <si>
    <t>142/157</t>
  </si>
  <si>
    <t>138/160</t>
  </si>
  <si>
    <t>121/149</t>
  </si>
  <si>
    <t>35/117</t>
  </si>
  <si>
    <t>56/86</t>
  </si>
  <si>
    <t>127/157</t>
  </si>
  <si>
    <t>106/160</t>
  </si>
  <si>
    <t>122/149</t>
  </si>
  <si>
    <t>105/117</t>
  </si>
  <si>
    <t>79/86</t>
  </si>
  <si>
    <t>147/157</t>
  </si>
  <si>
    <t>131/149</t>
  </si>
  <si>
    <t>53/117</t>
  </si>
  <si>
    <t>65/86</t>
  </si>
  <si>
    <t>77/170</t>
  </si>
  <si>
    <t>31/174</t>
  </si>
  <si>
    <t>40/173</t>
  </si>
  <si>
    <t>478/3842</t>
  </si>
  <si>
    <t>855/4082</t>
  </si>
  <si>
    <t>573/3983</t>
  </si>
  <si>
    <t>3153/3544</t>
  </si>
  <si>
    <t>474/3842</t>
  </si>
  <si>
    <t>823/4082</t>
  </si>
  <si>
    <t>566/3983</t>
  </si>
  <si>
    <t>3140/3544</t>
  </si>
  <si>
    <t>104/170</t>
  </si>
  <si>
    <t>39/174</t>
  </si>
  <si>
    <t>142/166</t>
  </si>
  <si>
    <t>347/3842</t>
  </si>
  <si>
    <t>687/4082</t>
  </si>
  <si>
    <t>450/3983</t>
  </si>
  <si>
    <t>2792/3544</t>
  </si>
  <si>
    <t>421/3842</t>
  </si>
  <si>
    <t>761/4082</t>
  </si>
  <si>
    <t>518/3983</t>
  </si>
  <si>
    <t>3061/3544</t>
  </si>
  <si>
    <t>2081/2338</t>
  </si>
  <si>
    <t>86/170</t>
  </si>
  <si>
    <t>35/174</t>
  </si>
  <si>
    <t>132/166</t>
  </si>
  <si>
    <t>598/1356</t>
  </si>
  <si>
    <t>152/1397</t>
  </si>
  <si>
    <t>240/1383</t>
  </si>
  <si>
    <t>385/1313</t>
  </si>
  <si>
    <t>649/1170</t>
  </si>
  <si>
    <t>160/1007</t>
  </si>
  <si>
    <t>253/823</t>
  </si>
  <si>
    <t>591/1356</t>
  </si>
  <si>
    <t>153/1397</t>
  </si>
  <si>
    <t>242/1383</t>
  </si>
  <si>
    <t>384/1313</t>
  </si>
  <si>
    <t>630/1170</t>
  </si>
  <si>
    <t>158/1007</t>
  </si>
  <si>
    <t>761/1356</t>
  </si>
  <si>
    <t>174/1397</t>
  </si>
  <si>
    <t>321/1383</t>
  </si>
  <si>
    <t>467/1313</t>
  </si>
  <si>
    <t>781/1170</t>
  </si>
  <si>
    <t>240/1007</t>
  </si>
  <si>
    <t>342/823</t>
  </si>
  <si>
    <t>415/1356</t>
  </si>
  <si>
    <t>114/1397</t>
  </si>
  <si>
    <t>154/1383</t>
  </si>
  <si>
    <t>292/1313</t>
  </si>
  <si>
    <t>380/1170</t>
  </si>
  <si>
    <t>79/1007</t>
  </si>
  <si>
    <t>109/823</t>
  </si>
  <si>
    <t>421/1356</t>
  </si>
  <si>
    <t>117/1397</t>
  </si>
  <si>
    <t>160/1383</t>
  </si>
  <si>
    <t>299/1313</t>
  </si>
  <si>
    <t>423/1170</t>
  </si>
  <si>
    <t>98/1007</t>
  </si>
  <si>
    <t>204/1397</t>
  </si>
  <si>
    <t>258/1383</t>
  </si>
  <si>
    <t>684/1356</t>
  </si>
  <si>
    <t>161/1397</t>
  </si>
  <si>
    <t>277/1383</t>
  </si>
  <si>
    <t>425/1313</t>
  </si>
  <si>
    <t>725/1170</t>
  </si>
  <si>
    <t>201/1007</t>
  </si>
  <si>
    <t>256/1138</t>
  </si>
  <si>
    <t>259/1170</t>
  </si>
  <si>
    <t>203/1161</t>
  </si>
  <si>
    <t>268/1100</t>
  </si>
  <si>
    <t>506/932</t>
  </si>
  <si>
    <t>411/749</t>
  </si>
  <si>
    <t>219/524</t>
  </si>
  <si>
    <t>255/1138</t>
  </si>
  <si>
    <t>267/1170</t>
  </si>
  <si>
    <t>225/1161</t>
  </si>
  <si>
    <t>267/1100</t>
  </si>
  <si>
    <t>495/932</t>
  </si>
  <si>
    <t>401/749</t>
  </si>
  <si>
    <t>217/524</t>
  </si>
  <si>
    <t>578/3842</t>
  </si>
  <si>
    <t>495/4082</t>
  </si>
  <si>
    <t>45/3983</t>
  </si>
  <si>
    <t>797/3544</t>
  </si>
  <si>
    <t>1149/2338</t>
  </si>
  <si>
    <t>252/1138</t>
  </si>
  <si>
    <t>244/1170</t>
  </si>
  <si>
    <t>181/1161</t>
  </si>
  <si>
    <t>285/1100</t>
  </si>
  <si>
    <t>650/932</t>
  </si>
  <si>
    <t>531/749</t>
  </si>
  <si>
    <t>453/524</t>
  </si>
  <si>
    <t>193/1138</t>
  </si>
  <si>
    <t>230/1170</t>
  </si>
  <si>
    <t>146/1161</t>
  </si>
  <si>
    <t>186/1100</t>
  </si>
  <si>
    <t>218/932</t>
  </si>
  <si>
    <t>220/749</t>
  </si>
  <si>
    <t>117/524</t>
  </si>
  <si>
    <t>185/1138</t>
  </si>
  <si>
    <t>229/1170</t>
  </si>
  <si>
    <t>148/1161</t>
  </si>
  <si>
    <t>182/1100</t>
  </si>
  <si>
    <t>206/932</t>
  </si>
  <si>
    <t>216/749</t>
  </si>
  <si>
    <t>113/524</t>
  </si>
  <si>
    <t>208/1138</t>
  </si>
  <si>
    <t>233/1170</t>
  </si>
  <si>
    <t>162/1161</t>
  </si>
  <si>
    <t>202/1100</t>
  </si>
  <si>
    <t>280/932</t>
  </si>
  <si>
    <t>260/749</t>
  </si>
  <si>
    <t>137/524</t>
  </si>
  <si>
    <t>173/1138</t>
  </si>
  <si>
    <t>188/1170</t>
  </si>
  <si>
    <t>121/1161</t>
  </si>
  <si>
    <t>188/1100</t>
  </si>
  <si>
    <t>276/932</t>
  </si>
  <si>
    <t>169/1138</t>
  </si>
  <si>
    <t>189/1170</t>
  </si>
  <si>
    <t>112/1161</t>
  </si>
  <si>
    <t>187/1100</t>
  </si>
  <si>
    <t>272/932</t>
  </si>
  <si>
    <t>259/749</t>
  </si>
  <si>
    <t>130/524</t>
  </si>
  <si>
    <t>32/229</t>
  </si>
  <si>
    <t>29/238</t>
  </si>
  <si>
    <t>25/235</t>
  </si>
  <si>
    <t>31/220</t>
  </si>
  <si>
    <t>129/194</t>
  </si>
  <si>
    <t>94/163</t>
  </si>
  <si>
    <t>65/111</t>
  </si>
  <si>
    <t>40/229</t>
  </si>
  <si>
    <t>29/235</t>
  </si>
  <si>
    <t>36/220</t>
  </si>
  <si>
    <t>111/163</t>
  </si>
  <si>
    <t>83/111</t>
  </si>
  <si>
    <t>19/238</t>
  </si>
  <si>
    <t>20/235</t>
  </si>
  <si>
    <t>17/220</t>
  </si>
  <si>
    <t>60/194</t>
  </si>
  <si>
    <t>62/163</t>
  </si>
  <si>
    <t>33/111</t>
  </si>
  <si>
    <t>21/229</t>
  </si>
  <si>
    <t>20/238</t>
  </si>
  <si>
    <t>21/235</t>
  </si>
  <si>
    <t>35/229</t>
  </si>
  <si>
    <t>26/235</t>
  </si>
  <si>
    <t>33/220</t>
  </si>
  <si>
    <t>100/163</t>
  </si>
  <si>
    <t>69/111</t>
  </si>
  <si>
    <t>232/1138</t>
  </si>
  <si>
    <t>261/1170</t>
  </si>
  <si>
    <t>170/1161</t>
  </si>
  <si>
    <t>259/1100</t>
  </si>
  <si>
    <t>576/932</t>
  </si>
  <si>
    <t>466/749</t>
  </si>
  <si>
    <t>244/524</t>
  </si>
  <si>
    <t>183/1138</t>
  </si>
  <si>
    <t>220/1170</t>
  </si>
  <si>
    <t>135/1161</t>
  </si>
  <si>
    <t>190/1100</t>
  </si>
  <si>
    <t>346/740</t>
  </si>
  <si>
    <t>57/754</t>
  </si>
  <si>
    <t>51/750</t>
  </si>
  <si>
    <t>381/722</t>
  </si>
  <si>
    <t>227/641</t>
  </si>
  <si>
    <t>92/557</t>
  </si>
  <si>
    <t>350/740</t>
  </si>
  <si>
    <t>56/754</t>
  </si>
  <si>
    <t>52/750</t>
  </si>
  <si>
    <t>380/722</t>
  </si>
  <si>
    <t>241/641</t>
  </si>
  <si>
    <t>96/557</t>
  </si>
  <si>
    <t>475/740</t>
  </si>
  <si>
    <t>69/754</t>
  </si>
  <si>
    <t>71/750</t>
  </si>
  <si>
    <t>485/722</t>
  </si>
  <si>
    <t>364/641</t>
  </si>
  <si>
    <t>167/557</t>
  </si>
  <si>
    <t>211/740</t>
  </si>
  <si>
    <t>53/754</t>
  </si>
  <si>
    <t>40/750</t>
  </si>
  <si>
    <t>260/722</t>
  </si>
  <si>
    <t>59/641</t>
  </si>
  <si>
    <t>46/557</t>
  </si>
  <si>
    <t>230/740</t>
  </si>
  <si>
    <t>75/754</t>
  </si>
  <si>
    <t>44/750</t>
  </si>
  <si>
    <t>246/740</t>
  </si>
  <si>
    <t>74/754</t>
  </si>
  <si>
    <t>45/750</t>
  </si>
  <si>
    <t>275/722</t>
  </si>
  <si>
    <t>67/641</t>
  </si>
  <si>
    <t>48/557</t>
  </si>
  <si>
    <t>132/740</t>
  </si>
  <si>
    <t>34/754</t>
  </si>
  <si>
    <t>22/750</t>
  </si>
  <si>
    <t>218/722</t>
  </si>
  <si>
    <t>255/740</t>
  </si>
  <si>
    <t>50/754</t>
  </si>
  <si>
    <t>42/750</t>
  </si>
  <si>
    <t>292/722</t>
  </si>
  <si>
    <t>422/740</t>
  </si>
  <si>
    <t>62/754</t>
  </si>
  <si>
    <t>58/750</t>
  </si>
  <si>
    <t>428/722</t>
  </si>
  <si>
    <t>306/641</t>
  </si>
  <si>
    <t>142/557</t>
  </si>
  <si>
    <t>264/500</t>
  </si>
  <si>
    <t>115/521</t>
  </si>
  <si>
    <t>145/514</t>
  </si>
  <si>
    <t>332/473</t>
  </si>
  <si>
    <t>285/390</t>
  </si>
  <si>
    <t>180/275</t>
  </si>
  <si>
    <t>91/167</t>
  </si>
  <si>
    <t>250/500</t>
  </si>
  <si>
    <t>118/521</t>
  </si>
  <si>
    <t>151/514</t>
  </si>
  <si>
    <t>320/473</t>
  </si>
  <si>
    <t>170/275</t>
  </si>
  <si>
    <t>88/167</t>
  </si>
  <si>
    <t>234/500</t>
  </si>
  <si>
    <t>95/521</t>
  </si>
  <si>
    <t>146/514</t>
  </si>
  <si>
    <t>317/473</t>
  </si>
  <si>
    <t>271/390</t>
  </si>
  <si>
    <t>169/275</t>
  </si>
  <si>
    <t>89/167</t>
  </si>
  <si>
    <t>26/1010</t>
  </si>
  <si>
    <t>178/1069</t>
  </si>
  <si>
    <t>4/1054</t>
  </si>
  <si>
    <t>180/932</t>
  </si>
  <si>
    <t>258/636</t>
  </si>
  <si>
    <t>948/1010</t>
  </si>
  <si>
    <t>800/1069</t>
  </si>
  <si>
    <t>831/1054</t>
  </si>
  <si>
    <t>491/932</t>
  </si>
  <si>
    <t>319/500</t>
  </si>
  <si>
    <t>171/521</t>
  </si>
  <si>
    <t>231/514</t>
  </si>
  <si>
    <t>365/473</t>
  </si>
  <si>
    <t>324/390</t>
  </si>
  <si>
    <t>206/275</t>
  </si>
  <si>
    <t>Amundi Fds Bd Euro High Yield FE-MD</t>
  </si>
  <si>
    <t>318/500</t>
  </si>
  <si>
    <t>167/521</t>
  </si>
  <si>
    <t>234/514</t>
  </si>
  <si>
    <t>366/473</t>
  </si>
  <si>
    <t>325/390</t>
  </si>
  <si>
    <t>171/500</t>
  </si>
  <si>
    <t>73/521</t>
  </si>
  <si>
    <t>87/514</t>
  </si>
  <si>
    <t>221/473</t>
  </si>
  <si>
    <t>172/390</t>
  </si>
  <si>
    <t>103/275</t>
  </si>
  <si>
    <t>30/167</t>
  </si>
  <si>
    <t>169/500</t>
  </si>
  <si>
    <t>72/521</t>
  </si>
  <si>
    <t>86/514</t>
  </si>
  <si>
    <t>220/473</t>
  </si>
  <si>
    <t>171/390</t>
  </si>
  <si>
    <t>102/275</t>
  </si>
  <si>
    <t>925/1010</t>
  </si>
  <si>
    <t>770/1069</t>
  </si>
  <si>
    <t>797/1054</t>
  </si>
  <si>
    <t>430/932</t>
  </si>
  <si>
    <t>168/500</t>
  </si>
  <si>
    <t>70/521</t>
  </si>
  <si>
    <t>88/514</t>
  </si>
  <si>
    <t>219/473</t>
  </si>
  <si>
    <t>174/390</t>
  </si>
  <si>
    <t>104/275</t>
  </si>
  <si>
    <t>183/500</t>
  </si>
  <si>
    <t>82/521</t>
  </si>
  <si>
    <t>95/514</t>
  </si>
  <si>
    <t>249/473</t>
  </si>
  <si>
    <t>200/390</t>
  </si>
  <si>
    <t>117/275</t>
  </si>
  <si>
    <t>57/167</t>
  </si>
  <si>
    <t>474/500</t>
  </si>
  <si>
    <t>199/521</t>
  </si>
  <si>
    <t>447/514</t>
  </si>
  <si>
    <t>455/473</t>
  </si>
  <si>
    <t>371/390</t>
  </si>
  <si>
    <t>473/500</t>
  </si>
  <si>
    <t>190/521</t>
  </si>
  <si>
    <t>445/514</t>
  </si>
  <si>
    <t>454/473</t>
  </si>
  <si>
    <t>372/390</t>
  </si>
  <si>
    <t>158/1010</t>
  </si>
  <si>
    <t>179/1069</t>
  </si>
  <si>
    <t>10/1054</t>
  </si>
  <si>
    <t>638/932</t>
  </si>
  <si>
    <t>388/636</t>
  </si>
  <si>
    <t>477/500</t>
  </si>
  <si>
    <t>193/521</t>
  </si>
  <si>
    <t>449/514</t>
  </si>
  <si>
    <t>461/473</t>
  </si>
  <si>
    <t>384/390</t>
  </si>
  <si>
    <t>476/500</t>
  </si>
  <si>
    <t>196/521</t>
  </si>
  <si>
    <t>446/514</t>
  </si>
  <si>
    <t>460/473</t>
  </si>
  <si>
    <t>383/390</t>
  </si>
  <si>
    <t>434/500</t>
  </si>
  <si>
    <t>105/521</t>
  </si>
  <si>
    <t>421/514</t>
  </si>
  <si>
    <t>429/473</t>
  </si>
  <si>
    <t>332/390</t>
  </si>
  <si>
    <t>435/500</t>
  </si>
  <si>
    <t>104/521</t>
  </si>
  <si>
    <t>423/514</t>
  </si>
  <si>
    <t>428/473</t>
  </si>
  <si>
    <t>331/390</t>
  </si>
  <si>
    <t>442/500</t>
  </si>
  <si>
    <t>117/521</t>
  </si>
  <si>
    <t>427/514</t>
  </si>
  <si>
    <t>431/473</t>
  </si>
  <si>
    <t>345/390</t>
  </si>
  <si>
    <t>463/500</t>
  </si>
  <si>
    <t>151/521</t>
  </si>
  <si>
    <t>435/514</t>
  </si>
  <si>
    <t>452/473</t>
  </si>
  <si>
    <t>376/390</t>
  </si>
  <si>
    <t>462/500</t>
  </si>
  <si>
    <t>163/521</t>
  </si>
  <si>
    <t>439/514</t>
  </si>
  <si>
    <t>451/473</t>
  </si>
  <si>
    <t>375/390</t>
  </si>
  <si>
    <t>281/500</t>
  </si>
  <si>
    <t>107/521</t>
  </si>
  <si>
    <t>188/514</t>
  </si>
  <si>
    <t>337/473</t>
  </si>
  <si>
    <t>293/390</t>
  </si>
  <si>
    <t>95/167</t>
  </si>
  <si>
    <t>Amundi Fds Bd Euro High Yield SE-MD</t>
  </si>
  <si>
    <t>278/500</t>
  </si>
  <si>
    <t>134/521</t>
  </si>
  <si>
    <t>187/514</t>
  </si>
  <si>
    <t>338/473</t>
  </si>
  <si>
    <t>294/390</t>
  </si>
  <si>
    <t>808/1069</t>
  </si>
  <si>
    <t>854/1054</t>
  </si>
  <si>
    <t>Amundi Fds Bd Euro High Yield SHU-MD</t>
  </si>
  <si>
    <t>966/1010</t>
  </si>
  <si>
    <t>816/1069</t>
  </si>
  <si>
    <t>870/1054</t>
  </si>
  <si>
    <t>166/172</t>
  </si>
  <si>
    <t>12/178</t>
  </si>
  <si>
    <t>128/177</t>
  </si>
  <si>
    <t>48/169</t>
  </si>
  <si>
    <t>133/156</t>
  </si>
  <si>
    <t>81/105</t>
  </si>
  <si>
    <t>165/172</t>
  </si>
  <si>
    <t>10/178</t>
  </si>
  <si>
    <t>127/177</t>
  </si>
  <si>
    <t>46/169</t>
  </si>
  <si>
    <t>132/156</t>
  </si>
  <si>
    <t>82/144</t>
  </si>
  <si>
    <t>80/105</t>
  </si>
  <si>
    <t>167/172</t>
  </si>
  <si>
    <t>1/178</t>
  </si>
  <si>
    <t>171/177</t>
  </si>
  <si>
    <t>3/169</t>
  </si>
  <si>
    <t>171/172</t>
  </si>
  <si>
    <t>13/178</t>
  </si>
  <si>
    <t>130/177</t>
  </si>
  <si>
    <t>57/169</t>
  </si>
  <si>
    <t>148/156</t>
  </si>
  <si>
    <t>105/144</t>
  </si>
  <si>
    <t>5/178</t>
  </si>
  <si>
    <t>118/177</t>
  </si>
  <si>
    <t>30/169</t>
  </si>
  <si>
    <t>115/156</t>
  </si>
  <si>
    <t>53/144</t>
  </si>
  <si>
    <t>63/105</t>
  </si>
  <si>
    <t>160/172</t>
  </si>
  <si>
    <t>6/178</t>
  </si>
  <si>
    <t>117/177</t>
  </si>
  <si>
    <t>161/172</t>
  </si>
  <si>
    <t>4/178</t>
  </si>
  <si>
    <t>27/169</t>
  </si>
  <si>
    <t>51/144</t>
  </si>
  <si>
    <t>62/105</t>
  </si>
  <si>
    <t>7/178</t>
  </si>
  <si>
    <t>123/177</t>
  </si>
  <si>
    <t>36/169</t>
  </si>
  <si>
    <t>122/156</t>
  </si>
  <si>
    <t>64/144</t>
  </si>
  <si>
    <t>71/105</t>
  </si>
  <si>
    <t>162/172</t>
  </si>
  <si>
    <t>8/178</t>
  </si>
  <si>
    <t>35/169</t>
  </si>
  <si>
    <t>121/156</t>
  </si>
  <si>
    <t>71/144</t>
  </si>
  <si>
    <t>74/105</t>
  </si>
  <si>
    <t>169/172</t>
  </si>
  <si>
    <t>11/178</t>
  </si>
  <si>
    <t>129/177</t>
  </si>
  <si>
    <t>52/169</t>
  </si>
  <si>
    <t>86/105</t>
  </si>
  <si>
    <t>158/172</t>
  </si>
  <si>
    <t>3/178</t>
  </si>
  <si>
    <t>112/177</t>
  </si>
  <si>
    <t>24/169</t>
  </si>
  <si>
    <t>102/156</t>
  </si>
  <si>
    <t>28/72</t>
  </si>
  <si>
    <t>10/70</t>
  </si>
  <si>
    <t>26/74</t>
  </si>
  <si>
    <t>27/72</t>
  </si>
  <si>
    <t>9/70</t>
  </si>
  <si>
    <t>18/58</t>
  </si>
  <si>
    <t>22/75</t>
  </si>
  <si>
    <t>46/72</t>
  </si>
  <si>
    <t>9/77</t>
  </si>
  <si>
    <t>13/77</t>
  </si>
  <si>
    <t>30/74</t>
  </si>
  <si>
    <t>12/58</t>
  </si>
  <si>
    <t>22/72</t>
  </si>
  <si>
    <t>6/70</t>
  </si>
  <si>
    <t>3/77</t>
  </si>
  <si>
    <t>20/74</t>
  </si>
  <si>
    <t>18/72</t>
  </si>
  <si>
    <t>9/58</t>
  </si>
  <si>
    <t>15/75</t>
  </si>
  <si>
    <t>6/77</t>
  </si>
  <si>
    <t>36/74</t>
  </si>
  <si>
    <t>11/70</t>
  </si>
  <si>
    <t>198/581</t>
  </si>
  <si>
    <t>498/606</t>
  </si>
  <si>
    <t>284/594</t>
  </si>
  <si>
    <t>252/536</t>
  </si>
  <si>
    <t>78/397</t>
  </si>
  <si>
    <t>35/254</t>
  </si>
  <si>
    <t>8/148</t>
  </si>
  <si>
    <t>199/581</t>
  </si>
  <si>
    <t>499/606</t>
  </si>
  <si>
    <t>285/594</t>
  </si>
  <si>
    <t>254/536</t>
  </si>
  <si>
    <t>79/397</t>
  </si>
  <si>
    <t>36/254</t>
  </si>
  <si>
    <t>9/148</t>
  </si>
  <si>
    <t>570/606</t>
  </si>
  <si>
    <t>506/594</t>
  </si>
  <si>
    <t>275/581</t>
  </si>
  <si>
    <t>543/606</t>
  </si>
  <si>
    <t>356/594</t>
  </si>
  <si>
    <t>308/536</t>
  </si>
  <si>
    <t>137/581</t>
  </si>
  <si>
    <t>462/606</t>
  </si>
  <si>
    <t>181/594</t>
  </si>
  <si>
    <t>174/536</t>
  </si>
  <si>
    <t>25/397</t>
  </si>
  <si>
    <t>5/254</t>
  </si>
  <si>
    <t>4/148</t>
  </si>
  <si>
    <t>463/606</t>
  </si>
  <si>
    <t>180/594</t>
  </si>
  <si>
    <t>177/536</t>
  </si>
  <si>
    <t>543/1144</t>
  </si>
  <si>
    <t>913/1207</t>
  </si>
  <si>
    <t>623/1177</t>
  </si>
  <si>
    <t>Amundi Fds Bd Glbl Emerg Hard Ccy IU-C</t>
  </si>
  <si>
    <t>559/606</t>
  </si>
  <si>
    <t>LU1543737727</t>
  </si>
  <si>
    <t>147/581</t>
  </si>
  <si>
    <t>469/606</t>
  </si>
  <si>
    <t>197/594</t>
  </si>
  <si>
    <t>193/536</t>
  </si>
  <si>
    <t>219/581</t>
  </si>
  <si>
    <t>506/606</t>
  </si>
  <si>
    <t>298/594</t>
  </si>
  <si>
    <t>276/536</t>
  </si>
  <si>
    <t>524/763</t>
  </si>
  <si>
    <t>667/786</t>
  </si>
  <si>
    <t>599/776</t>
  </si>
  <si>
    <t>527/722</t>
  </si>
  <si>
    <t>350/572</t>
  </si>
  <si>
    <t>246/398</t>
  </si>
  <si>
    <t>34/158</t>
  </si>
  <si>
    <t>544/763</t>
  </si>
  <si>
    <t>682/786</t>
  </si>
  <si>
    <t>623/776</t>
  </si>
  <si>
    <t>543/722</t>
  </si>
  <si>
    <t>343/572</t>
  </si>
  <si>
    <t>242/398</t>
  </si>
  <si>
    <t>546/763</t>
  </si>
  <si>
    <t>685/786</t>
  </si>
  <si>
    <t>626/776</t>
  </si>
  <si>
    <t>547/722</t>
  </si>
  <si>
    <t>344/572</t>
  </si>
  <si>
    <t>244/398</t>
  </si>
  <si>
    <t>11/3842</t>
  </si>
  <si>
    <t>499/4082</t>
  </si>
  <si>
    <t>18/3983</t>
  </si>
  <si>
    <t>903/3544</t>
  </si>
  <si>
    <t>2269/2338</t>
  </si>
  <si>
    <t>541/763</t>
  </si>
  <si>
    <t>668/786</t>
  </si>
  <si>
    <t>604/776</t>
  </si>
  <si>
    <t>545/722</t>
  </si>
  <si>
    <t>346/572</t>
  </si>
  <si>
    <t>241/398</t>
  </si>
  <si>
    <t>537/763</t>
  </si>
  <si>
    <t>663/786</t>
  </si>
  <si>
    <t>632/776</t>
  </si>
  <si>
    <t>535/722</t>
  </si>
  <si>
    <t>341/572</t>
  </si>
  <si>
    <t>243/398</t>
  </si>
  <si>
    <t>31/158</t>
  </si>
  <si>
    <t>116/3842</t>
  </si>
  <si>
    <t>1518/4082</t>
  </si>
  <si>
    <t>403/3983</t>
  </si>
  <si>
    <t>1684/3544</t>
  </si>
  <si>
    <t>2305/2338</t>
  </si>
  <si>
    <t>1143/1166</t>
  </si>
  <si>
    <t>Amundi Fds Bd Glbl Emerg Lcl Ccy FHE-MD</t>
  </si>
  <si>
    <t>121/3842</t>
  </si>
  <si>
    <t>1520/4082</t>
  </si>
  <si>
    <t>409/3983</t>
  </si>
  <si>
    <t>1741/3544</t>
  </si>
  <si>
    <t>2308/2338</t>
  </si>
  <si>
    <t>1145/1166</t>
  </si>
  <si>
    <t>586/763</t>
  </si>
  <si>
    <t>703/786</t>
  </si>
  <si>
    <t>666/776</t>
  </si>
  <si>
    <t>623/722</t>
  </si>
  <si>
    <t>424/572</t>
  </si>
  <si>
    <t>320/398</t>
  </si>
  <si>
    <t>70/3842</t>
  </si>
  <si>
    <t>1248/4082</t>
  </si>
  <si>
    <t>288/3983</t>
  </si>
  <si>
    <t>1130/3544</t>
  </si>
  <si>
    <t>2246/2338</t>
  </si>
  <si>
    <t>406/763</t>
  </si>
  <si>
    <t>635/786</t>
  </si>
  <si>
    <t>454/776</t>
  </si>
  <si>
    <t>353/722</t>
  </si>
  <si>
    <t>169/572</t>
  </si>
  <si>
    <t>112/398</t>
  </si>
  <si>
    <t>11/158</t>
  </si>
  <si>
    <t>438/763</t>
  </si>
  <si>
    <t>644/786</t>
  </si>
  <si>
    <t>515/776</t>
  </si>
  <si>
    <t>370/722</t>
  </si>
  <si>
    <t>177/572</t>
  </si>
  <si>
    <t>122/398</t>
  </si>
  <si>
    <t>13/158</t>
  </si>
  <si>
    <t>603/786</t>
  </si>
  <si>
    <t>390/776</t>
  </si>
  <si>
    <t>230/722</t>
  </si>
  <si>
    <t>84/572</t>
  </si>
  <si>
    <t>74/398</t>
  </si>
  <si>
    <t>4/158</t>
  </si>
  <si>
    <t>108/3842</t>
  </si>
  <si>
    <t>1470/4082</t>
  </si>
  <si>
    <t>372/3983</t>
  </si>
  <si>
    <t>1548/3544</t>
  </si>
  <si>
    <t>2288/2338</t>
  </si>
  <si>
    <t>1136/1166</t>
  </si>
  <si>
    <t>Amundi Fds Bd Glbl Emerg Lcl Ccy SHE-MD</t>
  </si>
  <si>
    <t>106/3842</t>
  </si>
  <si>
    <t>1396/4082</t>
  </si>
  <si>
    <t>362/3983</t>
  </si>
  <si>
    <t>1540/3544</t>
  </si>
  <si>
    <t>2290/2338</t>
  </si>
  <si>
    <t>1137/1166</t>
  </si>
  <si>
    <t>554/763</t>
  </si>
  <si>
    <t>691/786</t>
  </si>
  <si>
    <t>633/776</t>
  </si>
  <si>
    <t>568/722</t>
  </si>
  <si>
    <t>364/572</t>
  </si>
  <si>
    <t>260/398</t>
  </si>
  <si>
    <t>46/158</t>
  </si>
  <si>
    <t>194/1123</t>
  </si>
  <si>
    <t>179/1170</t>
  </si>
  <si>
    <t>202/1151</t>
  </si>
  <si>
    <t>429/1045</t>
  </si>
  <si>
    <t>218/865</t>
  </si>
  <si>
    <t>18/716</t>
  </si>
  <si>
    <t>73/494</t>
  </si>
  <si>
    <t>197/1123</t>
  </si>
  <si>
    <t>184/1170</t>
  </si>
  <si>
    <t>207/1151</t>
  </si>
  <si>
    <t>427/1045</t>
  </si>
  <si>
    <t>222/865</t>
  </si>
  <si>
    <t>217/1123</t>
  </si>
  <si>
    <t>235/1151</t>
  </si>
  <si>
    <t>452/1045</t>
  </si>
  <si>
    <t>234/865</t>
  </si>
  <si>
    <t>25/716</t>
  </si>
  <si>
    <t>219/1123</t>
  </si>
  <si>
    <t>224/1170</t>
  </si>
  <si>
    <t>241/1151</t>
  </si>
  <si>
    <t>459/1045</t>
  </si>
  <si>
    <t>252/865</t>
  </si>
  <si>
    <t>29/716</t>
  </si>
  <si>
    <t>2385/3842</t>
  </si>
  <si>
    <t>1543/4082</t>
  </si>
  <si>
    <t>2750/3983</t>
  </si>
  <si>
    <t>3100/3544</t>
  </si>
  <si>
    <t>Amundi Fds Bd Global Aggregate A2HS-MD</t>
  </si>
  <si>
    <t>2379/3842</t>
  </si>
  <si>
    <t>1512/4082</t>
  </si>
  <si>
    <t>2754/3983</t>
  </si>
  <si>
    <t>3097/3544</t>
  </si>
  <si>
    <t>126/289</t>
  </si>
  <si>
    <t>23/305</t>
  </si>
  <si>
    <t>62/298</t>
  </si>
  <si>
    <t>224/256</t>
  </si>
  <si>
    <t>Amundi Fds Bd Global Aggregate A2U-MD</t>
  </si>
  <si>
    <t>134/289</t>
  </si>
  <si>
    <t>25/305</t>
  </si>
  <si>
    <t>63/298</t>
  </si>
  <si>
    <t>228/256</t>
  </si>
  <si>
    <t>160/289</t>
  </si>
  <si>
    <t>38/305</t>
  </si>
  <si>
    <t>86/298</t>
  </si>
  <si>
    <t>236/256</t>
  </si>
  <si>
    <t>67/174</t>
  </si>
  <si>
    <t>18/89</t>
  </si>
  <si>
    <t>157/289</t>
  </si>
  <si>
    <t>35/305</t>
  </si>
  <si>
    <t>84/298</t>
  </si>
  <si>
    <t>235/256</t>
  </si>
  <si>
    <t>66/174</t>
  </si>
  <si>
    <t>20/89</t>
  </si>
  <si>
    <t>Amundi Fds Bd Global Aggregate AE-MD</t>
  </si>
  <si>
    <t>161/289</t>
  </si>
  <si>
    <t>40/305</t>
  </si>
  <si>
    <t>87/298</t>
  </si>
  <si>
    <t>240/256</t>
  </si>
  <si>
    <t>50/99</t>
  </si>
  <si>
    <t>11/107</t>
  </si>
  <si>
    <t>22/104</t>
  </si>
  <si>
    <t>81/88</t>
  </si>
  <si>
    <t>16/54</t>
  </si>
  <si>
    <t>313/575</t>
  </si>
  <si>
    <t>63/617</t>
  </si>
  <si>
    <t>165/602</t>
  </si>
  <si>
    <t>462/522</t>
  </si>
  <si>
    <t>123/346</t>
  </si>
  <si>
    <t>317/575</t>
  </si>
  <si>
    <t>69/617</t>
  </si>
  <si>
    <t>170/602</t>
  </si>
  <si>
    <t>458/522</t>
  </si>
  <si>
    <t>115/346</t>
  </si>
  <si>
    <t>577/3842</t>
  </si>
  <si>
    <t>318/4082</t>
  </si>
  <si>
    <t>34/3983</t>
  </si>
  <si>
    <t>1307/3544</t>
  </si>
  <si>
    <t>1263/2338</t>
  </si>
  <si>
    <t>159/289</t>
  </si>
  <si>
    <t>36/305</t>
  </si>
  <si>
    <t>82/298</t>
  </si>
  <si>
    <t>233/256</t>
  </si>
  <si>
    <t>65/174</t>
  </si>
  <si>
    <t>3/21</t>
  </si>
  <si>
    <t>158/289</t>
  </si>
  <si>
    <t>37/305</t>
  </si>
  <si>
    <t>83/298</t>
  </si>
  <si>
    <t>234/256</t>
  </si>
  <si>
    <t>64/174</t>
  </si>
  <si>
    <t>24/89</t>
  </si>
  <si>
    <t>Amundi Fds Bd Global Aggregate AU-MD</t>
  </si>
  <si>
    <t>127/289</t>
  </si>
  <si>
    <t>24/305</t>
  </si>
  <si>
    <t>59/298</t>
  </si>
  <si>
    <t>223/256</t>
  </si>
  <si>
    <t>386/575</t>
  </si>
  <si>
    <t>71/617</t>
  </si>
  <si>
    <t>203/602</t>
  </si>
  <si>
    <t>484/522</t>
  </si>
  <si>
    <t>192/346</t>
  </si>
  <si>
    <t>Amundi Fds Bd Global Aggregate FHE-MD</t>
  </si>
  <si>
    <t>372/575</t>
  </si>
  <si>
    <t>73/617</t>
  </si>
  <si>
    <t>192/602</t>
  </si>
  <si>
    <t>184/346</t>
  </si>
  <si>
    <t>197/289</t>
  </si>
  <si>
    <t>42/305</t>
  </si>
  <si>
    <t>105/298</t>
  </si>
  <si>
    <t>247/256</t>
  </si>
  <si>
    <t>94/174</t>
  </si>
  <si>
    <t>37/89</t>
  </si>
  <si>
    <t>213/289</t>
  </si>
  <si>
    <t>49/305</t>
  </si>
  <si>
    <t>121/298</t>
  </si>
  <si>
    <t>139/289</t>
  </si>
  <si>
    <t>31/305</t>
  </si>
  <si>
    <t>74/298</t>
  </si>
  <si>
    <t>218/256</t>
  </si>
  <si>
    <t>45/174</t>
  </si>
  <si>
    <t>49/99</t>
  </si>
  <si>
    <t>14/107</t>
  </si>
  <si>
    <t>25/104</t>
  </si>
  <si>
    <t>77/88</t>
  </si>
  <si>
    <t>12/54</t>
  </si>
  <si>
    <t>3025/3842</t>
  </si>
  <si>
    <t>2/4082</t>
  </si>
  <si>
    <t>2361/3983</t>
  </si>
  <si>
    <t>2389/3544</t>
  </si>
  <si>
    <t>1214/2338</t>
  </si>
  <si>
    <t>300/575</t>
  </si>
  <si>
    <t>53/617</t>
  </si>
  <si>
    <t>162/602</t>
  </si>
  <si>
    <t>433/522</t>
  </si>
  <si>
    <t>88/346</t>
  </si>
  <si>
    <t>263/575</t>
  </si>
  <si>
    <t>35/617</t>
  </si>
  <si>
    <t>100/602</t>
  </si>
  <si>
    <t>414/522</t>
  </si>
  <si>
    <t>245/575</t>
  </si>
  <si>
    <t>32/617</t>
  </si>
  <si>
    <t>399/522</t>
  </si>
  <si>
    <t>32/410</t>
  </si>
  <si>
    <t>115/404</t>
  </si>
  <si>
    <t>339/372</t>
  </si>
  <si>
    <t>274/397</t>
  </si>
  <si>
    <t>33/410</t>
  </si>
  <si>
    <t>119/404</t>
  </si>
  <si>
    <t>341/372</t>
  </si>
  <si>
    <t>226/397</t>
  </si>
  <si>
    <t>16/410</t>
  </si>
  <si>
    <t>79/404</t>
  </si>
  <si>
    <t>317/372</t>
  </si>
  <si>
    <t>138/289</t>
  </si>
  <si>
    <t>30/305</t>
  </si>
  <si>
    <t>73/298</t>
  </si>
  <si>
    <t>219/256</t>
  </si>
  <si>
    <t>46/174</t>
  </si>
  <si>
    <t>7/21</t>
  </si>
  <si>
    <t>123/289</t>
  </si>
  <si>
    <t>26/305</t>
  </si>
  <si>
    <t>56/298</t>
  </si>
  <si>
    <t>203/256</t>
  </si>
  <si>
    <t>41/174</t>
  </si>
  <si>
    <t>Amundi Fds Bd Global Aggregate IU-MD</t>
  </si>
  <si>
    <t>137/289</t>
  </si>
  <si>
    <t>29/305</t>
  </si>
  <si>
    <t>72/298</t>
  </si>
  <si>
    <t>229/256</t>
  </si>
  <si>
    <t>131/289</t>
  </si>
  <si>
    <t>32/305</t>
  </si>
  <si>
    <t>77/298</t>
  </si>
  <si>
    <t>292/575</t>
  </si>
  <si>
    <t>50/617</t>
  </si>
  <si>
    <t>137/602</t>
  </si>
  <si>
    <t>435/522</t>
  </si>
  <si>
    <t>86/346</t>
  </si>
  <si>
    <t>29/170</t>
  </si>
  <si>
    <t>132/289</t>
  </si>
  <si>
    <t>34/305</t>
  </si>
  <si>
    <t>78/298</t>
  </si>
  <si>
    <t>216/256</t>
  </si>
  <si>
    <t>48/174</t>
  </si>
  <si>
    <t>293/575</t>
  </si>
  <si>
    <t>66/617</t>
  </si>
  <si>
    <t>160/602</t>
  </si>
  <si>
    <t>119/289</t>
  </si>
  <si>
    <t>22/305</t>
  </si>
  <si>
    <t>46/298</t>
  </si>
  <si>
    <t>208/256</t>
  </si>
  <si>
    <t>44/174</t>
  </si>
  <si>
    <t>61/99</t>
  </si>
  <si>
    <t>265/575</t>
  </si>
  <si>
    <t>33/617</t>
  </si>
  <si>
    <t>102/602</t>
  </si>
  <si>
    <t>95/346</t>
  </si>
  <si>
    <t>34/170</t>
  </si>
  <si>
    <t>305/575</t>
  </si>
  <si>
    <t>58/617</t>
  </si>
  <si>
    <t>159/602</t>
  </si>
  <si>
    <t>444/522</t>
  </si>
  <si>
    <t>100/346</t>
  </si>
  <si>
    <t>33/170</t>
  </si>
  <si>
    <t>252/397</t>
  </si>
  <si>
    <t>17/410</t>
  </si>
  <si>
    <t>97/404</t>
  </si>
  <si>
    <t>332/372</t>
  </si>
  <si>
    <t>129/290</t>
  </si>
  <si>
    <t>243/397</t>
  </si>
  <si>
    <t>18/410</t>
  </si>
  <si>
    <t>89/404</t>
  </si>
  <si>
    <t>140/290</t>
  </si>
  <si>
    <t>118/289</t>
  </si>
  <si>
    <t>21/305</t>
  </si>
  <si>
    <t>48/298</t>
  </si>
  <si>
    <t>209/256</t>
  </si>
  <si>
    <t>52/174</t>
  </si>
  <si>
    <t>15/89</t>
  </si>
  <si>
    <t>2/21</t>
  </si>
  <si>
    <t>117/289</t>
  </si>
  <si>
    <t>20/305</t>
  </si>
  <si>
    <t>45/298</t>
  </si>
  <si>
    <t>207/256</t>
  </si>
  <si>
    <t>47/174</t>
  </si>
  <si>
    <t>14/89</t>
  </si>
  <si>
    <t>334/575</t>
  </si>
  <si>
    <t>68/617</t>
  </si>
  <si>
    <t>169/602</t>
  </si>
  <si>
    <t>471/522</t>
  </si>
  <si>
    <t>148/346</t>
  </si>
  <si>
    <t>52/170</t>
  </si>
  <si>
    <t>Amundi Fds Bd Global Aggregate SHE-MD</t>
  </si>
  <si>
    <t>319/575</t>
  </si>
  <si>
    <t>60/617</t>
  </si>
  <si>
    <t>163/602</t>
  </si>
  <si>
    <t>464/522</t>
  </si>
  <si>
    <t>141/346</t>
  </si>
  <si>
    <t>49/170</t>
  </si>
  <si>
    <t>298/397</t>
  </si>
  <si>
    <t>40/410</t>
  </si>
  <si>
    <t>159/404</t>
  </si>
  <si>
    <t>349/372</t>
  </si>
  <si>
    <t>167/289</t>
  </si>
  <si>
    <t>41/305</t>
  </si>
  <si>
    <t>89/298</t>
  </si>
  <si>
    <t>239/256</t>
  </si>
  <si>
    <t>74/174</t>
  </si>
  <si>
    <t>28/89</t>
  </si>
  <si>
    <t>Amundi Fds Bd Global Aggregate SU-MD</t>
  </si>
  <si>
    <t>168/289</t>
  </si>
  <si>
    <t>39/305</t>
  </si>
  <si>
    <t>88/298</t>
  </si>
  <si>
    <t>216/1123</t>
  </si>
  <si>
    <t>217/1170</t>
  </si>
  <si>
    <t>238/1151</t>
  </si>
  <si>
    <t>453/1045</t>
  </si>
  <si>
    <t>231/865</t>
  </si>
  <si>
    <t>26/716</t>
  </si>
  <si>
    <t>84/494</t>
  </si>
  <si>
    <t>188/1123</t>
  </si>
  <si>
    <t>178/1170</t>
  </si>
  <si>
    <t>194/1151</t>
  </si>
  <si>
    <t>426/1045</t>
  </si>
  <si>
    <t>209/865</t>
  </si>
  <si>
    <t>19/716</t>
  </si>
  <si>
    <t>81/494</t>
  </si>
  <si>
    <t>82/211</t>
  </si>
  <si>
    <t>79/230</t>
  </si>
  <si>
    <t>63/224</t>
  </si>
  <si>
    <t>131/202</t>
  </si>
  <si>
    <t>69/141</t>
  </si>
  <si>
    <t>19/90</t>
  </si>
  <si>
    <t>72/211</t>
  </si>
  <si>
    <t>54/230</t>
  </si>
  <si>
    <t>49/224</t>
  </si>
  <si>
    <t>124/202</t>
  </si>
  <si>
    <t>67/141</t>
  </si>
  <si>
    <t>15/90</t>
  </si>
  <si>
    <t>76/236</t>
  </si>
  <si>
    <t>58/247</t>
  </si>
  <si>
    <t>52/242</t>
  </si>
  <si>
    <t>140/228</t>
  </si>
  <si>
    <t>99/163</t>
  </si>
  <si>
    <t>Amundi Fds Bd Global Corporate AHE-MD</t>
  </si>
  <si>
    <t>80/236</t>
  </si>
  <si>
    <t>66/247</t>
  </si>
  <si>
    <t>53/242</t>
  </si>
  <si>
    <t>143/228</t>
  </si>
  <si>
    <t>80/211</t>
  </si>
  <si>
    <t>78/230</t>
  </si>
  <si>
    <t>60/224</t>
  </si>
  <si>
    <t>130/202</t>
  </si>
  <si>
    <t>73/141</t>
  </si>
  <si>
    <t>18/90</t>
  </si>
  <si>
    <t>79/211</t>
  </si>
  <si>
    <t>77/230</t>
  </si>
  <si>
    <t>61/224</t>
  </si>
  <si>
    <t>129/202</t>
  </si>
  <si>
    <t>70/141</t>
  </si>
  <si>
    <t>Amundi Fds Bd Global Corporate AU-MD</t>
  </si>
  <si>
    <t>74/211</t>
  </si>
  <si>
    <t>57/230</t>
  </si>
  <si>
    <t>51/224</t>
  </si>
  <si>
    <t>125/202</t>
  </si>
  <si>
    <t>Amundi Fds Bd Global Corporate FHE-MD</t>
  </si>
  <si>
    <t>110/236</t>
  </si>
  <si>
    <t>74/247</t>
  </si>
  <si>
    <t>117/211</t>
  </si>
  <si>
    <t>76/230</t>
  </si>
  <si>
    <t>74/224</t>
  </si>
  <si>
    <t>164/202</t>
  </si>
  <si>
    <t>103/141</t>
  </si>
  <si>
    <t>37/90</t>
  </si>
  <si>
    <t>59/236</t>
  </si>
  <si>
    <t>51/247</t>
  </si>
  <si>
    <t>110/228</t>
  </si>
  <si>
    <t>60/163</t>
  </si>
  <si>
    <t>59/211</t>
  </si>
  <si>
    <t>56/230</t>
  </si>
  <si>
    <t>44/224</t>
  </si>
  <si>
    <t>93/202</t>
  </si>
  <si>
    <t>42/141</t>
  </si>
  <si>
    <t>7/90</t>
  </si>
  <si>
    <t>9/48</t>
  </si>
  <si>
    <t>62/211</t>
  </si>
  <si>
    <t>64/230</t>
  </si>
  <si>
    <t>50/224</t>
  </si>
  <si>
    <t>95/202</t>
  </si>
  <si>
    <t>47/141</t>
  </si>
  <si>
    <t>19/105</t>
  </si>
  <si>
    <t>59/96</t>
  </si>
  <si>
    <t>Amundi Fds Bd Global Corporate SHE-MD</t>
  </si>
  <si>
    <t>91/236</t>
  </si>
  <si>
    <t>73/247</t>
  </si>
  <si>
    <t>60/242</t>
  </si>
  <si>
    <t>162/228</t>
  </si>
  <si>
    <t>94/211</t>
  </si>
  <si>
    <t>82/230</t>
  </si>
  <si>
    <t>64/224</t>
  </si>
  <si>
    <t>141/202</t>
  </si>
  <si>
    <t>86/141</t>
  </si>
  <si>
    <t>27/90</t>
  </si>
  <si>
    <t>18/48</t>
  </si>
  <si>
    <t>Amundi Fds Bd Global Emerg Blended AE-C</t>
  </si>
  <si>
    <t>464/581</t>
  </si>
  <si>
    <t>580/606</t>
  </si>
  <si>
    <t>575/594</t>
  </si>
  <si>
    <t>152/536</t>
  </si>
  <si>
    <t>15/397</t>
  </si>
  <si>
    <t>41/254</t>
  </si>
  <si>
    <t>14/148</t>
  </si>
  <si>
    <t>Amundi Fds Bd Global Emerg Blended AE-D</t>
  </si>
  <si>
    <t>466/581</t>
  </si>
  <si>
    <t>581/606</t>
  </si>
  <si>
    <t>576/594</t>
  </si>
  <si>
    <t>Amundi Fds Bd Global Emerg Blended FE-C</t>
  </si>
  <si>
    <t>586/606</t>
  </si>
  <si>
    <t>579/594</t>
  </si>
  <si>
    <t>Amundi Fds Bd Global Emerg Blended FE-QD</t>
  </si>
  <si>
    <t>589/606</t>
  </si>
  <si>
    <t>LU1600318759</t>
  </si>
  <si>
    <t>Amundi Fds Bd Global Emerg Blended IE-C</t>
  </si>
  <si>
    <t>450/581</t>
  </si>
  <si>
    <t>573/606</t>
  </si>
  <si>
    <t>571/594</t>
  </si>
  <si>
    <t>108/536</t>
  </si>
  <si>
    <t>8/397</t>
  </si>
  <si>
    <t>27/254</t>
  </si>
  <si>
    <t>12/148</t>
  </si>
  <si>
    <t>Amundi Fds Bd Global Emerg Blended IE-D</t>
  </si>
  <si>
    <t>574/606</t>
  </si>
  <si>
    <t>570/594</t>
  </si>
  <si>
    <t>LU1161085771</t>
  </si>
  <si>
    <t>Amundi Fds Bd Global Emerg Blended ME-C</t>
  </si>
  <si>
    <t>576/606</t>
  </si>
  <si>
    <t>573/594</t>
  </si>
  <si>
    <t>Amundi Fds Bd Global Emerg Blended SE-C</t>
  </si>
  <si>
    <t>468/581</t>
  </si>
  <si>
    <t>582/606</t>
  </si>
  <si>
    <t>577/594</t>
  </si>
  <si>
    <t>172/536</t>
  </si>
  <si>
    <t>Amundi Fds Bd Global Emerg Blended SE-QD</t>
  </si>
  <si>
    <t>588/606</t>
  </si>
  <si>
    <t>LU1600318833</t>
  </si>
  <si>
    <t>264/411</t>
  </si>
  <si>
    <t>299/438</t>
  </si>
  <si>
    <t>204/419</t>
  </si>
  <si>
    <t>267/391</t>
  </si>
  <si>
    <t>177/289</t>
  </si>
  <si>
    <t>263/411</t>
  </si>
  <si>
    <t>298/438</t>
  </si>
  <si>
    <t>201/419</t>
  </si>
  <si>
    <t>265/391</t>
  </si>
  <si>
    <t>175/289</t>
  </si>
  <si>
    <t>104/234</t>
  </si>
  <si>
    <t>177/244</t>
  </si>
  <si>
    <t>77/241</t>
  </si>
  <si>
    <t>130/226</t>
  </si>
  <si>
    <t>119/176</t>
  </si>
  <si>
    <t>266/411</t>
  </si>
  <si>
    <t>300/438</t>
  </si>
  <si>
    <t>202/419</t>
  </si>
  <si>
    <t>264/391</t>
  </si>
  <si>
    <t>173/289</t>
  </si>
  <si>
    <t>260/411</t>
  </si>
  <si>
    <t>296/438</t>
  </si>
  <si>
    <t>198/419</t>
  </si>
  <si>
    <t>263/391</t>
  </si>
  <si>
    <t>174/289</t>
  </si>
  <si>
    <t>135/234</t>
  </si>
  <si>
    <t>189/244</t>
  </si>
  <si>
    <t>158/226</t>
  </si>
  <si>
    <t>154/176</t>
  </si>
  <si>
    <t>Amundi Fds Bd Global Emerg Corp FHE-MD</t>
  </si>
  <si>
    <t>136/234</t>
  </si>
  <si>
    <t>192/244</t>
  </si>
  <si>
    <t>160/226</t>
  </si>
  <si>
    <t>311/438</t>
  </si>
  <si>
    <t>240/419</t>
  </si>
  <si>
    <t>306/391</t>
  </si>
  <si>
    <t>223/289</t>
  </si>
  <si>
    <t>170/411</t>
  </si>
  <si>
    <t>114/419</t>
  </si>
  <si>
    <t>182/391</t>
  </si>
  <si>
    <t>53/234</t>
  </si>
  <si>
    <t>36/241</t>
  </si>
  <si>
    <t>84/226</t>
  </si>
  <si>
    <t>34/176</t>
  </si>
  <si>
    <t>169/411</t>
  </si>
  <si>
    <t>111/419</t>
  </si>
  <si>
    <t>175/391</t>
  </si>
  <si>
    <t>153/411</t>
  </si>
  <si>
    <t>201/438</t>
  </si>
  <si>
    <t>110/419</t>
  </si>
  <si>
    <t>56/234</t>
  </si>
  <si>
    <t>145/244</t>
  </si>
  <si>
    <t>37/241</t>
  </si>
  <si>
    <t>87/226</t>
  </si>
  <si>
    <t>168/411</t>
  </si>
  <si>
    <t>197/438</t>
  </si>
  <si>
    <t>117/419</t>
  </si>
  <si>
    <t>179/391</t>
  </si>
  <si>
    <t>119/234</t>
  </si>
  <si>
    <t>86/241</t>
  </si>
  <si>
    <t>141/226</t>
  </si>
  <si>
    <t>140/176</t>
  </si>
  <si>
    <t>Amundi Fds Bd Global Emerg Corp SHE-MD</t>
  </si>
  <si>
    <t>121/234</t>
  </si>
  <si>
    <t>180/244</t>
  </si>
  <si>
    <t>79/241</t>
  </si>
  <si>
    <t>138/226</t>
  </si>
  <si>
    <t>124/176</t>
  </si>
  <si>
    <t>282/411</t>
  </si>
  <si>
    <t>305/438</t>
  </si>
  <si>
    <t>213/419</t>
  </si>
  <si>
    <t>283/391</t>
  </si>
  <si>
    <t>196/289</t>
  </si>
  <si>
    <t>10/434</t>
  </si>
  <si>
    <t>22/462</t>
  </si>
  <si>
    <t>4/451</t>
  </si>
  <si>
    <t>286/408</t>
  </si>
  <si>
    <t>328/334</t>
  </si>
  <si>
    <t>176/248</t>
  </si>
  <si>
    <t>Amundi Fds Bd Global FHE-MD</t>
  </si>
  <si>
    <t>9/434</t>
  </si>
  <si>
    <t>21/462</t>
  </si>
  <si>
    <t>3/451</t>
  </si>
  <si>
    <t>285/408</t>
  </si>
  <si>
    <t>327/334</t>
  </si>
  <si>
    <t>169/248</t>
  </si>
  <si>
    <t>220/1123</t>
  </si>
  <si>
    <t>186/1170</t>
  </si>
  <si>
    <t>226/1151</t>
  </si>
  <si>
    <t>490/1045</t>
  </si>
  <si>
    <t>422/865</t>
  </si>
  <si>
    <t>74/716</t>
  </si>
  <si>
    <t>Amundi Fds Bd Global High Yield AHE-Cap</t>
  </si>
  <si>
    <t>37/788</t>
  </si>
  <si>
    <t>LU1162499526</t>
  </si>
  <si>
    <t>482/718</t>
  </si>
  <si>
    <t>445/788</t>
  </si>
  <si>
    <t>412/764</t>
  </si>
  <si>
    <t>222/657</t>
  </si>
  <si>
    <t>337/493</t>
  </si>
  <si>
    <t>340/519</t>
  </si>
  <si>
    <t>320/515</t>
  </si>
  <si>
    <t>218/451</t>
  </si>
  <si>
    <t>Amundi Fds Bd Global High Yield FHE-MD</t>
  </si>
  <si>
    <t>336/493</t>
  </si>
  <si>
    <t>401/519</t>
  </si>
  <si>
    <t>340/515</t>
  </si>
  <si>
    <t>211/451</t>
  </si>
  <si>
    <t>559/718</t>
  </si>
  <si>
    <t>519/788</t>
  </si>
  <si>
    <t>489/764</t>
  </si>
  <si>
    <t>184/493</t>
  </si>
  <si>
    <t>256/519</t>
  </si>
  <si>
    <t>202/515</t>
  </si>
  <si>
    <t>96/451</t>
  </si>
  <si>
    <t>382/718</t>
  </si>
  <si>
    <t>336/788</t>
  </si>
  <si>
    <t>336/764</t>
  </si>
  <si>
    <t>323/493</t>
  </si>
  <si>
    <t>359/519</t>
  </si>
  <si>
    <t>323/515</t>
  </si>
  <si>
    <t>186/451</t>
  </si>
  <si>
    <t>Amundi Fds Bd Global High Yield SHE-MD</t>
  </si>
  <si>
    <t>320/493</t>
  </si>
  <si>
    <t>360/519</t>
  </si>
  <si>
    <t>314/515</t>
  </si>
  <si>
    <t>159/451</t>
  </si>
  <si>
    <t>510/718</t>
  </si>
  <si>
    <t>463/788</t>
  </si>
  <si>
    <t>435/764</t>
  </si>
  <si>
    <t>353/3842</t>
  </si>
  <si>
    <t>437/4082</t>
  </si>
  <si>
    <t>131/3983</t>
  </si>
  <si>
    <t>156/3544</t>
  </si>
  <si>
    <t>325/3842</t>
  </si>
  <si>
    <t>417/4082</t>
  </si>
  <si>
    <t>103/3983</t>
  </si>
  <si>
    <t>141/3544</t>
  </si>
  <si>
    <t>437/3842</t>
  </si>
  <si>
    <t>482/4082</t>
  </si>
  <si>
    <t>186/3983</t>
  </si>
  <si>
    <t>200/3544</t>
  </si>
  <si>
    <t>328/3842</t>
  </si>
  <si>
    <t>419/4082</t>
  </si>
  <si>
    <t>100/3983</t>
  </si>
  <si>
    <t>147/3544</t>
  </si>
  <si>
    <t>302/3842</t>
  </si>
  <si>
    <t>402/4082</t>
  </si>
  <si>
    <t>85/3983</t>
  </si>
  <si>
    <t>128/3544</t>
  </si>
  <si>
    <t>296/3842</t>
  </si>
  <si>
    <t>418/4082</t>
  </si>
  <si>
    <t>92/3983</t>
  </si>
  <si>
    <t>127/3544</t>
  </si>
  <si>
    <t>392/3842</t>
  </si>
  <si>
    <t>450/4082</t>
  </si>
  <si>
    <t>144/3983</t>
  </si>
  <si>
    <t>199/3544</t>
  </si>
  <si>
    <t>163/1123</t>
  </si>
  <si>
    <t>164/1170</t>
  </si>
  <si>
    <t>177/1151</t>
  </si>
  <si>
    <t>372/1045</t>
  </si>
  <si>
    <t>119/865</t>
  </si>
  <si>
    <t>3/716</t>
  </si>
  <si>
    <t>116/494</t>
  </si>
  <si>
    <t>177/186</t>
  </si>
  <si>
    <t>99/198</t>
  </si>
  <si>
    <t>176/193</t>
  </si>
  <si>
    <t>109/170</t>
  </si>
  <si>
    <t>88/136</t>
  </si>
  <si>
    <t>82/110</t>
  </si>
  <si>
    <t>179/186</t>
  </si>
  <si>
    <t>101/198</t>
  </si>
  <si>
    <t>177/193</t>
  </si>
  <si>
    <t>101/170</t>
  </si>
  <si>
    <t>87/136</t>
  </si>
  <si>
    <t>78/110</t>
  </si>
  <si>
    <t>186/186</t>
  </si>
  <si>
    <t>3/198</t>
  </si>
  <si>
    <t>185/193</t>
  </si>
  <si>
    <t>Amundi Fds Bd Global Inflation AE-MD</t>
  </si>
  <si>
    <t>178/186</t>
  </si>
  <si>
    <t>100/198</t>
  </si>
  <si>
    <t>175/193</t>
  </si>
  <si>
    <t>75/77</t>
  </si>
  <si>
    <t>182/186</t>
  </si>
  <si>
    <t>106/198</t>
  </si>
  <si>
    <t>183/193</t>
  </si>
  <si>
    <t>92/110</t>
  </si>
  <si>
    <t>Amundi Fds Bd Global Inflation I13 E-C</t>
  </si>
  <si>
    <t>159/186</t>
  </si>
  <si>
    <t>87/198</t>
  </si>
  <si>
    <t>158/193</t>
  </si>
  <si>
    <t>LU1272328227</t>
  </si>
  <si>
    <t>Amundi Fds Bd Global Inflation I13 HG-C</t>
  </si>
  <si>
    <t>EAA Fund Global Inflation-Linked Bond - GBP Hedged</t>
  </si>
  <si>
    <t>65/65</t>
  </si>
  <si>
    <t>30/72</t>
  </si>
  <si>
    <t>65/67</t>
  </si>
  <si>
    <t>LU1272326791</t>
  </si>
  <si>
    <t>Amundi Fds Bd Global Inflation I13 HU-C</t>
  </si>
  <si>
    <t>71/74</t>
  </si>
  <si>
    <t>24/78</t>
  </si>
  <si>
    <t>73/77</t>
  </si>
  <si>
    <t>LU1272326445</t>
  </si>
  <si>
    <t>166/186</t>
  </si>
  <si>
    <t>94/198</t>
  </si>
  <si>
    <t>167/193</t>
  </si>
  <si>
    <t>80/136</t>
  </si>
  <si>
    <t>54/110</t>
  </si>
  <si>
    <t>165/186</t>
  </si>
  <si>
    <t>93/198</t>
  </si>
  <si>
    <t>72/74</t>
  </si>
  <si>
    <t>28/78</t>
  </si>
  <si>
    <t>74/77</t>
  </si>
  <si>
    <t>38/70</t>
  </si>
  <si>
    <t>167/186</t>
  </si>
  <si>
    <t>95/198</t>
  </si>
  <si>
    <t>170/193</t>
  </si>
  <si>
    <t>65/170</t>
  </si>
  <si>
    <t>Amundi Fds Bd Global Inflation OE-C</t>
  </si>
  <si>
    <t>160/186</t>
  </si>
  <si>
    <t>88/198</t>
  </si>
  <si>
    <t>159/193</t>
  </si>
  <si>
    <t>67/136</t>
  </si>
  <si>
    <t>LU0557864534</t>
  </si>
  <si>
    <t>Amundi Fds Bd Global Inflation OE-DH-C</t>
  </si>
  <si>
    <t>185/186</t>
  </si>
  <si>
    <t>2/198</t>
  </si>
  <si>
    <t>184/193</t>
  </si>
  <si>
    <t>6/170</t>
  </si>
  <si>
    <t>LU1272326361</t>
  </si>
  <si>
    <t>175/186</t>
  </si>
  <si>
    <t>97/198</t>
  </si>
  <si>
    <t>80/170</t>
  </si>
  <si>
    <t>83/136</t>
  </si>
  <si>
    <t>174/186</t>
  </si>
  <si>
    <t>98/198</t>
  </si>
  <si>
    <t>79/170</t>
  </si>
  <si>
    <t>82/136</t>
  </si>
  <si>
    <t>61/110</t>
  </si>
  <si>
    <t>181/186</t>
  </si>
  <si>
    <t>103/198</t>
  </si>
  <si>
    <t>181/193</t>
  </si>
  <si>
    <t>114/170</t>
  </si>
  <si>
    <t>91/136</t>
  </si>
  <si>
    <t>87/110</t>
  </si>
  <si>
    <t>74/74</t>
  </si>
  <si>
    <t>30/78</t>
  </si>
  <si>
    <t>76/77</t>
  </si>
  <si>
    <t>226/1123</t>
  </si>
  <si>
    <t>213/1170</t>
  </si>
  <si>
    <t>230/1151</t>
  </si>
  <si>
    <t>443/1045</t>
  </si>
  <si>
    <t>150/865</t>
  </si>
  <si>
    <t>27/716</t>
  </si>
  <si>
    <t>85/494</t>
  </si>
  <si>
    <t>8/434</t>
  </si>
  <si>
    <t>23/462</t>
  </si>
  <si>
    <t>5/451</t>
  </si>
  <si>
    <t>242/408</t>
  </si>
  <si>
    <t>203/1123</t>
  </si>
  <si>
    <t>215/1170</t>
  </si>
  <si>
    <t>232/1151</t>
  </si>
  <si>
    <t>417/1045</t>
  </si>
  <si>
    <t>141/865</t>
  </si>
  <si>
    <t>28/716</t>
  </si>
  <si>
    <t>90/494</t>
  </si>
  <si>
    <t>7/434</t>
  </si>
  <si>
    <t>2/451</t>
  </si>
  <si>
    <t>243/408</t>
  </si>
  <si>
    <t>319/334</t>
  </si>
  <si>
    <t>125/248</t>
  </si>
  <si>
    <t>Amundi Fds Bd Global SHE-MD</t>
  </si>
  <si>
    <t>6/434</t>
  </si>
  <si>
    <t>18/462</t>
  </si>
  <si>
    <t>1/451</t>
  </si>
  <si>
    <t>248/408</t>
  </si>
  <si>
    <t>313/334</t>
  </si>
  <si>
    <t>118/248</t>
  </si>
  <si>
    <t>206/1123</t>
  </si>
  <si>
    <t>222/1151</t>
  </si>
  <si>
    <t>449/1045</t>
  </si>
  <si>
    <t>268/865</t>
  </si>
  <si>
    <t>47/716</t>
  </si>
  <si>
    <t>124/494</t>
  </si>
  <si>
    <t>114/323</t>
  </si>
  <si>
    <t>194/375</t>
  </si>
  <si>
    <t>150/359</t>
  </si>
  <si>
    <t>240/258</t>
  </si>
  <si>
    <t>91/137</t>
  </si>
  <si>
    <t>14/84</t>
  </si>
  <si>
    <t>40/61</t>
  </si>
  <si>
    <t>106/323</t>
  </si>
  <si>
    <t>200/375</t>
  </si>
  <si>
    <t>144/359</t>
  </si>
  <si>
    <t>223/258</t>
  </si>
  <si>
    <t>7/84</t>
  </si>
  <si>
    <t>34/61</t>
  </si>
  <si>
    <t>103/323</t>
  </si>
  <si>
    <t>198/375</t>
  </si>
  <si>
    <t>146/359</t>
  </si>
  <si>
    <t>221/258</t>
  </si>
  <si>
    <t>70/137</t>
  </si>
  <si>
    <t>6/84</t>
  </si>
  <si>
    <t>112/323</t>
  </si>
  <si>
    <t>204/375</t>
  </si>
  <si>
    <t>151/359</t>
  </si>
  <si>
    <t>230/258</t>
  </si>
  <si>
    <t>195/375</t>
  </si>
  <si>
    <t>174/359</t>
  </si>
  <si>
    <t>110/323</t>
  </si>
  <si>
    <t>201/375</t>
  </si>
  <si>
    <t>147/359</t>
  </si>
  <si>
    <t>235/258</t>
  </si>
  <si>
    <t>81/137</t>
  </si>
  <si>
    <t>10/84</t>
  </si>
  <si>
    <t>35/61</t>
  </si>
  <si>
    <t>202/375</t>
  </si>
  <si>
    <t>148/359</t>
  </si>
  <si>
    <t>224/258</t>
  </si>
  <si>
    <t>5/84</t>
  </si>
  <si>
    <t>29/61</t>
  </si>
  <si>
    <t>115/323</t>
  </si>
  <si>
    <t>196/375</t>
  </si>
  <si>
    <t>175/359</t>
  </si>
  <si>
    <t>228/258</t>
  </si>
  <si>
    <t>180/375</t>
  </si>
  <si>
    <t>158/359</t>
  </si>
  <si>
    <t>1126/3842</t>
  </si>
  <si>
    <t>1329/4082</t>
  </si>
  <si>
    <t>563/3983</t>
  </si>
  <si>
    <t>2405/3544</t>
  </si>
  <si>
    <t>105/529</t>
  </si>
  <si>
    <t>214/548</t>
  </si>
  <si>
    <t>114/540</t>
  </si>
  <si>
    <t>108/501</t>
  </si>
  <si>
    <t>1299/3842</t>
  </si>
  <si>
    <t>1422/4082</t>
  </si>
  <si>
    <t>661/3983</t>
  </si>
  <si>
    <t>2705/3544</t>
  </si>
  <si>
    <t>1297/3842</t>
  </si>
  <si>
    <t>1475/4082</t>
  </si>
  <si>
    <t>671/3983</t>
  </si>
  <si>
    <t>2722/3544</t>
  </si>
  <si>
    <t>167/529</t>
  </si>
  <si>
    <t>267/548</t>
  </si>
  <si>
    <t>193/540</t>
  </si>
  <si>
    <t>174/501</t>
  </si>
  <si>
    <t>155/4082</t>
  </si>
  <si>
    <t>463/3983</t>
  </si>
  <si>
    <t>621/4082</t>
  </si>
  <si>
    <t>270/3983</t>
  </si>
  <si>
    <t>66/301</t>
  </si>
  <si>
    <t>41/327</t>
  </si>
  <si>
    <t>33/260</t>
  </si>
  <si>
    <t>890/3842</t>
  </si>
  <si>
    <t>637/4082</t>
  </si>
  <si>
    <t>300/3983</t>
  </si>
  <si>
    <t>1981/3544</t>
  </si>
  <si>
    <t>90/301</t>
  </si>
  <si>
    <t>44/327</t>
  </si>
  <si>
    <t>59/317</t>
  </si>
  <si>
    <t>49/260</t>
  </si>
  <si>
    <t>740/3842</t>
  </si>
  <si>
    <t>594/4082</t>
  </si>
  <si>
    <t>238/3983</t>
  </si>
  <si>
    <t>1593/3544</t>
  </si>
  <si>
    <t>43/301</t>
  </si>
  <si>
    <t>37/327</t>
  </si>
  <si>
    <t>41/317</t>
  </si>
  <si>
    <t>24/260</t>
  </si>
  <si>
    <t>38/327</t>
  </si>
  <si>
    <t>42/317</t>
  </si>
  <si>
    <t>754/3842</t>
  </si>
  <si>
    <t>612/4082</t>
  </si>
  <si>
    <t>248/3983</t>
  </si>
  <si>
    <t>1633/3544</t>
  </si>
  <si>
    <t>819/3842</t>
  </si>
  <si>
    <t>613/4082</t>
  </si>
  <si>
    <t>274/3983</t>
  </si>
  <si>
    <t>1856/3544</t>
  </si>
  <si>
    <t>69/301</t>
  </si>
  <si>
    <t>42/327</t>
  </si>
  <si>
    <t>51/317</t>
  </si>
  <si>
    <t>161/529</t>
  </si>
  <si>
    <t>343/548</t>
  </si>
  <si>
    <t>215/540</t>
  </si>
  <si>
    <t>140/501</t>
  </si>
  <si>
    <t>128/397</t>
  </si>
  <si>
    <t>66/323</t>
  </si>
  <si>
    <t>54/264</t>
  </si>
  <si>
    <t>163/529</t>
  </si>
  <si>
    <t>221/540</t>
  </si>
  <si>
    <t>1277/3842</t>
  </si>
  <si>
    <t>1601/4082</t>
  </si>
  <si>
    <t>678/3983</t>
  </si>
  <si>
    <t>2650/3544</t>
  </si>
  <si>
    <t>1608/2338</t>
  </si>
  <si>
    <t>743/1166</t>
  </si>
  <si>
    <t>249/435</t>
  </si>
  <si>
    <t>132/529</t>
  </si>
  <si>
    <t>338/548</t>
  </si>
  <si>
    <t>209/540</t>
  </si>
  <si>
    <t>121/501</t>
  </si>
  <si>
    <t>118/397</t>
  </si>
  <si>
    <t>61/323</t>
  </si>
  <si>
    <t>52/264</t>
  </si>
  <si>
    <t>128/529</t>
  </si>
  <si>
    <t>329/548</t>
  </si>
  <si>
    <t>206/540</t>
  </si>
  <si>
    <t>119/501</t>
  </si>
  <si>
    <t>114/397</t>
  </si>
  <si>
    <t>59/323</t>
  </si>
  <si>
    <t>1448/3842</t>
  </si>
  <si>
    <t>1693/4082</t>
  </si>
  <si>
    <t>768/3983</t>
  </si>
  <si>
    <t>2877/3544</t>
  </si>
  <si>
    <t>1781/2338</t>
  </si>
  <si>
    <t>831/1166</t>
  </si>
  <si>
    <t>279/435</t>
  </si>
  <si>
    <t>Amundi Fds Bd US Oppc Core Plus FHE-QD</t>
  </si>
  <si>
    <t>1441/3842</t>
  </si>
  <si>
    <t>1718/4082</t>
  </si>
  <si>
    <t>785/3983</t>
  </si>
  <si>
    <t>2878/3544</t>
  </si>
  <si>
    <t>1778/2338</t>
  </si>
  <si>
    <t>248/529</t>
  </si>
  <si>
    <t>405/548</t>
  </si>
  <si>
    <t>319/540</t>
  </si>
  <si>
    <t>225/501</t>
  </si>
  <si>
    <t>246/397</t>
  </si>
  <si>
    <t>145/323</t>
  </si>
  <si>
    <t>86/264</t>
  </si>
  <si>
    <t>1121/3842</t>
  </si>
  <si>
    <t>1419/4082</t>
  </si>
  <si>
    <t>591/3983</t>
  </si>
  <si>
    <t>2391/3544</t>
  </si>
  <si>
    <t>1441/2338</t>
  </si>
  <si>
    <t>644/1166</t>
  </si>
  <si>
    <t>223/435</t>
  </si>
  <si>
    <t>115/529</t>
  </si>
  <si>
    <t>304/548</t>
  </si>
  <si>
    <t>157/540</t>
  </si>
  <si>
    <t>99/501</t>
  </si>
  <si>
    <t>58/397</t>
  </si>
  <si>
    <t>26/323</t>
  </si>
  <si>
    <t>21/264</t>
  </si>
  <si>
    <t>303/548</t>
  </si>
  <si>
    <t>159/540</t>
  </si>
  <si>
    <t>1143/3842</t>
  </si>
  <si>
    <t>1425/4082</t>
  </si>
  <si>
    <t>594/3983</t>
  </si>
  <si>
    <t>2368/3544</t>
  </si>
  <si>
    <t>1472/2338</t>
  </si>
  <si>
    <t>658/1166</t>
  </si>
  <si>
    <t>119/529</t>
  </si>
  <si>
    <t>164/540</t>
  </si>
  <si>
    <t>97/501</t>
  </si>
  <si>
    <t>57/397</t>
  </si>
  <si>
    <t>27/323</t>
  </si>
  <si>
    <t>1298/3842</t>
  </si>
  <si>
    <t>1599/4082</t>
  </si>
  <si>
    <t>693/3983</t>
  </si>
  <si>
    <t>2691/3544</t>
  </si>
  <si>
    <t>1636/2338</t>
  </si>
  <si>
    <t>766/1166</t>
  </si>
  <si>
    <t>Amundi Fds Bd US Oppc Core Plus SHE-QD</t>
  </si>
  <si>
    <t>1330/3842</t>
  </si>
  <si>
    <t>1609/4082</t>
  </si>
  <si>
    <t>719/3983</t>
  </si>
  <si>
    <t>2713/3544</t>
  </si>
  <si>
    <t>1629/2338</t>
  </si>
  <si>
    <t>770/1166</t>
  </si>
  <si>
    <t>142/529</t>
  </si>
  <si>
    <t>341/548</t>
  </si>
  <si>
    <t>227/540</t>
  </si>
  <si>
    <t>142/501</t>
  </si>
  <si>
    <t>162/397</t>
  </si>
  <si>
    <t>83/323</t>
  </si>
  <si>
    <t>400/1731</t>
  </si>
  <si>
    <t>711/1900</t>
  </si>
  <si>
    <t>213/1834</t>
  </si>
  <si>
    <t>132/1479</t>
  </si>
  <si>
    <t>529/759</t>
  </si>
  <si>
    <t>471/1731</t>
  </si>
  <si>
    <t>761/1900</t>
  </si>
  <si>
    <t>267/1834</t>
  </si>
  <si>
    <t>153/1479</t>
  </si>
  <si>
    <t>595/759</t>
  </si>
  <si>
    <t>387/1731</t>
  </si>
  <si>
    <t>635/1900</t>
  </si>
  <si>
    <t>211/1834</t>
  </si>
  <si>
    <t>124/1479</t>
  </si>
  <si>
    <t>475/759</t>
  </si>
  <si>
    <t>458/1731</t>
  </si>
  <si>
    <t>685/1900</t>
  </si>
  <si>
    <t>279/1834</t>
  </si>
  <si>
    <t>141/1479</t>
  </si>
  <si>
    <t>572/759</t>
  </si>
  <si>
    <t>69/1720</t>
  </si>
  <si>
    <t>144/1802</t>
  </si>
  <si>
    <t>44/1779</t>
  </si>
  <si>
    <t>232/1599</t>
  </si>
  <si>
    <t>46/1720</t>
  </si>
  <si>
    <t>122/1802</t>
  </si>
  <si>
    <t>33/1779</t>
  </si>
  <si>
    <t>162/1599</t>
  </si>
  <si>
    <t>382/539</t>
  </si>
  <si>
    <t>407/548</t>
  </si>
  <si>
    <t>385/546</t>
  </si>
  <si>
    <t>383/530</t>
  </si>
  <si>
    <t>372/483</t>
  </si>
  <si>
    <t>306/410</t>
  </si>
  <si>
    <t>215/318</t>
  </si>
  <si>
    <t>376/539</t>
  </si>
  <si>
    <t>334/548</t>
  </si>
  <si>
    <t>388/546</t>
  </si>
  <si>
    <t>379/530</t>
  </si>
  <si>
    <t>374/483</t>
  </si>
  <si>
    <t>303/410</t>
  </si>
  <si>
    <t>375/539</t>
  </si>
  <si>
    <t>333/548</t>
  </si>
  <si>
    <t>387/546</t>
  </si>
  <si>
    <t>378/530</t>
  </si>
  <si>
    <t>373/483</t>
  </si>
  <si>
    <t>327/410</t>
  </si>
  <si>
    <t>262/318</t>
  </si>
  <si>
    <t>305/539</t>
  </si>
  <si>
    <t>278/548</t>
  </si>
  <si>
    <t>321/530</t>
  </si>
  <si>
    <t>299/483</t>
  </si>
  <si>
    <t>199/410</t>
  </si>
  <si>
    <t>134/318</t>
  </si>
  <si>
    <t>309/539</t>
  </si>
  <si>
    <t>292/548</t>
  </si>
  <si>
    <t>314/546</t>
  </si>
  <si>
    <t>323/530</t>
  </si>
  <si>
    <t>298/483</t>
  </si>
  <si>
    <t>308/539</t>
  </si>
  <si>
    <t>324/548</t>
  </si>
  <si>
    <t>313/546</t>
  </si>
  <si>
    <t>315/530</t>
  </si>
  <si>
    <t>301/483</t>
  </si>
  <si>
    <t>198/410</t>
  </si>
  <si>
    <t>313/539</t>
  </si>
  <si>
    <t>197/548</t>
  </si>
  <si>
    <t>327/546</t>
  </si>
  <si>
    <t>319/530</t>
  </si>
  <si>
    <t>281/483</t>
  </si>
  <si>
    <t>369/410</t>
  </si>
  <si>
    <t>372/539</t>
  </si>
  <si>
    <t>332/548</t>
  </si>
  <si>
    <t>386/546</t>
  </si>
  <si>
    <t>377/530</t>
  </si>
  <si>
    <t>367/483</t>
  </si>
  <si>
    <t>311/410</t>
  </si>
  <si>
    <t>181/539</t>
  </si>
  <si>
    <t>143/548</t>
  </si>
  <si>
    <t>178/546</t>
  </si>
  <si>
    <t>206/530</t>
  </si>
  <si>
    <t>21/120</t>
  </si>
  <si>
    <t>26/123</t>
  </si>
  <si>
    <t>11/114</t>
  </si>
  <si>
    <t>16/120</t>
  </si>
  <si>
    <t>18/122</t>
  </si>
  <si>
    <t>15/114</t>
  </si>
  <si>
    <t>16/105</t>
  </si>
  <si>
    <t>15/94</t>
  </si>
  <si>
    <t>17/78</t>
  </si>
  <si>
    <t>12/123</t>
  </si>
  <si>
    <t>26/122</t>
  </si>
  <si>
    <t>12/114</t>
  </si>
  <si>
    <t>13/123</t>
  </si>
  <si>
    <t>17/122</t>
  </si>
  <si>
    <t>23/78</t>
  </si>
  <si>
    <t>20/120</t>
  </si>
  <si>
    <t>22/122</t>
  </si>
  <si>
    <t>13/114</t>
  </si>
  <si>
    <t>14/78</t>
  </si>
  <si>
    <t>24/120</t>
  </si>
  <si>
    <t>29/123</t>
  </si>
  <si>
    <t>27/122</t>
  </si>
  <si>
    <t>17/114</t>
  </si>
  <si>
    <t>10/114</t>
  </si>
  <si>
    <t>7/120</t>
  </si>
  <si>
    <t>12/122</t>
  </si>
  <si>
    <t>5/114</t>
  </si>
  <si>
    <t>95/279</t>
  </si>
  <si>
    <t>48/288</t>
  </si>
  <si>
    <t>69/282</t>
  </si>
  <si>
    <t>202/275</t>
  </si>
  <si>
    <t>142/189</t>
  </si>
  <si>
    <t>89/139</t>
  </si>
  <si>
    <t>72/279</t>
  </si>
  <si>
    <t>36/288</t>
  </si>
  <si>
    <t>56/282</t>
  </si>
  <si>
    <t>179/275</t>
  </si>
  <si>
    <t>156/237</t>
  </si>
  <si>
    <t>113/189</t>
  </si>
  <si>
    <t>56/139</t>
  </si>
  <si>
    <t>162/279</t>
  </si>
  <si>
    <t>199/282</t>
  </si>
  <si>
    <t>194/275</t>
  </si>
  <si>
    <t>199/237</t>
  </si>
  <si>
    <t>160/189</t>
  </si>
  <si>
    <t>54/139</t>
  </si>
  <si>
    <t>160/279</t>
  </si>
  <si>
    <t>253/288</t>
  </si>
  <si>
    <t>198/282</t>
  </si>
  <si>
    <t>195/275</t>
  </si>
  <si>
    <t>198/237</t>
  </si>
  <si>
    <t>101/106</t>
  </si>
  <si>
    <t>95/105</t>
  </si>
  <si>
    <t>34/99</t>
  </si>
  <si>
    <t>186/279</t>
  </si>
  <si>
    <t>258/288</t>
  </si>
  <si>
    <t>211/282</t>
  </si>
  <si>
    <t>213/275</t>
  </si>
  <si>
    <t>218/237</t>
  </si>
  <si>
    <t>181/189</t>
  </si>
  <si>
    <t>138/279</t>
  </si>
  <si>
    <t>245/288</t>
  </si>
  <si>
    <t>175/282</t>
  </si>
  <si>
    <t>158/275</t>
  </si>
  <si>
    <t>162/237</t>
  </si>
  <si>
    <t>119/189</t>
  </si>
  <si>
    <t>24/139</t>
  </si>
  <si>
    <t>137/279</t>
  </si>
  <si>
    <t>174/282</t>
  </si>
  <si>
    <t>163/237</t>
  </si>
  <si>
    <t>139/279</t>
  </si>
  <si>
    <t>177/282</t>
  </si>
  <si>
    <t>162/275</t>
  </si>
  <si>
    <t>165/237</t>
  </si>
  <si>
    <t>122/189</t>
  </si>
  <si>
    <t>141/279</t>
  </si>
  <si>
    <t>180/282</t>
  </si>
  <si>
    <t>169/237</t>
  </si>
  <si>
    <t>131/189</t>
  </si>
  <si>
    <t>1/139</t>
  </si>
  <si>
    <t>142/279</t>
  </si>
  <si>
    <t>181/282</t>
  </si>
  <si>
    <t>168/275</t>
  </si>
  <si>
    <t>170/237</t>
  </si>
  <si>
    <t>168/279</t>
  </si>
  <si>
    <t>255/288</t>
  </si>
  <si>
    <t>203/282</t>
  </si>
  <si>
    <t>200/275</t>
  </si>
  <si>
    <t>206/237</t>
  </si>
  <si>
    <t>166/189</t>
  </si>
  <si>
    <t>190/339</t>
  </si>
  <si>
    <t>186/356</t>
  </si>
  <si>
    <t>240/350</t>
  </si>
  <si>
    <t>185/313</t>
  </si>
  <si>
    <t>148/248</t>
  </si>
  <si>
    <t>112/179</t>
  </si>
  <si>
    <t>94/118</t>
  </si>
  <si>
    <t>184/339</t>
  </si>
  <si>
    <t>162/356</t>
  </si>
  <si>
    <t>236/350</t>
  </si>
  <si>
    <t>179/313</t>
  </si>
  <si>
    <t>147/248</t>
  </si>
  <si>
    <t>111/179</t>
  </si>
  <si>
    <t>95/118</t>
  </si>
  <si>
    <t>226/339</t>
  </si>
  <si>
    <t>203/356</t>
  </si>
  <si>
    <t>272/350</t>
  </si>
  <si>
    <t>219/313</t>
  </si>
  <si>
    <t>192/248</t>
  </si>
  <si>
    <t>138/179</t>
  </si>
  <si>
    <t>120/339</t>
  </si>
  <si>
    <t>155/356</t>
  </si>
  <si>
    <t>160/350</t>
  </si>
  <si>
    <t>136/313</t>
  </si>
  <si>
    <t>98/248</t>
  </si>
  <si>
    <t>66/179</t>
  </si>
  <si>
    <t>70/118</t>
  </si>
  <si>
    <t>119/339</t>
  </si>
  <si>
    <t>154/356</t>
  </si>
  <si>
    <t>159/350</t>
  </si>
  <si>
    <t>135/313</t>
  </si>
  <si>
    <t>84/248</t>
  </si>
  <si>
    <t>131/339</t>
  </si>
  <si>
    <t>156/356</t>
  </si>
  <si>
    <t>165/350</t>
  </si>
  <si>
    <t>145/313</t>
  </si>
  <si>
    <t>93/248</t>
  </si>
  <si>
    <t>63/179</t>
  </si>
  <si>
    <t>71/118</t>
  </si>
  <si>
    <t>207/339</t>
  </si>
  <si>
    <t>198/356</t>
  </si>
  <si>
    <t>252/350</t>
  </si>
  <si>
    <t>191/313</t>
  </si>
  <si>
    <t>154/248</t>
  </si>
  <si>
    <t>117/179</t>
  </si>
  <si>
    <t>102/118</t>
  </si>
  <si>
    <t>237/254</t>
  </si>
  <si>
    <t>113/254</t>
  </si>
  <si>
    <t>220/235</t>
  </si>
  <si>
    <t>176/189</t>
  </si>
  <si>
    <t>233/254</t>
  </si>
  <si>
    <t>112/254</t>
  </si>
  <si>
    <t>215/235</t>
  </si>
  <si>
    <t>174/189</t>
  </si>
  <si>
    <t>179/244</t>
  </si>
  <si>
    <t>231/254</t>
  </si>
  <si>
    <t>111/254</t>
  </si>
  <si>
    <t>214/235</t>
  </si>
  <si>
    <t>173/189</t>
  </si>
  <si>
    <t>176/244</t>
  </si>
  <si>
    <t>235/254</t>
  </si>
  <si>
    <t>109/254</t>
  </si>
  <si>
    <t>213/235</t>
  </si>
  <si>
    <t>172/189</t>
  </si>
  <si>
    <t>104/117</t>
  </si>
  <si>
    <t>178/244</t>
  </si>
  <si>
    <t>236/254</t>
  </si>
  <si>
    <t>110/254</t>
  </si>
  <si>
    <t>216/235</t>
  </si>
  <si>
    <t>175/189</t>
  </si>
  <si>
    <t>302/444</t>
  </si>
  <si>
    <t>444/471</t>
  </si>
  <si>
    <t>310/460</t>
  </si>
  <si>
    <t>408/408</t>
  </si>
  <si>
    <t>257/289</t>
  </si>
  <si>
    <t>188/244</t>
  </si>
  <si>
    <t>243/254</t>
  </si>
  <si>
    <t>123/254</t>
  </si>
  <si>
    <t>224/235</t>
  </si>
  <si>
    <t>182/189</t>
  </si>
  <si>
    <t>115/117</t>
  </si>
  <si>
    <t>152/244</t>
  </si>
  <si>
    <t>225/254</t>
  </si>
  <si>
    <t>99/254</t>
  </si>
  <si>
    <t>157/189</t>
  </si>
  <si>
    <t>151/244</t>
  </si>
  <si>
    <t>224/254</t>
  </si>
  <si>
    <t>98/254</t>
  </si>
  <si>
    <t>200/235</t>
  </si>
  <si>
    <t>155/189</t>
  </si>
  <si>
    <t>150/244</t>
  </si>
  <si>
    <t>226/254</t>
  </si>
  <si>
    <t>97/254</t>
  </si>
  <si>
    <t>199/235</t>
  </si>
  <si>
    <t>139/244</t>
  </si>
  <si>
    <t>229/254</t>
  </si>
  <si>
    <t>100/254</t>
  </si>
  <si>
    <t>204/235</t>
  </si>
  <si>
    <t>156/189</t>
  </si>
  <si>
    <t>158/244</t>
  </si>
  <si>
    <t>228/254</t>
  </si>
  <si>
    <t>103/254</t>
  </si>
  <si>
    <t>205/235</t>
  </si>
  <si>
    <t>159/189</t>
  </si>
  <si>
    <t>296/444</t>
  </si>
  <si>
    <t>435/471</t>
  </si>
  <si>
    <t>301/460</t>
  </si>
  <si>
    <t>407/408</t>
  </si>
  <si>
    <t>252/289</t>
  </si>
  <si>
    <t>196/196</t>
  </si>
  <si>
    <t>184/244</t>
  </si>
  <si>
    <t>239/254</t>
  </si>
  <si>
    <t>115/254</t>
  </si>
  <si>
    <t>222/235</t>
  </si>
  <si>
    <t>178/189</t>
  </si>
  <si>
    <t>Amundi Fds CPR Global Lifestyles A2U-C</t>
  </si>
  <si>
    <t>223/373</t>
  </si>
  <si>
    <t>241/382</t>
  </si>
  <si>
    <t>236/377</t>
  </si>
  <si>
    <t>137/366</t>
  </si>
  <si>
    <t>76/294</t>
  </si>
  <si>
    <t>87/233</t>
  </si>
  <si>
    <t>Amundi Fds CPR Global Lifestyles AE-C</t>
  </si>
  <si>
    <t>220/373</t>
  </si>
  <si>
    <t>230/382</t>
  </si>
  <si>
    <t>235/377</t>
  </si>
  <si>
    <t>128/366</t>
  </si>
  <si>
    <t>72/294</t>
  </si>
  <si>
    <t>85/233</t>
  </si>
  <si>
    <t>15/160</t>
  </si>
  <si>
    <t>Amundi Fds CPR Global Lifestyles AE-D</t>
  </si>
  <si>
    <t>222/373</t>
  </si>
  <si>
    <t>224/382</t>
  </si>
  <si>
    <t>234/377</t>
  </si>
  <si>
    <t>129/366</t>
  </si>
  <si>
    <t>71/294</t>
  </si>
  <si>
    <t>86/233</t>
  </si>
  <si>
    <t>Amundi Fds CPR Global Lifestyles AK-C</t>
  </si>
  <si>
    <t>226/373</t>
  </si>
  <si>
    <t>225/382</t>
  </si>
  <si>
    <t>242/377</t>
  </si>
  <si>
    <t>133/366</t>
  </si>
  <si>
    <t>73/294</t>
  </si>
  <si>
    <t>Amundi Fds CPR Global Lifestyles AU-C</t>
  </si>
  <si>
    <t>217/373</t>
  </si>
  <si>
    <t>238/382</t>
  </si>
  <si>
    <t>232/377</t>
  </si>
  <si>
    <t>127/366</t>
  </si>
  <si>
    <t>69/294</t>
  </si>
  <si>
    <t>12/160</t>
  </si>
  <si>
    <t>Amundi Fds CPR Global Lifestyles AU-D</t>
  </si>
  <si>
    <t>218/373</t>
  </si>
  <si>
    <t>240/382</t>
  </si>
  <si>
    <t>233/377</t>
  </si>
  <si>
    <t>126/366</t>
  </si>
  <si>
    <t>70/294</t>
  </si>
  <si>
    <t>Amundi Fds CPR Global Lifestyles FHE-C</t>
  </si>
  <si>
    <t>126/444</t>
  </si>
  <si>
    <t>239/471</t>
  </si>
  <si>
    <t>75/460</t>
  </si>
  <si>
    <t>110/408</t>
  </si>
  <si>
    <t>74/196</t>
  </si>
  <si>
    <t>Amundi Fds CPR Global Lifestyles FU-C</t>
  </si>
  <si>
    <t>250/373</t>
  </si>
  <si>
    <t>260/382</t>
  </si>
  <si>
    <t>261/377</t>
  </si>
  <si>
    <t>172/366</t>
  </si>
  <si>
    <t>95/294</t>
  </si>
  <si>
    <t>118/233</t>
  </si>
  <si>
    <t>39/160</t>
  </si>
  <si>
    <t>Amundi Fds CPR Global Lifestyles IE-C</t>
  </si>
  <si>
    <t>213/373</t>
  </si>
  <si>
    <t>210/382</t>
  </si>
  <si>
    <t>243/377</t>
  </si>
  <si>
    <t>111/366</t>
  </si>
  <si>
    <t>49/294</t>
  </si>
  <si>
    <t>Amundi Fds CPR Global Lifestyles IE-D</t>
  </si>
  <si>
    <t>201/373</t>
  </si>
  <si>
    <t>219/382</t>
  </si>
  <si>
    <t>222/377</t>
  </si>
  <si>
    <t>103/366</t>
  </si>
  <si>
    <t>Amundi Fds CPR Global Lifestyles IU-C</t>
  </si>
  <si>
    <t>Amundi Fds CPR Global Lifestyles MU-C</t>
  </si>
  <si>
    <t>200/373</t>
  </si>
  <si>
    <t>214/382</t>
  </si>
  <si>
    <t>220/377</t>
  </si>
  <si>
    <t>102/366</t>
  </si>
  <si>
    <t>46/294</t>
  </si>
  <si>
    <t>62/233</t>
  </si>
  <si>
    <t>Amundi Fds CPR Global Lifestyles RHG-C</t>
  </si>
  <si>
    <t>148/444</t>
  </si>
  <si>
    <t>298/471</t>
  </si>
  <si>
    <t>144/460</t>
  </si>
  <si>
    <t>145/408</t>
  </si>
  <si>
    <t>Amundi Fds CPR Global Lifestyles RU-C</t>
  </si>
  <si>
    <t>Amundi Fds CPR Global Lifestyles SHE-C</t>
  </si>
  <si>
    <t>112/444</t>
  </si>
  <si>
    <t>232/471</t>
  </si>
  <si>
    <t>95/408</t>
  </si>
  <si>
    <t>111/289</t>
  </si>
  <si>
    <t>Amundi Fds CPR Global Lifestyles SU-C</t>
  </si>
  <si>
    <t>234/373</t>
  </si>
  <si>
    <t>247/382</t>
  </si>
  <si>
    <t>244/377</t>
  </si>
  <si>
    <t>147/366</t>
  </si>
  <si>
    <t>82/294</t>
  </si>
  <si>
    <t>94/233</t>
  </si>
  <si>
    <t>131/267</t>
  </si>
  <si>
    <t>216/269</t>
  </si>
  <si>
    <t>234/263</t>
  </si>
  <si>
    <t>35/234</t>
  </si>
  <si>
    <t>57/196</t>
  </si>
  <si>
    <t>49/146</t>
  </si>
  <si>
    <t>115/267</t>
  </si>
  <si>
    <t>215/269</t>
  </si>
  <si>
    <t>73/269</t>
  </si>
  <si>
    <t>231/263</t>
  </si>
  <si>
    <t>32/234</t>
  </si>
  <si>
    <t>55/196</t>
  </si>
  <si>
    <t>118/267</t>
  </si>
  <si>
    <t>217/269</t>
  </si>
  <si>
    <t>76/269</t>
  </si>
  <si>
    <t>232/263</t>
  </si>
  <si>
    <t>34/234</t>
  </si>
  <si>
    <t>111/267</t>
  </si>
  <si>
    <t>218/269</t>
  </si>
  <si>
    <t>75/269</t>
  </si>
  <si>
    <t>233/263</t>
  </si>
  <si>
    <t>33/234</t>
  </si>
  <si>
    <t>119/267</t>
  </si>
  <si>
    <t>219/269</t>
  </si>
  <si>
    <t>74/269</t>
  </si>
  <si>
    <t>30/234</t>
  </si>
  <si>
    <t>53/196</t>
  </si>
  <si>
    <t>48/146</t>
  </si>
  <si>
    <t>117/267</t>
  </si>
  <si>
    <t>214/269</t>
  </si>
  <si>
    <t>72/269</t>
  </si>
  <si>
    <t>229/263</t>
  </si>
  <si>
    <t>31/234</t>
  </si>
  <si>
    <t>54/196</t>
  </si>
  <si>
    <t>47/146</t>
  </si>
  <si>
    <t>377/444</t>
  </si>
  <si>
    <t>389/471</t>
  </si>
  <si>
    <t>341/460</t>
  </si>
  <si>
    <t>343/408</t>
  </si>
  <si>
    <t>237/289</t>
  </si>
  <si>
    <t>147/267</t>
  </si>
  <si>
    <t>86/269</t>
  </si>
  <si>
    <t>238/263</t>
  </si>
  <si>
    <t>43/234</t>
  </si>
  <si>
    <t>72/196</t>
  </si>
  <si>
    <t>95/267</t>
  </si>
  <si>
    <t>209/269</t>
  </si>
  <si>
    <t>68/269</t>
  </si>
  <si>
    <t>222/263</t>
  </si>
  <si>
    <t>27/234</t>
  </si>
  <si>
    <t>33/196</t>
  </si>
  <si>
    <t>36/146</t>
  </si>
  <si>
    <t>94/267</t>
  </si>
  <si>
    <t>67/269</t>
  </si>
  <si>
    <t>221/263</t>
  </si>
  <si>
    <t>28/234</t>
  </si>
  <si>
    <t>37/196</t>
  </si>
  <si>
    <t>360/444</t>
  </si>
  <si>
    <t>370/471</t>
  </si>
  <si>
    <t>320/460</t>
  </si>
  <si>
    <t>371/444</t>
  </si>
  <si>
    <t>384/471</t>
  </si>
  <si>
    <t>329/460</t>
  </si>
  <si>
    <t>336/408</t>
  </si>
  <si>
    <t>232/289</t>
  </si>
  <si>
    <t>134/196</t>
  </si>
  <si>
    <t>130/267</t>
  </si>
  <si>
    <t>220/269</t>
  </si>
  <si>
    <t>235/263</t>
  </si>
  <si>
    <t>37/234</t>
  </si>
  <si>
    <t>67/196</t>
  </si>
  <si>
    <t>52/146</t>
  </si>
  <si>
    <t>Amundi Fds Credit Unconstrained A3E D</t>
  </si>
  <si>
    <t>LU1622150602</t>
  </si>
  <si>
    <t>Amundi Fds Credit Unconstrained AE C</t>
  </si>
  <si>
    <t>LU1622150198</t>
  </si>
  <si>
    <t>Amundi Fds Credit Unconstrained AHU C</t>
  </si>
  <si>
    <t>LU1622150941</t>
  </si>
  <si>
    <t>Amundi Fds Credit Unconstrained AU C</t>
  </si>
  <si>
    <t>LU1622150867</t>
  </si>
  <si>
    <t>Amundi Fds Credit Unconstrained FE C</t>
  </si>
  <si>
    <t>LU1622151246</t>
  </si>
  <si>
    <t>Amundi Fds Credit Unconstrained IE C</t>
  </si>
  <si>
    <t>LU1622150271</t>
  </si>
  <si>
    <t>Amundi Fds Credit Unconstrained IE0 C</t>
  </si>
  <si>
    <t>LU1622151089</t>
  </si>
  <si>
    <t>Amundi Fds Credit Unconstrained IHG C</t>
  </si>
  <si>
    <t>LU1622150438</t>
  </si>
  <si>
    <t>Amundi Fds Credit Unconstrained ME C</t>
  </si>
  <si>
    <t>LU1622151592</t>
  </si>
  <si>
    <t>Amundi Fds Credit Unconstrained OE C</t>
  </si>
  <si>
    <t>LU1622150511</t>
  </si>
  <si>
    <t>Amundi Fds Credit Unconstrained RE C</t>
  </si>
  <si>
    <t>LU1622151162</t>
  </si>
  <si>
    <t>Amundi Fds Credit Unconstrained SE C</t>
  </si>
  <si>
    <t>LU1622151329</t>
  </si>
  <si>
    <t>74/80</t>
  </si>
  <si>
    <t>61/80</t>
  </si>
  <si>
    <t>56/65</t>
  </si>
  <si>
    <t>38/44</t>
  </si>
  <si>
    <t>58/79</t>
  </si>
  <si>
    <t>73/80</t>
  </si>
  <si>
    <t>62/80</t>
  </si>
  <si>
    <t>55/65</t>
  </si>
  <si>
    <t>52/79</t>
  </si>
  <si>
    <t>71/80</t>
  </si>
  <si>
    <t>58/80</t>
  </si>
  <si>
    <t>55/78</t>
  </si>
  <si>
    <t>54/65</t>
  </si>
  <si>
    <t>36/44</t>
  </si>
  <si>
    <t>53/79</t>
  </si>
  <si>
    <t>72/80</t>
  </si>
  <si>
    <t>57/80</t>
  </si>
  <si>
    <t>53/65</t>
  </si>
  <si>
    <t>37/44</t>
  </si>
  <si>
    <t>78/80</t>
  </si>
  <si>
    <t>68/80</t>
  </si>
  <si>
    <t>61/65</t>
  </si>
  <si>
    <t>41/44</t>
  </si>
  <si>
    <t>48/79</t>
  </si>
  <si>
    <t>52/78</t>
  </si>
  <si>
    <t>50/65</t>
  </si>
  <si>
    <t>34/44</t>
  </si>
  <si>
    <t>10/22</t>
  </si>
  <si>
    <t>60/79</t>
  </si>
  <si>
    <t>76/80</t>
  </si>
  <si>
    <t>66/80</t>
  </si>
  <si>
    <t>59/65</t>
  </si>
  <si>
    <t>562/865</t>
  </si>
  <si>
    <t>282/883</t>
  </si>
  <si>
    <t>464/878</t>
  </si>
  <si>
    <t>541/845</t>
  </si>
  <si>
    <t>485/651</t>
  </si>
  <si>
    <t>354/498</t>
  </si>
  <si>
    <t>320/380</t>
  </si>
  <si>
    <t>561/865</t>
  </si>
  <si>
    <t>276/883</t>
  </si>
  <si>
    <t>468/878</t>
  </si>
  <si>
    <t>543/845</t>
  </si>
  <si>
    <t>484/651</t>
  </si>
  <si>
    <t>548/865</t>
  </si>
  <si>
    <t>263/883</t>
  </si>
  <si>
    <t>460/878</t>
  </si>
  <si>
    <t>527/845</t>
  </si>
  <si>
    <t>467/651</t>
  </si>
  <si>
    <t>348/498</t>
  </si>
  <si>
    <t>545/865</t>
  </si>
  <si>
    <t>267/883</t>
  </si>
  <si>
    <t>524/845</t>
  </si>
  <si>
    <t>469/651</t>
  </si>
  <si>
    <t>349/498</t>
  </si>
  <si>
    <t>318/380</t>
  </si>
  <si>
    <t>550/865</t>
  </si>
  <si>
    <t>279/883</t>
  </si>
  <si>
    <t>467/878</t>
  </si>
  <si>
    <t>529/845</t>
  </si>
  <si>
    <t>476/651</t>
  </si>
  <si>
    <t>352/498</t>
  </si>
  <si>
    <t>319/380</t>
  </si>
  <si>
    <t>610/865</t>
  </si>
  <si>
    <t>315/883</t>
  </si>
  <si>
    <t>514/878</t>
  </si>
  <si>
    <t>624/845</t>
  </si>
  <si>
    <t>542/651</t>
  </si>
  <si>
    <t>425/498</t>
  </si>
  <si>
    <t>498/865</t>
  </si>
  <si>
    <t>231/883</t>
  </si>
  <si>
    <t>405/878</t>
  </si>
  <si>
    <t>459/845</t>
  </si>
  <si>
    <t>378/651</t>
  </si>
  <si>
    <t>254/498</t>
  </si>
  <si>
    <t>264/380</t>
  </si>
  <si>
    <t>496/865</t>
  </si>
  <si>
    <t>254/883</t>
  </si>
  <si>
    <t>386/878</t>
  </si>
  <si>
    <t>494/845</t>
  </si>
  <si>
    <t>395/651</t>
  </si>
  <si>
    <t>264/498</t>
  </si>
  <si>
    <t>267/380</t>
  </si>
  <si>
    <t>68/299</t>
  </si>
  <si>
    <t>189/276</t>
  </si>
  <si>
    <t>571/865</t>
  </si>
  <si>
    <t>284/883</t>
  </si>
  <si>
    <t>483/878</t>
  </si>
  <si>
    <t>555/845</t>
  </si>
  <si>
    <t>496/651</t>
  </si>
  <si>
    <t>377/498</t>
  </si>
  <si>
    <t>331/380</t>
  </si>
  <si>
    <t>512/865</t>
  </si>
  <si>
    <t>367/883</t>
  </si>
  <si>
    <t>490/878</t>
  </si>
  <si>
    <t>567/845</t>
  </si>
  <si>
    <t>63/100</t>
  </si>
  <si>
    <t>69/91</t>
  </si>
  <si>
    <t>25/43</t>
  </si>
  <si>
    <t>33/96</t>
  </si>
  <si>
    <t>61/100</t>
  </si>
  <si>
    <t>84/98</t>
  </si>
  <si>
    <t>66/91</t>
  </si>
  <si>
    <t>51/77</t>
  </si>
  <si>
    <t>62/100</t>
  </si>
  <si>
    <t>23/94</t>
  </si>
  <si>
    <t>68/91</t>
  </si>
  <si>
    <t>23/43</t>
  </si>
  <si>
    <t>82/98</t>
  </si>
  <si>
    <t>24/94</t>
  </si>
  <si>
    <t>67/91</t>
  </si>
  <si>
    <t>49/77</t>
  </si>
  <si>
    <t>86/91</t>
  </si>
  <si>
    <t>71/98</t>
  </si>
  <si>
    <t>57/91</t>
  </si>
  <si>
    <t>38/77</t>
  </si>
  <si>
    <t>13/43</t>
  </si>
  <si>
    <t>58/100</t>
  </si>
  <si>
    <t>20/94</t>
  </si>
  <si>
    <t>40/77</t>
  </si>
  <si>
    <t>59/100</t>
  </si>
  <si>
    <t>61/91</t>
  </si>
  <si>
    <t>42/77</t>
  </si>
  <si>
    <t>14/43</t>
  </si>
  <si>
    <t>37/96</t>
  </si>
  <si>
    <t>64/100</t>
  </si>
  <si>
    <t>27/94</t>
  </si>
  <si>
    <t>75/91</t>
  </si>
  <si>
    <t>205/263</t>
  </si>
  <si>
    <t>133/259</t>
  </si>
  <si>
    <t>190/218</t>
  </si>
  <si>
    <t>2256/2377</t>
  </si>
  <si>
    <t>2187/2457</t>
  </si>
  <si>
    <t>1889/2422</t>
  </si>
  <si>
    <t>2225/2253</t>
  </si>
  <si>
    <t>1565/1747</t>
  </si>
  <si>
    <t>180/246</t>
  </si>
  <si>
    <t>211/263</t>
  </si>
  <si>
    <t>141/259</t>
  </si>
  <si>
    <t>199/218</t>
  </si>
  <si>
    <t>2304/2377</t>
  </si>
  <si>
    <t>2229/2457</t>
  </si>
  <si>
    <t>1994/2422</t>
  </si>
  <si>
    <t>2237/2253</t>
  </si>
  <si>
    <t>1671/1747</t>
  </si>
  <si>
    <t>204/263</t>
  </si>
  <si>
    <t>128/259</t>
  </si>
  <si>
    <t>181/218</t>
  </si>
  <si>
    <t>2217/2377</t>
  </si>
  <si>
    <t>2155/2457</t>
  </si>
  <si>
    <t>1805/2422</t>
  </si>
  <si>
    <t>2206/2253</t>
  </si>
  <si>
    <t>1434/1747</t>
  </si>
  <si>
    <t>169/246</t>
  </si>
  <si>
    <t>203/263</t>
  </si>
  <si>
    <t>129/259</t>
  </si>
  <si>
    <t>183/218</t>
  </si>
  <si>
    <t>207/263</t>
  </si>
  <si>
    <t>134/259</t>
  </si>
  <si>
    <t>194/218</t>
  </si>
  <si>
    <t>2277/2377</t>
  </si>
  <si>
    <t>2193/2457</t>
  </si>
  <si>
    <t>1942/2422</t>
  </si>
  <si>
    <t>2228/2253</t>
  </si>
  <si>
    <t>1605/1747</t>
  </si>
  <si>
    <t>1555/2377</t>
  </si>
  <si>
    <t>1995/2457</t>
  </si>
  <si>
    <t>1413/2422</t>
  </si>
  <si>
    <t>1955/2253</t>
  </si>
  <si>
    <t>513/1747</t>
  </si>
  <si>
    <t>324/1242</t>
  </si>
  <si>
    <t>136/697</t>
  </si>
  <si>
    <t>1558/2377</t>
  </si>
  <si>
    <t>2004/2457</t>
  </si>
  <si>
    <t>1419/2422</t>
  </si>
  <si>
    <t>1946/2253</t>
  </si>
  <si>
    <t>677/1747</t>
  </si>
  <si>
    <t>375/1242</t>
  </si>
  <si>
    <t>1560/2377</t>
  </si>
  <si>
    <t>1998/2457</t>
  </si>
  <si>
    <t>1421/2422</t>
  </si>
  <si>
    <t>1942/2253</t>
  </si>
  <si>
    <t>648/1747</t>
  </si>
  <si>
    <t>365/1242</t>
  </si>
  <si>
    <t>186/263</t>
  </si>
  <si>
    <t>97/259</t>
  </si>
  <si>
    <t>130/218</t>
  </si>
  <si>
    <t>1563/2377</t>
  </si>
  <si>
    <t>2008/2457</t>
  </si>
  <si>
    <t>1422/2422</t>
  </si>
  <si>
    <t>1945/2253</t>
  </si>
  <si>
    <t>640/1747</t>
  </si>
  <si>
    <t>359/1242</t>
  </si>
  <si>
    <t>144/697</t>
  </si>
  <si>
    <t>1565/2377</t>
  </si>
  <si>
    <t>2010/2457</t>
  </si>
  <si>
    <t>1425/2422</t>
  </si>
  <si>
    <t>1947/2253</t>
  </si>
  <si>
    <t>642/1747</t>
  </si>
  <si>
    <t>362/1242</t>
  </si>
  <si>
    <t>1701/2377</t>
  </si>
  <si>
    <t>2077/2457</t>
  </si>
  <si>
    <t>1572/2422</t>
  </si>
  <si>
    <t>2058/2253</t>
  </si>
  <si>
    <t>1164/1747</t>
  </si>
  <si>
    <t>754/1242</t>
  </si>
  <si>
    <t>Amundi Fds Eq Emerging Focus I4-C</t>
  </si>
  <si>
    <t>1313/2377</t>
  </si>
  <si>
    <t>1851/2457</t>
  </si>
  <si>
    <t>1219/2422</t>
  </si>
  <si>
    <t>1742/2253</t>
  </si>
  <si>
    <t>141/1747</t>
  </si>
  <si>
    <t>95/1242</t>
  </si>
  <si>
    <t>LU0729060128</t>
  </si>
  <si>
    <t>87/259</t>
  </si>
  <si>
    <t>1411/2377</t>
  </si>
  <si>
    <t>1910/2457</t>
  </si>
  <si>
    <t>1283/2422</t>
  </si>
  <si>
    <t>1810/2253</t>
  </si>
  <si>
    <t>373/1747</t>
  </si>
  <si>
    <t>236/1242</t>
  </si>
  <si>
    <t>87/697</t>
  </si>
  <si>
    <t>1414/2377</t>
  </si>
  <si>
    <t>1864/2457</t>
  </si>
  <si>
    <t>1286/2422</t>
  </si>
  <si>
    <t>1437/2377</t>
  </si>
  <si>
    <t>1940/2457</t>
  </si>
  <si>
    <t>1313/2422</t>
  </si>
  <si>
    <t>1840/2253</t>
  </si>
  <si>
    <t>414/1747</t>
  </si>
  <si>
    <t>243/1242</t>
  </si>
  <si>
    <t>81/697</t>
  </si>
  <si>
    <t>1707/2457</t>
  </si>
  <si>
    <t>1149/2422</t>
  </si>
  <si>
    <t>219/263</t>
  </si>
  <si>
    <t>157/259</t>
  </si>
  <si>
    <t>178/218</t>
  </si>
  <si>
    <t>1602/2377</t>
  </si>
  <si>
    <t>2026/2457</t>
  </si>
  <si>
    <t>1475/2422</t>
  </si>
  <si>
    <t>1984/2253</t>
  </si>
  <si>
    <t>832/1747</t>
  </si>
  <si>
    <t>492/1242</t>
  </si>
  <si>
    <t>1603/2377</t>
  </si>
  <si>
    <t>2024/2457</t>
  </si>
  <si>
    <t>1472/2422</t>
  </si>
  <si>
    <t>1983/2253</t>
  </si>
  <si>
    <t>822/1747</t>
  </si>
  <si>
    <t>477/1242</t>
  </si>
  <si>
    <t>191/697</t>
  </si>
  <si>
    <t>1340/2377</t>
  </si>
  <si>
    <t>1870/2457</t>
  </si>
  <si>
    <t>1250/2422</t>
  </si>
  <si>
    <t>1739/2377</t>
  </si>
  <si>
    <t>1724/2457</t>
  </si>
  <si>
    <t>1770/2422</t>
  </si>
  <si>
    <t>1536/2253</t>
  </si>
  <si>
    <t>941/1747</t>
  </si>
  <si>
    <t>753/1242</t>
  </si>
  <si>
    <t>450/697</t>
  </si>
  <si>
    <t>1753/2377</t>
  </si>
  <si>
    <t>1719/2457</t>
  </si>
  <si>
    <t>1779/2422</t>
  </si>
  <si>
    <t>1528/2253</t>
  </si>
  <si>
    <t>996/1747</t>
  </si>
  <si>
    <t>781/1242</t>
  </si>
  <si>
    <t>1748/2377</t>
  </si>
  <si>
    <t>1710/2457</t>
  </si>
  <si>
    <t>1774/2422</t>
  </si>
  <si>
    <t>1524/2253</t>
  </si>
  <si>
    <t>990/1747</t>
  </si>
  <si>
    <t>789/1242</t>
  </si>
  <si>
    <t>76/246</t>
  </si>
  <si>
    <t>98/263</t>
  </si>
  <si>
    <t>39/259</t>
  </si>
  <si>
    <t>73/218</t>
  </si>
  <si>
    <t>1751/2377</t>
  </si>
  <si>
    <t>1715/2457</t>
  </si>
  <si>
    <t>1766/2422</t>
  </si>
  <si>
    <t>1523/2253</t>
  </si>
  <si>
    <t>964/1747</t>
  </si>
  <si>
    <t>756/1242</t>
  </si>
  <si>
    <t>451/697</t>
  </si>
  <si>
    <t>1746/2377</t>
  </si>
  <si>
    <t>1721/2457</t>
  </si>
  <si>
    <t>1772/2422</t>
  </si>
  <si>
    <t>1521/2253</t>
  </si>
  <si>
    <t>933/1747</t>
  </si>
  <si>
    <t>747/1242</t>
  </si>
  <si>
    <t>1936/2377</t>
  </si>
  <si>
    <t>1861/2457</t>
  </si>
  <si>
    <t>1903/2422</t>
  </si>
  <si>
    <t>1752/2253</t>
  </si>
  <si>
    <t>1309/1747</t>
  </si>
  <si>
    <t>1037/1242</t>
  </si>
  <si>
    <t>1630/2377</t>
  </si>
  <si>
    <t>1653/2457</t>
  </si>
  <si>
    <t>1666/2422</t>
  </si>
  <si>
    <t>1406/2253</t>
  </si>
  <si>
    <t>651/1747</t>
  </si>
  <si>
    <t>1629/2377</t>
  </si>
  <si>
    <t>1654/2457</t>
  </si>
  <si>
    <t>1667/2422</t>
  </si>
  <si>
    <t>1413/2253</t>
  </si>
  <si>
    <t>625/1747</t>
  </si>
  <si>
    <t>501/1242</t>
  </si>
  <si>
    <t>319/697</t>
  </si>
  <si>
    <t>1635/2377</t>
  </si>
  <si>
    <t>1667/2457</t>
  </si>
  <si>
    <t>1678/2422</t>
  </si>
  <si>
    <t>1416/2253</t>
  </si>
  <si>
    <t>628/1747</t>
  </si>
  <si>
    <t>508/1242</t>
  </si>
  <si>
    <t>1652/2377</t>
  </si>
  <si>
    <t>1672/2457</t>
  </si>
  <si>
    <t>1687/2422</t>
  </si>
  <si>
    <t>1431/2253</t>
  </si>
  <si>
    <t>674/1747</t>
  </si>
  <si>
    <t>539/1242</t>
  </si>
  <si>
    <t>344/697</t>
  </si>
  <si>
    <t>1649/2377</t>
  </si>
  <si>
    <t>1670/2457</t>
  </si>
  <si>
    <t>1685/2422</t>
  </si>
  <si>
    <t>1429/2253</t>
  </si>
  <si>
    <t>668/1747</t>
  </si>
  <si>
    <t>1813/2377</t>
  </si>
  <si>
    <t>1763/2457</t>
  </si>
  <si>
    <t>1815/2422</t>
  </si>
  <si>
    <t>1595/2253</t>
  </si>
  <si>
    <t>1104/1747</t>
  </si>
  <si>
    <t>882/1242</t>
  </si>
  <si>
    <t>492/697</t>
  </si>
  <si>
    <t>Amundi Fds Eq Euro Concentrated AE-C</t>
  </si>
  <si>
    <t>859/1145</t>
  </si>
  <si>
    <t>501/1161</t>
  </si>
  <si>
    <t>572/1155</t>
  </si>
  <si>
    <t>883/1114</t>
  </si>
  <si>
    <t>767/929</t>
  </si>
  <si>
    <t>617/795</t>
  </si>
  <si>
    <t>485/648</t>
  </si>
  <si>
    <t>Amundi Fds Eq Euro Concentrated AE-D</t>
  </si>
  <si>
    <t>858/1145</t>
  </si>
  <si>
    <t>502/1161</t>
  </si>
  <si>
    <t>573/1155</t>
  </si>
  <si>
    <t>884/1114</t>
  </si>
  <si>
    <t>768/929</t>
  </si>
  <si>
    <t>618/795</t>
  </si>
  <si>
    <t>482/648</t>
  </si>
  <si>
    <t>Amundi Fds Eq Euro Concentrated FE-C</t>
  </si>
  <si>
    <t>981/1145</t>
  </si>
  <si>
    <t>581/1161</t>
  </si>
  <si>
    <t>729/1155</t>
  </si>
  <si>
    <t>961/1114</t>
  </si>
  <si>
    <t>863/929</t>
  </si>
  <si>
    <t>730/795</t>
  </si>
  <si>
    <t>Amundi Fds Eq Euro Concentrated IE-C</t>
  </si>
  <si>
    <t>764/1145</t>
  </si>
  <si>
    <t>458/1161</t>
  </si>
  <si>
    <t>497/1155</t>
  </si>
  <si>
    <t>827/1114</t>
  </si>
  <si>
    <t>606/929</t>
  </si>
  <si>
    <t>493/795</t>
  </si>
  <si>
    <t>397/648</t>
  </si>
  <si>
    <t>Amundi Fds Eq Euro Concentrated ME-C</t>
  </si>
  <si>
    <t>766/1145</t>
  </si>
  <si>
    <t>459/1161</t>
  </si>
  <si>
    <t>498/1155</t>
  </si>
  <si>
    <t>828/1114</t>
  </si>
  <si>
    <t>604/929</t>
  </si>
  <si>
    <t>485/795</t>
  </si>
  <si>
    <t>Amundi Fds Eq Euro Concentrated SE-C</t>
  </si>
  <si>
    <t>902/1145</t>
  </si>
  <si>
    <t>518/1161</t>
  </si>
  <si>
    <t>602/1155</t>
  </si>
  <si>
    <t>919/1114</t>
  </si>
  <si>
    <t>797/929</t>
  </si>
  <si>
    <t>652/795</t>
  </si>
  <si>
    <t>371/1145</t>
  </si>
  <si>
    <t>1013/1161</t>
  </si>
  <si>
    <t>490/1155</t>
  </si>
  <si>
    <t>321/1145</t>
  </si>
  <si>
    <t>1018/1161</t>
  </si>
  <si>
    <t>463/1155</t>
  </si>
  <si>
    <t>785/1114</t>
  </si>
  <si>
    <t>142/929</t>
  </si>
  <si>
    <t>249/795</t>
  </si>
  <si>
    <t>304/1145</t>
  </si>
  <si>
    <t>1076/1161</t>
  </si>
  <si>
    <t>446/1155</t>
  </si>
  <si>
    <t>303/1145</t>
  </si>
  <si>
    <t>1075/1161</t>
  </si>
  <si>
    <t>444/1155</t>
  </si>
  <si>
    <t>835/1114</t>
  </si>
  <si>
    <t>42/82</t>
  </si>
  <si>
    <t>41/87</t>
  </si>
  <si>
    <t>53/80</t>
  </si>
  <si>
    <t>30/63</t>
  </si>
  <si>
    <t>15/39</t>
  </si>
  <si>
    <t>55/80</t>
  </si>
  <si>
    <t>31/63</t>
  </si>
  <si>
    <t>40/87</t>
  </si>
  <si>
    <t>45/87</t>
  </si>
  <si>
    <t>42/63</t>
  </si>
  <si>
    <t>24/39</t>
  </si>
  <si>
    <t>34/87</t>
  </si>
  <si>
    <t>40/80</t>
  </si>
  <si>
    <t>24/84</t>
  </si>
  <si>
    <t>39/80</t>
  </si>
  <si>
    <t>20/63</t>
  </si>
  <si>
    <t>44/87</t>
  </si>
  <si>
    <t>37/63</t>
  </si>
  <si>
    <t>18/39</t>
  </si>
  <si>
    <t>1421/1877</t>
  </si>
  <si>
    <t>819/1956</t>
  </si>
  <si>
    <t>1059/1915</t>
  </si>
  <si>
    <t>1229/1770</t>
  </si>
  <si>
    <t>723/1112</t>
  </si>
  <si>
    <t>703/906</t>
  </si>
  <si>
    <t>1423/1877</t>
  </si>
  <si>
    <t>820/1956</t>
  </si>
  <si>
    <t>1060/1915</t>
  </si>
  <si>
    <t>1232/1770</t>
  </si>
  <si>
    <t>733/1112</t>
  </si>
  <si>
    <t>711/906</t>
  </si>
  <si>
    <t>149/887</t>
  </si>
  <si>
    <t>80/914</t>
  </si>
  <si>
    <t>56/899</t>
  </si>
  <si>
    <t>377/825</t>
  </si>
  <si>
    <t>317/393</t>
  </si>
  <si>
    <t>1583/1877</t>
  </si>
  <si>
    <t>1019/1956</t>
  </si>
  <si>
    <t>1354/1915</t>
  </si>
  <si>
    <t>1408/1770</t>
  </si>
  <si>
    <t>1259/1372</t>
  </si>
  <si>
    <t>958/1112</t>
  </si>
  <si>
    <t>1289/1877</t>
  </si>
  <si>
    <t>727/1956</t>
  </si>
  <si>
    <t>929/1915</t>
  </si>
  <si>
    <t>1069/1770</t>
  </si>
  <si>
    <t>862/1372</t>
  </si>
  <si>
    <t>530/1112</t>
  </si>
  <si>
    <t>582/906</t>
  </si>
  <si>
    <t>1288/1877</t>
  </si>
  <si>
    <t>724/1956</t>
  </si>
  <si>
    <t>930/1915</t>
  </si>
  <si>
    <t>1070/1770</t>
  </si>
  <si>
    <t>904/1372</t>
  </si>
  <si>
    <t>1320/1877</t>
  </si>
  <si>
    <t>785/1956</t>
  </si>
  <si>
    <t>969/1915</t>
  </si>
  <si>
    <t>1084/1770</t>
  </si>
  <si>
    <t>926/1372</t>
  </si>
  <si>
    <t>566/1112</t>
  </si>
  <si>
    <t>1481/1877</t>
  </si>
  <si>
    <t>852/1956</t>
  </si>
  <si>
    <t>1139/1915</t>
  </si>
  <si>
    <t>1288/1770</t>
  </si>
  <si>
    <t>1119/1372</t>
  </si>
  <si>
    <t>811/1112</t>
  </si>
  <si>
    <t>753/906</t>
  </si>
  <si>
    <t>876/1877</t>
  </si>
  <si>
    <t>1693/1956</t>
  </si>
  <si>
    <t>874/1915</t>
  </si>
  <si>
    <t>1333/1770</t>
  </si>
  <si>
    <t>138/1372</t>
  </si>
  <si>
    <t>901/1877</t>
  </si>
  <si>
    <t>1676/1956</t>
  </si>
  <si>
    <t>894/1915</t>
  </si>
  <si>
    <t>1342/1770</t>
  </si>
  <si>
    <t>144/1372</t>
  </si>
  <si>
    <t>1229/1877</t>
  </si>
  <si>
    <t>1797/1956</t>
  </si>
  <si>
    <t>1115/1915</t>
  </si>
  <si>
    <t>1486/1770</t>
  </si>
  <si>
    <t>624/1878</t>
  </si>
  <si>
    <t>1644/1957</t>
  </si>
  <si>
    <t>699/1916</t>
  </si>
  <si>
    <t>1192/1771</t>
  </si>
  <si>
    <t>654/1877</t>
  </si>
  <si>
    <t>1579/1956</t>
  </si>
  <si>
    <t>722/1915</t>
  </si>
  <si>
    <t>1180/1770</t>
  </si>
  <si>
    <t>70/1372</t>
  </si>
  <si>
    <t>273/1112</t>
  </si>
  <si>
    <t>99/906</t>
  </si>
  <si>
    <t>655/1877</t>
  </si>
  <si>
    <t>1636/1956</t>
  </si>
  <si>
    <t>723/1915</t>
  </si>
  <si>
    <t>658/1877</t>
  </si>
  <si>
    <t>1656/1956</t>
  </si>
  <si>
    <t>728/1915</t>
  </si>
  <si>
    <t>1210/1770</t>
  </si>
  <si>
    <t>84/1372</t>
  </si>
  <si>
    <t>317/1112</t>
  </si>
  <si>
    <t>1617/1956</t>
  </si>
  <si>
    <t>653/1915</t>
  </si>
  <si>
    <t>993/1877</t>
  </si>
  <si>
    <t>1745/1956</t>
  </si>
  <si>
    <t>939/1915</t>
  </si>
  <si>
    <t>1378/1770</t>
  </si>
  <si>
    <t>185/1372</t>
  </si>
  <si>
    <t>Amundi Fds Eq Europe Conservative SHU-C</t>
  </si>
  <si>
    <t>1955/1956</t>
  </si>
  <si>
    <t>LU1399296596</t>
  </si>
  <si>
    <t>652/1877</t>
  </si>
  <si>
    <t>1523/1956</t>
  </si>
  <si>
    <t>746/1915</t>
  </si>
  <si>
    <t>1206/1770</t>
  </si>
  <si>
    <t>129/206</t>
  </si>
  <si>
    <t>186/217</t>
  </si>
  <si>
    <t>142/207</t>
  </si>
  <si>
    <t>99/201</t>
  </si>
  <si>
    <t>116/151</t>
  </si>
  <si>
    <t>139/206</t>
  </si>
  <si>
    <t>183/217</t>
  </si>
  <si>
    <t>143/207</t>
  </si>
  <si>
    <t>120/151</t>
  </si>
  <si>
    <t>75/103</t>
  </si>
  <si>
    <t>155/206</t>
  </si>
  <si>
    <t>201/217</t>
  </si>
  <si>
    <t>156/207</t>
  </si>
  <si>
    <t>136/201</t>
  </si>
  <si>
    <t>139/151</t>
  </si>
  <si>
    <t>105/206</t>
  </si>
  <si>
    <t>124/207</t>
  </si>
  <si>
    <t>61/201</t>
  </si>
  <si>
    <t>93/151</t>
  </si>
  <si>
    <t>78/129</t>
  </si>
  <si>
    <t>56/103</t>
  </si>
  <si>
    <t>21/206</t>
  </si>
  <si>
    <t>47/217</t>
  </si>
  <si>
    <t>30/207</t>
  </si>
  <si>
    <t>96/206</t>
  </si>
  <si>
    <t>182/217</t>
  </si>
  <si>
    <t>121/207</t>
  </si>
  <si>
    <t>58/201</t>
  </si>
  <si>
    <t>92/151</t>
  </si>
  <si>
    <t>108/206</t>
  </si>
  <si>
    <t>187/217</t>
  </si>
  <si>
    <t>126/207</t>
  </si>
  <si>
    <t>63/201</t>
  </si>
  <si>
    <t>96/151</t>
  </si>
  <si>
    <t>109/206</t>
  </si>
  <si>
    <t>125/207</t>
  </si>
  <si>
    <t>64/201</t>
  </si>
  <si>
    <t>97/151</t>
  </si>
  <si>
    <t>142/206</t>
  </si>
  <si>
    <t>194/217</t>
  </si>
  <si>
    <t>147/207</t>
  </si>
  <si>
    <t>125/151</t>
  </si>
  <si>
    <t>64/109</t>
  </si>
  <si>
    <t>50/109</t>
  </si>
  <si>
    <t>66/109</t>
  </si>
  <si>
    <t>62/109</t>
  </si>
  <si>
    <t>49/109</t>
  </si>
  <si>
    <t>21/96</t>
  </si>
  <si>
    <t>16/89</t>
  </si>
  <si>
    <t>254/444</t>
  </si>
  <si>
    <t>170/471</t>
  </si>
  <si>
    <t>173/460</t>
  </si>
  <si>
    <t>214/408</t>
  </si>
  <si>
    <t>183/289</t>
  </si>
  <si>
    <t>104/196</t>
  </si>
  <si>
    <t>47/109</t>
  </si>
  <si>
    <t>63/109</t>
  </si>
  <si>
    <t>48/109</t>
  </si>
  <si>
    <t>17/89</t>
  </si>
  <si>
    <t>266/444</t>
  </si>
  <si>
    <t>177/471</t>
  </si>
  <si>
    <t>180/460</t>
  </si>
  <si>
    <t>228/408</t>
  </si>
  <si>
    <t>192/289</t>
  </si>
  <si>
    <t>113/196</t>
  </si>
  <si>
    <t>73/109</t>
  </si>
  <si>
    <t>53/109</t>
  </si>
  <si>
    <t>74/109</t>
  </si>
  <si>
    <t>88/104</t>
  </si>
  <si>
    <t>48/89</t>
  </si>
  <si>
    <t>46/109</t>
  </si>
  <si>
    <t>41/109</t>
  </si>
  <si>
    <t>40/109</t>
  </si>
  <si>
    <t>60/104</t>
  </si>
  <si>
    <t>158/471</t>
  </si>
  <si>
    <t>163/460</t>
  </si>
  <si>
    <t>205/408</t>
  </si>
  <si>
    <t>55/109</t>
  </si>
  <si>
    <t>28/109</t>
  </si>
  <si>
    <t>39/109</t>
  </si>
  <si>
    <t>52/109</t>
  </si>
  <si>
    <t>59/104</t>
  </si>
  <si>
    <t>7/89</t>
  </si>
  <si>
    <t>23/109</t>
  </si>
  <si>
    <t>44/109</t>
  </si>
  <si>
    <t>256/444</t>
  </si>
  <si>
    <t>173/471</t>
  </si>
  <si>
    <t>177/460</t>
  </si>
  <si>
    <t>220/408</t>
  </si>
  <si>
    <t>187/289</t>
  </si>
  <si>
    <t>105/196</t>
  </si>
  <si>
    <t>68/109</t>
  </si>
  <si>
    <t>28/96</t>
  </si>
  <si>
    <t>3326/4345</t>
  </si>
  <si>
    <t>4347/4572</t>
  </si>
  <si>
    <t>4197/4495</t>
  </si>
  <si>
    <t>2942/4016</t>
  </si>
  <si>
    <t>3281/4345</t>
  </si>
  <si>
    <t>4346/4572</t>
  </si>
  <si>
    <t>4189/4495</t>
  </si>
  <si>
    <t>2898/4016</t>
  </si>
  <si>
    <t>3277/4345</t>
  </si>
  <si>
    <t>4345/4572</t>
  </si>
  <si>
    <t>4188/4495</t>
  </si>
  <si>
    <t>2899/4016</t>
  </si>
  <si>
    <t>279/944</t>
  </si>
  <si>
    <t>763/999</t>
  </si>
  <si>
    <t>351/986</t>
  </si>
  <si>
    <t>393/876</t>
  </si>
  <si>
    <t>281/944</t>
  </si>
  <si>
    <t>770/999</t>
  </si>
  <si>
    <t>347/986</t>
  </si>
  <si>
    <t>394/876</t>
  </si>
  <si>
    <t>3282/4345</t>
  </si>
  <si>
    <t>4343/4572</t>
  </si>
  <si>
    <t>4183/4495</t>
  </si>
  <si>
    <t>2894/4016</t>
  </si>
  <si>
    <t>1147/2981</t>
  </si>
  <si>
    <t>3276/4345</t>
  </si>
  <si>
    <t>4341/4572</t>
  </si>
  <si>
    <t>4186/4495</t>
  </si>
  <si>
    <t>2893/4016</t>
  </si>
  <si>
    <t>325/944</t>
  </si>
  <si>
    <t>812/999</t>
  </si>
  <si>
    <t>422/986</t>
  </si>
  <si>
    <t>476/876</t>
  </si>
  <si>
    <t>3709/4345</t>
  </si>
  <si>
    <t>4379/4572</t>
  </si>
  <si>
    <t>4295/4495</t>
  </si>
  <si>
    <t>3266/4016</t>
  </si>
  <si>
    <t>2810/4345</t>
  </si>
  <si>
    <t>4314/4572</t>
  </si>
  <si>
    <t>4080/4495</t>
  </si>
  <si>
    <t>2572/4016</t>
  </si>
  <si>
    <t>645/2981</t>
  </si>
  <si>
    <t>2806/4345</t>
  </si>
  <si>
    <t>4313/4572</t>
  </si>
  <si>
    <t>4079/4495</t>
  </si>
  <si>
    <t>2567/4016</t>
  </si>
  <si>
    <t>231/944</t>
  </si>
  <si>
    <t>742/999</t>
  </si>
  <si>
    <t>309/986</t>
  </si>
  <si>
    <t>344/876</t>
  </si>
  <si>
    <t>3424/4345</t>
  </si>
  <si>
    <t>4354/4572</t>
  </si>
  <si>
    <t>4218/4495</t>
  </si>
  <si>
    <t>3005/4016</t>
  </si>
  <si>
    <t>300/944</t>
  </si>
  <si>
    <t>784/999</t>
  </si>
  <si>
    <t>370/986</t>
  </si>
  <si>
    <t>418/876</t>
  </si>
  <si>
    <t>3433/4345</t>
  </si>
  <si>
    <t>4360/4572</t>
  </si>
  <si>
    <t>4221/4495</t>
  </si>
  <si>
    <t>3010/4016</t>
  </si>
  <si>
    <t>1352/2981</t>
  </si>
  <si>
    <t>3812/4345</t>
  </si>
  <si>
    <t>4336/4572</t>
  </si>
  <si>
    <t>3653/4495</t>
  </si>
  <si>
    <t>3607/4016</t>
  </si>
  <si>
    <t>821/2981</t>
  </si>
  <si>
    <t>3813/4345</t>
  </si>
  <si>
    <t>4335/4572</t>
  </si>
  <si>
    <t>3651/4495</t>
  </si>
  <si>
    <t>3604/4016</t>
  </si>
  <si>
    <t>Amundi Fds Eq Global Conservative AHE-C</t>
  </si>
  <si>
    <t>746/999</t>
  </si>
  <si>
    <t>LU0987200739</t>
  </si>
  <si>
    <t>3806/4345</t>
  </si>
  <si>
    <t>4334/4572</t>
  </si>
  <si>
    <t>3655/4495</t>
  </si>
  <si>
    <t>3603/4016</t>
  </si>
  <si>
    <t>869/2981</t>
  </si>
  <si>
    <t>3808/4345</t>
  </si>
  <si>
    <t>4338/4572</t>
  </si>
  <si>
    <t>3654/4495</t>
  </si>
  <si>
    <t>3602/4016</t>
  </si>
  <si>
    <t>857/2981</t>
  </si>
  <si>
    <t>4043/4345</t>
  </si>
  <si>
    <t>4373/4572</t>
  </si>
  <si>
    <t>3916/4495</t>
  </si>
  <si>
    <t>3758/4016</t>
  </si>
  <si>
    <t>1465/2981</t>
  </si>
  <si>
    <t>3577/4345</t>
  </si>
  <si>
    <t>4305/4572</t>
  </si>
  <si>
    <t>3288/4495</t>
  </si>
  <si>
    <t>3466/4016</t>
  </si>
  <si>
    <t>420/2981</t>
  </si>
  <si>
    <t>3575/4345</t>
  </si>
  <si>
    <t>4304/4572</t>
  </si>
  <si>
    <t>3297/4495</t>
  </si>
  <si>
    <t>3458/4016</t>
  </si>
  <si>
    <t>405/2981</t>
  </si>
  <si>
    <t>310/944</t>
  </si>
  <si>
    <t>722/999</t>
  </si>
  <si>
    <t>208/986</t>
  </si>
  <si>
    <t>542/876</t>
  </si>
  <si>
    <t>304/539</t>
  </si>
  <si>
    <t>Amundi Fds Eq Global Conservative SHE-C</t>
  </si>
  <si>
    <t>LU1534098543</t>
  </si>
  <si>
    <t>3885/4345</t>
  </si>
  <si>
    <t>4350/4572</t>
  </si>
  <si>
    <t>3726/4495</t>
  </si>
  <si>
    <t>3668/4016</t>
  </si>
  <si>
    <t>991/2981</t>
  </si>
  <si>
    <t>841/1004</t>
  </si>
  <si>
    <t>830/1036</t>
  </si>
  <si>
    <t>788/1018</t>
  </si>
  <si>
    <t>816/952</t>
  </si>
  <si>
    <t>801/1004</t>
  </si>
  <si>
    <t>796/1036</t>
  </si>
  <si>
    <t>718/1018</t>
  </si>
  <si>
    <t>785/952</t>
  </si>
  <si>
    <t>258/281</t>
  </si>
  <si>
    <t>232/284</t>
  </si>
  <si>
    <t>244/284</t>
  </si>
  <si>
    <t>184/225</t>
  </si>
  <si>
    <t>117/192</t>
  </si>
  <si>
    <t>86/124</t>
  </si>
  <si>
    <t>259/281</t>
  </si>
  <si>
    <t>233/284</t>
  </si>
  <si>
    <t>245/284</t>
  </si>
  <si>
    <t>218/278</t>
  </si>
  <si>
    <t>185/225</t>
  </si>
  <si>
    <t>252/281</t>
  </si>
  <si>
    <t>230/284</t>
  </si>
  <si>
    <t>243/284</t>
  </si>
  <si>
    <t>215/278</t>
  </si>
  <si>
    <t>180/225</t>
  </si>
  <si>
    <t>114/192</t>
  </si>
  <si>
    <t>250/281</t>
  </si>
  <si>
    <t>227/284</t>
  </si>
  <si>
    <t>241/284</t>
  </si>
  <si>
    <t>214/278</t>
  </si>
  <si>
    <t>168/225</t>
  </si>
  <si>
    <t>108/192</t>
  </si>
  <si>
    <t>251/281</t>
  </si>
  <si>
    <t>229/284</t>
  </si>
  <si>
    <t>242/284</t>
  </si>
  <si>
    <t>216/278</t>
  </si>
  <si>
    <t>181/225</t>
  </si>
  <si>
    <t>115/192</t>
  </si>
  <si>
    <t>254/281</t>
  </si>
  <si>
    <t>228/284</t>
  </si>
  <si>
    <t>240/284</t>
  </si>
  <si>
    <t>212/278</t>
  </si>
  <si>
    <t>116/192</t>
  </si>
  <si>
    <t>84/124</t>
  </si>
  <si>
    <t>268/281</t>
  </si>
  <si>
    <t>247/284</t>
  </si>
  <si>
    <t>255/284</t>
  </si>
  <si>
    <t>241/278</t>
  </si>
  <si>
    <t>194/225</t>
  </si>
  <si>
    <t>145/192</t>
  </si>
  <si>
    <t>247/281</t>
  </si>
  <si>
    <t>220/284</t>
  </si>
  <si>
    <t>199/278</t>
  </si>
  <si>
    <t>159/225</t>
  </si>
  <si>
    <t>100/192</t>
  </si>
  <si>
    <t>69/124</t>
  </si>
  <si>
    <t>244/281</t>
  </si>
  <si>
    <t>222/284</t>
  </si>
  <si>
    <t>194/278</t>
  </si>
  <si>
    <t>157/225</t>
  </si>
  <si>
    <t>97/192</t>
  </si>
  <si>
    <t>71/124</t>
  </si>
  <si>
    <t>246/281</t>
  </si>
  <si>
    <t>235/284</t>
  </si>
  <si>
    <t>195/278</t>
  </si>
  <si>
    <t>161/225</t>
  </si>
  <si>
    <t>101/192</t>
  </si>
  <si>
    <t>68/124</t>
  </si>
  <si>
    <t>261/281</t>
  </si>
  <si>
    <t>231/284</t>
  </si>
  <si>
    <t>246/284</t>
  </si>
  <si>
    <t>224/278</t>
  </si>
  <si>
    <t>189/225</t>
  </si>
  <si>
    <t>130/192</t>
  </si>
  <si>
    <t>92/124</t>
  </si>
  <si>
    <t>241/281</t>
  </si>
  <si>
    <t>142/225</t>
  </si>
  <si>
    <t>88/192</t>
  </si>
  <si>
    <t>408/450</t>
  </si>
  <si>
    <t>286/444</t>
  </si>
  <si>
    <t>416/450</t>
  </si>
  <si>
    <t>405/450</t>
  </si>
  <si>
    <t>270/444</t>
  </si>
  <si>
    <t>413/450</t>
  </si>
  <si>
    <t>293/444</t>
  </si>
  <si>
    <t>1/252</t>
  </si>
  <si>
    <t>164/268</t>
  </si>
  <si>
    <t>42/266</t>
  </si>
  <si>
    <t>5/210</t>
  </si>
  <si>
    <t>4/168</t>
  </si>
  <si>
    <t>3/124</t>
  </si>
  <si>
    <t>5/252</t>
  </si>
  <si>
    <t>186/268</t>
  </si>
  <si>
    <t>66/266</t>
  </si>
  <si>
    <t>8/210</t>
  </si>
  <si>
    <t>11/168</t>
  </si>
  <si>
    <t>7/124</t>
  </si>
  <si>
    <t>7/252</t>
  </si>
  <si>
    <t>188/268</t>
  </si>
  <si>
    <t>67/266</t>
  </si>
  <si>
    <t>9/210</t>
  </si>
  <si>
    <t>12/168</t>
  </si>
  <si>
    <t>8/124</t>
  </si>
  <si>
    <t>6/252</t>
  </si>
  <si>
    <t>208/268</t>
  </si>
  <si>
    <t>78/266</t>
  </si>
  <si>
    <t>10/210</t>
  </si>
  <si>
    <t>14/168</t>
  </si>
  <si>
    <t>3/252</t>
  </si>
  <si>
    <t>184/268</t>
  </si>
  <si>
    <t>6/210</t>
  </si>
  <si>
    <t>7/168</t>
  </si>
  <si>
    <t>4/252</t>
  </si>
  <si>
    <t>192/268</t>
  </si>
  <si>
    <t>69/266</t>
  </si>
  <si>
    <t>7/210</t>
  </si>
  <si>
    <t>13/168</t>
  </si>
  <si>
    <t>9/124</t>
  </si>
  <si>
    <t>134/147</t>
  </si>
  <si>
    <t>60/154</t>
  </si>
  <si>
    <t>102/152</t>
  </si>
  <si>
    <t>31/145</t>
  </si>
  <si>
    <t>109/117</t>
  </si>
  <si>
    <t>137/147</t>
  </si>
  <si>
    <t>101/152</t>
  </si>
  <si>
    <t>32/145</t>
  </si>
  <si>
    <t>131/584</t>
  </si>
  <si>
    <t>47/611</t>
  </si>
  <si>
    <t>75/539</t>
  </si>
  <si>
    <t>212/330</t>
  </si>
  <si>
    <t>67/114</t>
  </si>
  <si>
    <t>478/584</t>
  </si>
  <si>
    <t>221/611</t>
  </si>
  <si>
    <t>425/598</t>
  </si>
  <si>
    <t>86/539</t>
  </si>
  <si>
    <t>136/147</t>
  </si>
  <si>
    <t>104/152</t>
  </si>
  <si>
    <t>38/145</t>
  </si>
  <si>
    <t>112/117</t>
  </si>
  <si>
    <t>97/99</t>
  </si>
  <si>
    <t>135/147</t>
  </si>
  <si>
    <t>58/154</t>
  </si>
  <si>
    <t>103/152</t>
  </si>
  <si>
    <t>33/145</t>
  </si>
  <si>
    <t>111/117</t>
  </si>
  <si>
    <t>93/99</t>
  </si>
  <si>
    <t>176/584</t>
  </si>
  <si>
    <t>37/611</t>
  </si>
  <si>
    <t>57/598</t>
  </si>
  <si>
    <t>85/539</t>
  </si>
  <si>
    <t>252/330</t>
  </si>
  <si>
    <t>88/114</t>
  </si>
  <si>
    <t>141/147</t>
  </si>
  <si>
    <t>54/154</t>
  </si>
  <si>
    <t>107/152</t>
  </si>
  <si>
    <t>52/145</t>
  </si>
  <si>
    <t>117/117</t>
  </si>
  <si>
    <t>99/99</t>
  </si>
  <si>
    <t>111/584</t>
  </si>
  <si>
    <t>41/611</t>
  </si>
  <si>
    <t>55/539</t>
  </si>
  <si>
    <t>177/330</t>
  </si>
  <si>
    <t>37/114</t>
  </si>
  <si>
    <t>127/147</t>
  </si>
  <si>
    <t>51/154</t>
  </si>
  <si>
    <t>93/152</t>
  </si>
  <si>
    <t>28/145</t>
  </si>
  <si>
    <t>89/99</t>
  </si>
  <si>
    <t>128/147</t>
  </si>
  <si>
    <t>52/154</t>
  </si>
  <si>
    <t>95/152</t>
  </si>
  <si>
    <t>26/145</t>
  </si>
  <si>
    <t>96/117</t>
  </si>
  <si>
    <t>112/584</t>
  </si>
  <si>
    <t>35/611</t>
  </si>
  <si>
    <t>37/598</t>
  </si>
  <si>
    <t>38/539</t>
  </si>
  <si>
    <t>163/330</t>
  </si>
  <si>
    <t>129/147</t>
  </si>
  <si>
    <t>53/154</t>
  </si>
  <si>
    <t>94/152</t>
  </si>
  <si>
    <t>25/145</t>
  </si>
  <si>
    <t>127/584</t>
  </si>
  <si>
    <t>40/611</t>
  </si>
  <si>
    <t>52/539</t>
  </si>
  <si>
    <t>175/330</t>
  </si>
  <si>
    <t>39/114</t>
  </si>
  <si>
    <t>126/147</t>
  </si>
  <si>
    <t>47/154</t>
  </si>
  <si>
    <t>84/152</t>
  </si>
  <si>
    <t>23/145</t>
  </si>
  <si>
    <t>94/117</t>
  </si>
  <si>
    <t>88/99</t>
  </si>
  <si>
    <t>76/82</t>
  </si>
  <si>
    <t>146/584</t>
  </si>
  <si>
    <t>32/611</t>
  </si>
  <si>
    <t>57/539</t>
  </si>
  <si>
    <t>210/330</t>
  </si>
  <si>
    <t>72/114</t>
  </si>
  <si>
    <t>140/147</t>
  </si>
  <si>
    <t>55/154</t>
  </si>
  <si>
    <t>100/152</t>
  </si>
  <si>
    <t>34/145</t>
  </si>
  <si>
    <t>113/117</t>
  </si>
  <si>
    <t>98/99</t>
  </si>
  <si>
    <t>439/1021</t>
  </si>
  <si>
    <t>772/1060</t>
  </si>
  <si>
    <t>284/1050</t>
  </si>
  <si>
    <t>210/966</t>
  </si>
  <si>
    <t>183/782</t>
  </si>
  <si>
    <t>402/641</t>
  </si>
  <si>
    <t>441/1021</t>
  </si>
  <si>
    <t>773/1060</t>
  </si>
  <si>
    <t>282/1050</t>
  </si>
  <si>
    <t>212/966</t>
  </si>
  <si>
    <t>174/584</t>
  </si>
  <si>
    <t>252/611</t>
  </si>
  <si>
    <t>83/598</t>
  </si>
  <si>
    <t>83/584</t>
  </si>
  <si>
    <t>124/611</t>
  </si>
  <si>
    <t>21/598</t>
  </si>
  <si>
    <t>101/539</t>
  </si>
  <si>
    <t>164/330</t>
  </si>
  <si>
    <t>440/1021</t>
  </si>
  <si>
    <t>770/1060</t>
  </si>
  <si>
    <t>283/1050</t>
  </si>
  <si>
    <t>211/966</t>
  </si>
  <si>
    <t>184/782</t>
  </si>
  <si>
    <t>407/641</t>
  </si>
  <si>
    <t>277/537</t>
  </si>
  <si>
    <t>442/1021</t>
  </si>
  <si>
    <t>769/1060</t>
  </si>
  <si>
    <t>285/1050</t>
  </si>
  <si>
    <t>213/966</t>
  </si>
  <si>
    <t>186/782</t>
  </si>
  <si>
    <t>408/641</t>
  </si>
  <si>
    <t>272/537</t>
  </si>
  <si>
    <t>222/584</t>
  </si>
  <si>
    <t>283/611</t>
  </si>
  <si>
    <t>109/598</t>
  </si>
  <si>
    <t>154/539</t>
  </si>
  <si>
    <t>222/330</t>
  </si>
  <si>
    <t>590/1021</t>
  </si>
  <si>
    <t>803/1060</t>
  </si>
  <si>
    <t>364/1050</t>
  </si>
  <si>
    <t>287/966</t>
  </si>
  <si>
    <t>464/782</t>
  </si>
  <si>
    <t>572/641</t>
  </si>
  <si>
    <t>152/584</t>
  </si>
  <si>
    <t>249/611</t>
  </si>
  <si>
    <t>75/598</t>
  </si>
  <si>
    <t>111/539</t>
  </si>
  <si>
    <t>156/330</t>
  </si>
  <si>
    <t>352/1021</t>
  </si>
  <si>
    <t>241/1050</t>
  </si>
  <si>
    <t>176/966</t>
  </si>
  <si>
    <t>116/782</t>
  </si>
  <si>
    <t>215/641</t>
  </si>
  <si>
    <t>354/1021</t>
  </si>
  <si>
    <t>744/1060</t>
  </si>
  <si>
    <t>242/1050</t>
  </si>
  <si>
    <t>175/966</t>
  </si>
  <si>
    <t>115/782</t>
  </si>
  <si>
    <t>214/641</t>
  </si>
  <si>
    <t>194/584</t>
  </si>
  <si>
    <t>269/611</t>
  </si>
  <si>
    <t>96/598</t>
  </si>
  <si>
    <t>142/539</t>
  </si>
  <si>
    <t>185/330</t>
  </si>
  <si>
    <t>482/1021</t>
  </si>
  <si>
    <t>785/1060</t>
  </si>
  <si>
    <t>319/1050</t>
  </si>
  <si>
    <t>230/966</t>
  </si>
  <si>
    <t>238/782</t>
  </si>
  <si>
    <t>460/641</t>
  </si>
  <si>
    <t>345/537</t>
  </si>
  <si>
    <t>31/73</t>
  </si>
  <si>
    <t>48/64</t>
  </si>
  <si>
    <t>34/53</t>
  </si>
  <si>
    <t>30/73</t>
  </si>
  <si>
    <t>18/73</t>
  </si>
  <si>
    <t>33/53</t>
  </si>
  <si>
    <t>29/46</t>
  </si>
  <si>
    <t>44/73</t>
  </si>
  <si>
    <t>24/73</t>
  </si>
  <si>
    <t>34/73</t>
  </si>
  <si>
    <t>33/72</t>
  </si>
  <si>
    <t>56/64</t>
  </si>
  <si>
    <t>48/53</t>
  </si>
  <si>
    <t>20/73</t>
  </si>
  <si>
    <t>29/73</t>
  </si>
  <si>
    <t>23/72</t>
  </si>
  <si>
    <t>42/64</t>
  </si>
  <si>
    <t>22/46</t>
  </si>
  <si>
    <t>22/73</t>
  </si>
  <si>
    <t>38/53</t>
  </si>
  <si>
    <t>239/330</t>
  </si>
  <si>
    <t>106/336</t>
  </si>
  <si>
    <t>320/334</t>
  </si>
  <si>
    <t>155/326</t>
  </si>
  <si>
    <t>268/297</t>
  </si>
  <si>
    <t>214/232</t>
  </si>
  <si>
    <t>136/181</t>
  </si>
  <si>
    <t>238/330</t>
  </si>
  <si>
    <t>154/326</t>
  </si>
  <si>
    <t>267/297</t>
  </si>
  <si>
    <t>234/330</t>
  </si>
  <si>
    <t>315/334</t>
  </si>
  <si>
    <t>143/326</t>
  </si>
  <si>
    <t>261/297</t>
  </si>
  <si>
    <t>208/232</t>
  </si>
  <si>
    <t>232/330</t>
  </si>
  <si>
    <t>318/334</t>
  </si>
  <si>
    <t>146/326</t>
  </si>
  <si>
    <t>264/297</t>
  </si>
  <si>
    <t>211/232</t>
  </si>
  <si>
    <t>233/330</t>
  </si>
  <si>
    <t>102/336</t>
  </si>
  <si>
    <t>316/334</t>
  </si>
  <si>
    <t>144/326</t>
  </si>
  <si>
    <t>262/297</t>
  </si>
  <si>
    <t>134/181</t>
  </si>
  <si>
    <t>235/330</t>
  </si>
  <si>
    <t>103/336</t>
  </si>
  <si>
    <t>317/334</t>
  </si>
  <si>
    <t>145/326</t>
  </si>
  <si>
    <t>263/297</t>
  </si>
  <si>
    <t>210/232</t>
  </si>
  <si>
    <t>263/330</t>
  </si>
  <si>
    <t>115/336</t>
  </si>
  <si>
    <t>189/326</t>
  </si>
  <si>
    <t>292/297</t>
  </si>
  <si>
    <t>229/232</t>
  </si>
  <si>
    <t>207/330</t>
  </si>
  <si>
    <t>90/336</t>
  </si>
  <si>
    <t>95/326</t>
  </si>
  <si>
    <t>227/297</t>
  </si>
  <si>
    <t>91/181</t>
  </si>
  <si>
    <t>91/336</t>
  </si>
  <si>
    <t>296/334</t>
  </si>
  <si>
    <t>99/326</t>
  </si>
  <si>
    <t>209/330</t>
  </si>
  <si>
    <t>93/336</t>
  </si>
  <si>
    <t>297/334</t>
  </si>
  <si>
    <t>102/326</t>
  </si>
  <si>
    <t>228/297</t>
  </si>
  <si>
    <t>163/232</t>
  </si>
  <si>
    <t>93/181</t>
  </si>
  <si>
    <t>213/330</t>
  </si>
  <si>
    <t>94/336</t>
  </si>
  <si>
    <t>314/334</t>
  </si>
  <si>
    <t>108/326</t>
  </si>
  <si>
    <t>230/297</t>
  </si>
  <si>
    <t>180/232</t>
  </si>
  <si>
    <t>114/181</t>
  </si>
  <si>
    <t>215/330</t>
  </si>
  <si>
    <t>298/334</t>
  </si>
  <si>
    <t>110/326</t>
  </si>
  <si>
    <t>231/297</t>
  </si>
  <si>
    <t>116/181</t>
  </si>
  <si>
    <t>245/330</t>
  </si>
  <si>
    <t>321/334</t>
  </si>
  <si>
    <t>281/297</t>
  </si>
  <si>
    <t>220/232</t>
  </si>
  <si>
    <t>244/330</t>
  </si>
  <si>
    <t>322/334</t>
  </si>
  <si>
    <t>164/326</t>
  </si>
  <si>
    <t>282/297</t>
  </si>
  <si>
    <t>219/232</t>
  </si>
  <si>
    <t>149/181</t>
  </si>
  <si>
    <t>65/131</t>
  </si>
  <si>
    <t>9/134</t>
  </si>
  <si>
    <t>57/126</t>
  </si>
  <si>
    <t>27/80</t>
  </si>
  <si>
    <t>18/54</t>
  </si>
  <si>
    <t>49/131</t>
  </si>
  <si>
    <t>2/134</t>
  </si>
  <si>
    <t>11/134</t>
  </si>
  <si>
    <t>25/126</t>
  </si>
  <si>
    <t>33/103</t>
  </si>
  <si>
    <t>35/80</t>
  </si>
  <si>
    <t>50/131</t>
  </si>
  <si>
    <t>1/134</t>
  </si>
  <si>
    <t>23/126</t>
  </si>
  <si>
    <t>31/103</t>
  </si>
  <si>
    <t>217/246</t>
  </si>
  <si>
    <t>3/263</t>
  </si>
  <si>
    <t>53/259</t>
  </si>
  <si>
    <t>149/218</t>
  </si>
  <si>
    <t>13/90</t>
  </si>
  <si>
    <t>6/19</t>
  </si>
  <si>
    <t>63/131</t>
  </si>
  <si>
    <t>51/126</t>
  </si>
  <si>
    <t>47/103</t>
  </si>
  <si>
    <t>21/54</t>
  </si>
  <si>
    <t>62/131</t>
  </si>
  <si>
    <t>7/134</t>
  </si>
  <si>
    <t>41/134</t>
  </si>
  <si>
    <t>50/126</t>
  </si>
  <si>
    <t>48/103</t>
  </si>
  <si>
    <t>36/80</t>
  </si>
  <si>
    <t>28/54</t>
  </si>
  <si>
    <t>224/246</t>
  </si>
  <si>
    <t>5/263</t>
  </si>
  <si>
    <t>64/259</t>
  </si>
  <si>
    <t>170/218</t>
  </si>
  <si>
    <t>69/131</t>
  </si>
  <si>
    <t>14/134</t>
  </si>
  <si>
    <t>52/134</t>
  </si>
  <si>
    <t>75/126</t>
  </si>
  <si>
    <t>73/103</t>
  </si>
  <si>
    <t>31/54</t>
  </si>
  <si>
    <t>211/246</t>
  </si>
  <si>
    <t>1/263</t>
  </si>
  <si>
    <t>45/259</t>
  </si>
  <si>
    <t>140/218</t>
  </si>
  <si>
    <t>5/90</t>
  </si>
  <si>
    <t>58/131</t>
  </si>
  <si>
    <t>6/134</t>
  </si>
  <si>
    <t>37/126</t>
  </si>
  <si>
    <t>29/103</t>
  </si>
  <si>
    <t>21/80</t>
  </si>
  <si>
    <t>15/54</t>
  </si>
  <si>
    <t>59/131</t>
  </si>
  <si>
    <t>5/134</t>
  </si>
  <si>
    <t>36/126</t>
  </si>
  <si>
    <t>30/103</t>
  </si>
  <si>
    <t>213/246</t>
  </si>
  <si>
    <t>2/263</t>
  </si>
  <si>
    <t>46/259</t>
  </si>
  <si>
    <t>143/218</t>
  </si>
  <si>
    <t>64/131</t>
  </si>
  <si>
    <t>16/134</t>
  </si>
  <si>
    <t>49/134</t>
  </si>
  <si>
    <t>46/126</t>
  </si>
  <si>
    <t>220/246</t>
  </si>
  <si>
    <t>4/263</t>
  </si>
  <si>
    <t>57/259</t>
  </si>
  <si>
    <t>161/218</t>
  </si>
  <si>
    <t>66/131</t>
  </si>
  <si>
    <t>10/134</t>
  </si>
  <si>
    <t>47/134</t>
  </si>
  <si>
    <t>65/126</t>
  </si>
  <si>
    <t>10/35</t>
  </si>
  <si>
    <t>4/35</t>
  </si>
  <si>
    <t>10/33</t>
  </si>
  <si>
    <t>23/35</t>
  </si>
  <si>
    <t>9/35</t>
  </si>
  <si>
    <t>5/35</t>
  </si>
  <si>
    <t>11/35</t>
  </si>
  <si>
    <t>6/35</t>
  </si>
  <si>
    <t>2/35</t>
  </si>
  <si>
    <t>14/35</t>
  </si>
  <si>
    <t>7/33</t>
  </si>
  <si>
    <t>15/31</t>
  </si>
  <si>
    <t>7/27</t>
  </si>
  <si>
    <t>7/35</t>
  </si>
  <si>
    <t>14/33</t>
  </si>
  <si>
    <t>18/31</t>
  </si>
  <si>
    <t>13/27</t>
  </si>
  <si>
    <t>203/480</t>
  </si>
  <si>
    <t>153/500</t>
  </si>
  <si>
    <t>127/458</t>
  </si>
  <si>
    <t>275/374</t>
  </si>
  <si>
    <t>128/252</t>
  </si>
  <si>
    <t>102/198</t>
  </si>
  <si>
    <t>194/480</t>
  </si>
  <si>
    <t>89/507</t>
  </si>
  <si>
    <t>158/500</t>
  </si>
  <si>
    <t>135/458</t>
  </si>
  <si>
    <t>277/374</t>
  </si>
  <si>
    <t>511/761</t>
  </si>
  <si>
    <t>85/787</t>
  </si>
  <si>
    <t>364/779</t>
  </si>
  <si>
    <t>239/707</t>
  </si>
  <si>
    <t>407/503</t>
  </si>
  <si>
    <t>174/307</t>
  </si>
  <si>
    <t>92/161</t>
  </si>
  <si>
    <t>296/761</t>
  </si>
  <si>
    <t>29/787</t>
  </si>
  <si>
    <t>82/779</t>
  </si>
  <si>
    <t>129/707</t>
  </si>
  <si>
    <t>375/503</t>
  </si>
  <si>
    <t>246/307</t>
  </si>
  <si>
    <t>130/161</t>
  </si>
  <si>
    <t>202/480</t>
  </si>
  <si>
    <t>156/500</t>
  </si>
  <si>
    <t>125/458</t>
  </si>
  <si>
    <t>274/374</t>
  </si>
  <si>
    <t>126/252</t>
  </si>
  <si>
    <t>157/480</t>
  </si>
  <si>
    <t>88/507</t>
  </si>
  <si>
    <t>119/500</t>
  </si>
  <si>
    <t>140/458</t>
  </si>
  <si>
    <t>278/374</t>
  </si>
  <si>
    <t>134/252</t>
  </si>
  <si>
    <t>110/198</t>
  </si>
  <si>
    <t>561/761</t>
  </si>
  <si>
    <t>99/787</t>
  </si>
  <si>
    <t>421/779</t>
  </si>
  <si>
    <t>323/707</t>
  </si>
  <si>
    <t>453/503</t>
  </si>
  <si>
    <t>248/307</t>
  </si>
  <si>
    <t>131/161</t>
  </si>
  <si>
    <t>254/480</t>
  </si>
  <si>
    <t>112/507</t>
  </si>
  <si>
    <t>218/500</t>
  </si>
  <si>
    <t>194/458</t>
  </si>
  <si>
    <t>330/374</t>
  </si>
  <si>
    <t>192/252</t>
  </si>
  <si>
    <t>146/198</t>
  </si>
  <si>
    <t>397/761</t>
  </si>
  <si>
    <t>82/787</t>
  </si>
  <si>
    <t>295/779</t>
  </si>
  <si>
    <t>184/707</t>
  </si>
  <si>
    <t>352/503</t>
  </si>
  <si>
    <t>106/307</t>
  </si>
  <si>
    <t>50/161</t>
  </si>
  <si>
    <t>137/480</t>
  </si>
  <si>
    <t>94/507</t>
  </si>
  <si>
    <t>79/500</t>
  </si>
  <si>
    <t>90/458</t>
  </si>
  <si>
    <t>204/374</t>
  </si>
  <si>
    <t>67/252</t>
  </si>
  <si>
    <t>56/198</t>
  </si>
  <si>
    <t>134/480</t>
  </si>
  <si>
    <t>146/507</t>
  </si>
  <si>
    <t>80/500</t>
  </si>
  <si>
    <t>88/458</t>
  </si>
  <si>
    <t>203/374</t>
  </si>
  <si>
    <t>66/252</t>
  </si>
  <si>
    <t>58/198</t>
  </si>
  <si>
    <t>161/480</t>
  </si>
  <si>
    <t>77/507</t>
  </si>
  <si>
    <t>107/500</t>
  </si>
  <si>
    <t>114/458</t>
  </si>
  <si>
    <t>77/252</t>
  </si>
  <si>
    <t>59/198</t>
  </si>
  <si>
    <t>139/480</t>
  </si>
  <si>
    <t>149/507</t>
  </si>
  <si>
    <t>85/500</t>
  </si>
  <si>
    <t>98/458</t>
  </si>
  <si>
    <t>216/374</t>
  </si>
  <si>
    <t>138/480</t>
  </si>
  <si>
    <t>148/507</t>
  </si>
  <si>
    <t>82/500</t>
  </si>
  <si>
    <t>97/458</t>
  </si>
  <si>
    <t>215/374</t>
  </si>
  <si>
    <t>81/252</t>
  </si>
  <si>
    <t>62/198</t>
  </si>
  <si>
    <t>482/761</t>
  </si>
  <si>
    <t>89/787</t>
  </si>
  <si>
    <t>374/779</t>
  </si>
  <si>
    <t>258/707</t>
  </si>
  <si>
    <t>420/503</t>
  </si>
  <si>
    <t>176/480</t>
  </si>
  <si>
    <t>90/507</t>
  </si>
  <si>
    <t>147/500</t>
  </si>
  <si>
    <t>158/458</t>
  </si>
  <si>
    <t>296/374</t>
  </si>
  <si>
    <t>149/252</t>
  </si>
  <si>
    <t>101/186</t>
  </si>
  <si>
    <t>32/193</t>
  </si>
  <si>
    <t>83/190</t>
  </si>
  <si>
    <t>46/177</t>
  </si>
  <si>
    <t>68/92</t>
  </si>
  <si>
    <t>102/186</t>
  </si>
  <si>
    <t>31/193</t>
  </si>
  <si>
    <t>84/190</t>
  </si>
  <si>
    <t>47/177</t>
  </si>
  <si>
    <t>63/92</t>
  </si>
  <si>
    <t>180/186</t>
  </si>
  <si>
    <t>145/193</t>
  </si>
  <si>
    <t>185/190</t>
  </si>
  <si>
    <t>12/92</t>
  </si>
  <si>
    <t>144/193</t>
  </si>
  <si>
    <t>184/190</t>
  </si>
  <si>
    <t>73/177</t>
  </si>
  <si>
    <t>11/92</t>
  </si>
  <si>
    <t>108/186</t>
  </si>
  <si>
    <t>37/193</t>
  </si>
  <si>
    <t>87/190</t>
  </si>
  <si>
    <t>56/177</t>
  </si>
  <si>
    <t>75/92</t>
  </si>
  <si>
    <t>109/186</t>
  </si>
  <si>
    <t>26/193</t>
  </si>
  <si>
    <t>89/190</t>
  </si>
  <si>
    <t>48/177</t>
  </si>
  <si>
    <t>88/186</t>
  </si>
  <si>
    <t>25/193</t>
  </si>
  <si>
    <t>66/190</t>
  </si>
  <si>
    <t>31/177</t>
  </si>
  <si>
    <t>48/92</t>
  </si>
  <si>
    <t>93/186</t>
  </si>
  <si>
    <t>73/190</t>
  </si>
  <si>
    <t>51/92</t>
  </si>
  <si>
    <t>103/186</t>
  </si>
  <si>
    <t>34/193</t>
  </si>
  <si>
    <t>86/190</t>
  </si>
  <si>
    <t>49/177</t>
  </si>
  <si>
    <t>70/92</t>
  </si>
  <si>
    <t>105/186</t>
  </si>
  <si>
    <t>21/193</t>
  </si>
  <si>
    <t>42/177</t>
  </si>
  <si>
    <t>148/193</t>
  </si>
  <si>
    <t>187/190</t>
  </si>
  <si>
    <t>83/177</t>
  </si>
  <si>
    <t>14/92</t>
  </si>
  <si>
    <t>94/186</t>
  </si>
  <si>
    <t>56/193</t>
  </si>
  <si>
    <t>75/190</t>
  </si>
  <si>
    <t>132/177</t>
  </si>
  <si>
    <t>67/92</t>
  </si>
  <si>
    <t>95/186</t>
  </si>
  <si>
    <t>54/193</t>
  </si>
  <si>
    <t>76/190</t>
  </si>
  <si>
    <t>131/177</t>
  </si>
  <si>
    <t>66/92</t>
  </si>
  <si>
    <t>49/63</t>
  </si>
  <si>
    <t>22/25</t>
  </si>
  <si>
    <t>142/186</t>
  </si>
  <si>
    <t>128/193</t>
  </si>
  <si>
    <t>143/190</t>
  </si>
  <si>
    <t>172/177</t>
  </si>
  <si>
    <t>83/92</t>
  </si>
  <si>
    <t>176/186</t>
  </si>
  <si>
    <t>171/193</t>
  </si>
  <si>
    <t>144/177</t>
  </si>
  <si>
    <t>7/92</t>
  </si>
  <si>
    <t>145/177</t>
  </si>
  <si>
    <t>8/92</t>
  </si>
  <si>
    <t>99/186</t>
  </si>
  <si>
    <t>60/193</t>
  </si>
  <si>
    <t>81/190</t>
  </si>
  <si>
    <t>136/177</t>
  </si>
  <si>
    <t>71/92</t>
  </si>
  <si>
    <t>53/63</t>
  </si>
  <si>
    <t>169/193</t>
  </si>
  <si>
    <t>147/177</t>
  </si>
  <si>
    <t>13/92</t>
  </si>
  <si>
    <t>86/186</t>
  </si>
  <si>
    <t>57/193</t>
  </si>
  <si>
    <t>64/190</t>
  </si>
  <si>
    <t>46/63</t>
  </si>
  <si>
    <t>85/186</t>
  </si>
  <si>
    <t>52/193</t>
  </si>
  <si>
    <t>124/177</t>
  </si>
  <si>
    <t>58/92</t>
  </si>
  <si>
    <t>90/186</t>
  </si>
  <si>
    <t>59/193</t>
  </si>
  <si>
    <t>72/190</t>
  </si>
  <si>
    <t>60/92</t>
  </si>
  <si>
    <t>97/186</t>
  </si>
  <si>
    <t>58/193</t>
  </si>
  <si>
    <t>79/190</t>
  </si>
  <si>
    <t>135/177</t>
  </si>
  <si>
    <t>69/92</t>
  </si>
  <si>
    <t>52/63</t>
  </si>
  <si>
    <t>172/193</t>
  </si>
  <si>
    <t>146/177</t>
  </si>
  <si>
    <t>9/92</t>
  </si>
  <si>
    <t>26/63</t>
  </si>
  <si>
    <t>Amundi Fds Global Macro Forex AE-C</t>
  </si>
  <si>
    <t>20/157</t>
  </si>
  <si>
    <t>41/165</t>
  </si>
  <si>
    <t>31/165</t>
  </si>
  <si>
    <t>30/136</t>
  </si>
  <si>
    <t>42/89</t>
  </si>
  <si>
    <t>Amundi Fds Global Macro Forex AE-D</t>
  </si>
  <si>
    <t>18/157</t>
  </si>
  <si>
    <t>39/165</t>
  </si>
  <si>
    <t>32/165</t>
  </si>
  <si>
    <t>Amundi Fds Global Macro Forex FE-C</t>
  </si>
  <si>
    <t>28/157</t>
  </si>
  <si>
    <t>43/165</t>
  </si>
  <si>
    <t>37/165</t>
  </si>
  <si>
    <t>46/136</t>
  </si>
  <si>
    <t>88/110</t>
  </si>
  <si>
    <t>53/89</t>
  </si>
  <si>
    <t>42/49</t>
  </si>
  <si>
    <t>Amundi Fds Global Macro Forex H-C</t>
  </si>
  <si>
    <t>19/157</t>
  </si>
  <si>
    <t>42/165</t>
  </si>
  <si>
    <t>42/136</t>
  </si>
  <si>
    <t>86/110</t>
  </si>
  <si>
    <t>51/89</t>
  </si>
  <si>
    <t>Amundi Fds Global Macro Forex IE-C</t>
  </si>
  <si>
    <t>15/157</t>
  </si>
  <si>
    <t>29/165</t>
  </si>
  <si>
    <t>30/89</t>
  </si>
  <si>
    <t>Amundi Fds Global Macro Forex IHU-C</t>
  </si>
  <si>
    <t>LU0987184867</t>
  </si>
  <si>
    <t>Amundi Fds Global Macro Forex ME-C</t>
  </si>
  <si>
    <t>16/157</t>
  </si>
  <si>
    <t>38/165</t>
  </si>
  <si>
    <t>30/165</t>
  </si>
  <si>
    <t>25/136</t>
  </si>
  <si>
    <t>Amundi Fds Global Macro Forex SE-C</t>
  </si>
  <si>
    <t>40/165</t>
  </si>
  <si>
    <t>34/165</t>
  </si>
  <si>
    <t>Amundi Fds Global Perspectives AE-C</t>
  </si>
  <si>
    <t>1438/2490</t>
  </si>
  <si>
    <t>890/2614</t>
  </si>
  <si>
    <t>892/2574</t>
  </si>
  <si>
    <t>1873/2299</t>
  </si>
  <si>
    <t>1308/1650</t>
  </si>
  <si>
    <t>903/1182</t>
  </si>
  <si>
    <t>Amundi Fds Global Perspectives AE-D</t>
  </si>
  <si>
    <t>1446/2490</t>
  </si>
  <si>
    <t>917/2614</t>
  </si>
  <si>
    <t>910/2574</t>
  </si>
  <si>
    <t>1875/2299</t>
  </si>
  <si>
    <t>1317/1650</t>
  </si>
  <si>
    <t>906/1182</t>
  </si>
  <si>
    <t>Amundi Fds Global Perspectives AHK-C</t>
  </si>
  <si>
    <t>1025/4580</t>
  </si>
  <si>
    <t>393/4723</t>
  </si>
  <si>
    <t>105/4658</t>
  </si>
  <si>
    <t>3004/4427</t>
  </si>
  <si>
    <t>Amundi Fds Global Perspectives FE-C</t>
  </si>
  <si>
    <t>1580/2490</t>
  </si>
  <si>
    <t>989/2614</t>
  </si>
  <si>
    <t>1016/2574</t>
  </si>
  <si>
    <t>1952/2299</t>
  </si>
  <si>
    <t>1417/1650</t>
  </si>
  <si>
    <t>958/1182</t>
  </si>
  <si>
    <t>Amundi Fds Global Perspectives IE-C</t>
  </si>
  <si>
    <t>1267/2490</t>
  </si>
  <si>
    <t>797/2614</t>
  </si>
  <si>
    <t>784/2574</t>
  </si>
  <si>
    <t>1767/2299</t>
  </si>
  <si>
    <t>1207/1650</t>
  </si>
  <si>
    <t>847/1182</t>
  </si>
  <si>
    <t>Amundi Fds Global Perspectives IE-D</t>
  </si>
  <si>
    <t>1268/2490</t>
  </si>
  <si>
    <t>800/2614</t>
  </si>
  <si>
    <t>785/2574</t>
  </si>
  <si>
    <t>1768/2299</t>
  </si>
  <si>
    <t>1157/1650</t>
  </si>
  <si>
    <t>832/1182</t>
  </si>
  <si>
    <t>Amundi Fds Global Perspectives ME-C</t>
  </si>
  <si>
    <t>1273/2490</t>
  </si>
  <si>
    <t>810/2614</t>
  </si>
  <si>
    <t>790/2574</t>
  </si>
  <si>
    <t>1769/2299</t>
  </si>
  <si>
    <t>1210/1650</t>
  </si>
  <si>
    <t>Amundi Fds Global Perspectives RE-C</t>
  </si>
  <si>
    <t>1306/2490</t>
  </si>
  <si>
    <t>824/2614</t>
  </si>
  <si>
    <t>811/2574</t>
  </si>
  <si>
    <t>1791/2299</t>
  </si>
  <si>
    <t>1188/1650</t>
  </si>
  <si>
    <t>842/1182</t>
  </si>
  <si>
    <t>Amundi Fds Global Perspectives RE-D</t>
  </si>
  <si>
    <t>1309/2490</t>
  </si>
  <si>
    <t>849/2614</t>
  </si>
  <si>
    <t>814/2574</t>
  </si>
  <si>
    <t>1792/2299</t>
  </si>
  <si>
    <t>1187/1650</t>
  </si>
  <si>
    <t>839/1182</t>
  </si>
  <si>
    <t>Amundi Fds Global Perspectives SE-C</t>
  </si>
  <si>
    <t>1500/2490</t>
  </si>
  <si>
    <t>946/2614</t>
  </si>
  <si>
    <t>949/2574</t>
  </si>
  <si>
    <t>1908/2299</t>
  </si>
  <si>
    <t>1349/1650</t>
  </si>
  <si>
    <t>925/1182</t>
  </si>
  <si>
    <t>Amundi Fds Inc Ptnrs China AggtBd AU-C</t>
  </si>
  <si>
    <t>129/172</t>
  </si>
  <si>
    <t>38/174</t>
  </si>
  <si>
    <t>118/173</t>
  </si>
  <si>
    <t>160/170</t>
  </si>
  <si>
    <t>137/140</t>
  </si>
  <si>
    <t>Amundi Fds Inc Ptnrs China AggtBd FHE-C</t>
  </si>
  <si>
    <t>863/3842</t>
  </si>
  <si>
    <t>998/4082</t>
  </si>
  <si>
    <t>427/3983</t>
  </si>
  <si>
    <t>3309/3544</t>
  </si>
  <si>
    <t>2222/2338</t>
  </si>
  <si>
    <t>Amundi Fds Inc Ptnrs China AggtBd FHE-MD</t>
  </si>
  <si>
    <t>868/3842</t>
  </si>
  <si>
    <t>1001/4082</t>
  </si>
  <si>
    <t>425/3983</t>
  </si>
  <si>
    <t>3310/3544</t>
  </si>
  <si>
    <t>2215/2338</t>
  </si>
  <si>
    <t>Amundi Fds Inc Ptnrs China AggtBd FU-C</t>
  </si>
  <si>
    <t>135/172</t>
  </si>
  <si>
    <t>Amundi Fds Inc Ptnrs China AggtBd IHE-C</t>
  </si>
  <si>
    <t>672/3842</t>
  </si>
  <si>
    <t>568/4082</t>
  </si>
  <si>
    <t>333/3983</t>
  </si>
  <si>
    <t>3135/3544</t>
  </si>
  <si>
    <t>Amundi Fds Inc Ptnrs China AggtBd IU-C</t>
  </si>
  <si>
    <t>107/172</t>
  </si>
  <si>
    <t>106/173</t>
  </si>
  <si>
    <t>147/170</t>
  </si>
  <si>
    <t>123/140</t>
  </si>
  <si>
    <t>Amundi Fds Inc Ptnrs China AggtBd PU-C</t>
  </si>
  <si>
    <t>115/173</t>
  </si>
  <si>
    <t>155/170</t>
  </si>
  <si>
    <t>133/140</t>
  </si>
  <si>
    <t>Amundi Fds Inc Ptnrs China AggtBd SHE-C</t>
  </si>
  <si>
    <t>792/3842</t>
  </si>
  <si>
    <t>685/4082</t>
  </si>
  <si>
    <t>416/3983</t>
  </si>
  <si>
    <t>3272/3544</t>
  </si>
  <si>
    <t>2200/2338</t>
  </si>
  <si>
    <t>Amundi Fds Inc Ptnrs China AggtBd SHE-MD</t>
  </si>
  <si>
    <t>799/3842</t>
  </si>
  <si>
    <t>743/4082</t>
  </si>
  <si>
    <t>397/3983</t>
  </si>
  <si>
    <t>3275/3544</t>
  </si>
  <si>
    <t>2202/2338</t>
  </si>
  <si>
    <t>Amundi Fds Inc Ptnrs China AggtBd SU-C</t>
  </si>
  <si>
    <t>130/172</t>
  </si>
  <si>
    <t>42/174</t>
  </si>
  <si>
    <t>122/173</t>
  </si>
  <si>
    <t>162/170</t>
  </si>
  <si>
    <t>139/140</t>
  </si>
  <si>
    <t>Amundi Fds Multi Asset Consrv AE-C</t>
  </si>
  <si>
    <t>240/882</t>
  </si>
  <si>
    <t>108/948</t>
  </si>
  <si>
    <t>262/921</t>
  </si>
  <si>
    <t>377/843</t>
  </si>
  <si>
    <t>251/692</t>
  </si>
  <si>
    <t>290/577</t>
  </si>
  <si>
    <t>Amundi Fds Multi Asset Consrv AE-D</t>
  </si>
  <si>
    <t>271/882</t>
  </si>
  <si>
    <t>163/948</t>
  </si>
  <si>
    <t>335/921</t>
  </si>
  <si>
    <t>419/843</t>
  </si>
  <si>
    <t>Amundi Fds Multi Asset Consrv FE-C</t>
  </si>
  <si>
    <t>365/882</t>
  </si>
  <si>
    <t>198/948</t>
  </si>
  <si>
    <t>407/921</t>
  </si>
  <si>
    <t>511/843</t>
  </si>
  <si>
    <t>429/692</t>
  </si>
  <si>
    <t>406/577</t>
  </si>
  <si>
    <t>367/454</t>
  </si>
  <si>
    <t>Amundi Fds Multi Asset Consrv FE-QD</t>
  </si>
  <si>
    <t>354/882</t>
  </si>
  <si>
    <t>196/948</t>
  </si>
  <si>
    <t>405/921</t>
  </si>
  <si>
    <t>518/843</t>
  </si>
  <si>
    <t>Amundi Fds Multi Asset Consrv IE-C</t>
  </si>
  <si>
    <t>239/882</t>
  </si>
  <si>
    <t>128/948</t>
  </si>
  <si>
    <t>264/921</t>
  </si>
  <si>
    <t>362/843</t>
  </si>
  <si>
    <t>205/692</t>
  </si>
  <si>
    <t>246/577</t>
  </si>
  <si>
    <t>262/454</t>
  </si>
  <si>
    <t>Amundi Fds Multi Asset Consrv IE-D</t>
  </si>
  <si>
    <t>233/882</t>
  </si>
  <si>
    <t>106/948</t>
  </si>
  <si>
    <t>244/921</t>
  </si>
  <si>
    <t>357/843</t>
  </si>
  <si>
    <t>Amundi Fds Multi Asset Consrv IHJ-C</t>
  </si>
  <si>
    <t>4306/4580</t>
  </si>
  <si>
    <t>4549/4723</t>
  </si>
  <si>
    <t>4585/4658</t>
  </si>
  <si>
    <t>4378/4427</t>
  </si>
  <si>
    <t>Amundi Fds Multi Asset Consrv ME-C</t>
  </si>
  <si>
    <t>257/882</t>
  </si>
  <si>
    <t>138/948</t>
  </si>
  <si>
    <t>275/921</t>
  </si>
  <si>
    <t>391/843</t>
  </si>
  <si>
    <t>Amundi Fds Multi Asset Consrv OFE-C</t>
  </si>
  <si>
    <t>118/948</t>
  </si>
  <si>
    <t>LU1600318593</t>
  </si>
  <si>
    <t>Amundi Fds Multi Asset Consrv SE-C</t>
  </si>
  <si>
    <t>336/882</t>
  </si>
  <si>
    <t>164/948</t>
  </si>
  <si>
    <t>356/921</t>
  </si>
  <si>
    <t>469/843</t>
  </si>
  <si>
    <t>376/692</t>
  </si>
  <si>
    <t>367/577</t>
  </si>
  <si>
    <t>345/454</t>
  </si>
  <si>
    <t>Amundi Fds Multi Asset Consrv SE-QD</t>
  </si>
  <si>
    <t>344/882</t>
  </si>
  <si>
    <t>162/948</t>
  </si>
  <si>
    <t>355/921</t>
  </si>
  <si>
    <t>507/843</t>
  </si>
  <si>
    <t>485/905</t>
  </si>
  <si>
    <t>310/936</t>
  </si>
  <si>
    <t>343/926</t>
  </si>
  <si>
    <t>643/820</t>
  </si>
  <si>
    <t>Amundi Fds Protect 90 AU-C</t>
  </si>
  <si>
    <t>LU1579338093</t>
  </si>
  <si>
    <t>Amundi Fds SBI FM Eqty India Select AE-C</t>
  </si>
  <si>
    <t>403/430</t>
  </si>
  <si>
    <t>362/442</t>
  </si>
  <si>
    <t>386/439</t>
  </si>
  <si>
    <t>390/420</t>
  </si>
  <si>
    <t>226/334</t>
  </si>
  <si>
    <t>208/273</t>
  </si>
  <si>
    <t>Amundi Fds SBI FM Eqty India Select AE-D</t>
  </si>
  <si>
    <t>365/442</t>
  </si>
  <si>
    <t>391/439</t>
  </si>
  <si>
    <t>Amundi Fds SBI FM Eqty India Select AU-C</t>
  </si>
  <si>
    <t>406/430</t>
  </si>
  <si>
    <t>364/442</t>
  </si>
  <si>
    <t>384/439</t>
  </si>
  <si>
    <t>393/420</t>
  </si>
  <si>
    <t>224/334</t>
  </si>
  <si>
    <t>196/273</t>
  </si>
  <si>
    <t>135/175</t>
  </si>
  <si>
    <t>Amundi Fds SBI FM Eqty India Select AU-D</t>
  </si>
  <si>
    <t>407/430</t>
  </si>
  <si>
    <t>366/442</t>
  </si>
  <si>
    <t>385/439</t>
  </si>
  <si>
    <t>394/420</t>
  </si>
  <si>
    <t>230/334</t>
  </si>
  <si>
    <t>199/273</t>
  </si>
  <si>
    <t>Amundi Fds SBI FM Eqty India Select FU-C</t>
  </si>
  <si>
    <t>414/430</t>
  </si>
  <si>
    <t>384/442</t>
  </si>
  <si>
    <t>403/439</t>
  </si>
  <si>
    <t>402/420</t>
  </si>
  <si>
    <t>260/334</t>
  </si>
  <si>
    <t>234/273</t>
  </si>
  <si>
    <t>Amundi Fds SBI FM Eqty India Select IU-C</t>
  </si>
  <si>
    <t>400/430</t>
  </si>
  <si>
    <t>346/442</t>
  </si>
  <si>
    <t>366/439</t>
  </si>
  <si>
    <t>382/420</t>
  </si>
  <si>
    <t>202/334</t>
  </si>
  <si>
    <t>177/273</t>
  </si>
  <si>
    <t>Amundi Fds SBI FM Eqty India Select IU-D</t>
  </si>
  <si>
    <t>401/430</t>
  </si>
  <si>
    <t>345/442</t>
  </si>
  <si>
    <t>365/439</t>
  </si>
  <si>
    <t>384/420</t>
  </si>
  <si>
    <t>203/334</t>
  </si>
  <si>
    <t>179/273</t>
  </si>
  <si>
    <t>Amundi Fds SBI FM Eqty India Select MU-C</t>
  </si>
  <si>
    <t>399/430</t>
  </si>
  <si>
    <t>347/442</t>
  </si>
  <si>
    <t>364/439</t>
  </si>
  <si>
    <t>381/420</t>
  </si>
  <si>
    <t>205/334</t>
  </si>
  <si>
    <t>174/273</t>
  </si>
  <si>
    <t>123/430</t>
  </si>
  <si>
    <t>229/442</t>
  </si>
  <si>
    <t>161/439</t>
  </si>
  <si>
    <t>245/420</t>
  </si>
  <si>
    <t>153/334</t>
  </si>
  <si>
    <t>89/273</t>
  </si>
  <si>
    <t>99/175</t>
  </si>
  <si>
    <t>133/430</t>
  </si>
  <si>
    <t>263/442</t>
  </si>
  <si>
    <t>186/439</t>
  </si>
  <si>
    <t>254/420</t>
  </si>
  <si>
    <t>200/334</t>
  </si>
  <si>
    <t>121/273</t>
  </si>
  <si>
    <t>121/430</t>
  </si>
  <si>
    <t>230/442</t>
  </si>
  <si>
    <t>159/439</t>
  </si>
  <si>
    <t>233/420</t>
  </si>
  <si>
    <t>193/334</t>
  </si>
  <si>
    <t>117/273</t>
  </si>
  <si>
    <t>132/430</t>
  </si>
  <si>
    <t>262/442</t>
  </si>
  <si>
    <t>182/439</t>
  </si>
  <si>
    <t>252/420</t>
  </si>
  <si>
    <t>197/334</t>
  </si>
  <si>
    <t>120/273</t>
  </si>
  <si>
    <t>106/175</t>
  </si>
  <si>
    <t>168/430</t>
  </si>
  <si>
    <t>268/442</t>
  </si>
  <si>
    <t>204/439</t>
  </si>
  <si>
    <t>282/420</t>
  </si>
  <si>
    <t>208/334</t>
  </si>
  <si>
    <t>127/273</t>
  </si>
  <si>
    <t>112/175</t>
  </si>
  <si>
    <t>157/430</t>
  </si>
  <si>
    <t>251/442</t>
  </si>
  <si>
    <t>189/439</t>
  </si>
  <si>
    <t>289/420</t>
  </si>
  <si>
    <t>232/334</t>
  </si>
  <si>
    <t>172/273</t>
  </si>
  <si>
    <t>Amundi Fds SBI FM Equity India I4-C</t>
  </si>
  <si>
    <t>95/430</t>
  </si>
  <si>
    <t>214/442</t>
  </si>
  <si>
    <t>137/439</t>
  </si>
  <si>
    <t>183/420</t>
  </si>
  <si>
    <t>82/334</t>
  </si>
  <si>
    <t>44/273</t>
  </si>
  <si>
    <t>66/175</t>
  </si>
  <si>
    <t>LU0236503040</t>
  </si>
  <si>
    <t>253/442</t>
  </si>
  <si>
    <t>178/439</t>
  </si>
  <si>
    <t>220/420</t>
  </si>
  <si>
    <t>167/334</t>
  </si>
  <si>
    <t>91/273</t>
  </si>
  <si>
    <t>93/175</t>
  </si>
  <si>
    <t>124/430</t>
  </si>
  <si>
    <t>250/442</t>
  </si>
  <si>
    <t>175/439</t>
  </si>
  <si>
    <t>210/420</t>
  </si>
  <si>
    <t>161/334</t>
  </si>
  <si>
    <t>90/273</t>
  </si>
  <si>
    <t>90/175</t>
  </si>
  <si>
    <t>128/430</t>
  </si>
  <si>
    <t>238/442</t>
  </si>
  <si>
    <t>169/439</t>
  </si>
  <si>
    <t>256/420</t>
  </si>
  <si>
    <t>207/334</t>
  </si>
  <si>
    <t>140/273</t>
  </si>
  <si>
    <t>122/175</t>
  </si>
  <si>
    <t>138/196</t>
  </si>
  <si>
    <t>14/197</t>
  </si>
  <si>
    <t>47/197</t>
  </si>
  <si>
    <t>89/191</t>
  </si>
  <si>
    <t>141/196</t>
  </si>
  <si>
    <t>15/197</t>
  </si>
  <si>
    <t>51/197</t>
  </si>
  <si>
    <t>96/191</t>
  </si>
  <si>
    <t>Amundi Fds Target Coupon AE-YD</t>
  </si>
  <si>
    <t>29/1720</t>
  </si>
  <si>
    <t>45/1802</t>
  </si>
  <si>
    <t>26/1779</t>
  </si>
  <si>
    <t>46/1599</t>
  </si>
  <si>
    <t>Amundi Fds Target Coupon FE-YD</t>
  </si>
  <si>
    <t>37/1720</t>
  </si>
  <si>
    <t>49/1802</t>
  </si>
  <si>
    <t>40/1779</t>
  </si>
  <si>
    <t>55/1599</t>
  </si>
  <si>
    <t>Amundi Fds Target Coupon IE-YD</t>
  </si>
  <si>
    <t>22/1720</t>
  </si>
  <si>
    <t>41/1802</t>
  </si>
  <si>
    <t>18/1779</t>
  </si>
  <si>
    <t>37/1599</t>
  </si>
  <si>
    <t>Amundi Fds Target Coupon SE-YD</t>
  </si>
  <si>
    <t>34/1720</t>
  </si>
  <si>
    <t>47/1802</t>
  </si>
  <si>
    <t>32/1779</t>
  </si>
  <si>
    <t>51/1599</t>
  </si>
  <si>
    <t>Amundi Fds Wells Fargo US Mid Cap AE-C</t>
  </si>
  <si>
    <t>EAA Fund US Mid-Cap Equity</t>
  </si>
  <si>
    <t>6/164</t>
  </si>
  <si>
    <t>125/176</t>
  </si>
  <si>
    <t>14/166</t>
  </si>
  <si>
    <t>75/95</t>
  </si>
  <si>
    <t>55/79</t>
  </si>
  <si>
    <t>Amundi Fds Wells Fargo US Mid Cap AHE-C</t>
  </si>
  <si>
    <t>24/761</t>
  </si>
  <si>
    <t>326/787</t>
  </si>
  <si>
    <t>55/779</t>
  </si>
  <si>
    <t>414/707</t>
  </si>
  <si>
    <t>225/503</t>
  </si>
  <si>
    <t>220/307</t>
  </si>
  <si>
    <t>95/161</t>
  </si>
  <si>
    <t>Amundi Fds Wells Fargo US Mid Cap AU-C</t>
  </si>
  <si>
    <t>4/164</t>
  </si>
  <si>
    <t>123/176</t>
  </si>
  <si>
    <t>12/166</t>
  </si>
  <si>
    <t>116/157</t>
  </si>
  <si>
    <t>76/95</t>
  </si>
  <si>
    <t>57/79</t>
  </si>
  <si>
    <t>Amundi Fds Wells Fargo US Mid Cap AU-D</t>
  </si>
  <si>
    <t>5/164</t>
  </si>
  <si>
    <t>13/166</t>
  </si>
  <si>
    <t>117/157</t>
  </si>
  <si>
    <t>68/131</t>
  </si>
  <si>
    <t>77/95</t>
  </si>
  <si>
    <t>Amundi Fds Wells Fargo US Mid Cap FHE-C</t>
  </si>
  <si>
    <t>31/761</t>
  </si>
  <si>
    <t>370/787</t>
  </si>
  <si>
    <t>62/779</t>
  </si>
  <si>
    <t>523/707</t>
  </si>
  <si>
    <t>329/503</t>
  </si>
  <si>
    <t>282/307</t>
  </si>
  <si>
    <t>135/161</t>
  </si>
  <si>
    <t>Amundi Fds Wells Fargo US Mid Cap FU-C</t>
  </si>
  <si>
    <t>8/164</t>
  </si>
  <si>
    <t>135/176</t>
  </si>
  <si>
    <t>22/166</t>
  </si>
  <si>
    <t>85/131</t>
  </si>
  <si>
    <t>92/95</t>
  </si>
  <si>
    <t>68/79</t>
  </si>
  <si>
    <t>Amundi Fds Wells Fargo US Mid Cap IHE-C</t>
  </si>
  <si>
    <t>23/761</t>
  </si>
  <si>
    <t>298/787</t>
  </si>
  <si>
    <t>56/779</t>
  </si>
  <si>
    <t>378/707</t>
  </si>
  <si>
    <t>175/503</t>
  </si>
  <si>
    <t>177/307</t>
  </si>
  <si>
    <t>Amundi Fds Wells Fargo US Mid Cap IU-C</t>
  </si>
  <si>
    <t>1/164</t>
  </si>
  <si>
    <t>118/176</t>
  </si>
  <si>
    <t>8/166</t>
  </si>
  <si>
    <t>90/157</t>
  </si>
  <si>
    <t>48/131</t>
  </si>
  <si>
    <t>68/95</t>
  </si>
  <si>
    <t>38/79</t>
  </si>
  <si>
    <t>Amundi Fds Wells Fargo US Mid Cap IU-D</t>
  </si>
  <si>
    <t>2/164</t>
  </si>
  <si>
    <t>10/166</t>
  </si>
  <si>
    <t>95/157</t>
  </si>
  <si>
    <t>44/131</t>
  </si>
  <si>
    <t>63/95</t>
  </si>
  <si>
    <t>35/79</t>
  </si>
  <si>
    <t>Amundi Fds Wells Fargo US Mid Cap MHE-C</t>
  </si>
  <si>
    <t>20/761</t>
  </si>
  <si>
    <t>316/787</t>
  </si>
  <si>
    <t>44/779</t>
  </si>
  <si>
    <t>351/707</t>
  </si>
  <si>
    <t>170/503</t>
  </si>
  <si>
    <t>190/307</t>
  </si>
  <si>
    <t>Amundi Fds Wells Fargo US Mid Cap MU-C</t>
  </si>
  <si>
    <t>Amundi Fds Wells Fargo US Mid Cap RHE-C</t>
  </si>
  <si>
    <t>Amundi Fds Wells Fargo US Mid Cap RU-C</t>
  </si>
  <si>
    <t>3/164</t>
  </si>
  <si>
    <t>120/176</t>
  </si>
  <si>
    <t>9/166</t>
  </si>
  <si>
    <t>Amundi Fds Wells Fargo US Mid Cap SHE-C</t>
  </si>
  <si>
    <t>25/761</t>
  </si>
  <si>
    <t>356/787</t>
  </si>
  <si>
    <t>57/779</t>
  </si>
  <si>
    <t>454/707</t>
  </si>
  <si>
    <t>263/503</t>
  </si>
  <si>
    <t>249/307</t>
  </si>
  <si>
    <t>Amundi Fds Wells Fargo US Mid Cap SU-C</t>
  </si>
  <si>
    <t>7/164</t>
  </si>
  <si>
    <t>128/176</t>
  </si>
  <si>
    <t>16/166</t>
  </si>
  <si>
    <t>73/131</t>
  </si>
  <si>
    <t>83/95</t>
  </si>
  <si>
    <t>60/75</t>
  </si>
  <si>
    <t>19/740</t>
  </si>
  <si>
    <t>45/754</t>
  </si>
  <si>
    <t>130/750</t>
  </si>
  <si>
    <t>46/722</t>
  </si>
  <si>
    <t>406/641</t>
  </si>
  <si>
    <t>54/557</t>
  </si>
  <si>
    <t>247/414</t>
  </si>
  <si>
    <t>Amundi Gbl Dyn Allo Protect 90 (HKD)</t>
  </si>
  <si>
    <t>831/895</t>
  </si>
  <si>
    <t>883/891</t>
  </si>
  <si>
    <t>Amundi Gbl Dyn Allo Protect 90 (USD)</t>
  </si>
  <si>
    <t>784/895</t>
  </si>
  <si>
    <t>HK0000331196</t>
  </si>
  <si>
    <t>573/740</t>
  </si>
  <si>
    <t>576/754</t>
  </si>
  <si>
    <t>599/750</t>
  </si>
  <si>
    <t>522/722</t>
  </si>
  <si>
    <t>528/641</t>
  </si>
  <si>
    <t>456/557</t>
  </si>
  <si>
    <t>124/414</t>
  </si>
  <si>
    <t>607/829</t>
  </si>
  <si>
    <t>215/848</t>
  </si>
  <si>
    <t>325/843</t>
  </si>
  <si>
    <t>652/767</t>
  </si>
  <si>
    <t>473/593</t>
  </si>
  <si>
    <t>301/409</t>
  </si>
  <si>
    <t>180/238</t>
  </si>
  <si>
    <t>606/829</t>
  </si>
  <si>
    <t>218/848</t>
  </si>
  <si>
    <t>320/843</t>
  </si>
  <si>
    <t>649/767</t>
  </si>
  <si>
    <t>474/593</t>
  </si>
  <si>
    <t>300/409</t>
  </si>
  <si>
    <t>179/238</t>
  </si>
  <si>
    <t>577/740</t>
  </si>
  <si>
    <t>577/754</t>
  </si>
  <si>
    <t>601/750</t>
  </si>
  <si>
    <t>521/722</t>
  </si>
  <si>
    <t>529/641</t>
  </si>
  <si>
    <t>457/557</t>
  </si>
  <si>
    <t>122/414</t>
  </si>
  <si>
    <t>227/373</t>
  </si>
  <si>
    <t>209/382</t>
  </si>
  <si>
    <t>241/377</t>
  </si>
  <si>
    <t>139/366</t>
  </si>
  <si>
    <t>79/294</t>
  </si>
  <si>
    <t>89/233</t>
  </si>
  <si>
    <t>19/160</t>
  </si>
  <si>
    <t>230/373</t>
  </si>
  <si>
    <t>204/382</t>
  </si>
  <si>
    <t>246/377</t>
  </si>
  <si>
    <t>138/366</t>
  </si>
  <si>
    <t>80/294</t>
  </si>
  <si>
    <t>90/233</t>
  </si>
  <si>
    <t>432/1123</t>
  </si>
  <si>
    <t>966/1170</t>
  </si>
  <si>
    <t>228/1151</t>
  </si>
  <si>
    <t>743/1045</t>
  </si>
  <si>
    <t>434/865</t>
  </si>
  <si>
    <t>528/716</t>
  </si>
  <si>
    <t>311/494</t>
  </si>
  <si>
    <t>602/1123</t>
  </si>
  <si>
    <t>963/1170</t>
  </si>
  <si>
    <t>320/1151</t>
  </si>
  <si>
    <t>812/1045</t>
  </si>
  <si>
    <t>497/865</t>
  </si>
  <si>
    <t>550/716</t>
  </si>
  <si>
    <t>337/494</t>
  </si>
  <si>
    <t>173/493</t>
  </si>
  <si>
    <t>385/519</t>
  </si>
  <si>
    <t>321/515</t>
  </si>
  <si>
    <t>415/451</t>
  </si>
  <si>
    <t>227/343</t>
  </si>
  <si>
    <t>117/134</t>
  </si>
  <si>
    <t>417/493</t>
  </si>
  <si>
    <t>363/519</t>
  </si>
  <si>
    <t>443/515</t>
  </si>
  <si>
    <t>394/451</t>
  </si>
  <si>
    <t>416/493</t>
  </si>
  <si>
    <t>369/519</t>
  </si>
  <si>
    <t>440/515</t>
  </si>
  <si>
    <t>393/451</t>
  </si>
  <si>
    <t>296/343</t>
  </si>
  <si>
    <t>415/493</t>
  </si>
  <si>
    <t>364/519</t>
  </si>
  <si>
    <t>437/515</t>
  </si>
  <si>
    <t>383/451</t>
  </si>
  <si>
    <t>172/493</t>
  </si>
  <si>
    <t>387/519</t>
  </si>
  <si>
    <t>318/515</t>
  </si>
  <si>
    <t>414/451</t>
  </si>
  <si>
    <t>226/343</t>
  </si>
  <si>
    <t>213/241</t>
  </si>
  <si>
    <t>116/134</t>
  </si>
  <si>
    <t>83/186</t>
  </si>
  <si>
    <t>48/193</t>
  </si>
  <si>
    <t>62/190</t>
  </si>
  <si>
    <t>57/92</t>
  </si>
  <si>
    <t>45/63</t>
  </si>
  <si>
    <t>89/186</t>
  </si>
  <si>
    <t>53/193</t>
  </si>
  <si>
    <t>62/92</t>
  </si>
  <si>
    <t>4/50</t>
  </si>
  <si>
    <t>29/50</t>
  </si>
  <si>
    <t>44/44</t>
  </si>
  <si>
    <t>292/484</t>
  </si>
  <si>
    <t>470/499</t>
  </si>
  <si>
    <t>264/497</t>
  </si>
  <si>
    <t>406/471</t>
  </si>
  <si>
    <t>49/387</t>
  </si>
  <si>
    <t>97/235</t>
  </si>
  <si>
    <t>297/484</t>
  </si>
  <si>
    <t>464/499</t>
  </si>
  <si>
    <t>266/497</t>
  </si>
  <si>
    <t>407/471</t>
  </si>
  <si>
    <t>48/387</t>
  </si>
  <si>
    <t>75/298</t>
  </si>
  <si>
    <t>99/235</t>
  </si>
  <si>
    <t>Amundi Global Strategy Eq Fd D1M</t>
  </si>
  <si>
    <t>115/140</t>
  </si>
  <si>
    <t>73/140</t>
  </si>
  <si>
    <t>86/140</t>
  </si>
  <si>
    <t>89/137</t>
  </si>
  <si>
    <t>Amundi Global Strategy Eq Fd D1M Hdg</t>
  </si>
  <si>
    <t>JP90C000EYV2</t>
  </si>
  <si>
    <t>Amundi Global Strategy Eq Fd D2Y</t>
  </si>
  <si>
    <t>116/140</t>
  </si>
  <si>
    <t>72/140</t>
  </si>
  <si>
    <t>87/140</t>
  </si>
  <si>
    <t>90/137</t>
  </si>
  <si>
    <t>Amundi Global Strategy Eq Fd D2Y Hdg</t>
  </si>
  <si>
    <t>JP90C000EYU4</t>
  </si>
  <si>
    <t>31/57</t>
  </si>
  <si>
    <t>20/57</t>
  </si>
  <si>
    <t>47/56</t>
  </si>
  <si>
    <t>23/51</t>
  </si>
  <si>
    <t>190/434</t>
  </si>
  <si>
    <t>378/462</t>
  </si>
  <si>
    <t>118/451</t>
  </si>
  <si>
    <t>237/408</t>
  </si>
  <si>
    <t>Amundi Harmonie C</t>
  </si>
  <si>
    <t>676/1720</t>
  </si>
  <si>
    <t>695/1802</t>
  </si>
  <si>
    <t>229/1779</t>
  </si>
  <si>
    <t>1010/1599</t>
  </si>
  <si>
    <t>353/1164</t>
  </si>
  <si>
    <t>82/875</t>
  </si>
  <si>
    <t>121/632</t>
  </si>
  <si>
    <t>FR0010186700</t>
  </si>
  <si>
    <t>71/4345</t>
  </si>
  <si>
    <t>96/4572</t>
  </si>
  <si>
    <t>200/4495</t>
  </si>
  <si>
    <t>78/4345</t>
  </si>
  <si>
    <t>120/4572</t>
  </si>
  <si>
    <t>222/4495</t>
  </si>
  <si>
    <t>55/815</t>
  </si>
  <si>
    <t>68/866</t>
  </si>
  <si>
    <t>75/838</t>
  </si>
  <si>
    <t>76/761</t>
  </si>
  <si>
    <t>196/4580</t>
  </si>
  <si>
    <t>32/4723</t>
  </si>
  <si>
    <t>3544/4658</t>
  </si>
  <si>
    <t>454/4427</t>
  </si>
  <si>
    <t>887/4580</t>
  </si>
  <si>
    <t>12/4723</t>
  </si>
  <si>
    <t>1165/4658</t>
  </si>
  <si>
    <t>1118/4427</t>
  </si>
  <si>
    <t>20/2017</t>
  </si>
  <si>
    <t>15/2107</t>
  </si>
  <si>
    <t>9/2076</t>
  </si>
  <si>
    <t>104/1882</t>
  </si>
  <si>
    <t>432/4580</t>
  </si>
  <si>
    <t>456/4723</t>
  </si>
  <si>
    <t>343/4658</t>
  </si>
  <si>
    <t>1977/4427</t>
  </si>
  <si>
    <t>49/815</t>
  </si>
  <si>
    <t>55/866</t>
  </si>
  <si>
    <t>65/838</t>
  </si>
  <si>
    <t>64/761</t>
  </si>
  <si>
    <t>36/815</t>
  </si>
  <si>
    <t>47/866</t>
  </si>
  <si>
    <t>55/838</t>
  </si>
  <si>
    <t>41/761</t>
  </si>
  <si>
    <t>124/481</t>
  </si>
  <si>
    <t>53/283</t>
  </si>
  <si>
    <t>298/4580</t>
  </si>
  <si>
    <t>30/4723</t>
  </si>
  <si>
    <t>128/4658</t>
  </si>
  <si>
    <t>481/4427</t>
  </si>
  <si>
    <t>43/815</t>
  </si>
  <si>
    <t>63/866</t>
  </si>
  <si>
    <t>73/838</t>
  </si>
  <si>
    <t>68/761</t>
  </si>
  <si>
    <t>204/481</t>
  </si>
  <si>
    <t>40/815</t>
  </si>
  <si>
    <t>38/866</t>
  </si>
  <si>
    <t>53/838</t>
  </si>
  <si>
    <t>45/761</t>
  </si>
  <si>
    <t>361/4580</t>
  </si>
  <si>
    <t>895/4723</t>
  </si>
  <si>
    <t>2244/4658</t>
  </si>
  <si>
    <t>743/4427</t>
  </si>
  <si>
    <t>49/3396</t>
  </si>
  <si>
    <t>351/4580</t>
  </si>
  <si>
    <t>740/4723</t>
  </si>
  <si>
    <t>2097/4658</t>
  </si>
  <si>
    <t>740/4427</t>
  </si>
  <si>
    <t>54/3396</t>
  </si>
  <si>
    <t>46/815</t>
  </si>
  <si>
    <t>69/866</t>
  </si>
  <si>
    <t>74/838</t>
  </si>
  <si>
    <t>67/761</t>
  </si>
  <si>
    <t>203/481</t>
  </si>
  <si>
    <t>98/283</t>
  </si>
  <si>
    <t>45/815</t>
  </si>
  <si>
    <t>54/866</t>
  </si>
  <si>
    <t>62/838</t>
  </si>
  <si>
    <t>61/761</t>
  </si>
  <si>
    <t>1433/4580</t>
  </si>
  <si>
    <t>64/4723</t>
  </si>
  <si>
    <t>4244/4658</t>
  </si>
  <si>
    <t>2586/4427</t>
  </si>
  <si>
    <t>3773/4580</t>
  </si>
  <si>
    <t>23/4723</t>
  </si>
  <si>
    <t>3595/4658</t>
  </si>
  <si>
    <t>3913/4427</t>
  </si>
  <si>
    <t>2569/4580</t>
  </si>
  <si>
    <t>1851/4723</t>
  </si>
  <si>
    <t>2570/4658</t>
  </si>
  <si>
    <t>4251/4427</t>
  </si>
  <si>
    <t>78/366</t>
  </si>
  <si>
    <t>76/391</t>
  </si>
  <si>
    <t>79/379</t>
  </si>
  <si>
    <t>188/345</t>
  </si>
  <si>
    <t>1901/4580</t>
  </si>
  <si>
    <t>50/4723</t>
  </si>
  <si>
    <t>591/4658</t>
  </si>
  <si>
    <t>2694/4427</t>
  </si>
  <si>
    <t>2270/4580</t>
  </si>
  <si>
    <t>2427/4723</t>
  </si>
  <si>
    <t>3879/4658</t>
  </si>
  <si>
    <t>3417/4427</t>
  </si>
  <si>
    <t>79/366</t>
  </si>
  <si>
    <t>83/391</t>
  </si>
  <si>
    <t>74/379</t>
  </si>
  <si>
    <t>191/345</t>
  </si>
  <si>
    <t>98/221</t>
  </si>
  <si>
    <t>41/129</t>
  </si>
  <si>
    <t>75/366</t>
  </si>
  <si>
    <t>80/391</t>
  </si>
  <si>
    <t>75/379</t>
  </si>
  <si>
    <t>189/345</t>
  </si>
  <si>
    <t>57/366</t>
  </si>
  <si>
    <t>74/391</t>
  </si>
  <si>
    <t>56/379</t>
  </si>
  <si>
    <t>61/221</t>
  </si>
  <si>
    <t>14/129</t>
  </si>
  <si>
    <t>88/944</t>
  </si>
  <si>
    <t>9/999</t>
  </si>
  <si>
    <t>483/986</t>
  </si>
  <si>
    <t>366/876</t>
  </si>
  <si>
    <t>199/944</t>
  </si>
  <si>
    <t>1/999</t>
  </si>
  <si>
    <t>188/986</t>
  </si>
  <si>
    <t>536/876</t>
  </si>
  <si>
    <t>49/944</t>
  </si>
  <si>
    <t>66/999</t>
  </si>
  <si>
    <t>20/986</t>
  </si>
  <si>
    <t>465/876</t>
  </si>
  <si>
    <t>167/944</t>
  </si>
  <si>
    <t>168/999</t>
  </si>
  <si>
    <t>126/986</t>
  </si>
  <si>
    <t>799/876</t>
  </si>
  <si>
    <t>643/4345</t>
  </si>
  <si>
    <t>237/4572</t>
  </si>
  <si>
    <t>467/4495</t>
  </si>
  <si>
    <t>3477/4016</t>
  </si>
  <si>
    <t>672/4345</t>
  </si>
  <si>
    <t>258/4572</t>
  </si>
  <si>
    <t>502/4495</t>
  </si>
  <si>
    <t>3479/4016</t>
  </si>
  <si>
    <t>128/944</t>
  </si>
  <si>
    <t>7/999</t>
  </si>
  <si>
    <t>62/986</t>
  </si>
  <si>
    <t>374/876</t>
  </si>
  <si>
    <t>641/4345</t>
  </si>
  <si>
    <t>256/4572</t>
  </si>
  <si>
    <t>488/4495</t>
  </si>
  <si>
    <t>3475/4016</t>
  </si>
  <si>
    <t>663/4345</t>
  </si>
  <si>
    <t>269/4572</t>
  </si>
  <si>
    <t>504/4495</t>
  </si>
  <si>
    <t>3493/4016</t>
  </si>
  <si>
    <t>151/944</t>
  </si>
  <si>
    <t>223/999</t>
  </si>
  <si>
    <t>293/986</t>
  </si>
  <si>
    <t>513/876</t>
  </si>
  <si>
    <t>157/944</t>
  </si>
  <si>
    <t>233/999</t>
  </si>
  <si>
    <t>313/986</t>
  </si>
  <si>
    <t>523/876</t>
  </si>
  <si>
    <t>150/944</t>
  </si>
  <si>
    <t>201/999</t>
  </si>
  <si>
    <t>303/986</t>
  </si>
  <si>
    <t>514/876</t>
  </si>
  <si>
    <t>653/4345</t>
  </si>
  <si>
    <t>268/4572</t>
  </si>
  <si>
    <t>510/4495</t>
  </si>
  <si>
    <t>3484/4016</t>
  </si>
  <si>
    <t>667/4345</t>
  </si>
  <si>
    <t>259/4572</t>
  </si>
  <si>
    <t>507/4495</t>
  </si>
  <si>
    <t>3491/4016</t>
  </si>
  <si>
    <t>537/4345</t>
  </si>
  <si>
    <t>224/4572</t>
  </si>
  <si>
    <t>442/4495</t>
  </si>
  <si>
    <t>3318/4016</t>
  </si>
  <si>
    <t>3328/4345</t>
  </si>
  <si>
    <t>2836/4572</t>
  </si>
  <si>
    <t>2918/4495</t>
  </si>
  <si>
    <t>2951/4016</t>
  </si>
  <si>
    <t>1737/2981</t>
  </si>
  <si>
    <t>1158/2184</t>
  </si>
  <si>
    <t>767/1651</t>
  </si>
  <si>
    <t>23/304</t>
  </si>
  <si>
    <t>18/323</t>
  </si>
  <si>
    <t>35/318</t>
  </si>
  <si>
    <t>9/282</t>
  </si>
  <si>
    <t>57/174</t>
  </si>
  <si>
    <t>42/116</t>
  </si>
  <si>
    <t>19/304</t>
  </si>
  <si>
    <t>16/323</t>
  </si>
  <si>
    <t>33/318</t>
  </si>
  <si>
    <t>6/282</t>
  </si>
  <si>
    <t>36/174</t>
  </si>
  <si>
    <t>17/116</t>
  </si>
  <si>
    <t>268/319</t>
  </si>
  <si>
    <t>219/326</t>
  </si>
  <si>
    <t>281/324</t>
  </si>
  <si>
    <t>172/304</t>
  </si>
  <si>
    <t>53/236</t>
  </si>
  <si>
    <t>25/185</t>
  </si>
  <si>
    <t>43/136</t>
  </si>
  <si>
    <t>16/139</t>
  </si>
  <si>
    <t>114/138</t>
  </si>
  <si>
    <t>68/94</t>
  </si>
  <si>
    <t>44/136</t>
  </si>
  <si>
    <t>21/139</t>
  </si>
  <si>
    <t>70/94</t>
  </si>
  <si>
    <t>84/136</t>
  </si>
  <si>
    <t>3/139</t>
  </si>
  <si>
    <t>80/138</t>
  </si>
  <si>
    <t>93/128</t>
  </si>
  <si>
    <t>80/139</t>
  </si>
  <si>
    <t>40/138</t>
  </si>
  <si>
    <t>110/139</t>
  </si>
  <si>
    <t>70/138</t>
  </si>
  <si>
    <t>119/128</t>
  </si>
  <si>
    <t>EAA Fund Asia-Pacific ex-Japan Equity Income</t>
  </si>
  <si>
    <t>192/284</t>
  </si>
  <si>
    <t>155/282</t>
  </si>
  <si>
    <t>184/273</t>
  </si>
  <si>
    <t>143/205</t>
  </si>
  <si>
    <t>196/284</t>
  </si>
  <si>
    <t>157/282</t>
  </si>
  <si>
    <t>180/273</t>
  </si>
  <si>
    <t>144/205</t>
  </si>
  <si>
    <t>49/136</t>
  </si>
  <si>
    <t>14/139</t>
  </si>
  <si>
    <t>56/138</t>
  </si>
  <si>
    <t>34/128</t>
  </si>
  <si>
    <t>134/281</t>
  </si>
  <si>
    <t>195/284</t>
  </si>
  <si>
    <t>160/282</t>
  </si>
  <si>
    <t>131/205</t>
  </si>
  <si>
    <t>124/281</t>
  </si>
  <si>
    <t>190/284</t>
  </si>
  <si>
    <t>156/282</t>
  </si>
  <si>
    <t>181/273</t>
  </si>
  <si>
    <t>141/205</t>
  </si>
  <si>
    <t>58/136</t>
  </si>
  <si>
    <t>115/139</t>
  </si>
  <si>
    <t>95/138</t>
  </si>
  <si>
    <t>114/139</t>
  </si>
  <si>
    <t>93/138</t>
  </si>
  <si>
    <t>67/128</t>
  </si>
  <si>
    <t>129/281</t>
  </si>
  <si>
    <t>149/282</t>
  </si>
  <si>
    <t>182/273</t>
  </si>
  <si>
    <t>139/205</t>
  </si>
  <si>
    <t>126/281</t>
  </si>
  <si>
    <t>188/284</t>
  </si>
  <si>
    <t>150/282</t>
  </si>
  <si>
    <t>178/273</t>
  </si>
  <si>
    <t>142/205</t>
  </si>
  <si>
    <t>912/4580</t>
  </si>
  <si>
    <t>3863/4723</t>
  </si>
  <si>
    <t>385/4658</t>
  </si>
  <si>
    <t>1374/4427</t>
  </si>
  <si>
    <t>471/3396</t>
  </si>
  <si>
    <t>300/434</t>
  </si>
  <si>
    <t>367/462</t>
  </si>
  <si>
    <t>148/451</t>
  </si>
  <si>
    <t>287/434</t>
  </si>
  <si>
    <t>355/462</t>
  </si>
  <si>
    <t>129/451</t>
  </si>
  <si>
    <t>297/434</t>
  </si>
  <si>
    <t>366/462</t>
  </si>
  <si>
    <t>146/451</t>
  </si>
  <si>
    <t>9/252</t>
  </si>
  <si>
    <t>253/268</t>
  </si>
  <si>
    <t>157/266</t>
  </si>
  <si>
    <t>15/210</t>
  </si>
  <si>
    <t>6/168</t>
  </si>
  <si>
    <t>28/124</t>
  </si>
  <si>
    <t>10/252</t>
  </si>
  <si>
    <t>250/268</t>
  </si>
  <si>
    <t>160/266</t>
  </si>
  <si>
    <t>16/210</t>
  </si>
  <si>
    <t>5/168</t>
  </si>
  <si>
    <t>29/124</t>
  </si>
  <si>
    <t>2389/3842</t>
  </si>
  <si>
    <t>1853/4082</t>
  </si>
  <si>
    <t>3090/3983</t>
  </si>
  <si>
    <t>340/3544</t>
  </si>
  <si>
    <t>99/2338</t>
  </si>
  <si>
    <t>73/105</t>
  </si>
  <si>
    <t>31/106</t>
  </si>
  <si>
    <t>64/104</t>
  </si>
  <si>
    <t>75/87</t>
  </si>
  <si>
    <t>72/73</t>
  </si>
  <si>
    <t>170/186</t>
  </si>
  <si>
    <t>96/198</t>
  </si>
  <si>
    <t>68/170</t>
  </si>
  <si>
    <t>81/136</t>
  </si>
  <si>
    <t>35/68</t>
  </si>
  <si>
    <t>179/193</t>
  </si>
  <si>
    <t>102/170</t>
  </si>
  <si>
    <t>89/136</t>
  </si>
  <si>
    <t>114/186</t>
  </si>
  <si>
    <t>41/193</t>
  </si>
  <si>
    <t>112/190</t>
  </si>
  <si>
    <t>1/177</t>
  </si>
  <si>
    <t>92/92</t>
  </si>
  <si>
    <t>63/63</t>
  </si>
  <si>
    <t>18/1123</t>
  </si>
  <si>
    <t>134/1170</t>
  </si>
  <si>
    <t>14/1151</t>
  </si>
  <si>
    <t>212/1045</t>
  </si>
  <si>
    <t>754/865</t>
  </si>
  <si>
    <t>402/716</t>
  </si>
  <si>
    <t>362/494</t>
  </si>
  <si>
    <t>17/1123</t>
  </si>
  <si>
    <t>135/1170</t>
  </si>
  <si>
    <t>13/1151</t>
  </si>
  <si>
    <t>205/1045</t>
  </si>
  <si>
    <t>714/865</t>
  </si>
  <si>
    <t>268/716</t>
  </si>
  <si>
    <t>315/494</t>
  </si>
  <si>
    <t>127/206</t>
  </si>
  <si>
    <t>42/211</t>
  </si>
  <si>
    <t>119/211</t>
  </si>
  <si>
    <t>114/197</t>
  </si>
  <si>
    <t>20/102</t>
  </si>
  <si>
    <t>136/206</t>
  </si>
  <si>
    <t>43/211</t>
  </si>
  <si>
    <t>121/211</t>
  </si>
  <si>
    <t>120/197</t>
  </si>
  <si>
    <t>25/102</t>
  </si>
  <si>
    <t>1299/2490</t>
  </si>
  <si>
    <t>542/2614</t>
  </si>
  <si>
    <t>528/2574</t>
  </si>
  <si>
    <t>1280/2299</t>
  </si>
  <si>
    <t>875/1650</t>
  </si>
  <si>
    <t>585/1182</t>
  </si>
  <si>
    <t>491/767</t>
  </si>
  <si>
    <t>Amundi International MYR</t>
  </si>
  <si>
    <t>Malaysia Fund Equity - Global</t>
  </si>
  <si>
    <t>17/44</t>
  </si>
  <si>
    <t>37/47</t>
  </si>
  <si>
    <t>MYU9600AE008</t>
  </si>
  <si>
    <t>Amundi International USD</t>
  </si>
  <si>
    <t>45/47</t>
  </si>
  <si>
    <t>MYU9602AA002</t>
  </si>
  <si>
    <t>Amundi IS Barclays Euro AGG Corp AE-C</t>
  </si>
  <si>
    <t>854/1138</t>
  </si>
  <si>
    <t>1028/1170</t>
  </si>
  <si>
    <t>876/1161</t>
  </si>
  <si>
    <t>519/932</t>
  </si>
  <si>
    <t>Amundi IS Barclays Euro AGG Corp AE-D</t>
  </si>
  <si>
    <t>857/1138</t>
  </si>
  <si>
    <t>1031/1170</t>
  </si>
  <si>
    <t>871/1161</t>
  </si>
  <si>
    <t>812/1100</t>
  </si>
  <si>
    <t>500/932</t>
  </si>
  <si>
    <t>Amundi IS Barclays Euro AGG Corp IE-C</t>
  </si>
  <si>
    <t>817/1138</t>
  </si>
  <si>
    <t>999/1170</t>
  </si>
  <si>
    <t>803/1161</t>
  </si>
  <si>
    <t>789/1100</t>
  </si>
  <si>
    <t>439/932</t>
  </si>
  <si>
    <t>Amundi IS Barclays Euro AGG Corp IE-D</t>
  </si>
  <si>
    <t>816/1138</t>
  </si>
  <si>
    <t>998/1170</t>
  </si>
  <si>
    <t>801/1161</t>
  </si>
  <si>
    <t>788/1100</t>
  </si>
  <si>
    <t>397/932</t>
  </si>
  <si>
    <t>Amundi IS Barclays Euro AGG Corp ME-C</t>
  </si>
  <si>
    <t>827/1138</t>
  </si>
  <si>
    <t>997/1170</t>
  </si>
  <si>
    <t>832/1161</t>
  </si>
  <si>
    <t>800/1100</t>
  </si>
  <si>
    <t>461/932</t>
  </si>
  <si>
    <t>Amundi IS Barclays Euro AGG Corp RE-C</t>
  </si>
  <si>
    <t>803/1138</t>
  </si>
  <si>
    <t>993/1170</t>
  </si>
  <si>
    <t>797/1161</t>
  </si>
  <si>
    <t>772/1100</t>
  </si>
  <si>
    <t>392/932</t>
  </si>
  <si>
    <t>Amundi IS Barclays Euro AGG Corp RE-D</t>
  </si>
  <si>
    <t>794/1138</t>
  </si>
  <si>
    <t>987/1170</t>
  </si>
  <si>
    <t>785/1161</t>
  </si>
  <si>
    <t>773/1100</t>
  </si>
  <si>
    <t>396/932</t>
  </si>
  <si>
    <t>Amundi IS Barclays Glb AGG 500M I13 HE-C</t>
  </si>
  <si>
    <t>324/462</t>
  </si>
  <si>
    <t>175/451</t>
  </si>
  <si>
    <t>Amundi IS Barclays Glb AGG 500M IE-C</t>
  </si>
  <si>
    <t>701/1123</t>
  </si>
  <si>
    <t>831/1170</t>
  </si>
  <si>
    <t>683/1151</t>
  </si>
  <si>
    <t>Amundi IS Barclays Glb AGG 500M IG-D</t>
  </si>
  <si>
    <t>816/1170</t>
  </si>
  <si>
    <t>669/1151</t>
  </si>
  <si>
    <t>Amundi IS Barclays Glb AGG 500M IHE-C</t>
  </si>
  <si>
    <t>238/434</t>
  </si>
  <si>
    <t>330/462</t>
  </si>
  <si>
    <t>184/451</t>
  </si>
  <si>
    <t>Amundi IS Barclays Glb AGG 500M IU-C</t>
  </si>
  <si>
    <t>695/1123</t>
  </si>
  <si>
    <t>817/1170</t>
  </si>
  <si>
    <t>672/1151</t>
  </si>
  <si>
    <t>Amundi IS Barclays US Corp BBB 1-5 IE-C</t>
  </si>
  <si>
    <t>277/301</t>
  </si>
  <si>
    <t>258/327</t>
  </si>
  <si>
    <t>277/317</t>
  </si>
  <si>
    <t>Amundi IS Barclays US Corp BBB 1-5 IHE-C</t>
  </si>
  <si>
    <t>1360/4082</t>
  </si>
  <si>
    <t>LU1567999476</t>
  </si>
  <si>
    <t>Amundi IS Barclays US Corp BBB 1-5 IU-C</t>
  </si>
  <si>
    <t>257/327</t>
  </si>
  <si>
    <t>276/317</t>
  </si>
  <si>
    <t>Amundi IS Barclays US Corp BBB 1-5 IU-D</t>
  </si>
  <si>
    <t>253/327</t>
  </si>
  <si>
    <t>LU1525413503</t>
  </si>
  <si>
    <t>Amundi IS Bcly Euro CorpBBB 1-5 IE-C</t>
  </si>
  <si>
    <t>718/1138</t>
  </si>
  <si>
    <t>355/1170</t>
  </si>
  <si>
    <t>755/1161</t>
  </si>
  <si>
    <t>Amundi IS Bcly Euro CorpBBB 1-5 IE-EXF-C</t>
  </si>
  <si>
    <t>338/1170</t>
  </si>
  <si>
    <t>LU1525413099</t>
  </si>
  <si>
    <t>Amundi IS Bcly Euro CorpBBB 1-5 IE-EXF-D</t>
  </si>
  <si>
    <t>LU1525413172</t>
  </si>
  <si>
    <t>Amundi IS Bcly US Gov Infl-Lnkd Bd IE-C</t>
  </si>
  <si>
    <t>10/36</t>
  </si>
  <si>
    <t>30/40</t>
  </si>
  <si>
    <t>28/39</t>
  </si>
  <si>
    <t>Amundi IS EqGlb MltSmrtAllcSci Beta AE-C</t>
  </si>
  <si>
    <t>LU1437019307</t>
  </si>
  <si>
    <t>Amundi IS EqGlb MltSmrtAllcSci Beta IE-C</t>
  </si>
  <si>
    <t>2637/4345</t>
  </si>
  <si>
    <t>1418/4572</t>
  </si>
  <si>
    <t>2212/4495</t>
  </si>
  <si>
    <t>Amundi IS EqGlb MltSmrtAllcSci Beta RE-C</t>
  </si>
  <si>
    <t>LU1437019216</t>
  </si>
  <si>
    <t>Amundi IS EqGlb MltSmrtAllcSci Beta XE-C</t>
  </si>
  <si>
    <t>2608/4345</t>
  </si>
  <si>
    <t>1395/4572</t>
  </si>
  <si>
    <t>2184/4495</t>
  </si>
  <si>
    <t>Amundi IS EqGlb MltSmrtAllcSci Beta XG-C</t>
  </si>
  <si>
    <t>LU1437019059</t>
  </si>
  <si>
    <t>Amundi IS Equity Europe Low Carbon AE-C</t>
  </si>
  <si>
    <t>601/1877</t>
  </si>
  <si>
    <t>878/1956</t>
  </si>
  <si>
    <t>1150/1915</t>
  </si>
  <si>
    <t>Amundi IS Equity Europe Low Carbon IE-C</t>
  </si>
  <si>
    <t>623/1877</t>
  </si>
  <si>
    <t>872/1956</t>
  </si>
  <si>
    <t>1147/1915</t>
  </si>
  <si>
    <t>Amundi IS Equity Europe Low Carbon IU-C</t>
  </si>
  <si>
    <t>449/1877</t>
  </si>
  <si>
    <t>870/1956</t>
  </si>
  <si>
    <t>1145/1915</t>
  </si>
  <si>
    <t>Amundi IS Equity Europe Low Carbon RE-C</t>
  </si>
  <si>
    <t>633/1877</t>
  </si>
  <si>
    <t>879/1956</t>
  </si>
  <si>
    <t>1157/1915</t>
  </si>
  <si>
    <t>Amundi IS Equity Europe Low Carbon XE-C</t>
  </si>
  <si>
    <t>619/1877</t>
  </si>
  <si>
    <t>868/1956</t>
  </si>
  <si>
    <t>1142/1915</t>
  </si>
  <si>
    <t>Amundi IS Equity Europe Low Carbon XG-C</t>
  </si>
  <si>
    <t>838/1877</t>
  </si>
  <si>
    <t>866/1956</t>
  </si>
  <si>
    <t>1135/1915</t>
  </si>
  <si>
    <t>Amundi IS Equity Global Low Carbon AE-C</t>
  </si>
  <si>
    <t>2672/4345</t>
  </si>
  <si>
    <t>1384/4572</t>
  </si>
  <si>
    <t>3121/4495</t>
  </si>
  <si>
    <t>Amundi IS Equity Global Low Carbon IE-C</t>
  </si>
  <si>
    <t>2754/4345</t>
  </si>
  <si>
    <t>1459/4572</t>
  </si>
  <si>
    <t>3175/4495</t>
  </si>
  <si>
    <t>Amundi IS Equity Global Low Carbon IG-C</t>
  </si>
  <si>
    <t>2755/4345</t>
  </si>
  <si>
    <t>1453/4572</t>
  </si>
  <si>
    <t>3162/4495</t>
  </si>
  <si>
    <t>Amundi IS Equity Global Low Carbon IU-C</t>
  </si>
  <si>
    <t>2753/4345</t>
  </si>
  <si>
    <t>1456/4572</t>
  </si>
  <si>
    <t>3169/4495</t>
  </si>
  <si>
    <t>Amundi IS Equity Global Low Carbon RE-C</t>
  </si>
  <si>
    <t>2780/4345</t>
  </si>
  <si>
    <t>1475/4572</t>
  </si>
  <si>
    <t>3200/4495</t>
  </si>
  <si>
    <t>Amundi IS Equity Global Low Carbon XE-C</t>
  </si>
  <si>
    <t>2713/4345</t>
  </si>
  <si>
    <t>1439/4572</t>
  </si>
  <si>
    <t>3131/4495</t>
  </si>
  <si>
    <t>Amundi IS FTSE EPRA NAREIT Global A3E-C</t>
  </si>
  <si>
    <t>432/636</t>
  </si>
  <si>
    <t>337/649</t>
  </si>
  <si>
    <t>496/649</t>
  </si>
  <si>
    <t>369/587</t>
  </si>
  <si>
    <t>Amundi IS FTSE EPRA NAREIT Global AE-C</t>
  </si>
  <si>
    <t>467/636</t>
  </si>
  <si>
    <t>351/649</t>
  </si>
  <si>
    <t>523/649</t>
  </si>
  <si>
    <t>404/587</t>
  </si>
  <si>
    <t>Amundi IS FTSE EPRA NAREIT Global AE-D</t>
  </si>
  <si>
    <t>311/649</t>
  </si>
  <si>
    <t>478/649</t>
  </si>
  <si>
    <t>368/587</t>
  </si>
  <si>
    <t>Amundi IS FTSE EPRA NAREIT Global AU-C</t>
  </si>
  <si>
    <t>444/636</t>
  </si>
  <si>
    <t>329/649</t>
  </si>
  <si>
    <t>501/649</t>
  </si>
  <si>
    <t>376/587</t>
  </si>
  <si>
    <t>Amundi IS FTSE EPRA NAREIT Global AU-D</t>
  </si>
  <si>
    <t>422/636</t>
  </si>
  <si>
    <t>316/649</t>
  </si>
  <si>
    <t>474/649</t>
  </si>
  <si>
    <t>372/587</t>
  </si>
  <si>
    <t>Amundi IS FTSE EPRA NAREIT Global IE-C</t>
  </si>
  <si>
    <t>462/636</t>
  </si>
  <si>
    <t>347/649</t>
  </si>
  <si>
    <t>511/649</t>
  </si>
  <si>
    <t>393/587</t>
  </si>
  <si>
    <t>Amundi IS FTSE EPRA NAREIT Global IE-D</t>
  </si>
  <si>
    <t>451/636</t>
  </si>
  <si>
    <t>332/649</t>
  </si>
  <si>
    <t>502/649</t>
  </si>
  <si>
    <t>382/587</t>
  </si>
  <si>
    <t>Amundi IS FTSE EPRA NAREIT Global IG-C</t>
  </si>
  <si>
    <t>465/636</t>
  </si>
  <si>
    <t>350/649</t>
  </si>
  <si>
    <t>516/649</t>
  </si>
  <si>
    <t>392/587</t>
  </si>
  <si>
    <t>Amundi IS FTSE EPRA NAREIT Global IG-D</t>
  </si>
  <si>
    <t>466/636</t>
  </si>
  <si>
    <t>345/649</t>
  </si>
  <si>
    <t>515/649</t>
  </si>
  <si>
    <t>391/587</t>
  </si>
  <si>
    <t>Amundi IS FTSE EPRA NAREIT Global IU-C</t>
  </si>
  <si>
    <t>463/636</t>
  </si>
  <si>
    <t>344/649</t>
  </si>
  <si>
    <t>512/649</t>
  </si>
  <si>
    <t>394/587</t>
  </si>
  <si>
    <t>Amundi IS FTSE EPRA NAREIT Global IU-D</t>
  </si>
  <si>
    <t>455/636</t>
  </si>
  <si>
    <t>335/649</t>
  </si>
  <si>
    <t>504/649</t>
  </si>
  <si>
    <t>383/587</t>
  </si>
  <si>
    <t>Amundi IS FTSE EPRA NAREIT Global ME-C</t>
  </si>
  <si>
    <t>460/636</t>
  </si>
  <si>
    <t>348/649</t>
  </si>
  <si>
    <t>518/649</t>
  </si>
  <si>
    <t>380/587</t>
  </si>
  <si>
    <t>Amundi IS FTSE EPRA NAREIT Global RE-C</t>
  </si>
  <si>
    <t>Amundi IS FTSE EPRA NAREIT Global RE-D</t>
  </si>
  <si>
    <t>418/636</t>
  </si>
  <si>
    <t>289/649</t>
  </si>
  <si>
    <t>479/649</t>
  </si>
  <si>
    <t>358/587</t>
  </si>
  <si>
    <t>Amundi IS JP Morgan EMU Govies AE-C</t>
  </si>
  <si>
    <t>138/740</t>
  </si>
  <si>
    <t>443/754</t>
  </si>
  <si>
    <t>375/750</t>
  </si>
  <si>
    <t>125/722</t>
  </si>
  <si>
    <t>303/641</t>
  </si>
  <si>
    <t>Amundi IS JP Morgan EMU Govies AE-D</t>
  </si>
  <si>
    <t>162/740</t>
  </si>
  <si>
    <t>485/754</t>
  </si>
  <si>
    <t>391/750</t>
  </si>
  <si>
    <t>142/722</t>
  </si>
  <si>
    <t>317/641</t>
  </si>
  <si>
    <t>Amundi IS JP Morgan EMU Govies IE-C</t>
  </si>
  <si>
    <t>115/740</t>
  </si>
  <si>
    <t>414/754</t>
  </si>
  <si>
    <t>325/750</t>
  </si>
  <si>
    <t>114/722</t>
  </si>
  <si>
    <t>255/641</t>
  </si>
  <si>
    <t>Amundi IS JP Morgan EMU Govies IE-D</t>
  </si>
  <si>
    <t>116/740</t>
  </si>
  <si>
    <t>415/754</t>
  </si>
  <si>
    <t>323/750</t>
  </si>
  <si>
    <t>113/722</t>
  </si>
  <si>
    <t>236/641</t>
  </si>
  <si>
    <t>Amundi IS JP Morgan EMU Govies ME-C</t>
  </si>
  <si>
    <t>105/740</t>
  </si>
  <si>
    <t>417/754</t>
  </si>
  <si>
    <t>318/750</t>
  </si>
  <si>
    <t>103/722</t>
  </si>
  <si>
    <t>219/641</t>
  </si>
  <si>
    <t>Amundi IS JP Morgan EMU Govies RE-C</t>
  </si>
  <si>
    <t>Amundi IS JP Morgan EMU Govies RE-D</t>
  </si>
  <si>
    <t>112/740</t>
  </si>
  <si>
    <t>405/754</t>
  </si>
  <si>
    <t>324/750</t>
  </si>
  <si>
    <t>105/722</t>
  </si>
  <si>
    <t>226/641</t>
  </si>
  <si>
    <t>Amundi IS JP Morgan GBI Glbl Gvs AHE-C</t>
  </si>
  <si>
    <t>350/434</t>
  </si>
  <si>
    <t>412/462</t>
  </si>
  <si>
    <t>255/451</t>
  </si>
  <si>
    <t>384/408</t>
  </si>
  <si>
    <t>97/334</t>
  </si>
  <si>
    <t>126/248</t>
  </si>
  <si>
    <t>91/154</t>
  </si>
  <si>
    <t>Amundi IS JP Morgan GBI Glbl Gvs AHE-D</t>
  </si>
  <si>
    <t>349/434</t>
  </si>
  <si>
    <t>417/462</t>
  </si>
  <si>
    <t>256/451</t>
  </si>
  <si>
    <t>383/408</t>
  </si>
  <si>
    <t>94/334</t>
  </si>
  <si>
    <t>127/248</t>
  </si>
  <si>
    <t>90/154</t>
  </si>
  <si>
    <t>Amundi IS JP Morgan GBI Glbl Gvs IE-C</t>
  </si>
  <si>
    <t>787/1123</t>
  </si>
  <si>
    <t>691/1151</t>
  </si>
  <si>
    <t>Amundi IS JP Morgan GBI Glbl Gvs IHE-C</t>
  </si>
  <si>
    <t>337/434</t>
  </si>
  <si>
    <t>404/462</t>
  </si>
  <si>
    <t>243/451</t>
  </si>
  <si>
    <t>373/408</t>
  </si>
  <si>
    <t>73/334</t>
  </si>
  <si>
    <t>105/248</t>
  </si>
  <si>
    <t>Amundi IS JP Morgan GBI Glbl Gvs IHE-D</t>
  </si>
  <si>
    <t>336/434</t>
  </si>
  <si>
    <t>244/451</t>
  </si>
  <si>
    <t>372/408</t>
  </si>
  <si>
    <t>72/334</t>
  </si>
  <si>
    <t>Amundi IS JP Morgan GBI Glbl Gvs MHE-C</t>
  </si>
  <si>
    <t>341/434</t>
  </si>
  <si>
    <t>411/462</t>
  </si>
  <si>
    <t>246/451</t>
  </si>
  <si>
    <t>378/408</t>
  </si>
  <si>
    <t>85/334</t>
  </si>
  <si>
    <t>115/248</t>
  </si>
  <si>
    <t>86/154</t>
  </si>
  <si>
    <t>Amundi IS JP Morgan GBI Glbl Gvs RHE-C</t>
  </si>
  <si>
    <t>Amundi IS JP Morgan GBI Glbl Gvs RHE-D</t>
  </si>
  <si>
    <t>339/434</t>
  </si>
  <si>
    <t>247/451</t>
  </si>
  <si>
    <t>341/408</t>
  </si>
  <si>
    <t>34/334</t>
  </si>
  <si>
    <t>Amundi IS JP Morgan GBI Glbl Gvs RHG-C</t>
  </si>
  <si>
    <t>Amundi IS JP Morgan GBI Glbl Gvs RHG-D</t>
  </si>
  <si>
    <t>Amundi IS MSCI Emerging Markets A3E-C</t>
  </si>
  <si>
    <t>1218/2377</t>
  </si>
  <si>
    <t>1291/2457</t>
  </si>
  <si>
    <t>1100/2422</t>
  </si>
  <si>
    <t>987/2253</t>
  </si>
  <si>
    <t>Amundi IS MSCI Emerging Markets A3E-D</t>
  </si>
  <si>
    <t>1222/2377</t>
  </si>
  <si>
    <t>1305/2457</t>
  </si>
  <si>
    <t>1106/2422</t>
  </si>
  <si>
    <t>989/2253</t>
  </si>
  <si>
    <t>Amundi IS MSCI Emerging Markets A3U-C</t>
  </si>
  <si>
    <t>1219/2377</t>
  </si>
  <si>
    <t>1278/2457</t>
  </si>
  <si>
    <t>1105/2422</t>
  </si>
  <si>
    <t>983/2253</t>
  </si>
  <si>
    <t>Amundi IS MSCI Emerging Markets A3U-D</t>
  </si>
  <si>
    <t>1225/2377</t>
  </si>
  <si>
    <t>1285/2457</t>
  </si>
  <si>
    <t>1093/2422</t>
  </si>
  <si>
    <t>991/2253</t>
  </si>
  <si>
    <t>Amundi IS MSCI Emerging Markets AE-C</t>
  </si>
  <si>
    <t>1301/2377</t>
  </si>
  <si>
    <t>1318/2457</t>
  </si>
  <si>
    <t>1177/2422</t>
  </si>
  <si>
    <t>1069/2253</t>
  </si>
  <si>
    <t>1044/1747</t>
  </si>
  <si>
    <t>Amundi IS MSCI Emerging Markets AE-D</t>
  </si>
  <si>
    <t>1304/2377</t>
  </si>
  <si>
    <t>1325/2457</t>
  </si>
  <si>
    <t>1179/2422</t>
  </si>
  <si>
    <t>1073/2253</t>
  </si>
  <si>
    <t>1049/1747</t>
  </si>
  <si>
    <t>Amundi IS MSCI Emerging Markets AU-C</t>
  </si>
  <si>
    <t>1298/2377</t>
  </si>
  <si>
    <t>1314/2457</t>
  </si>
  <si>
    <t>1175/2422</t>
  </si>
  <si>
    <t>1067/2253</t>
  </si>
  <si>
    <t>1051/1747</t>
  </si>
  <si>
    <t>Amundi IS MSCI Emerging Markets AU-D</t>
  </si>
  <si>
    <t>1290/2377</t>
  </si>
  <si>
    <t>1317/2457</t>
  </si>
  <si>
    <t>1170/2422</t>
  </si>
  <si>
    <t>1062/2253</t>
  </si>
  <si>
    <t>1027/1747</t>
  </si>
  <si>
    <t>Amundi IS MSCI Emerging Markets IE-C</t>
  </si>
  <si>
    <t>1242/2377</t>
  </si>
  <si>
    <t>1303/2457</t>
  </si>
  <si>
    <t>1123/2422</t>
  </si>
  <si>
    <t>1002/2253</t>
  </si>
  <si>
    <t>932/1747</t>
  </si>
  <si>
    <t>Amundi IS MSCI Emerging Markets IE-D</t>
  </si>
  <si>
    <t>1243/2377</t>
  </si>
  <si>
    <t>1299/2457</t>
  </si>
  <si>
    <t>1121/2422</t>
  </si>
  <si>
    <t>1003/2253</t>
  </si>
  <si>
    <t>943/1747</t>
  </si>
  <si>
    <t>Amundi IS MSCI Emerging Markets IG-C</t>
  </si>
  <si>
    <t>1203/2377</t>
  </si>
  <si>
    <t>1280/2457</t>
  </si>
  <si>
    <t>1087/2422</t>
  </si>
  <si>
    <t>971/2253</t>
  </si>
  <si>
    <t>894/1747</t>
  </si>
  <si>
    <t>Amundi IS MSCI Emerging Markets IG-D</t>
  </si>
  <si>
    <t>1201/2377</t>
  </si>
  <si>
    <t>1283/2457</t>
  </si>
  <si>
    <t>1083/2422</t>
  </si>
  <si>
    <t>968/2253</t>
  </si>
  <si>
    <t>896/1747</t>
  </si>
  <si>
    <t>Amundi IS MSCI Emerging Markets IU-C</t>
  </si>
  <si>
    <t>1244/2377</t>
  </si>
  <si>
    <t>1300/2457</t>
  </si>
  <si>
    <t>1122/2422</t>
  </si>
  <si>
    <t>1001/2253</t>
  </si>
  <si>
    <t>931/1747</t>
  </si>
  <si>
    <t>Amundi IS MSCI Emerging Markets IU-D</t>
  </si>
  <si>
    <t>1217/2377</t>
  </si>
  <si>
    <t>1290/2457</t>
  </si>
  <si>
    <t>1102/2422</t>
  </si>
  <si>
    <t>986/2253</t>
  </si>
  <si>
    <t>908/1747</t>
  </si>
  <si>
    <t>Amundi IS MSCI Emerging Markets ME-C</t>
  </si>
  <si>
    <t>1268/2377</t>
  </si>
  <si>
    <t>1313/2457</t>
  </si>
  <si>
    <t>1141/2422</t>
  </si>
  <si>
    <t>1025/2253</t>
  </si>
  <si>
    <t>967/1747</t>
  </si>
  <si>
    <t>Amundi IS MSCI Emerging Markets RE-C</t>
  </si>
  <si>
    <t>1269/2377</t>
  </si>
  <si>
    <t>1307/2457</t>
  </si>
  <si>
    <t>1132/2422</t>
  </si>
  <si>
    <t>1024/2253</t>
  </si>
  <si>
    <t>946/1747</t>
  </si>
  <si>
    <t>Amundi IS MSCI Emerging Markets RE-D</t>
  </si>
  <si>
    <t>1398/2377</t>
  </si>
  <si>
    <t>1298/2457</t>
  </si>
  <si>
    <t>1326/2422</t>
  </si>
  <si>
    <t>1106/2253</t>
  </si>
  <si>
    <t>993/1747</t>
  </si>
  <si>
    <t>Amundi IS MSCI EMU AE-C</t>
  </si>
  <si>
    <t>411/1145</t>
  </si>
  <si>
    <t>660/1161</t>
  </si>
  <si>
    <t>720/1155</t>
  </si>
  <si>
    <t>416/1114</t>
  </si>
  <si>
    <t>376/929</t>
  </si>
  <si>
    <t>258/795</t>
  </si>
  <si>
    <t>245/648</t>
  </si>
  <si>
    <t>Amundi IS MSCI EMU AE-D</t>
  </si>
  <si>
    <t>410/1145</t>
  </si>
  <si>
    <t>657/1161</t>
  </si>
  <si>
    <t>718/1155</t>
  </si>
  <si>
    <t>417/1114</t>
  </si>
  <si>
    <t>375/929</t>
  </si>
  <si>
    <t>255/795</t>
  </si>
  <si>
    <t>240/648</t>
  </si>
  <si>
    <t>Amundi IS MSCI EMU IE-C</t>
  </si>
  <si>
    <t>389/1145</t>
  </si>
  <si>
    <t>644/1161</t>
  </si>
  <si>
    <t>696/1155</t>
  </si>
  <si>
    <t>392/1114</t>
  </si>
  <si>
    <t>342/929</t>
  </si>
  <si>
    <t>225/795</t>
  </si>
  <si>
    <t>211/648</t>
  </si>
  <si>
    <t>Amundi IS MSCI EMU IE-D</t>
  </si>
  <si>
    <t>388/1145</t>
  </si>
  <si>
    <t>641/1161</t>
  </si>
  <si>
    <t>695/1155</t>
  </si>
  <si>
    <t>391/1114</t>
  </si>
  <si>
    <t>341/929</t>
  </si>
  <si>
    <t>224/795</t>
  </si>
  <si>
    <t>210/648</t>
  </si>
  <si>
    <t>Amundi IS MSCI EMU IHC-C</t>
  </si>
  <si>
    <t>240/887</t>
  </si>
  <si>
    <t>362/914</t>
  </si>
  <si>
    <t>332/899</t>
  </si>
  <si>
    <t>122/825</t>
  </si>
  <si>
    <t>Amundi IS MSCI EMU IHU-C</t>
  </si>
  <si>
    <t>610/887</t>
  </si>
  <si>
    <t>666/914</t>
  </si>
  <si>
    <t>745/899</t>
  </si>
  <si>
    <t>106/825</t>
  </si>
  <si>
    <t>Amundi IS MSCI EMU ME-C</t>
  </si>
  <si>
    <t>397/1145</t>
  </si>
  <si>
    <t>664/1161</t>
  </si>
  <si>
    <t>709/1155</t>
  </si>
  <si>
    <t>401/1114</t>
  </si>
  <si>
    <t>355/929</t>
  </si>
  <si>
    <t>233/795</t>
  </si>
  <si>
    <t>Amundi IS MSCI EMU RE-C</t>
  </si>
  <si>
    <t>400/1145</t>
  </si>
  <si>
    <t>658/1161</t>
  </si>
  <si>
    <t>721/1155</t>
  </si>
  <si>
    <t>399/1114</t>
  </si>
  <si>
    <t>338/929</t>
  </si>
  <si>
    <t>228/795</t>
  </si>
  <si>
    <t>226/648</t>
  </si>
  <si>
    <t>Amundi IS MSCI EMU RE-D</t>
  </si>
  <si>
    <t>386/1145</t>
  </si>
  <si>
    <t>656/1161</t>
  </si>
  <si>
    <t>698/1155</t>
  </si>
  <si>
    <t>387/1114</t>
  </si>
  <si>
    <t>330/929</t>
  </si>
  <si>
    <t>226/795</t>
  </si>
  <si>
    <t>217/648</t>
  </si>
  <si>
    <t>Amundi IS MSCI EMU RHG-C</t>
  </si>
  <si>
    <t>283/887</t>
  </si>
  <si>
    <t>480/914</t>
  </si>
  <si>
    <t>381/899</t>
  </si>
  <si>
    <t>315/825</t>
  </si>
  <si>
    <t>349/393</t>
  </si>
  <si>
    <t>Amundi IS MSCI EMU RHG-D</t>
  </si>
  <si>
    <t>284/887</t>
  </si>
  <si>
    <t>485/914</t>
  </si>
  <si>
    <t>378/899</t>
  </si>
  <si>
    <t>311/825</t>
  </si>
  <si>
    <t>348/393</t>
  </si>
  <si>
    <t>Amundi IS MSCI Europe A3E-C</t>
  </si>
  <si>
    <t>781/1877</t>
  </si>
  <si>
    <t>962/1956</t>
  </si>
  <si>
    <t>1209/1915</t>
  </si>
  <si>
    <t>645/1770</t>
  </si>
  <si>
    <t>Amundi IS MSCI Europe A3E-D</t>
  </si>
  <si>
    <t>780/1877</t>
  </si>
  <si>
    <t>970/1956</t>
  </si>
  <si>
    <t>1205/1915</t>
  </si>
  <si>
    <t>656/1770</t>
  </si>
  <si>
    <t>Amundi IS MSCI Europe AE-C</t>
  </si>
  <si>
    <t>817/1877</t>
  </si>
  <si>
    <t>1009/1956</t>
  </si>
  <si>
    <t>1252/1915</t>
  </si>
  <si>
    <t>716/1770</t>
  </si>
  <si>
    <t>626/1372</t>
  </si>
  <si>
    <t>440/1112</t>
  </si>
  <si>
    <t>312/906</t>
  </si>
  <si>
    <t>Amundi IS MSCI Europe AE-D</t>
  </si>
  <si>
    <t>815/1877</t>
  </si>
  <si>
    <t>1008/1956</t>
  </si>
  <si>
    <t>1251/1915</t>
  </si>
  <si>
    <t>717/1770</t>
  </si>
  <si>
    <t>627/1372</t>
  </si>
  <si>
    <t>439/1112</t>
  </si>
  <si>
    <t>Amundi IS MSCI Europe IE-C</t>
  </si>
  <si>
    <t>784/1877</t>
  </si>
  <si>
    <t>971/1956</t>
  </si>
  <si>
    <t>1213/1915</t>
  </si>
  <si>
    <t>667/1770</t>
  </si>
  <si>
    <t>565/1372</t>
  </si>
  <si>
    <t>370/1112</t>
  </si>
  <si>
    <t>266/906</t>
  </si>
  <si>
    <t>Amundi IS MSCI Europe IE-D</t>
  </si>
  <si>
    <t>783/1877</t>
  </si>
  <si>
    <t>972/1956</t>
  </si>
  <si>
    <t>1214/1915</t>
  </si>
  <si>
    <t>666/1770</t>
  </si>
  <si>
    <t>564/1372</t>
  </si>
  <si>
    <t>369/1112</t>
  </si>
  <si>
    <t>267/906</t>
  </si>
  <si>
    <t>Amundi IS MSCI Europe ME-C</t>
  </si>
  <si>
    <t>785/1877</t>
  </si>
  <si>
    <t>961/1956</t>
  </si>
  <si>
    <t>1210/1915</t>
  </si>
  <si>
    <t>674/1770</t>
  </si>
  <si>
    <t>588/1372</t>
  </si>
  <si>
    <t>384/1112</t>
  </si>
  <si>
    <t>278/906</t>
  </si>
  <si>
    <t>Amundi IS MSCI Europe RE-C</t>
  </si>
  <si>
    <t>809/1877</t>
  </si>
  <si>
    <t>1006/1956</t>
  </si>
  <si>
    <t>1250/1915</t>
  </si>
  <si>
    <t>675/1770</t>
  </si>
  <si>
    <t>573/1372</t>
  </si>
  <si>
    <t>Amundi IS MSCI Europe RE-D</t>
  </si>
  <si>
    <t>807/1877</t>
  </si>
  <si>
    <t>993/1956</t>
  </si>
  <si>
    <t>1237/1915</t>
  </si>
  <si>
    <t>689/1770</t>
  </si>
  <si>
    <t>575/1372</t>
  </si>
  <si>
    <t>Amundi IS MSCI Europe RHG-C</t>
  </si>
  <si>
    <t>Amundi IS MSCI Europe RHG-D</t>
  </si>
  <si>
    <t>Amundi IS MSCI Japan A3E-C</t>
  </si>
  <si>
    <t>665/1021</t>
  </si>
  <si>
    <t>518/1060</t>
  </si>
  <si>
    <t>630/1050</t>
  </si>
  <si>
    <t>514/966</t>
  </si>
  <si>
    <t>Amundi IS MSCI Japan A3E-D</t>
  </si>
  <si>
    <t>656/1021</t>
  </si>
  <si>
    <t>503/1060</t>
  </si>
  <si>
    <t>628/1050</t>
  </si>
  <si>
    <t>506/966</t>
  </si>
  <si>
    <t>Amundi IS MSCI Japan A3U-C</t>
  </si>
  <si>
    <t>624/1021</t>
  </si>
  <si>
    <t>519/1060</t>
  </si>
  <si>
    <t>593/1050</t>
  </si>
  <si>
    <t>492/966</t>
  </si>
  <si>
    <t>Amundi IS MSCI Japan A3U-D</t>
  </si>
  <si>
    <t>629/1021</t>
  </si>
  <si>
    <t>516/1060</t>
  </si>
  <si>
    <t>596/1050</t>
  </si>
  <si>
    <t>491/966</t>
  </si>
  <si>
    <t>Amundi IS MSCI Japan AE-C</t>
  </si>
  <si>
    <t>727/1021</t>
  </si>
  <si>
    <t>546/1060</t>
  </si>
  <si>
    <t>675/1050</t>
  </si>
  <si>
    <t>567/966</t>
  </si>
  <si>
    <t>441/782</t>
  </si>
  <si>
    <t>410/641</t>
  </si>
  <si>
    <t>Amundi IS MSCI Japan AE-D</t>
  </si>
  <si>
    <t>735/1021</t>
  </si>
  <si>
    <t>549/1060</t>
  </si>
  <si>
    <t>679/1050</t>
  </si>
  <si>
    <t>576/966</t>
  </si>
  <si>
    <t>449/782</t>
  </si>
  <si>
    <t>Amundi IS MSCI Japan IE-C</t>
  </si>
  <si>
    <t>670/1021</t>
  </si>
  <si>
    <t>502/1060</t>
  </si>
  <si>
    <t>634/1050</t>
  </si>
  <si>
    <t>526/966</t>
  </si>
  <si>
    <t>374/782</t>
  </si>
  <si>
    <t>357/641</t>
  </si>
  <si>
    <t>297/537</t>
  </si>
  <si>
    <t>Amundi IS MSCI Japan IE-D</t>
  </si>
  <si>
    <t>668/1021</t>
  </si>
  <si>
    <t>501/1060</t>
  </si>
  <si>
    <t>633/1050</t>
  </si>
  <si>
    <t>521/966</t>
  </si>
  <si>
    <t>Amundi IS MSCI Japan IG-C</t>
  </si>
  <si>
    <t>671/1021</t>
  </si>
  <si>
    <t>495/1060</t>
  </si>
  <si>
    <t>629/1050</t>
  </si>
  <si>
    <t>524/966</t>
  </si>
  <si>
    <t>368/782</t>
  </si>
  <si>
    <t>Amundi IS MSCI Japan IG-D</t>
  </si>
  <si>
    <t>687/1021</t>
  </si>
  <si>
    <t>508/1060</t>
  </si>
  <si>
    <t>635/1050</t>
  </si>
  <si>
    <t>519/966</t>
  </si>
  <si>
    <t>364/782</t>
  </si>
  <si>
    <t>Amundi IS MSCI Japan IHC-C</t>
  </si>
  <si>
    <t>380/584</t>
  </si>
  <si>
    <t>284/611</t>
  </si>
  <si>
    <t>315/598</t>
  </si>
  <si>
    <t>310/539</t>
  </si>
  <si>
    <t>Amundi IS MSCI Japan IHE-C</t>
  </si>
  <si>
    <t>244/584</t>
  </si>
  <si>
    <t>193/611</t>
  </si>
  <si>
    <t>159/598</t>
  </si>
  <si>
    <t>217/539</t>
  </si>
  <si>
    <t>Amundi IS MSCI Japan IHU-C</t>
  </si>
  <si>
    <t>551/584</t>
  </si>
  <si>
    <t>426/611</t>
  </si>
  <si>
    <t>514/598</t>
  </si>
  <si>
    <t>288/539</t>
  </si>
  <si>
    <t>Amundi IS MSCI Japan IJ-C</t>
  </si>
  <si>
    <t>669/1021</t>
  </si>
  <si>
    <t>497/1060</t>
  </si>
  <si>
    <t>631/1050</t>
  </si>
  <si>
    <t>525/966</t>
  </si>
  <si>
    <t>369/782</t>
  </si>
  <si>
    <t>Amundi IS MSCI Japan IJ-D</t>
  </si>
  <si>
    <t>685/1021</t>
  </si>
  <si>
    <t>513/1060</t>
  </si>
  <si>
    <t>636/1050</t>
  </si>
  <si>
    <t>512/966</t>
  </si>
  <si>
    <t>363/782</t>
  </si>
  <si>
    <t>Amundi IS MSCI Japan ME-C</t>
  </si>
  <si>
    <t>692/1021</t>
  </si>
  <si>
    <t>520/1060</t>
  </si>
  <si>
    <t>646/1050</t>
  </si>
  <si>
    <t>541/966</t>
  </si>
  <si>
    <t>395/782</t>
  </si>
  <si>
    <t>Amundi IS MSCI Japan RE-C</t>
  </si>
  <si>
    <t>734/1021</t>
  </si>
  <si>
    <t>552/1060</t>
  </si>
  <si>
    <t>681/1050</t>
  </si>
  <si>
    <t>565/966</t>
  </si>
  <si>
    <t>423/782</t>
  </si>
  <si>
    <t>Amundi IS MSCI Japan RE-D</t>
  </si>
  <si>
    <t>733/1021</t>
  </si>
  <si>
    <t>547/1060</t>
  </si>
  <si>
    <t>667/1050</t>
  </si>
  <si>
    <t>562/966</t>
  </si>
  <si>
    <t>416/782</t>
  </si>
  <si>
    <t>Amundi IS MSCI North America A3E-C</t>
  </si>
  <si>
    <t>666/1686</t>
  </si>
  <si>
    <t>635/1752</t>
  </si>
  <si>
    <t>716/1730</t>
  </si>
  <si>
    <t>841/1565</t>
  </si>
  <si>
    <t>Amundi IS MSCI North America A3E-D</t>
  </si>
  <si>
    <t>663/1686</t>
  </si>
  <si>
    <t>639/1752</t>
  </si>
  <si>
    <t>714/1730</t>
  </si>
  <si>
    <t>839/1565</t>
  </si>
  <si>
    <t>Amundi IS MSCI North America AE-C</t>
  </si>
  <si>
    <t>737/1686</t>
  </si>
  <si>
    <t>674/1752</t>
  </si>
  <si>
    <t>781/1730</t>
  </si>
  <si>
    <t>905/1565</t>
  </si>
  <si>
    <t>501/1201</t>
  </si>
  <si>
    <t>402/932</t>
  </si>
  <si>
    <t>225/726</t>
  </si>
  <si>
    <t>Amundi IS MSCI North America AE-D</t>
  </si>
  <si>
    <t>735/1686</t>
  </si>
  <si>
    <t>673/1752</t>
  </si>
  <si>
    <t>780/1730</t>
  </si>
  <si>
    <t>910/1565</t>
  </si>
  <si>
    <t>497/1201</t>
  </si>
  <si>
    <t>403/932</t>
  </si>
  <si>
    <t>Amundi IS MSCI North America AHE-C</t>
  </si>
  <si>
    <t>253/761</t>
  </si>
  <si>
    <t>376/787</t>
  </si>
  <si>
    <t>249/779</t>
  </si>
  <si>
    <t>353/707</t>
  </si>
  <si>
    <t>Amundi IS MSCI North America AHK-C</t>
  </si>
  <si>
    <t>131/761</t>
  </si>
  <si>
    <t>181/787</t>
  </si>
  <si>
    <t>51/779</t>
  </si>
  <si>
    <t>212/707</t>
  </si>
  <si>
    <t>Amundi IS MSCI North America AU-C</t>
  </si>
  <si>
    <t>736/1686</t>
  </si>
  <si>
    <t>675/1752</t>
  </si>
  <si>
    <t>778/1730</t>
  </si>
  <si>
    <t>903/1565</t>
  </si>
  <si>
    <t>500/1201</t>
  </si>
  <si>
    <t>401/932</t>
  </si>
  <si>
    <t>Amundi IS MSCI North America AU-D</t>
  </si>
  <si>
    <t>621/1686</t>
  </si>
  <si>
    <t>663/1752</t>
  </si>
  <si>
    <t>692/1730</t>
  </si>
  <si>
    <t>797/1565</t>
  </si>
  <si>
    <t>Amundi IS MSCI North America IE-C</t>
  </si>
  <si>
    <t>680/1686</t>
  </si>
  <si>
    <t>647/1752</t>
  </si>
  <si>
    <t>722/1730</t>
  </si>
  <si>
    <t>863/1565</t>
  </si>
  <si>
    <t>442/1201</t>
  </si>
  <si>
    <t>357/932</t>
  </si>
  <si>
    <t>188/726</t>
  </si>
  <si>
    <t>Amundi IS MSCI North America IE-D</t>
  </si>
  <si>
    <t>677/1686</t>
  </si>
  <si>
    <t>648/1752</t>
  </si>
  <si>
    <t>723/1730</t>
  </si>
  <si>
    <t>856/1565</t>
  </si>
  <si>
    <t>437/1201</t>
  </si>
  <si>
    <t>356/932</t>
  </si>
  <si>
    <t>186/726</t>
  </si>
  <si>
    <t>Amundi IS MSCI North America IHE-C</t>
  </si>
  <si>
    <t>Amundi IS MSCI North America IU-C</t>
  </si>
  <si>
    <t>678/1686</t>
  </si>
  <si>
    <t>646/1752</t>
  </si>
  <si>
    <t>719/1730</t>
  </si>
  <si>
    <t>855/1565</t>
  </si>
  <si>
    <t>438/1201</t>
  </si>
  <si>
    <t>355/932</t>
  </si>
  <si>
    <t>Amundi IS MSCI North America IU-D</t>
  </si>
  <si>
    <t>Amundi IS MSCI North America ME-C</t>
  </si>
  <si>
    <t>698/1686</t>
  </si>
  <si>
    <t>653/1752</t>
  </si>
  <si>
    <t>741/1730</t>
  </si>
  <si>
    <t>875/1565</t>
  </si>
  <si>
    <t>459/1201</t>
  </si>
  <si>
    <t>371/932</t>
  </si>
  <si>
    <t>202/726</t>
  </si>
  <si>
    <t>Amundi IS MSCI North America MU-C</t>
  </si>
  <si>
    <t>644/1686</t>
  </si>
  <si>
    <t>634/1752</t>
  </si>
  <si>
    <t>695/1730</t>
  </si>
  <si>
    <t>813/1565</t>
  </si>
  <si>
    <t>Amundi IS MSCI North America RHE-C</t>
  </si>
  <si>
    <t>251/761</t>
  </si>
  <si>
    <t>383/787</t>
  </si>
  <si>
    <t>244/779</t>
  </si>
  <si>
    <t>352/707</t>
  </si>
  <si>
    <t>Amundi IS MSCI North America RHE-D</t>
  </si>
  <si>
    <t>234/761</t>
  </si>
  <si>
    <t>343/787</t>
  </si>
  <si>
    <t>224/779</t>
  </si>
  <si>
    <t>346/707</t>
  </si>
  <si>
    <t>Amundi IS MSCI North America RHG-C</t>
  </si>
  <si>
    <t>460/761</t>
  </si>
  <si>
    <t>604/787</t>
  </si>
  <si>
    <t>555/779</t>
  </si>
  <si>
    <t>605/707</t>
  </si>
  <si>
    <t>Amundi IS MSCI North America RHG-D</t>
  </si>
  <si>
    <t>457/761</t>
  </si>
  <si>
    <t>614/787</t>
  </si>
  <si>
    <t>556/779</t>
  </si>
  <si>
    <t>594/707</t>
  </si>
  <si>
    <t>Amundi IS MSCI North America RU-C</t>
  </si>
  <si>
    <t>733/1686</t>
  </si>
  <si>
    <t>676/1752</t>
  </si>
  <si>
    <t>775/1730</t>
  </si>
  <si>
    <t>886/1565</t>
  </si>
  <si>
    <t>441/1201</t>
  </si>
  <si>
    <t>Amundi IS MSCI North America RU-D</t>
  </si>
  <si>
    <t>720/1686</t>
  </si>
  <si>
    <t>659/1752</t>
  </si>
  <si>
    <t>760/1730</t>
  </si>
  <si>
    <t>883/1565</t>
  </si>
  <si>
    <t>445/1201</t>
  </si>
  <si>
    <t>Amundi IS MSCI Pacific ex Japan A3E-C</t>
  </si>
  <si>
    <t>577/619</t>
  </si>
  <si>
    <t>215/635</t>
  </si>
  <si>
    <t>555/629</t>
  </si>
  <si>
    <t>423/600</t>
  </si>
  <si>
    <t>Amundi IS MSCI Pacific ex Japan A3E-D</t>
  </si>
  <si>
    <t>581/619</t>
  </si>
  <si>
    <t>232/635</t>
  </si>
  <si>
    <t>548/629</t>
  </si>
  <si>
    <t>436/600</t>
  </si>
  <si>
    <t>Amundi IS MSCI Pacific ex Japan A3U-C</t>
  </si>
  <si>
    <t>506/619</t>
  </si>
  <si>
    <t>207/635</t>
  </si>
  <si>
    <t>528/629</t>
  </si>
  <si>
    <t>440/600</t>
  </si>
  <si>
    <t>Amundi IS MSCI Pacific ex Japan A3U-D</t>
  </si>
  <si>
    <t>501/619</t>
  </si>
  <si>
    <t>195/635</t>
  </si>
  <si>
    <t>550/629</t>
  </si>
  <si>
    <t>428/600</t>
  </si>
  <si>
    <t>Amundi IS MSCI Pacific ex Japan AE-C</t>
  </si>
  <si>
    <t>589/619</t>
  </si>
  <si>
    <t>247/635</t>
  </si>
  <si>
    <t>574/629</t>
  </si>
  <si>
    <t>461/600</t>
  </si>
  <si>
    <t>422/497</t>
  </si>
  <si>
    <t>278/411</t>
  </si>
  <si>
    <t>Amundi IS MSCI Pacific ex Japan AE-D</t>
  </si>
  <si>
    <t>588/619</t>
  </si>
  <si>
    <t>234/635</t>
  </si>
  <si>
    <t>573/629</t>
  </si>
  <si>
    <t>462/600</t>
  </si>
  <si>
    <t>421/497</t>
  </si>
  <si>
    <t>Amundi IS MSCI Pacific ex Japan IE-C</t>
  </si>
  <si>
    <t>583/619</t>
  </si>
  <si>
    <t>229/635</t>
  </si>
  <si>
    <t>558/629</t>
  </si>
  <si>
    <t>450/600</t>
  </si>
  <si>
    <t>407/497</t>
  </si>
  <si>
    <t>259/411</t>
  </si>
  <si>
    <t>260/319</t>
  </si>
  <si>
    <t>Amundi IS MSCI Pacific ex Japan IE-D</t>
  </si>
  <si>
    <t>582/619</t>
  </si>
  <si>
    <t>230/635</t>
  </si>
  <si>
    <t>451/600</t>
  </si>
  <si>
    <t>261/319</t>
  </si>
  <si>
    <t>Amundi IS MSCI Pacific ex Japan ME-C</t>
  </si>
  <si>
    <t>585/619</t>
  </si>
  <si>
    <t>238/635</t>
  </si>
  <si>
    <t>458/600</t>
  </si>
  <si>
    <t>417/497</t>
  </si>
  <si>
    <t>Amundi IS MSCI Pacific ex Japan RE-C</t>
  </si>
  <si>
    <t>586/619</t>
  </si>
  <si>
    <t>237/635</t>
  </si>
  <si>
    <t>570/629</t>
  </si>
  <si>
    <t>456/600</t>
  </si>
  <si>
    <t>403/497</t>
  </si>
  <si>
    <t>Amundi IS MSCI Pacific ex Japan RE-D</t>
  </si>
  <si>
    <t>584/619</t>
  </si>
  <si>
    <t>244/635</t>
  </si>
  <si>
    <t>446/600</t>
  </si>
  <si>
    <t>398/497</t>
  </si>
  <si>
    <t>Amundi IS MSCI Pacific ex Japan RHG-C</t>
  </si>
  <si>
    <t>Amundi IS MSCI Pacific ex Japan RHG-D</t>
  </si>
  <si>
    <t>Amundi IS MSCI World AE-C</t>
  </si>
  <si>
    <t>2990/4345</t>
  </si>
  <si>
    <t>1969/4572</t>
  </si>
  <si>
    <t>3228/4495</t>
  </si>
  <si>
    <t>2220/4016</t>
  </si>
  <si>
    <t>750/2981</t>
  </si>
  <si>
    <t>Amundi IS MSCI World AE-D</t>
  </si>
  <si>
    <t>2961/4345</t>
  </si>
  <si>
    <t>1991/4572</t>
  </si>
  <si>
    <t>3227/4495</t>
  </si>
  <si>
    <t>2199/4016</t>
  </si>
  <si>
    <t>740/2981</t>
  </si>
  <si>
    <t>Amundi IS MSCI World AU-C</t>
  </si>
  <si>
    <t>2971/4345</t>
  </si>
  <si>
    <t>1974/4572</t>
  </si>
  <si>
    <t>3222/4495</t>
  </si>
  <si>
    <t>2198/4016</t>
  </si>
  <si>
    <t>734/2981</t>
  </si>
  <si>
    <t>Amundi IS MSCI World AU-D</t>
  </si>
  <si>
    <t>2887/4345</t>
  </si>
  <si>
    <t>2007/4572</t>
  </si>
  <si>
    <t>3188/4495</t>
  </si>
  <si>
    <t>2114/4016</t>
  </si>
  <si>
    <t>630/2981</t>
  </si>
  <si>
    <t>Amundi IS MSCI World IE-C</t>
  </si>
  <si>
    <t>2929/4345</t>
  </si>
  <si>
    <t>1947/4572</t>
  </si>
  <si>
    <t>3190/4495</t>
  </si>
  <si>
    <t>2155/4016</t>
  </si>
  <si>
    <t>671/2981</t>
  </si>
  <si>
    <t>Amundi IS MSCI World IE-D</t>
  </si>
  <si>
    <t>2952/4345</t>
  </si>
  <si>
    <t>1964/4572</t>
  </si>
  <si>
    <t>3202/4495</t>
  </si>
  <si>
    <t>2180/4016</t>
  </si>
  <si>
    <t>694/2981</t>
  </si>
  <si>
    <t>Amundi IS MSCI World IG-C</t>
  </si>
  <si>
    <t>2933/4345</t>
  </si>
  <si>
    <t>1933/4572</t>
  </si>
  <si>
    <t>3178/4495</t>
  </si>
  <si>
    <t>2146/4016</t>
  </si>
  <si>
    <t>623/2981</t>
  </si>
  <si>
    <t>Amundi IS MSCI World IG-D</t>
  </si>
  <si>
    <t>2943/4345</t>
  </si>
  <si>
    <t>1943/4572</t>
  </si>
  <si>
    <t>3189/4495</t>
  </si>
  <si>
    <t>2124/4016</t>
  </si>
  <si>
    <t>612/2981</t>
  </si>
  <si>
    <t>Amundi IS MSCI World IU-C</t>
  </si>
  <si>
    <t>2877/4345</t>
  </si>
  <si>
    <t>1899/4572</t>
  </si>
  <si>
    <t>3147/4495</t>
  </si>
  <si>
    <t>2101/4016</t>
  </si>
  <si>
    <t>614/2981</t>
  </si>
  <si>
    <t>Amundi IS MSCI World IU-D</t>
  </si>
  <si>
    <t>2873/4345</t>
  </si>
  <si>
    <t>1904/4572</t>
  </si>
  <si>
    <t>3146/4495</t>
  </si>
  <si>
    <t>2099/4016</t>
  </si>
  <si>
    <t>617/2981</t>
  </si>
  <si>
    <t>Amundi IS MSCI World ME-C</t>
  </si>
  <si>
    <t>2960/4345</t>
  </si>
  <si>
    <t>1961/4572</t>
  </si>
  <si>
    <t>3206/4495</t>
  </si>
  <si>
    <t>2187/4016</t>
  </si>
  <si>
    <t>712/2981</t>
  </si>
  <si>
    <t>Amundi IS MSCI World RE-C</t>
  </si>
  <si>
    <t>2957/4345</t>
  </si>
  <si>
    <t>1963/4572</t>
  </si>
  <si>
    <t>3197/4495</t>
  </si>
  <si>
    <t>2189/4016</t>
  </si>
  <si>
    <t>715/2981</t>
  </si>
  <si>
    <t>Amundi IS MSCI World RE-D</t>
  </si>
  <si>
    <t>2970/4345</t>
  </si>
  <si>
    <t>1958/4572</t>
  </si>
  <si>
    <t>3217/4495</t>
  </si>
  <si>
    <t>2197/4016</t>
  </si>
  <si>
    <t>717/2981</t>
  </si>
  <si>
    <t>Amundi IS S&amp;P 500 A4E-C</t>
  </si>
  <si>
    <t>731/1686</t>
  </si>
  <si>
    <t>1030/1752</t>
  </si>
  <si>
    <t>708/1730</t>
  </si>
  <si>
    <t>938/1565</t>
  </si>
  <si>
    <t>384/1201</t>
  </si>
  <si>
    <t>389/932</t>
  </si>
  <si>
    <t>197/726</t>
  </si>
  <si>
    <t>Amundi IS S&amp;P 500 AE-C</t>
  </si>
  <si>
    <t>697/1686</t>
  </si>
  <si>
    <t>1001/1752</t>
  </si>
  <si>
    <t>684/1730</t>
  </si>
  <si>
    <t>901/1565</t>
  </si>
  <si>
    <t>258/1201</t>
  </si>
  <si>
    <t>Amundi IS S&amp;P 500 AE-D</t>
  </si>
  <si>
    <t>692/1686</t>
  </si>
  <si>
    <t>990/1752</t>
  </si>
  <si>
    <t>676/1730</t>
  </si>
  <si>
    <t>907/1565</t>
  </si>
  <si>
    <t>275/1201</t>
  </si>
  <si>
    <t>Amundi IS S&amp;P 500 AU-C</t>
  </si>
  <si>
    <t>714/1686</t>
  </si>
  <si>
    <t>999/1752</t>
  </si>
  <si>
    <t>679/1730</t>
  </si>
  <si>
    <t>922/1565</t>
  </si>
  <si>
    <t>285/1201</t>
  </si>
  <si>
    <t>Amundi IS S&amp;P 500 AU-D</t>
  </si>
  <si>
    <t>695/1686</t>
  </si>
  <si>
    <t>1005/1752</t>
  </si>
  <si>
    <t>673/1730</t>
  </si>
  <si>
    <t>899/1565</t>
  </si>
  <si>
    <t>264/1201</t>
  </si>
  <si>
    <t>Amundi IS S&amp;P 500 IE-C</t>
  </si>
  <si>
    <t>635/1686</t>
  </si>
  <si>
    <t>950/1752</t>
  </si>
  <si>
    <t>636/1730</t>
  </si>
  <si>
    <t>854/1565</t>
  </si>
  <si>
    <t>200/1201</t>
  </si>
  <si>
    <t>237/932</t>
  </si>
  <si>
    <t>107/726</t>
  </si>
  <si>
    <t>Amundi IS S&amp;P 500 IE-D</t>
  </si>
  <si>
    <t>641/1686</t>
  </si>
  <si>
    <t>967/1752</t>
  </si>
  <si>
    <t>648/1730</t>
  </si>
  <si>
    <t>853/1565</t>
  </si>
  <si>
    <t>201/1201</t>
  </si>
  <si>
    <t>238/932</t>
  </si>
  <si>
    <t>110/726</t>
  </si>
  <si>
    <t>Amundi IS S&amp;P 500 IG-C</t>
  </si>
  <si>
    <t>615/1686</t>
  </si>
  <si>
    <t>942/1752</t>
  </si>
  <si>
    <t>616/1730</t>
  </si>
  <si>
    <t>819/1565</t>
  </si>
  <si>
    <t>180/1201</t>
  </si>
  <si>
    <t>Amundi IS S&amp;P 500 IG-D</t>
  </si>
  <si>
    <t>620/1686</t>
  </si>
  <si>
    <t>947/1752</t>
  </si>
  <si>
    <t>618/1730</t>
  </si>
  <si>
    <t>817/1565</t>
  </si>
  <si>
    <t>178/1201</t>
  </si>
  <si>
    <t>Amundi IS S&amp;P 500 IHE-C</t>
  </si>
  <si>
    <t>248/761</t>
  </si>
  <si>
    <t>426/787</t>
  </si>
  <si>
    <t>232/779</t>
  </si>
  <si>
    <t>360/707</t>
  </si>
  <si>
    <t>128/503</t>
  </si>
  <si>
    <t>Amundi IS S&amp;P 500 IU-C</t>
  </si>
  <si>
    <t>637/1686</t>
  </si>
  <si>
    <t>958/1752</t>
  </si>
  <si>
    <t>637/1730</t>
  </si>
  <si>
    <t>848/1565</t>
  </si>
  <si>
    <t>194/1201</t>
  </si>
  <si>
    <t>Amundi IS S&amp;P 500 IU-D</t>
  </si>
  <si>
    <t>Amundi IS S&amp;P 500 ME-C</t>
  </si>
  <si>
    <t>Amundi IS S&amp;P 500 RE-C</t>
  </si>
  <si>
    <t>994/1752</t>
  </si>
  <si>
    <t>661/1730</t>
  </si>
  <si>
    <t>885/1565</t>
  </si>
  <si>
    <t>234/1201</t>
  </si>
  <si>
    <t>Amundi IS S&amp;P 500 RE-D</t>
  </si>
  <si>
    <t>669/1686</t>
  </si>
  <si>
    <t>984/1752</t>
  </si>
  <si>
    <t>658/1730</t>
  </si>
  <si>
    <t>881/1565</t>
  </si>
  <si>
    <t>230/1201</t>
  </si>
  <si>
    <t>8/136</t>
  </si>
  <si>
    <t>4/136</t>
  </si>
  <si>
    <t>10/91</t>
  </si>
  <si>
    <t>9/136</t>
  </si>
  <si>
    <t>7/136</t>
  </si>
  <si>
    <t>27/126</t>
  </si>
  <si>
    <t>11/91</t>
  </si>
  <si>
    <t>31/134</t>
  </si>
  <si>
    <t>42/126</t>
  </si>
  <si>
    <t>35/91</t>
  </si>
  <si>
    <t>22/54</t>
  </si>
  <si>
    <t>38/91</t>
  </si>
  <si>
    <t>24/54</t>
  </si>
  <si>
    <t>130/134</t>
  </si>
  <si>
    <t>131/136</t>
  </si>
  <si>
    <t>103/126</t>
  </si>
  <si>
    <t>34/54</t>
  </si>
  <si>
    <t>129/134</t>
  </si>
  <si>
    <t>130/136</t>
  </si>
  <si>
    <t>83/91</t>
  </si>
  <si>
    <t>29/54</t>
  </si>
  <si>
    <t>131/134</t>
  </si>
  <si>
    <t>132/136</t>
  </si>
  <si>
    <t>108/126</t>
  </si>
  <si>
    <t>88/91</t>
  </si>
  <si>
    <t>37/54</t>
  </si>
  <si>
    <t>82/107</t>
  </si>
  <si>
    <t>68/107</t>
  </si>
  <si>
    <t>57/93</t>
  </si>
  <si>
    <t>280/354</t>
  </si>
  <si>
    <t>338/364</t>
  </si>
  <si>
    <t>258/360</t>
  </si>
  <si>
    <t>200/332</t>
  </si>
  <si>
    <t>115/206</t>
  </si>
  <si>
    <t>281/354</t>
  </si>
  <si>
    <t>334/364</t>
  </si>
  <si>
    <t>251/360</t>
  </si>
  <si>
    <t>204/332</t>
  </si>
  <si>
    <t>103/287</t>
  </si>
  <si>
    <t>105/245</t>
  </si>
  <si>
    <t>116/206</t>
  </si>
  <si>
    <t>119/122</t>
  </si>
  <si>
    <t>122/127</t>
  </si>
  <si>
    <t>121/126</t>
  </si>
  <si>
    <t>5/48</t>
  </si>
  <si>
    <t>32/451</t>
  </si>
  <si>
    <t>248/460</t>
  </si>
  <si>
    <t>41/458</t>
  </si>
  <si>
    <t>47/431</t>
  </si>
  <si>
    <t>24/117</t>
  </si>
  <si>
    <t>26/117</t>
  </si>
  <si>
    <t>2144/4345</t>
  </si>
  <si>
    <t>1460/4572</t>
  </si>
  <si>
    <t>1869/4495</t>
  </si>
  <si>
    <t>1619/4016</t>
  </si>
  <si>
    <t>1524/2981</t>
  </si>
  <si>
    <t>1383/2184</t>
  </si>
  <si>
    <t>988/1651</t>
  </si>
  <si>
    <t>527/1145</t>
  </si>
  <si>
    <t>537/1161</t>
  </si>
  <si>
    <t>524/1155</t>
  </si>
  <si>
    <t>332/1114</t>
  </si>
  <si>
    <t>736/929</t>
  </si>
  <si>
    <t>542/1145</t>
  </si>
  <si>
    <t>540/1161</t>
  </si>
  <si>
    <t>532/1155</t>
  </si>
  <si>
    <t>346/1114</t>
  </si>
  <si>
    <t>755/929</t>
  </si>
  <si>
    <t>463/795</t>
  </si>
  <si>
    <t>458/648</t>
  </si>
  <si>
    <t>800/1145</t>
  </si>
  <si>
    <t>384/1161</t>
  </si>
  <si>
    <t>730/1114</t>
  </si>
  <si>
    <t>771/929</t>
  </si>
  <si>
    <t>634/795</t>
  </si>
  <si>
    <t>811/1145</t>
  </si>
  <si>
    <t>390/1161</t>
  </si>
  <si>
    <t>649/1155</t>
  </si>
  <si>
    <t>742/1114</t>
  </si>
  <si>
    <t>784/929</t>
  </si>
  <si>
    <t>645/795</t>
  </si>
  <si>
    <t>555/648</t>
  </si>
  <si>
    <t>83/312</t>
  </si>
  <si>
    <t>174/320</t>
  </si>
  <si>
    <t>80/316</t>
  </si>
  <si>
    <t>59/309</t>
  </si>
  <si>
    <t>143/288</t>
  </si>
  <si>
    <t>60/270</t>
  </si>
  <si>
    <t>109/238</t>
  </si>
  <si>
    <t>170/591</t>
  </si>
  <si>
    <t>499/616</t>
  </si>
  <si>
    <t>134/600</t>
  </si>
  <si>
    <t>115/574</t>
  </si>
  <si>
    <t>138/489</t>
  </si>
  <si>
    <t>193/591</t>
  </si>
  <si>
    <t>514/616</t>
  </si>
  <si>
    <t>154/600</t>
  </si>
  <si>
    <t>137/574</t>
  </si>
  <si>
    <t>165/489</t>
  </si>
  <si>
    <t>55/423</t>
  </si>
  <si>
    <t>60/353</t>
  </si>
  <si>
    <t>567/2017</t>
  </si>
  <si>
    <t>1850/2107</t>
  </si>
  <si>
    <t>390/2076</t>
  </si>
  <si>
    <t>379/1882</t>
  </si>
  <si>
    <t>781/1395</t>
  </si>
  <si>
    <t>133/1076</t>
  </si>
  <si>
    <t>587/2017</t>
  </si>
  <si>
    <t>1859/2107</t>
  </si>
  <si>
    <t>394/2076</t>
  </si>
  <si>
    <t>399/1882</t>
  </si>
  <si>
    <t>821/1395</t>
  </si>
  <si>
    <t>167/1076</t>
  </si>
  <si>
    <t>399/780</t>
  </si>
  <si>
    <t>762/882</t>
  </si>
  <si>
    <t>461/948</t>
  </si>
  <si>
    <t>630/921</t>
  </si>
  <si>
    <t>753/843</t>
  </si>
  <si>
    <t>150/692</t>
  </si>
  <si>
    <t>198/577</t>
  </si>
  <si>
    <t>779/882</t>
  </si>
  <si>
    <t>485/948</t>
  </si>
  <si>
    <t>648/921</t>
  </si>
  <si>
    <t>760/843</t>
  </si>
  <si>
    <t>162/692</t>
  </si>
  <si>
    <t>212/577</t>
  </si>
  <si>
    <t>230/539</t>
  </si>
  <si>
    <t>202/548</t>
  </si>
  <si>
    <t>258/530</t>
  </si>
  <si>
    <t>178/483</t>
  </si>
  <si>
    <t>153/410</t>
  </si>
  <si>
    <t>236/539</t>
  </si>
  <si>
    <t>205/548</t>
  </si>
  <si>
    <t>219/546</t>
  </si>
  <si>
    <t>261/530</t>
  </si>
  <si>
    <t>183/483</t>
  </si>
  <si>
    <t>338/539</t>
  </si>
  <si>
    <t>309/548</t>
  </si>
  <si>
    <t>353/530</t>
  </si>
  <si>
    <t>314/483</t>
  </si>
  <si>
    <t>238/410</t>
  </si>
  <si>
    <t>161/318</t>
  </si>
  <si>
    <t>432/740</t>
  </si>
  <si>
    <t>247/754</t>
  </si>
  <si>
    <t>211/750</t>
  </si>
  <si>
    <t>332/722</t>
  </si>
  <si>
    <t>319/641</t>
  </si>
  <si>
    <t>457/740</t>
  </si>
  <si>
    <t>251/754</t>
  </si>
  <si>
    <t>227/750</t>
  </si>
  <si>
    <t>347/722</t>
  </si>
  <si>
    <t>354/641</t>
  </si>
  <si>
    <t>202/557</t>
  </si>
  <si>
    <t>243/414</t>
  </si>
  <si>
    <t>302/882</t>
  </si>
  <si>
    <t>700/948</t>
  </si>
  <si>
    <t>147/921</t>
  </si>
  <si>
    <t>289/843</t>
  </si>
  <si>
    <t>54/692</t>
  </si>
  <si>
    <t>26/577</t>
  </si>
  <si>
    <t>303/882</t>
  </si>
  <si>
    <t>698/948</t>
  </si>
  <si>
    <t>146/921</t>
  </si>
  <si>
    <t>287/843</t>
  </si>
  <si>
    <t>53/692</t>
  </si>
  <si>
    <t>359/882</t>
  </si>
  <si>
    <t>729/948</t>
  </si>
  <si>
    <t>157/921</t>
  </si>
  <si>
    <t>323/843</t>
  </si>
  <si>
    <t>86/692</t>
  </si>
  <si>
    <t>28/577</t>
  </si>
  <si>
    <t>55/454</t>
  </si>
  <si>
    <t>759/1138</t>
  </si>
  <si>
    <t>114/1170</t>
  </si>
  <si>
    <t>699/1161</t>
  </si>
  <si>
    <t>982/1100</t>
  </si>
  <si>
    <t>905/932</t>
  </si>
  <si>
    <t>727/749</t>
  </si>
  <si>
    <t>522/524</t>
  </si>
  <si>
    <t>832/1138</t>
  </si>
  <si>
    <t>730/1161</t>
  </si>
  <si>
    <t>926/1100</t>
  </si>
  <si>
    <t>274/740</t>
  </si>
  <si>
    <t>22/754</t>
  </si>
  <si>
    <t>467/750</t>
  </si>
  <si>
    <t>73/722</t>
  </si>
  <si>
    <t>1303/1720</t>
  </si>
  <si>
    <t>373/1802</t>
  </si>
  <si>
    <t>500/1779</t>
  </si>
  <si>
    <t>1507/1720</t>
  </si>
  <si>
    <t>522/1802</t>
  </si>
  <si>
    <t>703/1779</t>
  </si>
  <si>
    <t>693/1040</t>
  </si>
  <si>
    <t>739/1105</t>
  </si>
  <si>
    <t>565/838</t>
  </si>
  <si>
    <t>400/559</t>
  </si>
  <si>
    <t>672/1040</t>
  </si>
  <si>
    <t>281/1158</t>
  </si>
  <si>
    <t>645/1105</t>
  </si>
  <si>
    <t>580/838</t>
  </si>
  <si>
    <t>350/559</t>
  </si>
  <si>
    <t>689/1040</t>
  </si>
  <si>
    <t>669/1105</t>
  </si>
  <si>
    <t>551/838</t>
  </si>
  <si>
    <t>396/559</t>
  </si>
  <si>
    <t>700/1040</t>
  </si>
  <si>
    <t>308/1158</t>
  </si>
  <si>
    <t>668/1105</t>
  </si>
  <si>
    <t>571/838</t>
  </si>
  <si>
    <t>382/559</t>
  </si>
  <si>
    <t>717/1040</t>
  </si>
  <si>
    <t>286/1158</t>
  </si>
  <si>
    <t>697/1105</t>
  </si>
  <si>
    <t>591/838</t>
  </si>
  <si>
    <t>432/559</t>
  </si>
  <si>
    <t>577/1040</t>
  </si>
  <si>
    <t>321/1158</t>
  </si>
  <si>
    <t>564/1105</t>
  </si>
  <si>
    <t>476/838</t>
  </si>
  <si>
    <t>296/559</t>
  </si>
  <si>
    <t>573/1040</t>
  </si>
  <si>
    <t>290/1158</t>
  </si>
  <si>
    <t>499/1105</t>
  </si>
  <si>
    <t>422/838</t>
  </si>
  <si>
    <t>177/559</t>
  </si>
  <si>
    <t>193/1040</t>
  </si>
  <si>
    <t>212/1105</t>
  </si>
  <si>
    <t>168/838</t>
  </si>
  <si>
    <t>757/1040</t>
  </si>
  <si>
    <t>788/1105</t>
  </si>
  <si>
    <t>681/838</t>
  </si>
  <si>
    <t>534/559</t>
  </si>
  <si>
    <t>2555/4580</t>
  </si>
  <si>
    <t>525/4723</t>
  </si>
  <si>
    <t>732/4658</t>
  </si>
  <si>
    <t>1740/4427</t>
  </si>
  <si>
    <t>1880/3396</t>
  </si>
  <si>
    <t>2234/4580</t>
  </si>
  <si>
    <t>497/4723</t>
  </si>
  <si>
    <t>607/4658</t>
  </si>
  <si>
    <t>1649/4427</t>
  </si>
  <si>
    <t>1740/3396</t>
  </si>
  <si>
    <t>3825/4580</t>
  </si>
  <si>
    <t>501/4723</t>
  </si>
  <si>
    <t>1464/4658</t>
  </si>
  <si>
    <t>3826/4427</t>
  </si>
  <si>
    <t>2754/3396</t>
  </si>
  <si>
    <t>3168/4580</t>
  </si>
  <si>
    <t>451/4723</t>
  </si>
  <si>
    <t>940/4658</t>
  </si>
  <si>
    <t>2850/4427</t>
  </si>
  <si>
    <t>1752/3396</t>
  </si>
  <si>
    <t>2352/4580</t>
  </si>
  <si>
    <t>372/4723</t>
  </si>
  <si>
    <t>1839/4658</t>
  </si>
  <si>
    <t>1877/4427</t>
  </si>
  <si>
    <t>1150/3396</t>
  </si>
  <si>
    <t>1522/4580</t>
  </si>
  <si>
    <t>295/4723</t>
  </si>
  <si>
    <t>336/4658</t>
  </si>
  <si>
    <t>1829/4427</t>
  </si>
  <si>
    <t>1112/3396</t>
  </si>
  <si>
    <t>2669/4580</t>
  </si>
  <si>
    <t>333/4723</t>
  </si>
  <si>
    <t>445/4658</t>
  </si>
  <si>
    <t>2645/4427</t>
  </si>
  <si>
    <t>1496/3396</t>
  </si>
  <si>
    <t>2177/4580</t>
  </si>
  <si>
    <t>469/4723</t>
  </si>
  <si>
    <t>452/4658</t>
  </si>
  <si>
    <t>2204/4427</t>
  </si>
  <si>
    <t>1939/3396</t>
  </si>
  <si>
    <t>2932/4580</t>
  </si>
  <si>
    <t>500/4723</t>
  </si>
  <si>
    <t>743/4658</t>
  </si>
  <si>
    <t>3013/4427</t>
  </si>
  <si>
    <t>2113/4580</t>
  </si>
  <si>
    <t>257/4723</t>
  </si>
  <si>
    <t>269/4658</t>
  </si>
  <si>
    <t>1869/4427</t>
  </si>
  <si>
    <t>2671/4580</t>
  </si>
  <si>
    <t>463/4723</t>
  </si>
  <si>
    <t>434/4658</t>
  </si>
  <si>
    <t>2962/4427</t>
  </si>
  <si>
    <t>3020/4580</t>
  </si>
  <si>
    <t>502/4723</t>
  </si>
  <si>
    <t>622/4658</t>
  </si>
  <si>
    <t>3898/4427</t>
  </si>
  <si>
    <t>1/39</t>
  </si>
  <si>
    <t>6/39</t>
  </si>
  <si>
    <t>2/33</t>
  </si>
  <si>
    <t>80/92</t>
  </si>
  <si>
    <t>73/93</t>
  </si>
  <si>
    <t>66/93</t>
  </si>
  <si>
    <t>77/90</t>
  </si>
  <si>
    <t>294/415</t>
  </si>
  <si>
    <t>313/411</t>
  </si>
  <si>
    <t>293/396</t>
  </si>
  <si>
    <t>7/407</t>
  </si>
  <si>
    <t>4/415</t>
  </si>
  <si>
    <t>5/411</t>
  </si>
  <si>
    <t>7/396</t>
  </si>
  <si>
    <t>21/362</t>
  </si>
  <si>
    <t>46/333</t>
  </si>
  <si>
    <t>298/407</t>
  </si>
  <si>
    <t>265/415</t>
  </si>
  <si>
    <t>294/411</t>
  </si>
  <si>
    <t>236/362</t>
  </si>
  <si>
    <t>192/333</t>
  </si>
  <si>
    <t>19/362</t>
  </si>
  <si>
    <t>47/333</t>
  </si>
  <si>
    <t>32/396</t>
  </si>
  <si>
    <t>65/362</t>
  </si>
  <si>
    <t>81/333</t>
  </si>
  <si>
    <t>20/362</t>
  </si>
  <si>
    <t>45/333</t>
  </si>
  <si>
    <t>260/396</t>
  </si>
  <si>
    <t>234/362</t>
  </si>
  <si>
    <t>183/333</t>
  </si>
  <si>
    <t>90/225</t>
  </si>
  <si>
    <t>89/219</t>
  </si>
  <si>
    <t>70/192</t>
  </si>
  <si>
    <t>25/225</t>
  </si>
  <si>
    <t>22/232</t>
  </si>
  <si>
    <t>26/232</t>
  </si>
  <si>
    <t>35/219</t>
  </si>
  <si>
    <t>29/192</t>
  </si>
  <si>
    <t>24/225</t>
  </si>
  <si>
    <t>21/232</t>
  </si>
  <si>
    <t>24/232</t>
  </si>
  <si>
    <t>34/219</t>
  </si>
  <si>
    <t>30/192</t>
  </si>
  <si>
    <t>58/225</t>
  </si>
  <si>
    <t>71/232</t>
  </si>
  <si>
    <t>70/232</t>
  </si>
  <si>
    <t>58/219</t>
  </si>
  <si>
    <t>45/192</t>
  </si>
  <si>
    <t>55/225</t>
  </si>
  <si>
    <t>66/232</t>
  </si>
  <si>
    <t>65/232</t>
  </si>
  <si>
    <t>56/219</t>
  </si>
  <si>
    <t>43/192</t>
  </si>
  <si>
    <t>23/225</t>
  </si>
  <si>
    <t>26/219</t>
  </si>
  <si>
    <t>22/192</t>
  </si>
  <si>
    <t>20/232</t>
  </si>
  <si>
    <t>23/232</t>
  </si>
  <si>
    <t>25/219</t>
  </si>
  <si>
    <t>21/192</t>
  </si>
  <si>
    <t>85/329</t>
  </si>
  <si>
    <t>117/333</t>
  </si>
  <si>
    <t>87/333</t>
  </si>
  <si>
    <t>80/315</t>
  </si>
  <si>
    <t>53/271</t>
  </si>
  <si>
    <t>38/251</t>
  </si>
  <si>
    <t>82/329</t>
  </si>
  <si>
    <t>119/333</t>
  </si>
  <si>
    <t>88/333</t>
  </si>
  <si>
    <t>79/315</t>
  </si>
  <si>
    <t>52/271</t>
  </si>
  <si>
    <t>40/251</t>
  </si>
  <si>
    <t>40/329</t>
  </si>
  <si>
    <t>65/333</t>
  </si>
  <si>
    <t>44/333</t>
  </si>
  <si>
    <t>35/315</t>
  </si>
  <si>
    <t>27/271</t>
  </si>
  <si>
    <t>18/251</t>
  </si>
  <si>
    <t>100/329</t>
  </si>
  <si>
    <t>131/333</t>
  </si>
  <si>
    <t>113/333</t>
  </si>
  <si>
    <t>93/315</t>
  </si>
  <si>
    <t>67/271</t>
  </si>
  <si>
    <t>31/251</t>
  </si>
  <si>
    <t>49/329</t>
  </si>
  <si>
    <t>60/333</t>
  </si>
  <si>
    <t>48/333</t>
  </si>
  <si>
    <t>52/315</t>
  </si>
  <si>
    <t>58/271</t>
  </si>
  <si>
    <t>43/251</t>
  </si>
  <si>
    <t>72/329</t>
  </si>
  <si>
    <t>103/333</t>
  </si>
  <si>
    <t>77/333</t>
  </si>
  <si>
    <t>66/315</t>
  </si>
  <si>
    <t>42/271</t>
  </si>
  <si>
    <t>33/251</t>
  </si>
  <si>
    <t>69/329</t>
  </si>
  <si>
    <t>105/333</t>
  </si>
  <si>
    <t>80/333</t>
  </si>
  <si>
    <t>65/315</t>
  </si>
  <si>
    <t>41/271</t>
  </si>
  <si>
    <t>32/251</t>
  </si>
  <si>
    <t>1072/1720</t>
  </si>
  <si>
    <t>115/1802</t>
  </si>
  <si>
    <t>377/1779</t>
  </si>
  <si>
    <t>1273/1599</t>
  </si>
  <si>
    <t>1053/1164</t>
  </si>
  <si>
    <t>829/875</t>
  </si>
  <si>
    <t>589/632</t>
  </si>
  <si>
    <t>3938/4580</t>
  </si>
  <si>
    <t>2644/4723</t>
  </si>
  <si>
    <t>3100/4658</t>
  </si>
  <si>
    <t>3525/4427</t>
  </si>
  <si>
    <t>3869/4580</t>
  </si>
  <si>
    <t>2076/4723</t>
  </si>
  <si>
    <t>2864/4658</t>
  </si>
  <si>
    <t>3539/4427</t>
  </si>
  <si>
    <t>3947/4580</t>
  </si>
  <si>
    <t>2635/4723</t>
  </si>
  <si>
    <t>3080/4658</t>
  </si>
  <si>
    <t>3612/4427</t>
  </si>
  <si>
    <t>3854/4580</t>
  </si>
  <si>
    <t>3107/4723</t>
  </si>
  <si>
    <t>3188/4658</t>
  </si>
  <si>
    <t>3505/4427</t>
  </si>
  <si>
    <t>166/177</t>
  </si>
  <si>
    <t>134/175</t>
  </si>
  <si>
    <t>123/170</t>
  </si>
  <si>
    <t>7/157</t>
  </si>
  <si>
    <t>2/141</t>
  </si>
  <si>
    <t>130/171</t>
  </si>
  <si>
    <t>169/177</t>
  </si>
  <si>
    <t>136/175</t>
  </si>
  <si>
    <t>10/157</t>
  </si>
  <si>
    <t>6/141</t>
  </si>
  <si>
    <t>4/107</t>
  </si>
  <si>
    <t>1211/1356</t>
  </si>
  <si>
    <t>971/1397</t>
  </si>
  <si>
    <t>1268/1383</t>
  </si>
  <si>
    <t>1124/1313</t>
  </si>
  <si>
    <t>739/1170</t>
  </si>
  <si>
    <t>698/1007</t>
  </si>
  <si>
    <t>281/823</t>
  </si>
  <si>
    <t>490/576</t>
  </si>
  <si>
    <t>509/586</t>
  </si>
  <si>
    <t>540/583</t>
  </si>
  <si>
    <t>496/553</t>
  </si>
  <si>
    <t>400/478</t>
  </si>
  <si>
    <t>362/397</t>
  </si>
  <si>
    <t>177/314</t>
  </si>
  <si>
    <t>483/576</t>
  </si>
  <si>
    <t>512/586</t>
  </si>
  <si>
    <t>539/583</t>
  </si>
  <si>
    <t>399/478</t>
  </si>
  <si>
    <t>361/397</t>
  </si>
  <si>
    <t>178/314</t>
  </si>
  <si>
    <t>1213/1356</t>
  </si>
  <si>
    <t>960/1397</t>
  </si>
  <si>
    <t>1270/1383</t>
  </si>
  <si>
    <t>1125/1313</t>
  </si>
  <si>
    <t>740/1170</t>
  </si>
  <si>
    <t>699/1007</t>
  </si>
  <si>
    <t>282/823</t>
  </si>
  <si>
    <t>380/451</t>
  </si>
  <si>
    <t>354/460</t>
  </si>
  <si>
    <t>345/458</t>
  </si>
  <si>
    <t>202/431</t>
  </si>
  <si>
    <t>52/344</t>
  </si>
  <si>
    <t>45/299</t>
  </si>
  <si>
    <t>30/451</t>
  </si>
  <si>
    <t>245/460</t>
  </si>
  <si>
    <t>35/458</t>
  </si>
  <si>
    <t>43/431</t>
  </si>
  <si>
    <t>69/101</t>
  </si>
  <si>
    <t>90/100</t>
  </si>
  <si>
    <t>22/92</t>
  </si>
  <si>
    <t>15/65</t>
  </si>
  <si>
    <t>72/96</t>
  </si>
  <si>
    <t>70/101</t>
  </si>
  <si>
    <t>91/100</t>
  </si>
  <si>
    <t>23/92</t>
  </si>
  <si>
    <t>19/65</t>
  </si>
  <si>
    <t>98/101</t>
  </si>
  <si>
    <t>94/100</t>
  </si>
  <si>
    <t>82/92</t>
  </si>
  <si>
    <t>66/75</t>
  </si>
  <si>
    <t>44/52</t>
  </si>
  <si>
    <t>11/56</t>
  </si>
  <si>
    <t>6/50</t>
  </si>
  <si>
    <t>18/40</t>
  </si>
  <si>
    <t>28/33</t>
  </si>
  <si>
    <t>109/131</t>
  </si>
  <si>
    <t>78/134</t>
  </si>
  <si>
    <t>85/126</t>
  </si>
  <si>
    <t>110/131</t>
  </si>
  <si>
    <t>81/134</t>
  </si>
  <si>
    <t>87/126</t>
  </si>
  <si>
    <t>175/576</t>
  </si>
  <si>
    <t>10/586</t>
  </si>
  <si>
    <t>46/583</t>
  </si>
  <si>
    <t>261/553</t>
  </si>
  <si>
    <t>201/478</t>
  </si>
  <si>
    <t>36/397</t>
  </si>
  <si>
    <t>101/314</t>
  </si>
  <si>
    <t>166/576</t>
  </si>
  <si>
    <t>9/586</t>
  </si>
  <si>
    <t>43/583</t>
  </si>
  <si>
    <t>260/553</t>
  </si>
  <si>
    <t>8/586</t>
  </si>
  <si>
    <t>132/583</t>
  </si>
  <si>
    <t>465/470</t>
  </si>
  <si>
    <t>49/488</t>
  </si>
  <si>
    <t>462/477</t>
  </si>
  <si>
    <t>423/442</t>
  </si>
  <si>
    <t>276/330</t>
  </si>
  <si>
    <t>83/221</t>
  </si>
  <si>
    <t>65/124</t>
  </si>
  <si>
    <t>3726/4580</t>
  </si>
  <si>
    <t>1564/4723</t>
  </si>
  <si>
    <t>1330/4658</t>
  </si>
  <si>
    <t>3842/4580</t>
  </si>
  <si>
    <t>1356/4723</t>
  </si>
  <si>
    <t>1301/4658</t>
  </si>
  <si>
    <t>913/1040</t>
  </si>
  <si>
    <t>207/1158</t>
  </si>
  <si>
    <t>866/1105</t>
  </si>
  <si>
    <t>868/1040</t>
  </si>
  <si>
    <t>143/1158</t>
  </si>
  <si>
    <t>865/1105</t>
  </si>
  <si>
    <t>Amundi Obiettivo Reddito 2022 QUATTRO</t>
  </si>
  <si>
    <t>IT0005250201</t>
  </si>
  <si>
    <t>731/1158</t>
  </si>
  <si>
    <t>793/1105</t>
  </si>
  <si>
    <t>3930/4580</t>
  </si>
  <si>
    <t>1022/4723</t>
  </si>
  <si>
    <t>1498/4658</t>
  </si>
  <si>
    <t>3977/4580</t>
  </si>
  <si>
    <t>972/4723</t>
  </si>
  <si>
    <t>1540/4658</t>
  </si>
  <si>
    <t>Amundi Obiettivo Risparmio 2022 QUATTRO</t>
  </si>
  <si>
    <t>IT0005250177</t>
  </si>
  <si>
    <t>1512/4723</t>
  </si>
  <si>
    <t>2782/4658</t>
  </si>
  <si>
    <t>3394/4723</t>
  </si>
  <si>
    <t>3462/4658</t>
  </si>
  <si>
    <t>Amundi Obiettivo Trend 2022 DUE</t>
  </si>
  <si>
    <t>IT0005250227</t>
  </si>
  <si>
    <t>475/878</t>
  </si>
  <si>
    <t>412/895</t>
  </si>
  <si>
    <t>217/891</t>
  </si>
  <si>
    <t>848/850</t>
  </si>
  <si>
    <t>764/772</t>
  </si>
  <si>
    <t>566/576</t>
  </si>
  <si>
    <t>557/878</t>
  </si>
  <si>
    <t>308/895</t>
  </si>
  <si>
    <t>371/891</t>
  </si>
  <si>
    <t>539/850</t>
  </si>
  <si>
    <t>341/772</t>
  </si>
  <si>
    <t>181/576</t>
  </si>
  <si>
    <t>450/878</t>
  </si>
  <si>
    <t>351/895</t>
  </si>
  <si>
    <t>101/891</t>
  </si>
  <si>
    <t>281/772</t>
  </si>
  <si>
    <t>120/576</t>
  </si>
  <si>
    <t>500/878</t>
  </si>
  <si>
    <t>61/895</t>
  </si>
  <si>
    <t>28/891</t>
  </si>
  <si>
    <t>807/850</t>
  </si>
  <si>
    <t>215/772</t>
  </si>
  <si>
    <t>82/576</t>
  </si>
  <si>
    <t>387/576</t>
  </si>
  <si>
    <t>258/583</t>
  </si>
  <si>
    <t>346/553</t>
  </si>
  <si>
    <t>128/478</t>
  </si>
  <si>
    <t>60/397</t>
  </si>
  <si>
    <t>129/314</t>
  </si>
  <si>
    <t>438/576</t>
  </si>
  <si>
    <t>395/586</t>
  </si>
  <si>
    <t>322/583</t>
  </si>
  <si>
    <t>421/553</t>
  </si>
  <si>
    <t>192/478</t>
  </si>
  <si>
    <t>73/397</t>
  </si>
  <si>
    <t>519/1356</t>
  </si>
  <si>
    <t>230/1397</t>
  </si>
  <si>
    <t>116/1383</t>
  </si>
  <si>
    <t>339/1313</t>
  </si>
  <si>
    <t>55/1007</t>
  </si>
  <si>
    <t>510/1356</t>
  </si>
  <si>
    <t>203/1397</t>
  </si>
  <si>
    <t>112/1383</t>
  </si>
  <si>
    <t>336/1313</t>
  </si>
  <si>
    <t>58/1007</t>
  </si>
  <si>
    <t>Amundi Oblig 5-7 Euro P C</t>
  </si>
  <si>
    <t>694/1356</t>
  </si>
  <si>
    <t>333/1397</t>
  </si>
  <si>
    <t>133/1383</t>
  </si>
  <si>
    <t>394/1313</t>
  </si>
  <si>
    <t>365/1170</t>
  </si>
  <si>
    <t>71/1007</t>
  </si>
  <si>
    <t>367/740</t>
  </si>
  <si>
    <t>222/754</t>
  </si>
  <si>
    <t>163/750</t>
  </si>
  <si>
    <t>339/722</t>
  </si>
  <si>
    <t>231/641</t>
  </si>
  <si>
    <t>143/557</t>
  </si>
  <si>
    <t>215/414</t>
  </si>
  <si>
    <t>355/1356</t>
  </si>
  <si>
    <t>170/1397</t>
  </si>
  <si>
    <t>108/1383</t>
  </si>
  <si>
    <t>508/1313</t>
  </si>
  <si>
    <t>232/1170</t>
  </si>
  <si>
    <t>119/1007</t>
  </si>
  <si>
    <t>219/823</t>
  </si>
  <si>
    <t>347/1356</t>
  </si>
  <si>
    <t>171/1397</t>
  </si>
  <si>
    <t>106/1383</t>
  </si>
  <si>
    <t>507/1313</t>
  </si>
  <si>
    <t>118/1007</t>
  </si>
  <si>
    <t>218/823</t>
  </si>
  <si>
    <t>75/323</t>
  </si>
  <si>
    <t>166/375</t>
  </si>
  <si>
    <t>121/359</t>
  </si>
  <si>
    <t>203/258</t>
  </si>
  <si>
    <t>78/137</t>
  </si>
  <si>
    <t>33/61</t>
  </si>
  <si>
    <t>76/323</t>
  </si>
  <si>
    <t>167/375</t>
  </si>
  <si>
    <t>120/359</t>
  </si>
  <si>
    <t>204/258</t>
  </si>
  <si>
    <t>80/137</t>
  </si>
  <si>
    <t>2/84</t>
  </si>
  <si>
    <t>78/323</t>
  </si>
  <si>
    <t>165/375</t>
  </si>
  <si>
    <t>125/359</t>
  </si>
  <si>
    <t>207/258</t>
  </si>
  <si>
    <t>79/137</t>
  </si>
  <si>
    <t>28/61</t>
  </si>
  <si>
    <t>104/104</t>
  </si>
  <si>
    <t>87/88</t>
  </si>
  <si>
    <t>173/375</t>
  </si>
  <si>
    <t>122/359</t>
  </si>
  <si>
    <t>212/258</t>
  </si>
  <si>
    <t>87/137</t>
  </si>
  <si>
    <t>11/84</t>
  </si>
  <si>
    <t>82/323</t>
  </si>
  <si>
    <t>172/375</t>
  </si>
  <si>
    <t>126/359</t>
  </si>
  <si>
    <t>210/258</t>
  </si>
  <si>
    <t>86/137</t>
  </si>
  <si>
    <t>39/61</t>
  </si>
  <si>
    <t>99/323</t>
  </si>
  <si>
    <t>191/375</t>
  </si>
  <si>
    <t>123/359</t>
  </si>
  <si>
    <t>220/258</t>
  </si>
  <si>
    <t>92/137</t>
  </si>
  <si>
    <t>15/84</t>
  </si>
  <si>
    <t>81/323</t>
  </si>
  <si>
    <t>170/375</t>
  </si>
  <si>
    <t>124/359</t>
  </si>
  <si>
    <t>209/258</t>
  </si>
  <si>
    <t>85/137</t>
  </si>
  <si>
    <t>9/84</t>
  </si>
  <si>
    <t>40/323</t>
  </si>
  <si>
    <t>15/375</t>
  </si>
  <si>
    <t>15/359</t>
  </si>
  <si>
    <t>233/258</t>
  </si>
  <si>
    <t>122/137</t>
  </si>
  <si>
    <t>56/61</t>
  </si>
  <si>
    <t>530/1356</t>
  </si>
  <si>
    <t>613/1397</t>
  </si>
  <si>
    <t>219/1383</t>
  </si>
  <si>
    <t>704/1313</t>
  </si>
  <si>
    <t>280/1170</t>
  </si>
  <si>
    <t>222/1007</t>
  </si>
  <si>
    <t>355/823</t>
  </si>
  <si>
    <t>969/1356</t>
  </si>
  <si>
    <t>640/1397</t>
  </si>
  <si>
    <t>833/1383</t>
  </si>
  <si>
    <t>879/1313</t>
  </si>
  <si>
    <t>672/1170</t>
  </si>
  <si>
    <t>667/1007</t>
  </si>
  <si>
    <t>968/1356</t>
  </si>
  <si>
    <t>643/1397</t>
  </si>
  <si>
    <t>837/1383</t>
  </si>
  <si>
    <t>884/1313</t>
  </si>
  <si>
    <t>675/1170</t>
  </si>
  <si>
    <t>668/1007</t>
  </si>
  <si>
    <t>966/1356</t>
  </si>
  <si>
    <t>630/1397</t>
  </si>
  <si>
    <t>831/1383</t>
  </si>
  <si>
    <t>875/1313</t>
  </si>
  <si>
    <t>674/1170</t>
  </si>
  <si>
    <t>666/1007</t>
  </si>
  <si>
    <t>219/223</t>
  </si>
  <si>
    <t>160/231</t>
  </si>
  <si>
    <t>222/227</t>
  </si>
  <si>
    <t>174/216</t>
  </si>
  <si>
    <t>81/194</t>
  </si>
  <si>
    <t>96/173</t>
  </si>
  <si>
    <t>25/135</t>
  </si>
  <si>
    <t>218/223</t>
  </si>
  <si>
    <t>158/231</t>
  </si>
  <si>
    <t>173/216</t>
  </si>
  <si>
    <t>82/194</t>
  </si>
  <si>
    <t>97/173</t>
  </si>
  <si>
    <t>24/135</t>
  </si>
  <si>
    <t>121/994</t>
  </si>
  <si>
    <t>242/1027</t>
  </si>
  <si>
    <t>60/1016</t>
  </si>
  <si>
    <t>94/929</t>
  </si>
  <si>
    <t>491/731</t>
  </si>
  <si>
    <t>334/599</t>
  </si>
  <si>
    <t>238/491</t>
  </si>
  <si>
    <t>167/2490</t>
  </si>
  <si>
    <t>1002/2614</t>
  </si>
  <si>
    <t>120/2574</t>
  </si>
  <si>
    <t>128/2299</t>
  </si>
  <si>
    <t>382/1650</t>
  </si>
  <si>
    <t>62/1182</t>
  </si>
  <si>
    <t>207/2490</t>
  </si>
  <si>
    <t>1067/2614</t>
  </si>
  <si>
    <t>137/2574</t>
  </si>
  <si>
    <t>154/2299</t>
  </si>
  <si>
    <t>506/1650</t>
  </si>
  <si>
    <t>82/1182</t>
  </si>
  <si>
    <t>227/767</t>
  </si>
  <si>
    <t>719/1356</t>
  </si>
  <si>
    <t>357/1397</t>
  </si>
  <si>
    <t>1206/1383</t>
  </si>
  <si>
    <t>424/1313</t>
  </si>
  <si>
    <t>1075/1170</t>
  </si>
  <si>
    <t>949/1007</t>
  </si>
  <si>
    <t>771/823</t>
  </si>
  <si>
    <t>715/1356</t>
  </si>
  <si>
    <t>343/1397</t>
  </si>
  <si>
    <t>1204/1383</t>
  </si>
  <si>
    <t>421/1313</t>
  </si>
  <si>
    <t>1074/1170</t>
  </si>
  <si>
    <t>948/1007</t>
  </si>
  <si>
    <t>772/823</t>
  </si>
  <si>
    <t>3237/4580</t>
  </si>
  <si>
    <t>857/4723</t>
  </si>
  <si>
    <t>1145/4658</t>
  </si>
  <si>
    <t>2932/4427</t>
  </si>
  <si>
    <t>1707/3396</t>
  </si>
  <si>
    <t>3392/4580</t>
  </si>
  <si>
    <t>675/4723</t>
  </si>
  <si>
    <t>1331/4658</t>
  </si>
  <si>
    <t>3037/4427</t>
  </si>
  <si>
    <t>1735/3396</t>
  </si>
  <si>
    <t>1632/4580</t>
  </si>
  <si>
    <t>554/4723</t>
  </si>
  <si>
    <t>316/4658</t>
  </si>
  <si>
    <t>2045/4427</t>
  </si>
  <si>
    <t>1080/3396</t>
  </si>
  <si>
    <t>556/4580</t>
  </si>
  <si>
    <t>682/4723</t>
  </si>
  <si>
    <t>130/4658</t>
  </si>
  <si>
    <t>913/4427</t>
  </si>
  <si>
    <t>2708/4580</t>
  </si>
  <si>
    <t>466/4723</t>
  </si>
  <si>
    <t>826/4658</t>
  </si>
  <si>
    <t>2648/4427</t>
  </si>
  <si>
    <t>1126/3396</t>
  </si>
  <si>
    <t>616/4580</t>
  </si>
  <si>
    <t>688/4723</t>
  </si>
  <si>
    <t>147/4658</t>
  </si>
  <si>
    <t>782/4427</t>
  </si>
  <si>
    <t>1864/3396</t>
  </si>
  <si>
    <t>1907/4580</t>
  </si>
  <si>
    <t>794/4723</t>
  </si>
  <si>
    <t>979/4658</t>
  </si>
  <si>
    <t>2185/4427</t>
  </si>
  <si>
    <t>367/4580</t>
  </si>
  <si>
    <t>1398/4723</t>
  </si>
  <si>
    <t>41/4658</t>
  </si>
  <si>
    <t>1129/4427</t>
  </si>
  <si>
    <t>184/3396</t>
  </si>
  <si>
    <t>1469/4580</t>
  </si>
  <si>
    <t>208/4723</t>
  </si>
  <si>
    <t>205/4658</t>
  </si>
  <si>
    <t>2552/4427</t>
  </si>
  <si>
    <t>1105/3396</t>
  </si>
  <si>
    <t>2447/4580</t>
  </si>
  <si>
    <t>1928/4723</t>
  </si>
  <si>
    <t>465/4658</t>
  </si>
  <si>
    <t>3939/4427</t>
  </si>
  <si>
    <t>4557/4580</t>
  </si>
  <si>
    <t>3374/4723</t>
  </si>
  <si>
    <t>4394/4658</t>
  </si>
  <si>
    <t>4224/4427</t>
  </si>
  <si>
    <t>4374/4580</t>
  </si>
  <si>
    <t>875/4723</t>
  </si>
  <si>
    <t>3025/4658</t>
  </si>
  <si>
    <t>4183/4427</t>
  </si>
  <si>
    <t>22/37</t>
  </si>
  <si>
    <t>16/36</t>
  </si>
  <si>
    <t>23/37</t>
  </si>
  <si>
    <t>17/37</t>
  </si>
  <si>
    <t>17/36</t>
  </si>
  <si>
    <t>112/265</t>
  </si>
  <si>
    <t>213/266</t>
  </si>
  <si>
    <t>147/265</t>
  </si>
  <si>
    <t>161/261</t>
  </si>
  <si>
    <t>61/245</t>
  </si>
  <si>
    <t>69/223</t>
  </si>
  <si>
    <t>85/192</t>
  </si>
  <si>
    <t>113/265</t>
  </si>
  <si>
    <t>214/266</t>
  </si>
  <si>
    <t>149/265</t>
  </si>
  <si>
    <t>162/261</t>
  </si>
  <si>
    <t>63/245</t>
  </si>
  <si>
    <t>70/223</t>
  </si>
  <si>
    <t>86/192</t>
  </si>
  <si>
    <t>1336/2490</t>
  </si>
  <si>
    <t>600/2614</t>
  </si>
  <si>
    <t>754/2574</t>
  </si>
  <si>
    <t>1843/2299</t>
  </si>
  <si>
    <t>1279/1650</t>
  </si>
  <si>
    <t>1185/2490</t>
  </si>
  <si>
    <t>526/2614</t>
  </si>
  <si>
    <t>659/2574</t>
  </si>
  <si>
    <t>1744/2299</t>
  </si>
  <si>
    <t>1107/1650</t>
  </si>
  <si>
    <t>562/1182</t>
  </si>
  <si>
    <t>247/767</t>
  </si>
  <si>
    <t>Amundi Patrimoine IC</t>
  </si>
  <si>
    <t>1178/2490</t>
  </si>
  <si>
    <t>524/2614</t>
  </si>
  <si>
    <t>650/2574</t>
  </si>
  <si>
    <t>1734/2299</t>
  </si>
  <si>
    <t>86/126</t>
  </si>
  <si>
    <t>70/124</t>
  </si>
  <si>
    <t>88/126</t>
  </si>
  <si>
    <t>72/124</t>
  </si>
  <si>
    <t>112/123</t>
  </si>
  <si>
    <t>Amundi Patrimoine MC</t>
  </si>
  <si>
    <t>1161/2490</t>
  </si>
  <si>
    <t>525/2614</t>
  </si>
  <si>
    <t>642/2574</t>
  </si>
  <si>
    <t>1725/2299</t>
  </si>
  <si>
    <t>1149/1650</t>
  </si>
  <si>
    <t>Amundi Patrimoine OC</t>
  </si>
  <si>
    <t>1037/2490</t>
  </si>
  <si>
    <t>482/2614</t>
  </si>
  <si>
    <t>561/2574</t>
  </si>
  <si>
    <t>1632/2299</t>
  </si>
  <si>
    <t>947/1650</t>
  </si>
  <si>
    <t>477/663</t>
  </si>
  <si>
    <t>109/686</t>
  </si>
  <si>
    <t>355/679</t>
  </si>
  <si>
    <t>547/621</t>
  </si>
  <si>
    <t>389/489</t>
  </si>
  <si>
    <t>452/637</t>
  </si>
  <si>
    <t>117/662</t>
  </si>
  <si>
    <t>167/649</t>
  </si>
  <si>
    <t>432/583</t>
  </si>
  <si>
    <t>467/637</t>
  </si>
  <si>
    <t>129/662</t>
  </si>
  <si>
    <t>195/649</t>
  </si>
  <si>
    <t>469/583</t>
  </si>
  <si>
    <t>273/409</t>
  </si>
  <si>
    <t>260/318</t>
  </si>
  <si>
    <t>121/144</t>
  </si>
  <si>
    <t>469/637</t>
  </si>
  <si>
    <t>142/662</t>
  </si>
  <si>
    <t>198/649</t>
  </si>
  <si>
    <t>502/583</t>
  </si>
  <si>
    <t>266/586</t>
  </si>
  <si>
    <t>453/583</t>
  </si>
  <si>
    <t>754/1356</t>
  </si>
  <si>
    <t>77/1397</t>
  </si>
  <si>
    <t>844/1383</t>
  </si>
  <si>
    <t>715/1313</t>
  </si>
  <si>
    <t>1143/1170</t>
  </si>
  <si>
    <t>998/1007</t>
  </si>
  <si>
    <t>806/823</t>
  </si>
  <si>
    <t>758/1356</t>
  </si>
  <si>
    <t>80/1397</t>
  </si>
  <si>
    <t>848/1383</t>
  </si>
  <si>
    <t>719/1313</t>
  </si>
  <si>
    <t>1144/1170</t>
  </si>
  <si>
    <t>999/1007</t>
  </si>
  <si>
    <t>807/823</t>
  </si>
  <si>
    <t>834/882</t>
  </si>
  <si>
    <t>541/948</t>
  </si>
  <si>
    <t>804/921</t>
  </si>
  <si>
    <t>799/843</t>
  </si>
  <si>
    <t>313/692</t>
  </si>
  <si>
    <t>443/577</t>
  </si>
  <si>
    <t>250/454</t>
  </si>
  <si>
    <t>835/882</t>
  </si>
  <si>
    <t>539/948</t>
  </si>
  <si>
    <t>806/921</t>
  </si>
  <si>
    <t>798/843</t>
  </si>
  <si>
    <t>312/692</t>
  </si>
  <si>
    <t>442/577</t>
  </si>
  <si>
    <t>249/454</t>
  </si>
  <si>
    <t>Amundi Primo Investimento B</t>
  </si>
  <si>
    <t>1113/1802</t>
  </si>
  <si>
    <t>IT0005250243</t>
  </si>
  <si>
    <t>Amundi Primo Investimento E</t>
  </si>
  <si>
    <t>1067/1802</t>
  </si>
  <si>
    <t>IT0005250268</t>
  </si>
  <si>
    <t>585/905</t>
  </si>
  <si>
    <t>122/936</t>
  </si>
  <si>
    <t>376/926</t>
  </si>
  <si>
    <t>645/820</t>
  </si>
  <si>
    <t>467/562</t>
  </si>
  <si>
    <t>280/316</t>
  </si>
  <si>
    <t>133/139</t>
  </si>
  <si>
    <t>612/905</t>
  </si>
  <si>
    <t>218/936</t>
  </si>
  <si>
    <t>422/926</t>
  </si>
  <si>
    <t>661/820</t>
  </si>
  <si>
    <t>500/562</t>
  </si>
  <si>
    <t>275/316</t>
  </si>
  <si>
    <t>116/139</t>
  </si>
  <si>
    <t>497/905</t>
  </si>
  <si>
    <t>271/936</t>
  </si>
  <si>
    <t>339/926</t>
  </si>
  <si>
    <t>555/820</t>
  </si>
  <si>
    <t>365/562</t>
  </si>
  <si>
    <t>169/316</t>
  </si>
  <si>
    <t>102/139</t>
  </si>
  <si>
    <t>678/905</t>
  </si>
  <si>
    <t>249/936</t>
  </si>
  <si>
    <t>466/926</t>
  </si>
  <si>
    <t>728/820</t>
  </si>
  <si>
    <t>523/562</t>
  </si>
  <si>
    <t>Amundi Protection 90 C</t>
  </si>
  <si>
    <t>479/905</t>
  </si>
  <si>
    <t>263/936</t>
  </si>
  <si>
    <t>314/926</t>
  </si>
  <si>
    <t>522/820</t>
  </si>
  <si>
    <t>347/562</t>
  </si>
  <si>
    <t>Amundi Protection 95 C</t>
  </si>
  <si>
    <t>527/905</t>
  </si>
  <si>
    <t>86/936</t>
  </si>
  <si>
    <t>273/926</t>
  </si>
  <si>
    <t>614/820</t>
  </si>
  <si>
    <t>451/562</t>
  </si>
  <si>
    <t>512/905</t>
  </si>
  <si>
    <t>338/936</t>
  </si>
  <si>
    <t>331/926</t>
  </si>
  <si>
    <t>623/820</t>
  </si>
  <si>
    <t>483/882</t>
  </si>
  <si>
    <t>360/948</t>
  </si>
  <si>
    <t>333/921</t>
  </si>
  <si>
    <t>745/843</t>
  </si>
  <si>
    <t>576/692</t>
  </si>
  <si>
    <t>497/577</t>
  </si>
  <si>
    <t>364/454</t>
  </si>
  <si>
    <t>158/312</t>
  </si>
  <si>
    <t>299/320</t>
  </si>
  <si>
    <t>241/316</t>
  </si>
  <si>
    <t>82/309</t>
  </si>
  <si>
    <t>184/288</t>
  </si>
  <si>
    <t>84/270</t>
  </si>
  <si>
    <t>133/238</t>
  </si>
  <si>
    <t>216/882</t>
  </si>
  <si>
    <t>81/948</t>
  </si>
  <si>
    <t>205/921</t>
  </si>
  <si>
    <t>343/843</t>
  </si>
  <si>
    <t>166/692</t>
  </si>
  <si>
    <t>202/577</t>
  </si>
  <si>
    <t>213/882</t>
  </si>
  <si>
    <t>91/948</t>
  </si>
  <si>
    <t>219/921</t>
  </si>
  <si>
    <t>339/843</t>
  </si>
  <si>
    <t>159/692</t>
  </si>
  <si>
    <t>209/577</t>
  </si>
  <si>
    <t>228/454</t>
  </si>
  <si>
    <t>232/882</t>
  </si>
  <si>
    <t>93/948</t>
  </si>
  <si>
    <t>220/921</t>
  </si>
  <si>
    <t>373/843</t>
  </si>
  <si>
    <t>301/882</t>
  </si>
  <si>
    <t>117/948</t>
  </si>
  <si>
    <t>292/921</t>
  </si>
  <si>
    <t>422/843</t>
  </si>
  <si>
    <t>295/692</t>
  </si>
  <si>
    <t>286/577</t>
  </si>
  <si>
    <t>116/246</t>
  </si>
  <si>
    <t>105/246</t>
  </si>
  <si>
    <t>80/244</t>
  </si>
  <si>
    <t>52/220</t>
  </si>
  <si>
    <t>29/203</t>
  </si>
  <si>
    <t>70/177</t>
  </si>
  <si>
    <t>1657/4345</t>
  </si>
  <si>
    <t>1884/4572</t>
  </si>
  <si>
    <t>2067/4495</t>
  </si>
  <si>
    <t>2682/4016</t>
  </si>
  <si>
    <t>1206/2981</t>
  </si>
  <si>
    <t>1027/2184</t>
  </si>
  <si>
    <t>597/1651</t>
  </si>
  <si>
    <t>Amundi Resa Oblig Diversifié NC</t>
  </si>
  <si>
    <t>487/1356</t>
  </si>
  <si>
    <t>598/1397</t>
  </si>
  <si>
    <t>202/1383</t>
  </si>
  <si>
    <t>667/1313</t>
  </si>
  <si>
    <t>235/1170</t>
  </si>
  <si>
    <t>198/1007</t>
  </si>
  <si>
    <t>331/823</t>
  </si>
  <si>
    <t>Amundi Resa Obligaterme 2018 C</t>
  </si>
  <si>
    <t>572/1040</t>
  </si>
  <si>
    <t>381/1158</t>
  </si>
  <si>
    <t>605/1105</t>
  </si>
  <si>
    <t>518/838</t>
  </si>
  <si>
    <t>333/559</t>
  </si>
  <si>
    <t>64/105</t>
  </si>
  <si>
    <t>65/73</t>
  </si>
  <si>
    <t>7/122</t>
  </si>
  <si>
    <t>125/127</t>
  </si>
  <si>
    <t>94/111</t>
  </si>
  <si>
    <t>23/98</t>
  </si>
  <si>
    <t>9/29</t>
  </si>
  <si>
    <t>14/29</t>
  </si>
  <si>
    <t>43/93</t>
  </si>
  <si>
    <t>18/93</t>
  </si>
  <si>
    <t>52/93</t>
  </si>
  <si>
    <t>62/451</t>
  </si>
  <si>
    <t>376/460</t>
  </si>
  <si>
    <t>78/458</t>
  </si>
  <si>
    <t>330/431</t>
  </si>
  <si>
    <t>226/344</t>
  </si>
  <si>
    <t>343/451</t>
  </si>
  <si>
    <t>229/460</t>
  </si>
  <si>
    <t>310/458</t>
  </si>
  <si>
    <t>266/431</t>
  </si>
  <si>
    <t>228/344</t>
  </si>
  <si>
    <t>85/94</t>
  </si>
  <si>
    <t>65/98</t>
  </si>
  <si>
    <t>79/98</t>
  </si>
  <si>
    <t>45/72</t>
  </si>
  <si>
    <t>33/57</t>
  </si>
  <si>
    <t>29/53</t>
  </si>
  <si>
    <t>7/54</t>
  </si>
  <si>
    <t>43/50</t>
  </si>
  <si>
    <t>15/40</t>
  </si>
  <si>
    <t>280/451</t>
  </si>
  <si>
    <t>136/460</t>
  </si>
  <si>
    <t>228/458</t>
  </si>
  <si>
    <t>148/431</t>
  </si>
  <si>
    <t>173/344</t>
  </si>
  <si>
    <t>173/299</t>
  </si>
  <si>
    <t>198/279</t>
  </si>
  <si>
    <t>48/225</t>
  </si>
  <si>
    <t>26/225</t>
  </si>
  <si>
    <t>91/225</t>
  </si>
  <si>
    <t>75/220</t>
  </si>
  <si>
    <t>116/180</t>
  </si>
  <si>
    <t>143/225</t>
  </si>
  <si>
    <t>149/225</t>
  </si>
  <si>
    <t>206/225</t>
  </si>
  <si>
    <t>47/220</t>
  </si>
  <si>
    <t>87/180</t>
  </si>
  <si>
    <t>47/121</t>
  </si>
  <si>
    <t>86/225</t>
  </si>
  <si>
    <t>57/225</t>
  </si>
  <si>
    <t>112/220</t>
  </si>
  <si>
    <t>27/180</t>
  </si>
  <si>
    <t>8/225</t>
  </si>
  <si>
    <t>5/225</t>
  </si>
  <si>
    <t>34/225</t>
  </si>
  <si>
    <t>55/220</t>
  </si>
  <si>
    <t>168/180</t>
  </si>
  <si>
    <t>110/225</t>
  </si>
  <si>
    <t>68/225</t>
  </si>
  <si>
    <t>22/225</t>
  </si>
  <si>
    <t>182/220</t>
  </si>
  <si>
    <t>171/180</t>
  </si>
  <si>
    <t>2/43</t>
  </si>
  <si>
    <t>12/42</t>
  </si>
  <si>
    <t>70/225</t>
  </si>
  <si>
    <t>82/225</t>
  </si>
  <si>
    <t>6/220</t>
  </si>
  <si>
    <t>21/180</t>
  </si>
  <si>
    <t>67/121</t>
  </si>
  <si>
    <t>1/31</t>
  </si>
  <si>
    <t>22/31</t>
  </si>
  <si>
    <t>113/153</t>
  </si>
  <si>
    <t>57/166</t>
  </si>
  <si>
    <t>54/163</t>
  </si>
  <si>
    <t>71/111</t>
  </si>
  <si>
    <t>18/36</t>
  </si>
  <si>
    <t>28/1720</t>
  </si>
  <si>
    <t>44/1802</t>
  </si>
  <si>
    <t>22/1779</t>
  </si>
  <si>
    <t>43/1599</t>
  </si>
  <si>
    <t>27/1720</t>
  </si>
  <si>
    <t>42/1802</t>
  </si>
  <si>
    <t>23/1779</t>
  </si>
  <si>
    <t>44/1599</t>
  </si>
  <si>
    <t>19/1720</t>
  </si>
  <si>
    <t>36/1802</t>
  </si>
  <si>
    <t>13/1779</t>
  </si>
  <si>
    <t>36/1599</t>
  </si>
  <si>
    <t>26/1720</t>
  </si>
  <si>
    <t>43/1802</t>
  </si>
  <si>
    <t>21/1779</t>
  </si>
  <si>
    <t>42/1599</t>
  </si>
  <si>
    <t>276/549</t>
  </si>
  <si>
    <t>409/560</t>
  </si>
  <si>
    <t>295/557</t>
  </si>
  <si>
    <t>109/539</t>
  </si>
  <si>
    <t>50/451</t>
  </si>
  <si>
    <t>35/361</t>
  </si>
  <si>
    <t>1/33</t>
  </si>
  <si>
    <t>600/1356</t>
  </si>
  <si>
    <t>71/1397</t>
  </si>
  <si>
    <t>775/1383</t>
  </si>
  <si>
    <t>614/1313</t>
  </si>
  <si>
    <t>1134/1170</t>
  </si>
  <si>
    <t>988/1007</t>
  </si>
  <si>
    <t>796/823</t>
  </si>
  <si>
    <t>603/1356</t>
  </si>
  <si>
    <t>73/1397</t>
  </si>
  <si>
    <t>765/1383</t>
  </si>
  <si>
    <t>615/1313</t>
  </si>
  <si>
    <t>1132/1170</t>
  </si>
  <si>
    <t>987/1007</t>
  </si>
  <si>
    <t>795/823</t>
  </si>
  <si>
    <t>Amundi Sentiero 2021 C/D</t>
  </si>
  <si>
    <t>68/1040</t>
  </si>
  <si>
    <t>67/1158</t>
  </si>
  <si>
    <t>20/1105</t>
  </si>
  <si>
    <t>23/36</t>
  </si>
  <si>
    <t>20/31</t>
  </si>
  <si>
    <t>17/29</t>
  </si>
  <si>
    <t>22/36</t>
  </si>
  <si>
    <t>15/36</t>
  </si>
  <si>
    <t>12/43</t>
  </si>
  <si>
    <t>1/45</t>
  </si>
  <si>
    <t>32/45</t>
  </si>
  <si>
    <t>111/206</t>
  </si>
  <si>
    <t>189/217</t>
  </si>
  <si>
    <t>128/207</t>
  </si>
  <si>
    <t>74/201</t>
  </si>
  <si>
    <t>99/151</t>
  </si>
  <si>
    <t>85/129</t>
  </si>
  <si>
    <t>60/103</t>
  </si>
  <si>
    <t>124/206</t>
  </si>
  <si>
    <t>191/217</t>
  </si>
  <si>
    <t>135/207</t>
  </si>
  <si>
    <t>112/151</t>
  </si>
  <si>
    <t>97/129</t>
  </si>
  <si>
    <t>Amundi SMBC Amundi Protect &amp; Switch Fund</t>
  </si>
  <si>
    <t>Amundi Strategic Income Fund Hdg D1M</t>
  </si>
  <si>
    <t>Japan Fund World ex-Japan Bond - JPY Hedged</t>
  </si>
  <si>
    <t>37/68</t>
  </si>
  <si>
    <t>JP90C000EVW6</t>
  </si>
  <si>
    <t>Amundi Strategic Income Fund Hdg D2Y</t>
  </si>
  <si>
    <t>40/68</t>
  </si>
  <si>
    <t>JP90C000EVX4</t>
  </si>
  <si>
    <t>Amundi Strategic Income Fund UnHdg D1M</t>
  </si>
  <si>
    <t>173/178</t>
  </si>
  <si>
    <t>JP90C000EVY2</t>
  </si>
  <si>
    <t>Amundi Strategic Income Fund UnHdg D2Y</t>
  </si>
  <si>
    <t>171/178</t>
  </si>
  <si>
    <t>JP90C000EVZ9</t>
  </si>
  <si>
    <t>Amundi Stratégies Actions Euro C</t>
  </si>
  <si>
    <t>368/1145</t>
  </si>
  <si>
    <t>805/1161</t>
  </si>
  <si>
    <t>427/1155</t>
  </si>
  <si>
    <t>620/1114</t>
  </si>
  <si>
    <t>319/929</t>
  </si>
  <si>
    <t>468/795</t>
  </si>
  <si>
    <t>368/648</t>
  </si>
  <si>
    <t>Amundi Stratégies Actions Europe C</t>
  </si>
  <si>
    <t>1082/1877</t>
  </si>
  <si>
    <t>1462/1956</t>
  </si>
  <si>
    <t>1172/1915</t>
  </si>
  <si>
    <t>1175/1770</t>
  </si>
  <si>
    <t>874/1372</t>
  </si>
  <si>
    <t>704/1112</t>
  </si>
  <si>
    <t>605/906</t>
  </si>
  <si>
    <t>Amundi Stratégies Actions Europe D</t>
  </si>
  <si>
    <t>1083/1877</t>
  </si>
  <si>
    <t>1463/1956</t>
  </si>
  <si>
    <t>1176/1915</t>
  </si>
  <si>
    <t>1176/1770</t>
  </si>
  <si>
    <t>875/1372</t>
  </si>
  <si>
    <t>705/1112</t>
  </si>
  <si>
    <t>606/906</t>
  </si>
  <si>
    <t>Amundi Stratégies Actions France C</t>
  </si>
  <si>
    <t>96/246</t>
  </si>
  <si>
    <t>171/246</t>
  </si>
  <si>
    <t>115/246</t>
  </si>
  <si>
    <t>121/244</t>
  </si>
  <si>
    <t>101/220</t>
  </si>
  <si>
    <t>77/203</t>
  </si>
  <si>
    <t>45/177</t>
  </si>
  <si>
    <t>Amundi Stratégies Actions France D</t>
  </si>
  <si>
    <t>170/246</t>
  </si>
  <si>
    <t>114/246</t>
  </si>
  <si>
    <t>122/244</t>
  </si>
  <si>
    <t>100/220</t>
  </si>
  <si>
    <t>78/203</t>
  </si>
  <si>
    <t>44/177</t>
  </si>
  <si>
    <t>110/193</t>
  </si>
  <si>
    <t>51/202</t>
  </si>
  <si>
    <t>101/199</t>
  </si>
  <si>
    <t>82/131</t>
  </si>
  <si>
    <t>40/52</t>
  </si>
  <si>
    <t>23/56</t>
  </si>
  <si>
    <t>43/54</t>
  </si>
  <si>
    <t>56/132</t>
  </si>
  <si>
    <t>85/132</t>
  </si>
  <si>
    <t>38/132</t>
  </si>
  <si>
    <t>17/125</t>
  </si>
  <si>
    <t>25/106</t>
  </si>
  <si>
    <t>28/132</t>
  </si>
  <si>
    <t>53/131</t>
  </si>
  <si>
    <t>63/106</t>
  </si>
  <si>
    <t>120/132</t>
  </si>
  <si>
    <t>118/132</t>
  </si>
  <si>
    <t>127/132</t>
  </si>
  <si>
    <t>29/131</t>
  </si>
  <si>
    <t>37/106</t>
  </si>
  <si>
    <t>98/142</t>
  </si>
  <si>
    <t>127/143</t>
  </si>
  <si>
    <t>13/140</t>
  </si>
  <si>
    <t>28/128</t>
  </si>
  <si>
    <t>11/44</t>
  </si>
  <si>
    <t>13/44</t>
  </si>
  <si>
    <t>9/39</t>
  </si>
  <si>
    <t>30/429</t>
  </si>
  <si>
    <t>119/454</t>
  </si>
  <si>
    <t>37/450</t>
  </si>
  <si>
    <t>8/398</t>
  </si>
  <si>
    <t>48/198</t>
  </si>
  <si>
    <t>9/137</t>
  </si>
  <si>
    <t>698/1040</t>
  </si>
  <si>
    <t>492/1158</t>
  </si>
  <si>
    <t>663/1105</t>
  </si>
  <si>
    <t>672/838</t>
  </si>
  <si>
    <t>408/559</t>
  </si>
  <si>
    <t>11/118</t>
  </si>
  <si>
    <t>90/120</t>
  </si>
  <si>
    <t>16/119</t>
  </si>
  <si>
    <t>63/2490</t>
  </si>
  <si>
    <t>465/2614</t>
  </si>
  <si>
    <t>23/2574</t>
  </si>
  <si>
    <t>988/2299</t>
  </si>
  <si>
    <t>198/431</t>
  </si>
  <si>
    <t>183/450</t>
  </si>
  <si>
    <t>204/443</t>
  </si>
  <si>
    <t>179/407</t>
  </si>
  <si>
    <t>108/341</t>
  </si>
  <si>
    <t>219/431</t>
  </si>
  <si>
    <t>202/450</t>
  </si>
  <si>
    <t>219/443</t>
  </si>
  <si>
    <t>206/407</t>
  </si>
  <si>
    <t>145/341</t>
  </si>
  <si>
    <t>154/308</t>
  </si>
  <si>
    <t>189/431</t>
  </si>
  <si>
    <t>176/450</t>
  </si>
  <si>
    <t>196/443</t>
  </si>
  <si>
    <t>170/407</t>
  </si>
  <si>
    <t>99/341</t>
  </si>
  <si>
    <t>131/308</t>
  </si>
  <si>
    <t>93/253</t>
  </si>
  <si>
    <t>310/431</t>
  </si>
  <si>
    <t>298/450</t>
  </si>
  <si>
    <t>293/443</t>
  </si>
  <si>
    <t>255/341</t>
  </si>
  <si>
    <t>227/308</t>
  </si>
  <si>
    <t>111/415</t>
  </si>
  <si>
    <t>125/411</t>
  </si>
  <si>
    <t>145/396</t>
  </si>
  <si>
    <t>158/362</t>
  </si>
  <si>
    <t>134/333</t>
  </si>
  <si>
    <t>91/407</t>
  </si>
  <si>
    <t>70/415</t>
  </si>
  <si>
    <t>82/411</t>
  </si>
  <si>
    <t>97/396</t>
  </si>
  <si>
    <t>54/333</t>
  </si>
  <si>
    <t>50/265</t>
  </si>
  <si>
    <t>138/407</t>
  </si>
  <si>
    <t>113/415</t>
  </si>
  <si>
    <t>124/411</t>
  </si>
  <si>
    <t>144/396</t>
  </si>
  <si>
    <t>147/362</t>
  </si>
  <si>
    <t>130/333</t>
  </si>
  <si>
    <t>139/407</t>
  </si>
  <si>
    <t>115/415</t>
  </si>
  <si>
    <t>123/411</t>
  </si>
  <si>
    <t>146/396</t>
  </si>
  <si>
    <t>144/362</t>
  </si>
  <si>
    <t>129/333</t>
  </si>
  <si>
    <t>171/450</t>
  </si>
  <si>
    <t>239/443</t>
  </si>
  <si>
    <t>74/120</t>
  </si>
  <si>
    <t>71/123</t>
  </si>
  <si>
    <t>83/122</t>
  </si>
  <si>
    <t>66/114</t>
  </si>
  <si>
    <t>48/105</t>
  </si>
  <si>
    <t>44/94</t>
  </si>
  <si>
    <t>33/78</t>
  </si>
  <si>
    <t>368/407</t>
  </si>
  <si>
    <t>369/415</t>
  </si>
  <si>
    <t>379/411</t>
  </si>
  <si>
    <t>362/396</t>
  </si>
  <si>
    <t>337/362</t>
  </si>
  <si>
    <t>362/407</t>
  </si>
  <si>
    <t>367/415</t>
  </si>
  <si>
    <t>368/411</t>
  </si>
  <si>
    <t>356/396</t>
  </si>
  <si>
    <t>332/362</t>
  </si>
  <si>
    <t>298/333</t>
  </si>
  <si>
    <t>226/265</t>
  </si>
  <si>
    <t>450/576</t>
  </si>
  <si>
    <t>53/586</t>
  </si>
  <si>
    <t>298/583</t>
  </si>
  <si>
    <t>501/553</t>
  </si>
  <si>
    <t>467/478</t>
  </si>
  <si>
    <t>395/397</t>
  </si>
  <si>
    <t>42/586</t>
  </si>
  <si>
    <t>225/583</t>
  </si>
  <si>
    <t>453/553</t>
  </si>
  <si>
    <t>453/478</t>
  </si>
  <si>
    <t>393/397</t>
  </si>
  <si>
    <t>270/314</t>
  </si>
  <si>
    <t>462/576</t>
  </si>
  <si>
    <t>58/586</t>
  </si>
  <si>
    <t>327/583</t>
  </si>
  <si>
    <t>511/553</t>
  </si>
  <si>
    <t>472/478</t>
  </si>
  <si>
    <t>185/407</t>
  </si>
  <si>
    <t>150/415</t>
  </si>
  <si>
    <t>184/396</t>
  </si>
  <si>
    <t>195/362</t>
  </si>
  <si>
    <t>185/333</t>
  </si>
  <si>
    <t>170/265</t>
  </si>
  <si>
    <t>Amundi Trésorerie ESR F</t>
  </si>
  <si>
    <t>255/431</t>
  </si>
  <si>
    <t>215/450</t>
  </si>
  <si>
    <t>278/443</t>
  </si>
  <si>
    <t>264/407</t>
  </si>
  <si>
    <t>211/341</t>
  </si>
  <si>
    <t>241/308</t>
  </si>
  <si>
    <t>195/253</t>
  </si>
  <si>
    <t>1/18</t>
  </si>
  <si>
    <t>15/171</t>
  </si>
  <si>
    <t>3/176</t>
  </si>
  <si>
    <t>15/165</t>
  </si>
  <si>
    <t>17/149</t>
  </si>
  <si>
    <t>1/128</t>
  </si>
  <si>
    <t>3/108</t>
  </si>
  <si>
    <t>140/153</t>
  </si>
  <si>
    <t>27/166</t>
  </si>
  <si>
    <t>142/163</t>
  </si>
  <si>
    <t>76/143</t>
  </si>
  <si>
    <t>141/153</t>
  </si>
  <si>
    <t>143/163</t>
  </si>
  <si>
    <t>75/143</t>
  </si>
  <si>
    <t>77/83</t>
  </si>
  <si>
    <t>80/83</t>
  </si>
  <si>
    <t>39/122</t>
  </si>
  <si>
    <t>46/114</t>
  </si>
  <si>
    <t>51/94</t>
  </si>
  <si>
    <t>3/78</t>
  </si>
  <si>
    <t>44/120</t>
  </si>
  <si>
    <t>24/123</t>
  </si>
  <si>
    <t>32/122</t>
  </si>
  <si>
    <t>47/114</t>
  </si>
  <si>
    <t>56/105</t>
  </si>
  <si>
    <t>4/78</t>
  </si>
  <si>
    <t>Amundi Valeurs Durables P C/D</t>
  </si>
  <si>
    <t>198/436</t>
  </si>
  <si>
    <t>418/450</t>
  </si>
  <si>
    <t>249/444</t>
  </si>
  <si>
    <t>364/414</t>
  </si>
  <si>
    <t>288/353</t>
  </si>
  <si>
    <t>173/279</t>
  </si>
  <si>
    <t>146/222</t>
  </si>
  <si>
    <t>334/616</t>
  </si>
  <si>
    <t>278/616</t>
  </si>
  <si>
    <t>Amundi Vie O2</t>
  </si>
  <si>
    <t>FR0013196987</t>
  </si>
  <si>
    <t>387/1720</t>
  </si>
  <si>
    <t>542/1802</t>
  </si>
  <si>
    <t>244/1779</t>
  </si>
  <si>
    <t>873/1599</t>
  </si>
  <si>
    <t>327/1164</t>
  </si>
  <si>
    <t>335/875</t>
  </si>
  <si>
    <t>20/38</t>
  </si>
  <si>
    <t>6/29</t>
  </si>
  <si>
    <t>8/16</t>
  </si>
  <si>
    <t>HK0000329125</t>
  </si>
  <si>
    <t>109/193</t>
  </si>
  <si>
    <t>50/202</t>
  </si>
  <si>
    <t>102/199</t>
  </si>
  <si>
    <t>69/106</t>
  </si>
  <si>
    <t>42/50</t>
  </si>
  <si>
    <t>50/60</t>
  </si>
  <si>
    <t>180/193</t>
  </si>
  <si>
    <t>128/202</t>
  </si>
  <si>
    <t>186/199</t>
  </si>
  <si>
    <t>71/131</t>
  </si>
  <si>
    <t>586/1040</t>
  </si>
  <si>
    <t>627/1105</t>
  </si>
  <si>
    <t>486/838</t>
  </si>
  <si>
    <t>445/559</t>
  </si>
  <si>
    <t>365/1040</t>
  </si>
  <si>
    <t>567/1158</t>
  </si>
  <si>
    <t>408/1105</t>
  </si>
  <si>
    <t>326/838</t>
  </si>
  <si>
    <t>139/559</t>
  </si>
  <si>
    <t>2247/4580</t>
  </si>
  <si>
    <t>3143/4723</t>
  </si>
  <si>
    <t>3262/4658</t>
  </si>
  <si>
    <t>1916/4427</t>
  </si>
  <si>
    <t>2807/3396</t>
  </si>
  <si>
    <t>2447/2721</t>
  </si>
  <si>
    <t>2107/2374</t>
  </si>
  <si>
    <t>2245/4345</t>
  </si>
  <si>
    <t>2720/4572</t>
  </si>
  <si>
    <t>2437/4495</t>
  </si>
  <si>
    <t>2475/4016</t>
  </si>
  <si>
    <t>1699/2981</t>
  </si>
  <si>
    <t>1212/2184</t>
  </si>
  <si>
    <t>1005/1651</t>
  </si>
  <si>
    <t>879/1356</t>
  </si>
  <si>
    <t>444/1397</t>
  </si>
  <si>
    <t>392/1383</t>
  </si>
  <si>
    <t>852/1313</t>
  </si>
  <si>
    <t>298/1170</t>
  </si>
  <si>
    <t>104/1007</t>
  </si>
  <si>
    <t>191/823</t>
  </si>
  <si>
    <t>213/576</t>
  </si>
  <si>
    <t>178/586</t>
  </si>
  <si>
    <t>140/583</t>
  </si>
  <si>
    <t>221/553</t>
  </si>
  <si>
    <t>142/478</t>
  </si>
  <si>
    <t>323/397</t>
  </si>
  <si>
    <t>291/314</t>
  </si>
  <si>
    <t>639/1877</t>
  </si>
  <si>
    <t>566/1956</t>
  </si>
  <si>
    <t>813/1915</t>
  </si>
  <si>
    <t>457/1770</t>
  </si>
  <si>
    <t>902/1372</t>
  </si>
  <si>
    <t>759/1112</t>
  </si>
  <si>
    <t>1074/1877</t>
  </si>
  <si>
    <t>1118/1956</t>
  </si>
  <si>
    <t>1132/1915</t>
  </si>
  <si>
    <t>973/1770</t>
  </si>
  <si>
    <t>826/1372</t>
  </si>
  <si>
    <t>828/1112</t>
  </si>
  <si>
    <t>754/906</t>
  </si>
  <si>
    <t>1048/1877</t>
  </si>
  <si>
    <t>1109/1956</t>
  </si>
  <si>
    <t>1114/1915</t>
  </si>
  <si>
    <t>957/1770</t>
  </si>
  <si>
    <t>780/1372</t>
  </si>
  <si>
    <t>804/1112</t>
  </si>
  <si>
    <t>744/906</t>
  </si>
  <si>
    <t>1016/1877</t>
  </si>
  <si>
    <t>1091/1956</t>
  </si>
  <si>
    <t>1086/1915</t>
  </si>
  <si>
    <t>932/1770</t>
  </si>
  <si>
    <t>770/1112</t>
  </si>
  <si>
    <t>724/906</t>
  </si>
  <si>
    <t>929/1877</t>
  </si>
  <si>
    <t>1062/1956</t>
  </si>
  <si>
    <t>1020/1915</t>
  </si>
  <si>
    <t>882/1770</t>
  </si>
  <si>
    <t>591/1372</t>
  </si>
  <si>
    <t>726/1112</t>
  </si>
  <si>
    <t>909/1877</t>
  </si>
  <si>
    <t>1046/1956</t>
  </si>
  <si>
    <t>1009/1915</t>
  </si>
  <si>
    <t>855/1770</t>
  </si>
  <si>
    <t>549/1372</t>
  </si>
  <si>
    <t>682/1112</t>
  </si>
  <si>
    <t>674/906</t>
  </si>
  <si>
    <t>622/1145</t>
  </si>
  <si>
    <t>716/1161</t>
  </si>
  <si>
    <t>553/1155</t>
  </si>
  <si>
    <t>272/1114</t>
  </si>
  <si>
    <t>715/929</t>
  </si>
  <si>
    <t>412/795</t>
  </si>
  <si>
    <t>394/648</t>
  </si>
  <si>
    <t>609/1145</t>
  </si>
  <si>
    <t>708/1161</t>
  </si>
  <si>
    <t>543/1155</t>
  </si>
  <si>
    <t>265/1114</t>
  </si>
  <si>
    <t>699/929</t>
  </si>
  <si>
    <t>391/795</t>
  </si>
  <si>
    <t>583/1145</t>
  </si>
  <si>
    <t>696/1161</t>
  </si>
  <si>
    <t>533/1155</t>
  </si>
  <si>
    <t>248/1114</t>
  </si>
  <si>
    <t>670/929</t>
  </si>
  <si>
    <t>369/795</t>
  </si>
  <si>
    <t>361/648</t>
  </si>
  <si>
    <t>557/1145</t>
  </si>
  <si>
    <t>676/1161</t>
  </si>
  <si>
    <t>508/1155</t>
  </si>
  <si>
    <t>221/1114</t>
  </si>
  <si>
    <t>612/929</t>
  </si>
  <si>
    <t>310/795</t>
  </si>
  <si>
    <t>541/1145</t>
  </si>
  <si>
    <t>668/1161</t>
  </si>
  <si>
    <t>500/1155</t>
  </si>
  <si>
    <t>216/1114</t>
  </si>
  <si>
    <t>583/929</t>
  </si>
  <si>
    <t>286/795</t>
  </si>
  <si>
    <t>306/648</t>
  </si>
  <si>
    <t>132/246</t>
  </si>
  <si>
    <t>125/246</t>
  </si>
  <si>
    <t>87/246</t>
  </si>
  <si>
    <t>93/244</t>
  </si>
  <si>
    <t>90/220</t>
  </si>
  <si>
    <t>62/203</t>
  </si>
  <si>
    <t>107/177</t>
  </si>
  <si>
    <t>130/246</t>
  </si>
  <si>
    <t>120/246</t>
  </si>
  <si>
    <t>85/246</t>
  </si>
  <si>
    <t>89/244</t>
  </si>
  <si>
    <t>83/220</t>
  </si>
  <si>
    <t>55/203</t>
  </si>
  <si>
    <t>124/246</t>
  </si>
  <si>
    <t>118/246</t>
  </si>
  <si>
    <t>80/246</t>
  </si>
  <si>
    <t>73/220</t>
  </si>
  <si>
    <t>39/203</t>
  </si>
  <si>
    <t>113/246</t>
  </si>
  <si>
    <t>32/203</t>
  </si>
  <si>
    <t>108/246</t>
  </si>
  <si>
    <t>69/246</t>
  </si>
  <si>
    <t>79/244</t>
  </si>
  <si>
    <t>50/220</t>
  </si>
  <si>
    <t>28/203</t>
  </si>
  <si>
    <t>64/177</t>
  </si>
  <si>
    <t>1874/4345</t>
  </si>
  <si>
    <t>2126/4572</t>
  </si>
  <si>
    <t>2230/4495</t>
  </si>
  <si>
    <t>2897/4016</t>
  </si>
  <si>
    <t>1501/2981</t>
  </si>
  <si>
    <t>1308/2184</t>
  </si>
  <si>
    <t>961/1651</t>
  </si>
  <si>
    <t>1823/4345</t>
  </si>
  <si>
    <t>2087/4572</t>
  </si>
  <si>
    <t>2193/4495</t>
  </si>
  <si>
    <t>2860/4016</t>
  </si>
  <si>
    <t>1440/2981</t>
  </si>
  <si>
    <t>1268/2184</t>
  </si>
  <si>
    <t>1784/4345</t>
  </si>
  <si>
    <t>2042/4572</t>
  </si>
  <si>
    <t>2169/4495</t>
  </si>
  <si>
    <t>2818/4016</t>
  </si>
  <si>
    <t>1375/2981</t>
  </si>
  <si>
    <t>1191/2184</t>
  </si>
  <si>
    <t>886/1651</t>
  </si>
  <si>
    <t>1696/4345</t>
  </si>
  <si>
    <t>1939/4572</t>
  </si>
  <si>
    <t>2101/4495</t>
  </si>
  <si>
    <t>2723/4016</t>
  </si>
  <si>
    <t>1248/2981</t>
  </si>
  <si>
    <t>1086/2184</t>
  </si>
  <si>
    <t>1658/4345</t>
  </si>
  <si>
    <t>1889/4572</t>
  </si>
  <si>
    <t>2069/4495</t>
  </si>
  <si>
    <t>2681/4016</t>
  </si>
  <si>
    <t>1197/2981</t>
  </si>
  <si>
    <t>1031/2184</t>
  </si>
  <si>
    <t>750/1651</t>
  </si>
  <si>
    <t>164/994</t>
  </si>
  <si>
    <t>273/1027</t>
  </si>
  <si>
    <t>126/929</t>
  </si>
  <si>
    <t>561/731</t>
  </si>
  <si>
    <t>401/599</t>
  </si>
  <si>
    <t>336/491</t>
  </si>
  <si>
    <t>158/994</t>
  </si>
  <si>
    <t>268/1027</t>
  </si>
  <si>
    <t>73/1016</t>
  </si>
  <si>
    <t>119/929</t>
  </si>
  <si>
    <t>547/731</t>
  </si>
  <si>
    <t>396/599</t>
  </si>
  <si>
    <t>145/994</t>
  </si>
  <si>
    <t>262/1027</t>
  </si>
  <si>
    <t>108/929</t>
  </si>
  <si>
    <t>532/731</t>
  </si>
  <si>
    <t>377/599</t>
  </si>
  <si>
    <t>319/491</t>
  </si>
  <si>
    <t>127/994</t>
  </si>
  <si>
    <t>249/1027</t>
  </si>
  <si>
    <t>64/1016</t>
  </si>
  <si>
    <t>95/929</t>
  </si>
  <si>
    <t>499/731</t>
  </si>
  <si>
    <t>353/599</t>
  </si>
  <si>
    <t>120/994</t>
  </si>
  <si>
    <t>243/1027</t>
  </si>
  <si>
    <t>59/1016</t>
  </si>
  <si>
    <t>93/929</t>
  </si>
  <si>
    <t>490/731</t>
  </si>
  <si>
    <t>333/599</t>
  </si>
  <si>
    <t>269/491</t>
  </si>
  <si>
    <t>866/1720</t>
  </si>
  <si>
    <t>809/1802</t>
  </si>
  <si>
    <t>303/1779</t>
  </si>
  <si>
    <t>1160/1599</t>
  </si>
  <si>
    <t>537/1164</t>
  </si>
  <si>
    <t>165/875</t>
  </si>
  <si>
    <t>267/632</t>
  </si>
  <si>
    <t>826/1720</t>
  </si>
  <si>
    <t>786/1802</t>
  </si>
  <si>
    <t>290/1779</t>
  </si>
  <si>
    <t>1130/1599</t>
  </si>
  <si>
    <t>497/1164</t>
  </si>
  <si>
    <t>148/875</t>
  </si>
  <si>
    <t>787/1720</t>
  </si>
  <si>
    <t>761/1802</t>
  </si>
  <si>
    <t>271/1779</t>
  </si>
  <si>
    <t>1092/1599</t>
  </si>
  <si>
    <t>465/1164</t>
  </si>
  <si>
    <t>124/875</t>
  </si>
  <si>
    <t>234/632</t>
  </si>
  <si>
    <t>746/1720</t>
  </si>
  <si>
    <t>740/1802</t>
  </si>
  <si>
    <t>252/1779</t>
  </si>
  <si>
    <t>1058/1599</t>
  </si>
  <si>
    <t>431/1164</t>
  </si>
  <si>
    <t>109/875</t>
  </si>
  <si>
    <t>217/632</t>
  </si>
  <si>
    <t>706/1720</t>
  </si>
  <si>
    <t>721/1802</t>
  </si>
  <si>
    <t>238/1779</t>
  </si>
  <si>
    <t>1027/1599</t>
  </si>
  <si>
    <t>388/1164</t>
  </si>
  <si>
    <t>91/875</t>
  </si>
  <si>
    <t>672/1720</t>
  </si>
  <si>
    <t>697/1802</t>
  </si>
  <si>
    <t>228/1779</t>
  </si>
  <si>
    <t>1007/1599</t>
  </si>
  <si>
    <t>348/1164</t>
  </si>
  <si>
    <t>81/875</t>
  </si>
  <si>
    <t>182/632</t>
  </si>
  <si>
    <t>1310/2490</t>
  </si>
  <si>
    <t>586/2614</t>
  </si>
  <si>
    <t>734/2574</t>
  </si>
  <si>
    <t>1824/2299</t>
  </si>
  <si>
    <t>1221/1650</t>
  </si>
  <si>
    <t>652/1182</t>
  </si>
  <si>
    <t>348/767</t>
  </si>
  <si>
    <t>1277/2490</t>
  </si>
  <si>
    <t>573/2614</t>
  </si>
  <si>
    <t>717/2574</t>
  </si>
  <si>
    <t>1816/2299</t>
  </si>
  <si>
    <t>1201/1650</t>
  </si>
  <si>
    <t>635/1182</t>
  </si>
  <si>
    <t>1246/2490</t>
  </si>
  <si>
    <t>560/2614</t>
  </si>
  <si>
    <t>700/2574</t>
  </si>
  <si>
    <t>1782/2299</t>
  </si>
  <si>
    <t>1178/1650</t>
  </si>
  <si>
    <t>617/1182</t>
  </si>
  <si>
    <t>319/767</t>
  </si>
  <si>
    <t>1212/2490</t>
  </si>
  <si>
    <t>547/2614</t>
  </si>
  <si>
    <t>687/2574</t>
  </si>
  <si>
    <t>1764/2299</t>
  </si>
  <si>
    <t>1140/1650</t>
  </si>
  <si>
    <t>592/1182</t>
  </si>
  <si>
    <t>303/767</t>
  </si>
  <si>
    <t>1184/2490</t>
  </si>
  <si>
    <t>530/2614</t>
  </si>
  <si>
    <t>660/2574</t>
  </si>
  <si>
    <t>1745/2299</t>
  </si>
  <si>
    <t>1106/1650</t>
  </si>
  <si>
    <t>564/1182</t>
  </si>
  <si>
    <t>1163/2490</t>
  </si>
  <si>
    <t>516/2614</t>
  </si>
  <si>
    <t>638/2574</t>
  </si>
  <si>
    <t>1726/2299</t>
  </si>
  <si>
    <t>1081/1650</t>
  </si>
  <si>
    <t>541/1182</t>
  </si>
  <si>
    <t>282/767</t>
  </si>
  <si>
    <t>763/1356</t>
  </si>
  <si>
    <t>251/1397</t>
  </si>
  <si>
    <t>740/1383</t>
  </si>
  <si>
    <t>834/1313</t>
  </si>
  <si>
    <t>825/1170</t>
  </si>
  <si>
    <t>728/1007</t>
  </si>
  <si>
    <t>710/823</t>
  </si>
  <si>
    <t>720/1356</t>
  </si>
  <si>
    <t>243/1397</t>
  </si>
  <si>
    <t>703/1383</t>
  </si>
  <si>
    <t>806/1313</t>
  </si>
  <si>
    <t>783/1170</t>
  </si>
  <si>
    <t>704/1007</t>
  </si>
  <si>
    <t>659/1356</t>
  </si>
  <si>
    <t>228/1397</t>
  </si>
  <si>
    <t>665/1383</t>
  </si>
  <si>
    <t>766/1313</t>
  </si>
  <si>
    <t>742/1170</t>
  </si>
  <si>
    <t>673/1007</t>
  </si>
  <si>
    <t>680/823</t>
  </si>
  <si>
    <t>622/1356</t>
  </si>
  <si>
    <t>218/1397</t>
  </si>
  <si>
    <t>621/1383</t>
  </si>
  <si>
    <t>741/1313</t>
  </si>
  <si>
    <t>706/1170</t>
  </si>
  <si>
    <t>645/1007</t>
  </si>
  <si>
    <t>661/823</t>
  </si>
  <si>
    <t>717/1356</t>
  </si>
  <si>
    <t>682/1397</t>
  </si>
  <si>
    <t>318/1383</t>
  </si>
  <si>
    <t>838/1313</t>
  </si>
  <si>
    <t>501/1170</t>
  </si>
  <si>
    <t>392/1007</t>
  </si>
  <si>
    <t>527/823</t>
  </si>
  <si>
    <t>675/1356</t>
  </si>
  <si>
    <t>666/1397</t>
  </si>
  <si>
    <t>295/1383</t>
  </si>
  <si>
    <t>811/1313</t>
  </si>
  <si>
    <t>461/1170</t>
  </si>
  <si>
    <t>355/1007</t>
  </si>
  <si>
    <t>626/1356</t>
  </si>
  <si>
    <t>648/1397</t>
  </si>
  <si>
    <t>265/1383</t>
  </si>
  <si>
    <t>772/1313</t>
  </si>
  <si>
    <t>384/1170</t>
  </si>
  <si>
    <t>312/1007</t>
  </si>
  <si>
    <t>450/823</t>
  </si>
  <si>
    <t>527/1356</t>
  </si>
  <si>
    <t>608/1397</t>
  </si>
  <si>
    <t>221/1383</t>
  </si>
  <si>
    <t>703/1313</t>
  </si>
  <si>
    <t>279/1170</t>
  </si>
  <si>
    <t>223/1007</t>
  </si>
  <si>
    <t>489/1356</t>
  </si>
  <si>
    <t>599/1397</t>
  </si>
  <si>
    <t>203/1383</t>
  </si>
  <si>
    <t>670/1313</t>
  </si>
  <si>
    <t>197/1007</t>
  </si>
  <si>
    <t>350/823</t>
  </si>
  <si>
    <t>334/431</t>
  </si>
  <si>
    <t>274/450</t>
  </si>
  <si>
    <t>325/443</t>
  </si>
  <si>
    <t>324/407</t>
  </si>
  <si>
    <t>246/341</t>
  </si>
  <si>
    <t>273/308</t>
  </si>
  <si>
    <t>228/253</t>
  </si>
  <si>
    <t>333/431</t>
  </si>
  <si>
    <t>268/450</t>
  </si>
  <si>
    <t>326/443</t>
  </si>
  <si>
    <t>245/341</t>
  </si>
  <si>
    <t>272/308</t>
  </si>
  <si>
    <t>331/431</t>
  </si>
  <si>
    <t>273/450</t>
  </si>
  <si>
    <t>323/443</t>
  </si>
  <si>
    <t>321/407</t>
  </si>
  <si>
    <t>244/341</t>
  </si>
  <si>
    <t>271/308</t>
  </si>
  <si>
    <t>332/431</t>
  </si>
  <si>
    <t>267/450</t>
  </si>
  <si>
    <t>327/443</t>
  </si>
  <si>
    <t>322/407</t>
  </si>
  <si>
    <t>243/341</t>
  </si>
  <si>
    <t>268/308</t>
  </si>
  <si>
    <t>283/431</t>
  </si>
  <si>
    <t>218/450</t>
  </si>
  <si>
    <t>279/443</t>
  </si>
  <si>
    <t>279/407</t>
  </si>
  <si>
    <t>215/341</t>
  </si>
  <si>
    <t>243/308</t>
  </si>
  <si>
    <t>201/253</t>
  </si>
  <si>
    <t>247/431</t>
  </si>
  <si>
    <t>175/450</t>
  </si>
  <si>
    <t>240/443</t>
  </si>
  <si>
    <t>237/407</t>
  </si>
  <si>
    <t>173/341</t>
  </si>
  <si>
    <t>210/308</t>
  </si>
  <si>
    <t>182/253</t>
  </si>
  <si>
    <t>510/1145</t>
  </si>
  <si>
    <t>711/1161</t>
  </si>
  <si>
    <t>715/1155</t>
  </si>
  <si>
    <t>419/1114</t>
  </si>
  <si>
    <t>309/929</t>
  </si>
  <si>
    <t>208/795</t>
  </si>
  <si>
    <t>187/648</t>
  </si>
  <si>
    <t>479/663</t>
  </si>
  <si>
    <t>106/686</t>
  </si>
  <si>
    <t>352/679</t>
  </si>
  <si>
    <t>548/621</t>
  </si>
  <si>
    <t>418/489</t>
  </si>
  <si>
    <t>132/320</t>
  </si>
  <si>
    <t>550/905</t>
  </si>
  <si>
    <t>765/936</t>
  </si>
  <si>
    <t>686/926</t>
  </si>
  <si>
    <t>559/562</t>
  </si>
  <si>
    <t>282/316</t>
  </si>
  <si>
    <t>138/139</t>
  </si>
  <si>
    <t>3788/4345</t>
  </si>
  <si>
    <t>3649/4572</t>
  </si>
  <si>
    <t>3838/4495</t>
  </si>
  <si>
    <t>3258/4016</t>
  </si>
  <si>
    <t>1746/2981</t>
  </si>
  <si>
    <t>1456/2184</t>
  </si>
  <si>
    <t>837/1651</t>
  </si>
  <si>
    <t>3789/4345</t>
  </si>
  <si>
    <t>3659/4572</t>
  </si>
  <si>
    <t>3841/4495</t>
  </si>
  <si>
    <t>3261/4016</t>
  </si>
  <si>
    <t>1745/2981</t>
  </si>
  <si>
    <t>1458/2184</t>
  </si>
  <si>
    <t>836/1651</t>
  </si>
  <si>
    <t>23/29</t>
  </si>
  <si>
    <t>470/905</t>
  </si>
  <si>
    <t>347/936</t>
  </si>
  <si>
    <t>266/926</t>
  </si>
  <si>
    <t>576/820</t>
  </si>
  <si>
    <t>366/562</t>
  </si>
  <si>
    <t>187/316</t>
  </si>
  <si>
    <t>474/663</t>
  </si>
  <si>
    <t>103/686</t>
  </si>
  <si>
    <t>354/679</t>
  </si>
  <si>
    <t>545/621</t>
  </si>
  <si>
    <t>383/489</t>
  </si>
  <si>
    <t>232/320</t>
  </si>
  <si>
    <t>1216/4580</t>
  </si>
  <si>
    <t>1951/4723</t>
  </si>
  <si>
    <t>1035/4658</t>
  </si>
  <si>
    <t>2353/4427</t>
  </si>
  <si>
    <t>2427/3396</t>
  </si>
  <si>
    <t>2048/2721</t>
  </si>
  <si>
    <t>1163/2374</t>
  </si>
  <si>
    <t>789/2490</t>
  </si>
  <si>
    <t>1289/2614</t>
  </si>
  <si>
    <t>829/2574</t>
  </si>
  <si>
    <t>1057/2299</t>
  </si>
  <si>
    <t>473/1650</t>
  </si>
  <si>
    <t>304/1182</t>
  </si>
  <si>
    <t>353/663</t>
  </si>
  <si>
    <t>535/686</t>
  </si>
  <si>
    <t>400/679</t>
  </si>
  <si>
    <t>386/621</t>
  </si>
  <si>
    <t>473/489</t>
  </si>
  <si>
    <t>396/407</t>
  </si>
  <si>
    <t>293/320</t>
  </si>
  <si>
    <t>88/548</t>
  </si>
  <si>
    <t>72/530</t>
  </si>
  <si>
    <t>87/548</t>
  </si>
  <si>
    <t>119/539</t>
  </si>
  <si>
    <t>118/548</t>
  </si>
  <si>
    <t>98/546</t>
  </si>
  <si>
    <t>125/530</t>
  </si>
  <si>
    <t>79/483</t>
  </si>
  <si>
    <t>95/410</t>
  </si>
  <si>
    <t>87/539</t>
  </si>
  <si>
    <t>96/548</t>
  </si>
  <si>
    <t>80/546</t>
  </si>
  <si>
    <t>54/530</t>
  </si>
  <si>
    <t>59/483</t>
  </si>
  <si>
    <t>BFT Capital Plus EC</t>
  </si>
  <si>
    <t>463/1731</t>
  </si>
  <si>
    <t>367/1900</t>
  </si>
  <si>
    <t>341/1834</t>
  </si>
  <si>
    <t>726/1479</t>
  </si>
  <si>
    <t>483/759</t>
  </si>
  <si>
    <t>317/424</t>
  </si>
  <si>
    <t>170/187</t>
  </si>
  <si>
    <t>BFT Capital Plus IC</t>
  </si>
  <si>
    <t>481/1731</t>
  </si>
  <si>
    <t>359/1900</t>
  </si>
  <si>
    <t>326/1834</t>
  </si>
  <si>
    <t>724/1479</t>
  </si>
  <si>
    <t>478/759</t>
  </si>
  <si>
    <t>329/424</t>
  </si>
  <si>
    <t>173/187</t>
  </si>
  <si>
    <t>68/279</t>
  </si>
  <si>
    <t>106/288</t>
  </si>
  <si>
    <t>44/282</t>
  </si>
  <si>
    <t>111/275</t>
  </si>
  <si>
    <t>133/237</t>
  </si>
  <si>
    <t>126/189</t>
  </si>
  <si>
    <t>96/139</t>
  </si>
  <si>
    <t>81/279</t>
  </si>
  <si>
    <t>101/288</t>
  </si>
  <si>
    <t>54/282</t>
  </si>
  <si>
    <t>135/275</t>
  </si>
  <si>
    <t>147/237</t>
  </si>
  <si>
    <t>BFT Crédit 12 Mois ISR IC</t>
  </si>
  <si>
    <t>103/431</t>
  </si>
  <si>
    <t>93/450</t>
  </si>
  <si>
    <t>76/443</t>
  </si>
  <si>
    <t>103/407</t>
  </si>
  <si>
    <t>82/341</t>
  </si>
  <si>
    <t>101/308</t>
  </si>
  <si>
    <t>BFT Crédit 12 Mois ISR SC</t>
  </si>
  <si>
    <t>78/450</t>
  </si>
  <si>
    <t>77/443</t>
  </si>
  <si>
    <t>295/431</t>
  </si>
  <si>
    <t>283/450</t>
  </si>
  <si>
    <t>295/443</t>
  </si>
  <si>
    <t>246/407</t>
  </si>
  <si>
    <t>177/341</t>
  </si>
  <si>
    <t>168/308</t>
  </si>
  <si>
    <t>236/431</t>
  </si>
  <si>
    <t>214/450</t>
  </si>
  <si>
    <t>247/443</t>
  </si>
  <si>
    <t>210/407</t>
  </si>
  <si>
    <t>134/341</t>
  </si>
  <si>
    <t>143/308</t>
  </si>
  <si>
    <t>203/450</t>
  </si>
  <si>
    <t>234/443</t>
  </si>
  <si>
    <t>105/229</t>
  </si>
  <si>
    <t>73/235</t>
  </si>
  <si>
    <t>98/229</t>
  </si>
  <si>
    <t>85/238</t>
  </si>
  <si>
    <t>65/235</t>
  </si>
  <si>
    <t>65/220</t>
  </si>
  <si>
    <t>109/229</t>
  </si>
  <si>
    <t>80/238</t>
  </si>
  <si>
    <t>74/235</t>
  </si>
  <si>
    <t>77/220</t>
  </si>
  <si>
    <t>133/194</t>
  </si>
  <si>
    <t>102/163</t>
  </si>
  <si>
    <t>91/111</t>
  </si>
  <si>
    <t>120/229</t>
  </si>
  <si>
    <t>86/238</t>
  </si>
  <si>
    <t>82/235</t>
  </si>
  <si>
    <t>89/220</t>
  </si>
  <si>
    <t>143/194</t>
  </si>
  <si>
    <t>152/182</t>
  </si>
  <si>
    <t>35/188</t>
  </si>
  <si>
    <t>153/184</t>
  </si>
  <si>
    <t>160/171</t>
  </si>
  <si>
    <t>91/91</t>
  </si>
  <si>
    <t>54/54</t>
  </si>
  <si>
    <t>151/182</t>
  </si>
  <si>
    <t>22/188</t>
  </si>
  <si>
    <t>152/184</t>
  </si>
  <si>
    <t>162/171</t>
  </si>
  <si>
    <t>134/136</t>
  </si>
  <si>
    <t>176/539</t>
  </si>
  <si>
    <t>154/548</t>
  </si>
  <si>
    <t>185/546</t>
  </si>
  <si>
    <t>174/530</t>
  </si>
  <si>
    <t>99/483</t>
  </si>
  <si>
    <t>113/410</t>
  </si>
  <si>
    <t>141/382</t>
  </si>
  <si>
    <t>254/387</t>
  </si>
  <si>
    <t>162/373</t>
  </si>
  <si>
    <t>210/284</t>
  </si>
  <si>
    <t>141/212</t>
  </si>
  <si>
    <t>84/145</t>
  </si>
  <si>
    <t>140/382</t>
  </si>
  <si>
    <t>255/387</t>
  </si>
  <si>
    <t>163/373</t>
  </si>
  <si>
    <t>140/212</t>
  </si>
  <si>
    <t>181/382</t>
  </si>
  <si>
    <t>209/390</t>
  </si>
  <si>
    <t>290/387</t>
  </si>
  <si>
    <t>186/373</t>
  </si>
  <si>
    <t>239/284</t>
  </si>
  <si>
    <t>131/382</t>
  </si>
  <si>
    <t>175/390</t>
  </si>
  <si>
    <t>246/387</t>
  </si>
  <si>
    <t>151/373</t>
  </si>
  <si>
    <t>201/284</t>
  </si>
  <si>
    <t>26/170</t>
  </si>
  <si>
    <t>75/172</t>
  </si>
  <si>
    <t>44/172</t>
  </si>
  <si>
    <t>45/143</t>
  </si>
  <si>
    <t>21/99</t>
  </si>
  <si>
    <t>18/84</t>
  </si>
  <si>
    <t>25/170</t>
  </si>
  <si>
    <t>74/172</t>
  </si>
  <si>
    <t>43/172</t>
  </si>
  <si>
    <t>55/166</t>
  </si>
  <si>
    <t>20/99</t>
  </si>
  <si>
    <t>17/84</t>
  </si>
  <si>
    <t>22/170</t>
  </si>
  <si>
    <t>73/172</t>
  </si>
  <si>
    <t>40/172</t>
  </si>
  <si>
    <t>50/166</t>
  </si>
  <si>
    <t>BFT France Futur ZD</t>
  </si>
  <si>
    <t>FR0013256468</t>
  </si>
  <si>
    <t>BFT Global Stratégies Plus A</t>
  </si>
  <si>
    <t>262/1731</t>
  </si>
  <si>
    <t>550/1900</t>
  </si>
  <si>
    <t>288/1834</t>
  </si>
  <si>
    <t>467/1479</t>
  </si>
  <si>
    <t>480/759</t>
  </si>
  <si>
    <t>268/424</t>
  </si>
  <si>
    <t>BFT Global Stratégies Plus B</t>
  </si>
  <si>
    <t>236/1731</t>
  </si>
  <si>
    <t>505/1900</t>
  </si>
  <si>
    <t>251/1834</t>
  </si>
  <si>
    <t>413/1479</t>
  </si>
  <si>
    <t>448/759</t>
  </si>
  <si>
    <t>243/424</t>
  </si>
  <si>
    <t>596/1356</t>
  </si>
  <si>
    <t>253/1397</t>
  </si>
  <si>
    <t>171/1383</t>
  </si>
  <si>
    <t>520/1313</t>
  </si>
  <si>
    <t>994/1170</t>
  </si>
  <si>
    <t>989/1007</t>
  </si>
  <si>
    <t>812/823</t>
  </si>
  <si>
    <t>70/407</t>
  </si>
  <si>
    <t>45/415</t>
  </si>
  <si>
    <t>69/396</t>
  </si>
  <si>
    <t>88/407</t>
  </si>
  <si>
    <t>62/415</t>
  </si>
  <si>
    <t>90/396</t>
  </si>
  <si>
    <t>55/362</t>
  </si>
  <si>
    <t>25/333</t>
  </si>
  <si>
    <t>9/265</t>
  </si>
  <si>
    <t>241/1040</t>
  </si>
  <si>
    <t>278/1158</t>
  </si>
  <si>
    <t>294/1105</t>
  </si>
  <si>
    <t>127/838</t>
  </si>
  <si>
    <t>278/1040</t>
  </si>
  <si>
    <t>343/1158</t>
  </si>
  <si>
    <t>317/1105</t>
  </si>
  <si>
    <t>143/838</t>
  </si>
  <si>
    <t>277/1040</t>
  </si>
  <si>
    <t>344/1158</t>
  </si>
  <si>
    <t>318/1105</t>
  </si>
  <si>
    <t>BFT Sélection Rendement 2024 IC</t>
  </si>
  <si>
    <t>429/1158</t>
  </si>
  <si>
    <t>34/1105</t>
  </si>
  <si>
    <t>FR0013222379</t>
  </si>
  <si>
    <t>BFT Sélection Rendement 2024 PC</t>
  </si>
  <si>
    <t>490/1158</t>
  </si>
  <si>
    <t>FR0013222403</t>
  </si>
  <si>
    <t>210/539</t>
  </si>
  <si>
    <t>201/548</t>
  </si>
  <si>
    <t>199/530</t>
  </si>
  <si>
    <t>165/483</t>
  </si>
  <si>
    <t>143/410</t>
  </si>
  <si>
    <t>97/318</t>
  </si>
  <si>
    <t>259/539</t>
  </si>
  <si>
    <t>255/548</t>
  </si>
  <si>
    <t>271/546</t>
  </si>
  <si>
    <t>224/530</t>
  </si>
  <si>
    <t>164/483</t>
  </si>
  <si>
    <t>133/539</t>
  </si>
  <si>
    <t>117/548</t>
  </si>
  <si>
    <t>123/530</t>
  </si>
  <si>
    <t>144/539</t>
  </si>
  <si>
    <t>124/548</t>
  </si>
  <si>
    <t>142/546</t>
  </si>
  <si>
    <t>140/530</t>
  </si>
  <si>
    <t>171/539</t>
  </si>
  <si>
    <t>157/548</t>
  </si>
  <si>
    <t>169/546</t>
  </si>
  <si>
    <t>173/530</t>
  </si>
  <si>
    <t>116/539</t>
  </si>
  <si>
    <t>124/530</t>
  </si>
  <si>
    <t>56/539</t>
  </si>
  <si>
    <t>61/548</t>
  </si>
  <si>
    <t>61/546</t>
  </si>
  <si>
    <t>37/530</t>
  </si>
  <si>
    <t>32/483</t>
  </si>
  <si>
    <t>66/410</t>
  </si>
  <si>
    <t>164/539</t>
  </si>
  <si>
    <t>259/548</t>
  </si>
  <si>
    <t>231/546</t>
  </si>
  <si>
    <t>150/539</t>
  </si>
  <si>
    <t>187/548</t>
  </si>
  <si>
    <t>194/546</t>
  </si>
  <si>
    <t>59/530</t>
  </si>
  <si>
    <t>149/539</t>
  </si>
  <si>
    <t>186/548</t>
  </si>
  <si>
    <t>193/546</t>
  </si>
  <si>
    <t>187/539</t>
  </si>
  <si>
    <t>283/548</t>
  </si>
  <si>
    <t>268/546</t>
  </si>
  <si>
    <t>97/530</t>
  </si>
  <si>
    <t>92/483</t>
  </si>
  <si>
    <t>177/410</t>
  </si>
  <si>
    <t>140/318</t>
  </si>
  <si>
    <t>188/539</t>
  </si>
  <si>
    <t>269/546</t>
  </si>
  <si>
    <t>98/530</t>
  </si>
  <si>
    <t>93/483</t>
  </si>
  <si>
    <t>176/410</t>
  </si>
  <si>
    <t>139/318</t>
  </si>
  <si>
    <t>257/548</t>
  </si>
  <si>
    <t>224/546</t>
  </si>
  <si>
    <t>1665/4580</t>
  </si>
  <si>
    <t>3605/4723</t>
  </si>
  <si>
    <t>1699/4658</t>
  </si>
  <si>
    <t>2439/4427</t>
  </si>
  <si>
    <t>1886/3396</t>
  </si>
  <si>
    <t>1777/2721</t>
  </si>
  <si>
    <t>1040/2374</t>
  </si>
  <si>
    <t>600/1145</t>
  </si>
  <si>
    <t>714/1161</t>
  </si>
  <si>
    <t>266/1114</t>
  </si>
  <si>
    <t>701/929</t>
  </si>
  <si>
    <t>390/795</t>
  </si>
  <si>
    <t>444/648</t>
  </si>
  <si>
    <t>1077/1877</t>
  </si>
  <si>
    <t>1082/1956</t>
  </si>
  <si>
    <t>950/1915</t>
  </si>
  <si>
    <t>1101/1770</t>
  </si>
  <si>
    <t>1322/1372</t>
  </si>
  <si>
    <t>1037/1112</t>
  </si>
  <si>
    <t>853/906</t>
  </si>
  <si>
    <t>123/246</t>
  </si>
  <si>
    <t>77/246</t>
  </si>
  <si>
    <t>87/244</t>
  </si>
  <si>
    <t>82/220</t>
  </si>
  <si>
    <t>52/203</t>
  </si>
  <si>
    <t>109/177</t>
  </si>
  <si>
    <t>668/1356</t>
  </si>
  <si>
    <t>649/1397</t>
  </si>
  <si>
    <t>286/1383</t>
  </si>
  <si>
    <t>803/1313</t>
  </si>
  <si>
    <t>462/1170</t>
  </si>
  <si>
    <t>352/1007</t>
  </si>
  <si>
    <t>455/823</t>
  </si>
  <si>
    <t>157/994</t>
  </si>
  <si>
    <t>267/1027</t>
  </si>
  <si>
    <t>74/1016</t>
  </si>
  <si>
    <t>114/929</t>
  </si>
  <si>
    <t>546/731</t>
  </si>
  <si>
    <t>395/599</t>
  </si>
  <si>
    <t>299/491</t>
  </si>
  <si>
    <t>1274/2490</t>
  </si>
  <si>
    <t>574/2614</t>
  </si>
  <si>
    <t>712/2574</t>
  </si>
  <si>
    <t>1814/2299</t>
  </si>
  <si>
    <t>1202/1650</t>
  </si>
  <si>
    <t>632/1182</t>
  </si>
  <si>
    <t>300/767</t>
  </si>
  <si>
    <t>844/1720</t>
  </si>
  <si>
    <t>787/1802</t>
  </si>
  <si>
    <t>314/1779</t>
  </si>
  <si>
    <t>1136/1599</t>
  </si>
  <si>
    <t>510/1164</t>
  </si>
  <si>
    <t>152/875</t>
  </si>
  <si>
    <t>190/632</t>
  </si>
  <si>
    <t>317/431</t>
  </si>
  <si>
    <t>253/450</t>
  </si>
  <si>
    <t>328/443</t>
  </si>
  <si>
    <t>311/407</t>
  </si>
  <si>
    <t>241/341</t>
  </si>
  <si>
    <t>270/308</t>
  </si>
  <si>
    <t>1143/1877</t>
  </si>
  <si>
    <t>1614/1956</t>
  </si>
  <si>
    <t>1153/1915</t>
  </si>
  <si>
    <t>1366/1770</t>
  </si>
  <si>
    <t>1105/1372</t>
  </si>
  <si>
    <t>1009/1112</t>
  </si>
  <si>
    <t>694/906</t>
  </si>
  <si>
    <t>344/905</t>
  </si>
  <si>
    <t>266/936</t>
  </si>
  <si>
    <t>524/926</t>
  </si>
  <si>
    <t>411/820</t>
  </si>
  <si>
    <t>Cap Rendement N°2 C</t>
  </si>
  <si>
    <t>455/936</t>
  </si>
  <si>
    <t>650/926</t>
  </si>
  <si>
    <t>612/1123</t>
  </si>
  <si>
    <t>63/1170</t>
  </si>
  <si>
    <t>231/1151</t>
  </si>
  <si>
    <t>695/1045</t>
  </si>
  <si>
    <t>537/865</t>
  </si>
  <si>
    <t>265/716</t>
  </si>
  <si>
    <t>193/494</t>
  </si>
  <si>
    <t>371/539</t>
  </si>
  <si>
    <t>375/548</t>
  </si>
  <si>
    <t>373/546</t>
  </si>
  <si>
    <t>369/530</t>
  </si>
  <si>
    <t>337/483</t>
  </si>
  <si>
    <t>296/410</t>
  </si>
  <si>
    <t>268/318</t>
  </si>
  <si>
    <t>370/539</t>
  </si>
  <si>
    <t>374/548</t>
  </si>
  <si>
    <t>372/546</t>
  </si>
  <si>
    <t>368/530</t>
  </si>
  <si>
    <t>335/483</t>
  </si>
  <si>
    <t>297/410</t>
  </si>
  <si>
    <t>267/318</t>
  </si>
  <si>
    <t>383/1356</t>
  </si>
  <si>
    <t>144/1397</t>
  </si>
  <si>
    <t>325/1383</t>
  </si>
  <si>
    <t>340/1313</t>
  </si>
  <si>
    <t>813/1170</t>
  </si>
  <si>
    <t>526/1007</t>
  </si>
  <si>
    <t>516/823</t>
  </si>
  <si>
    <t>823/1145</t>
  </si>
  <si>
    <t>693/1161</t>
  </si>
  <si>
    <t>839/1155</t>
  </si>
  <si>
    <t>735/1114</t>
  </si>
  <si>
    <t>739/929</t>
  </si>
  <si>
    <t>421/795</t>
  </si>
  <si>
    <t>369/648</t>
  </si>
  <si>
    <t>990/4345</t>
  </si>
  <si>
    <t>3845/4572</t>
  </si>
  <si>
    <t>817/4495</t>
  </si>
  <si>
    <t>1360/4016</t>
  </si>
  <si>
    <t>2367/2981</t>
  </si>
  <si>
    <t>1077/2184</t>
  </si>
  <si>
    <t>1258/1651</t>
  </si>
  <si>
    <t>1306/4580</t>
  </si>
  <si>
    <t>2854/4723</t>
  </si>
  <si>
    <t>3672/4658</t>
  </si>
  <si>
    <t>931/4427</t>
  </si>
  <si>
    <t>2752/3396</t>
  </si>
  <si>
    <t>2049/2721</t>
  </si>
  <si>
    <t>1517/2374</t>
  </si>
  <si>
    <t>1953/2490</t>
  </si>
  <si>
    <t>2038/2614</t>
  </si>
  <si>
    <t>2175/2574</t>
  </si>
  <si>
    <t>1866/2299</t>
  </si>
  <si>
    <t>167/1138</t>
  </si>
  <si>
    <t>39/1170</t>
  </si>
  <si>
    <t>67/1161</t>
  </si>
  <si>
    <t>173/1100</t>
  </si>
  <si>
    <t>913/932</t>
  </si>
  <si>
    <t>677/749</t>
  </si>
  <si>
    <t>325/524</t>
  </si>
  <si>
    <t>402/637</t>
  </si>
  <si>
    <t>231/662</t>
  </si>
  <si>
    <t>134/649</t>
  </si>
  <si>
    <t>445/583</t>
  </si>
  <si>
    <t>159/409</t>
  </si>
  <si>
    <t>429/637</t>
  </si>
  <si>
    <t>100/649</t>
  </si>
  <si>
    <t>486/583</t>
  </si>
  <si>
    <t>163/409</t>
  </si>
  <si>
    <t>393/637</t>
  </si>
  <si>
    <t>178/662</t>
  </si>
  <si>
    <t>249/649</t>
  </si>
  <si>
    <t>359/583</t>
  </si>
  <si>
    <t>181/409</t>
  </si>
  <si>
    <t>249/637</t>
  </si>
  <si>
    <t>120/649</t>
  </si>
  <si>
    <t>218/583</t>
  </si>
  <si>
    <t>176/409</t>
  </si>
  <si>
    <t>232/637</t>
  </si>
  <si>
    <t>105/662</t>
  </si>
  <si>
    <t>106/649</t>
  </si>
  <si>
    <t>185/583</t>
  </si>
  <si>
    <t>156/409</t>
  </si>
  <si>
    <t>373/637</t>
  </si>
  <si>
    <t>67/662</t>
  </si>
  <si>
    <t>295/649</t>
  </si>
  <si>
    <t>312/583</t>
  </si>
  <si>
    <t>293/409</t>
  </si>
  <si>
    <t>51/637</t>
  </si>
  <si>
    <t>248/662</t>
  </si>
  <si>
    <t>76/649</t>
  </si>
  <si>
    <t>265/583</t>
  </si>
  <si>
    <t>111/409</t>
  </si>
  <si>
    <t>4/637</t>
  </si>
  <si>
    <t>652/662</t>
  </si>
  <si>
    <t>46/649</t>
  </si>
  <si>
    <t>3/583</t>
  </si>
  <si>
    <t>38/409</t>
  </si>
  <si>
    <t>734/994</t>
  </si>
  <si>
    <t>938/1027</t>
  </si>
  <si>
    <t>690/1016</t>
  </si>
  <si>
    <t>728/929</t>
  </si>
  <si>
    <t>478/731</t>
  </si>
  <si>
    <t>444/599</t>
  </si>
  <si>
    <t>383/491</t>
  </si>
  <si>
    <t>1511/1720</t>
  </si>
  <si>
    <t>1370/1802</t>
  </si>
  <si>
    <t>1150/1779</t>
  </si>
  <si>
    <t>1531/1599</t>
  </si>
  <si>
    <t>871/1164</t>
  </si>
  <si>
    <t>730/875</t>
  </si>
  <si>
    <t>515/632</t>
  </si>
  <si>
    <t>156/740</t>
  </si>
  <si>
    <t>250/754</t>
  </si>
  <si>
    <t>73/750</t>
  </si>
  <si>
    <t>257/722</t>
  </si>
  <si>
    <t>45/641</t>
  </si>
  <si>
    <t>33/557</t>
  </si>
  <si>
    <t>77/414</t>
  </si>
  <si>
    <t>173/740</t>
  </si>
  <si>
    <t>260/754</t>
  </si>
  <si>
    <t>85/750</t>
  </si>
  <si>
    <t>272/722</t>
  </si>
  <si>
    <t>61/641</t>
  </si>
  <si>
    <t>41/557</t>
  </si>
  <si>
    <t>118/414</t>
  </si>
  <si>
    <t>CPR Actions Euro Restructurations I</t>
  </si>
  <si>
    <t>81/83</t>
  </si>
  <si>
    <t>57/83</t>
  </si>
  <si>
    <t>CPR Actions Euro Restructurations O A/I</t>
  </si>
  <si>
    <t>CPR Actions Euro Restructurations P</t>
  </si>
  <si>
    <t>47/83</t>
  </si>
  <si>
    <t>83/83</t>
  </si>
  <si>
    <t>59/83</t>
  </si>
  <si>
    <t>18/83</t>
  </si>
  <si>
    <t>46/79</t>
  </si>
  <si>
    <t>54/68</t>
  </si>
  <si>
    <t>61/246</t>
  </si>
  <si>
    <t>140/246</t>
  </si>
  <si>
    <t>60/246</t>
  </si>
  <si>
    <t>49/220</t>
  </si>
  <si>
    <t>22/203</t>
  </si>
  <si>
    <t>30/177</t>
  </si>
  <si>
    <t>125/407</t>
  </si>
  <si>
    <t>132/415</t>
  </si>
  <si>
    <t>143/411</t>
  </si>
  <si>
    <t>118/396</t>
  </si>
  <si>
    <t>67/333</t>
  </si>
  <si>
    <t>78/407</t>
  </si>
  <si>
    <t>79/415</t>
  </si>
  <si>
    <t>86/411</t>
  </si>
  <si>
    <t>84/396</t>
  </si>
  <si>
    <t>35/333</t>
  </si>
  <si>
    <t>28/265</t>
  </si>
  <si>
    <t>111/407</t>
  </si>
  <si>
    <t>109/415</t>
  </si>
  <si>
    <t>119/411</t>
  </si>
  <si>
    <t>102/396</t>
  </si>
  <si>
    <t>87/362</t>
  </si>
  <si>
    <t>37/265</t>
  </si>
  <si>
    <t>206/373</t>
  </si>
  <si>
    <t>290/382</t>
  </si>
  <si>
    <t>88/377</t>
  </si>
  <si>
    <t>199/366</t>
  </si>
  <si>
    <t>224/373</t>
  </si>
  <si>
    <t>298/382</t>
  </si>
  <si>
    <t>103/377</t>
  </si>
  <si>
    <t>214/366</t>
  </si>
  <si>
    <t>247/294</t>
  </si>
  <si>
    <t>82/233</t>
  </si>
  <si>
    <t>155/160</t>
  </si>
  <si>
    <t>185/279</t>
  </si>
  <si>
    <t>218/282</t>
  </si>
  <si>
    <t>163/275</t>
  </si>
  <si>
    <t>203/279</t>
  </si>
  <si>
    <t>227/288</t>
  </si>
  <si>
    <t>224/282</t>
  </si>
  <si>
    <t>184/275</t>
  </si>
  <si>
    <t>146/237</t>
  </si>
  <si>
    <t>144/189</t>
  </si>
  <si>
    <t>202/279</t>
  </si>
  <si>
    <t>223/282</t>
  </si>
  <si>
    <t>185/275</t>
  </si>
  <si>
    <t>145/237</t>
  </si>
  <si>
    <t>143/189</t>
  </si>
  <si>
    <t>121/139</t>
  </si>
  <si>
    <t>70/1010</t>
  </si>
  <si>
    <t>609/1069</t>
  </si>
  <si>
    <t>263/1054</t>
  </si>
  <si>
    <t>201/932</t>
  </si>
  <si>
    <t>99/1010</t>
  </si>
  <si>
    <t>620/1069</t>
  </si>
  <si>
    <t>285/1054</t>
  </si>
  <si>
    <t>251/932</t>
  </si>
  <si>
    <t>196/576</t>
  </si>
  <si>
    <t>568/605</t>
  </si>
  <si>
    <t>534/600</t>
  </si>
  <si>
    <t>216/525</t>
  </si>
  <si>
    <t>255/576</t>
  </si>
  <si>
    <t>573/605</t>
  </si>
  <si>
    <t>566/600</t>
  </si>
  <si>
    <t>279/525</t>
  </si>
  <si>
    <t>12/493</t>
  </si>
  <si>
    <t>114/519</t>
  </si>
  <si>
    <t>35/515</t>
  </si>
  <si>
    <t>6/451</t>
  </si>
  <si>
    <t>1/343</t>
  </si>
  <si>
    <t>1/241</t>
  </si>
  <si>
    <t>21/493</t>
  </si>
  <si>
    <t>145/519</t>
  </si>
  <si>
    <t>54/515</t>
  </si>
  <si>
    <t>7/451</t>
  </si>
  <si>
    <t>2/343</t>
  </si>
  <si>
    <t>2/241</t>
  </si>
  <si>
    <t>2/171</t>
  </si>
  <si>
    <t>1/175</t>
  </si>
  <si>
    <t>7/170</t>
  </si>
  <si>
    <t>3/171</t>
  </si>
  <si>
    <t>2/177</t>
  </si>
  <si>
    <t>2/175</t>
  </si>
  <si>
    <t>11/170</t>
  </si>
  <si>
    <t>13/141</t>
  </si>
  <si>
    <t>64/107</t>
  </si>
  <si>
    <t>1565/1720</t>
  </si>
  <si>
    <t>1447/1802</t>
  </si>
  <si>
    <t>1252/1779</t>
  </si>
  <si>
    <t>1341/1599</t>
  </si>
  <si>
    <t>238/1164</t>
  </si>
  <si>
    <t>182/875</t>
  </si>
  <si>
    <t>1608/1720</t>
  </si>
  <si>
    <t>1511/1802</t>
  </si>
  <si>
    <t>1369/1779</t>
  </si>
  <si>
    <t>1449/1599</t>
  </si>
  <si>
    <t>406/1164</t>
  </si>
  <si>
    <t>289/875</t>
  </si>
  <si>
    <t>136/632</t>
  </si>
  <si>
    <t>721/994</t>
  </si>
  <si>
    <t>562/1027</t>
  </si>
  <si>
    <t>806/1016</t>
  </si>
  <si>
    <t>533/929</t>
  </si>
  <si>
    <t>111/731</t>
  </si>
  <si>
    <t>766/994</t>
  </si>
  <si>
    <t>594/1027</t>
  </si>
  <si>
    <t>816/1016</t>
  </si>
  <si>
    <t>626/929</t>
  </si>
  <si>
    <t>175/731</t>
  </si>
  <si>
    <t>126/599</t>
  </si>
  <si>
    <t>39/491</t>
  </si>
  <si>
    <t>1534/2017</t>
  </si>
  <si>
    <t>1717/2107</t>
  </si>
  <si>
    <t>1583/2076</t>
  </si>
  <si>
    <t>981/1882</t>
  </si>
  <si>
    <t>198/1395</t>
  </si>
  <si>
    <t>175/1076</t>
  </si>
  <si>
    <t>1648/2017</t>
  </si>
  <si>
    <t>1824/2107</t>
  </si>
  <si>
    <t>1681/2076</t>
  </si>
  <si>
    <t>1166/1882</t>
  </si>
  <si>
    <t>365/1395</t>
  </si>
  <si>
    <t>301/1076</t>
  </si>
  <si>
    <t>42/780</t>
  </si>
  <si>
    <t>725/994</t>
  </si>
  <si>
    <t>556/1027</t>
  </si>
  <si>
    <t>809/1016</t>
  </si>
  <si>
    <t>547/929</t>
  </si>
  <si>
    <t>123/731</t>
  </si>
  <si>
    <t>66/599</t>
  </si>
  <si>
    <t>11/491</t>
  </si>
  <si>
    <t>1445/2017</t>
  </si>
  <si>
    <t>1492/2107</t>
  </si>
  <si>
    <t>1540/2076</t>
  </si>
  <si>
    <t>979/1882</t>
  </si>
  <si>
    <t>108/1395</t>
  </si>
  <si>
    <t>108/1076</t>
  </si>
  <si>
    <t>16/780</t>
  </si>
  <si>
    <t>56/118</t>
  </si>
  <si>
    <t>39/120</t>
  </si>
  <si>
    <t>36/117</t>
  </si>
  <si>
    <t>46/118</t>
  </si>
  <si>
    <t>29/120</t>
  </si>
  <si>
    <t>33/119</t>
  </si>
  <si>
    <t>22/117</t>
  </si>
  <si>
    <t>63/118</t>
  </si>
  <si>
    <t>40/120</t>
  </si>
  <si>
    <t>54/119</t>
  </si>
  <si>
    <t>CPR Euro High Dividend Z-C</t>
  </si>
  <si>
    <t>FR0013246238</t>
  </si>
  <si>
    <t>CPR Euro High Dividend Z-D</t>
  </si>
  <si>
    <t>FR0013258563</t>
  </si>
  <si>
    <t>51/740</t>
  </si>
  <si>
    <t>78/754</t>
  </si>
  <si>
    <t>452/750</t>
  </si>
  <si>
    <t>47/722</t>
  </si>
  <si>
    <t>609/641</t>
  </si>
  <si>
    <t>147/740</t>
  </si>
  <si>
    <t>188/754</t>
  </si>
  <si>
    <t>449/750</t>
  </si>
  <si>
    <t>88/722</t>
  </si>
  <si>
    <t>514/641</t>
  </si>
  <si>
    <t>169/740</t>
  </si>
  <si>
    <t>203/754</t>
  </si>
  <si>
    <t>464/750</t>
  </si>
  <si>
    <t>102/722</t>
  </si>
  <si>
    <t>530/641</t>
  </si>
  <si>
    <t>421/557</t>
  </si>
  <si>
    <t>352/414</t>
  </si>
  <si>
    <t>785/1145</t>
  </si>
  <si>
    <t>619/1161</t>
  </si>
  <si>
    <t>809/1155</t>
  </si>
  <si>
    <t>697/1114</t>
  </si>
  <si>
    <t>691/929</t>
  </si>
  <si>
    <t>374/795</t>
  </si>
  <si>
    <t>311/648</t>
  </si>
  <si>
    <t>696/1114</t>
  </si>
  <si>
    <t>689/929</t>
  </si>
  <si>
    <t>742/1145</t>
  </si>
  <si>
    <t>584/1161</t>
  </si>
  <si>
    <t>782/1155</t>
  </si>
  <si>
    <t>645/1114</t>
  </si>
  <si>
    <t>596/929</t>
  </si>
  <si>
    <t>846/1145</t>
  </si>
  <si>
    <t>682/1161</t>
  </si>
  <si>
    <t>835/1155</t>
  </si>
  <si>
    <t>761/1114</t>
  </si>
  <si>
    <t>775/929</t>
  </si>
  <si>
    <t>473/795</t>
  </si>
  <si>
    <t>396/648</t>
  </si>
  <si>
    <t>148/663</t>
  </si>
  <si>
    <t>606/686</t>
  </si>
  <si>
    <t>249/679</t>
  </si>
  <si>
    <t>98/621</t>
  </si>
  <si>
    <t>145/489</t>
  </si>
  <si>
    <t>47/407</t>
  </si>
  <si>
    <t>156/663</t>
  </si>
  <si>
    <t>610/686</t>
  </si>
  <si>
    <t>262/679</t>
  </si>
  <si>
    <t>106/621</t>
  </si>
  <si>
    <t>181/663</t>
  </si>
  <si>
    <t>619/686</t>
  </si>
  <si>
    <t>292/679</t>
  </si>
  <si>
    <t>237/350</t>
  </si>
  <si>
    <t>245/364</t>
  </si>
  <si>
    <t>242/362</t>
  </si>
  <si>
    <t>297/339</t>
  </si>
  <si>
    <t>184/284</t>
  </si>
  <si>
    <t>191/350</t>
  </si>
  <si>
    <t>198/362</t>
  </si>
  <si>
    <t>278/339</t>
  </si>
  <si>
    <t>137/284</t>
  </si>
  <si>
    <t>128/250</t>
  </si>
  <si>
    <t>1283/1877</t>
  </si>
  <si>
    <t>894/1956</t>
  </si>
  <si>
    <t>1179/1915</t>
  </si>
  <si>
    <t>1292/1770</t>
  </si>
  <si>
    <t>1238/1372</t>
  </si>
  <si>
    <t>819/1112</t>
  </si>
  <si>
    <t>1410/1877</t>
  </si>
  <si>
    <t>1027/1956</t>
  </si>
  <si>
    <t>1348/1915</t>
  </si>
  <si>
    <t>1386/1770</t>
  </si>
  <si>
    <t>1306/1372</t>
  </si>
  <si>
    <t>932/1112</t>
  </si>
  <si>
    <t>172/350</t>
  </si>
  <si>
    <t>204/364</t>
  </si>
  <si>
    <t>184/362</t>
  </si>
  <si>
    <t>272/339</t>
  </si>
  <si>
    <t>110/284</t>
  </si>
  <si>
    <t>111/250</t>
  </si>
  <si>
    <t>222/364</t>
  </si>
  <si>
    <t>217/362</t>
  </si>
  <si>
    <t>292/339</t>
  </si>
  <si>
    <t>171/284</t>
  </si>
  <si>
    <t>160/250</t>
  </si>
  <si>
    <t>109/199</t>
  </si>
  <si>
    <t>152/172</t>
  </si>
  <si>
    <t>166/178</t>
  </si>
  <si>
    <t>176/177</t>
  </si>
  <si>
    <t>4/169</t>
  </si>
  <si>
    <t>155/156</t>
  </si>
  <si>
    <t>143/144</t>
  </si>
  <si>
    <t>154/172</t>
  </si>
  <si>
    <t>170/178</t>
  </si>
  <si>
    <t>177/177</t>
  </si>
  <si>
    <t>6/169</t>
  </si>
  <si>
    <t>156/156</t>
  </si>
  <si>
    <t>144/144</t>
  </si>
  <si>
    <t>183/186</t>
  </si>
  <si>
    <t>132/198</t>
  </si>
  <si>
    <t>192/193</t>
  </si>
  <si>
    <t>169/170</t>
  </si>
  <si>
    <t>104/136</t>
  </si>
  <si>
    <t>184/186</t>
  </si>
  <si>
    <t>143/198</t>
  </si>
  <si>
    <t>193/193</t>
  </si>
  <si>
    <t>170/170</t>
  </si>
  <si>
    <t>94/110</t>
  </si>
  <si>
    <t>45/68</t>
  </si>
  <si>
    <t>127/198</t>
  </si>
  <si>
    <t>191/193</t>
  </si>
  <si>
    <t>875/2377</t>
  </si>
  <si>
    <t>267/2457</t>
  </si>
  <si>
    <t>557/2422</t>
  </si>
  <si>
    <t>532/2253</t>
  </si>
  <si>
    <t>127/1747</t>
  </si>
  <si>
    <t>36/1242</t>
  </si>
  <si>
    <t>1022/2377</t>
  </si>
  <si>
    <t>262/2457</t>
  </si>
  <si>
    <t>617/2422</t>
  </si>
  <si>
    <t>688/2253</t>
  </si>
  <si>
    <t>267/1747</t>
  </si>
  <si>
    <t>94/1242</t>
  </si>
  <si>
    <t>326/484</t>
  </si>
  <si>
    <t>48/499</t>
  </si>
  <si>
    <t>311/497</t>
  </si>
  <si>
    <t>222/471</t>
  </si>
  <si>
    <t>138/387</t>
  </si>
  <si>
    <t>310/484</t>
  </si>
  <si>
    <t>45/499</t>
  </si>
  <si>
    <t>300/497</t>
  </si>
  <si>
    <t>201/471</t>
  </si>
  <si>
    <t>118/387</t>
  </si>
  <si>
    <t>57/235</t>
  </si>
  <si>
    <t>343/484</t>
  </si>
  <si>
    <t>49/499</t>
  </si>
  <si>
    <t>321/497</t>
  </si>
  <si>
    <t>243/471</t>
  </si>
  <si>
    <t>166/387</t>
  </si>
  <si>
    <t>99/298</t>
  </si>
  <si>
    <t>101/235</t>
  </si>
  <si>
    <t>133/1123</t>
  </si>
  <si>
    <t>107/1170</t>
  </si>
  <si>
    <t>90/1151</t>
  </si>
  <si>
    <t>228/1045</t>
  </si>
  <si>
    <t>827/865</t>
  </si>
  <si>
    <t>108/1123</t>
  </si>
  <si>
    <t>95/1170</t>
  </si>
  <si>
    <t>80/1151</t>
  </si>
  <si>
    <t>231/1045</t>
  </si>
  <si>
    <t>832/865</t>
  </si>
  <si>
    <t>575/716</t>
  </si>
  <si>
    <t>481/494</t>
  </si>
  <si>
    <t>742/4345</t>
  </si>
  <si>
    <t>461/4572</t>
  </si>
  <si>
    <t>747/4495</t>
  </si>
  <si>
    <t>3666/4016</t>
  </si>
  <si>
    <t>578/4345</t>
  </si>
  <si>
    <t>356/4572</t>
  </si>
  <si>
    <t>636/4495</t>
  </si>
  <si>
    <t>3496/4016</t>
  </si>
  <si>
    <t>686/4345</t>
  </si>
  <si>
    <t>408/4572</t>
  </si>
  <si>
    <t>710/4495</t>
  </si>
  <si>
    <t>3600/4016</t>
  </si>
  <si>
    <t>1630/1720</t>
  </si>
  <si>
    <t>1534/1802</t>
  </si>
  <si>
    <t>1370/1779</t>
  </si>
  <si>
    <t>1475/1599</t>
  </si>
  <si>
    <t>452/1164</t>
  </si>
  <si>
    <t>324/875</t>
  </si>
  <si>
    <t>144/632</t>
  </si>
  <si>
    <t>1627/1720</t>
  </si>
  <si>
    <t>1531/1802</t>
  </si>
  <si>
    <t>1359/1779</t>
  </si>
  <si>
    <t>1472/1599</t>
  </si>
  <si>
    <t>446/1164</t>
  </si>
  <si>
    <t>320/875</t>
  </si>
  <si>
    <t>143/632</t>
  </si>
  <si>
    <t>1646/1720</t>
  </si>
  <si>
    <t>1596/1802</t>
  </si>
  <si>
    <t>1476/1779</t>
  </si>
  <si>
    <t>1484/1599</t>
  </si>
  <si>
    <t>1574/1720</t>
  </si>
  <si>
    <t>1471/1802</t>
  </si>
  <si>
    <t>1234/1779</t>
  </si>
  <si>
    <t>1373/1599</t>
  </si>
  <si>
    <t>270/1164</t>
  </si>
  <si>
    <t>194/875</t>
  </si>
  <si>
    <t>1582/1720</t>
  </si>
  <si>
    <t>1476/1802</t>
  </si>
  <si>
    <t>1302/1779</t>
  </si>
  <si>
    <t>781/994</t>
  </si>
  <si>
    <t>623/1027</t>
  </si>
  <si>
    <t>828/1016</t>
  </si>
  <si>
    <t>638/929</t>
  </si>
  <si>
    <t>197/731</t>
  </si>
  <si>
    <t>148/599</t>
  </si>
  <si>
    <t>41/491</t>
  </si>
  <si>
    <t>775/994</t>
  </si>
  <si>
    <t>611/1027</t>
  </si>
  <si>
    <t>823/1016</t>
  </si>
  <si>
    <t>635/929</t>
  </si>
  <si>
    <t>194/731</t>
  </si>
  <si>
    <t>143/599</t>
  </si>
  <si>
    <t>40/491</t>
  </si>
  <si>
    <t>813/994</t>
  </si>
  <si>
    <t>668/1027</t>
  </si>
  <si>
    <t>851/1016</t>
  </si>
  <si>
    <t>668/929</t>
  </si>
  <si>
    <t>729/994</t>
  </si>
  <si>
    <t>574/1027</t>
  </si>
  <si>
    <t>807/1016</t>
  </si>
  <si>
    <t>546/929</t>
  </si>
  <si>
    <t>130/731</t>
  </si>
  <si>
    <t>751/994</t>
  </si>
  <si>
    <t>618/1027</t>
  </si>
  <si>
    <t>830/1016</t>
  </si>
  <si>
    <t>203/1145</t>
  </si>
  <si>
    <t>126/1161</t>
  </si>
  <si>
    <t>162/1155</t>
  </si>
  <si>
    <t>187/1114</t>
  </si>
  <si>
    <t>731/929</t>
  </si>
  <si>
    <t>380/795</t>
  </si>
  <si>
    <t>205/1145</t>
  </si>
  <si>
    <t>152/1161</t>
  </si>
  <si>
    <t>188/1114</t>
  </si>
  <si>
    <t>734/929</t>
  </si>
  <si>
    <t>382/795</t>
  </si>
  <si>
    <t>236/1145</t>
  </si>
  <si>
    <t>187/1161</t>
  </si>
  <si>
    <t>215/1155</t>
  </si>
  <si>
    <t>204/1114</t>
  </si>
  <si>
    <t>171/1145</t>
  </si>
  <si>
    <t>113/1161</t>
  </si>
  <si>
    <t>142/1155</t>
  </si>
  <si>
    <t>148/1114</t>
  </si>
  <si>
    <t>822/929</t>
  </si>
  <si>
    <t>718/1877</t>
  </si>
  <si>
    <t>1577/1956</t>
  </si>
  <si>
    <t>1731/1915</t>
  </si>
  <si>
    <t>1595/1956</t>
  </si>
  <si>
    <t>1727/1915</t>
  </si>
  <si>
    <t>500/1877</t>
  </si>
  <si>
    <t>1448/1956</t>
  </si>
  <si>
    <t>1599/1915</t>
  </si>
  <si>
    <t>458/1877</t>
  </si>
  <si>
    <t>1386/1956</t>
  </si>
  <si>
    <t>1556/1915</t>
  </si>
  <si>
    <t>211/4345</t>
  </si>
  <si>
    <t>167/4572</t>
  </si>
  <si>
    <t>409/4495</t>
  </si>
  <si>
    <t>CPR Invest Glbl Disruptive Opp A Dist</t>
  </si>
  <si>
    <t>122/4572</t>
  </si>
  <si>
    <t>LU1530899654</t>
  </si>
  <si>
    <t>177/4345</t>
  </si>
  <si>
    <t>114/4572</t>
  </si>
  <si>
    <t>372/4495</t>
  </si>
  <si>
    <t>173/4572</t>
  </si>
  <si>
    <t>430/4495</t>
  </si>
  <si>
    <t>141/4345</t>
  </si>
  <si>
    <t>97/4572</t>
  </si>
  <si>
    <t>310/4495</t>
  </si>
  <si>
    <t>CPR Invest Glbl Disruptive Opp I CHF Acc</t>
  </si>
  <si>
    <t>LU1530900254</t>
  </si>
  <si>
    <t>CPR Invest Glbl Disruptive Opp I GBP Acc</t>
  </si>
  <si>
    <t>LU1530900411</t>
  </si>
  <si>
    <t>139/4345</t>
  </si>
  <si>
    <t>92/4572</t>
  </si>
  <si>
    <t>306/4495</t>
  </si>
  <si>
    <t>114/4345</t>
  </si>
  <si>
    <t>77/4572</t>
  </si>
  <si>
    <t>286/4495</t>
  </si>
  <si>
    <t>725/4345</t>
  </si>
  <si>
    <t>479/4572</t>
  </si>
  <si>
    <t>808/4495</t>
  </si>
  <si>
    <t>3627/4016</t>
  </si>
  <si>
    <t>290/944</t>
  </si>
  <si>
    <t>150/999</t>
  </si>
  <si>
    <t>278/986</t>
  </si>
  <si>
    <t>494/876</t>
  </si>
  <si>
    <t>696/4345</t>
  </si>
  <si>
    <t>478/4572</t>
  </si>
  <si>
    <t>859/4495</t>
  </si>
  <si>
    <t>3619/4016</t>
  </si>
  <si>
    <t>693/4345</t>
  </si>
  <si>
    <t>462/4572</t>
  </si>
  <si>
    <t>787/4495</t>
  </si>
  <si>
    <t>3616/4016</t>
  </si>
  <si>
    <t>854/4345</t>
  </si>
  <si>
    <t>585/4572</t>
  </si>
  <si>
    <t>985/4495</t>
  </si>
  <si>
    <t>3677/4016</t>
  </si>
  <si>
    <t>605/4345</t>
  </si>
  <si>
    <t>394/4572</t>
  </si>
  <si>
    <t>638/4495</t>
  </si>
  <si>
    <t>3516/4016</t>
  </si>
  <si>
    <t>609/4345</t>
  </si>
  <si>
    <t>389/4572</t>
  </si>
  <si>
    <t>706/4495</t>
  </si>
  <si>
    <t>3517/4016</t>
  </si>
  <si>
    <t>CPR Invest Glbl Silver Age R Acc</t>
  </si>
  <si>
    <t>399/4345</t>
  </si>
  <si>
    <t>257/4572</t>
  </si>
  <si>
    <t>476/4495</t>
  </si>
  <si>
    <t>LU1530898920</t>
  </si>
  <si>
    <t>1682/2017</t>
  </si>
  <si>
    <t>1847/2107</t>
  </si>
  <si>
    <t>1695/2076</t>
  </si>
  <si>
    <t>1202/1882</t>
  </si>
  <si>
    <t>430/1395</t>
  </si>
  <si>
    <t>321/1076</t>
  </si>
  <si>
    <t>44/780</t>
  </si>
  <si>
    <t>1677/2017</t>
  </si>
  <si>
    <t>1844/2107</t>
  </si>
  <si>
    <t>1690/2076</t>
  </si>
  <si>
    <t>1200/1882</t>
  </si>
  <si>
    <t>446/1395</t>
  </si>
  <si>
    <t>336/1076</t>
  </si>
  <si>
    <t>47/780</t>
  </si>
  <si>
    <t>1746/2017</t>
  </si>
  <si>
    <t>1891/2107</t>
  </si>
  <si>
    <t>1789/2076</t>
  </si>
  <si>
    <t>1245/1882</t>
  </si>
  <si>
    <t>1555/2017</t>
  </si>
  <si>
    <t>1784/2107</t>
  </si>
  <si>
    <t>1589/2076</t>
  </si>
  <si>
    <t>1015/1882</t>
  </si>
  <si>
    <t>212/1395</t>
  </si>
  <si>
    <t>183/1076</t>
  </si>
  <si>
    <t>1605/2017</t>
  </si>
  <si>
    <t>1799/2107</t>
  </si>
  <si>
    <t>1599/2076</t>
  </si>
  <si>
    <t>186/364</t>
  </si>
  <si>
    <t>20/371</t>
  </si>
  <si>
    <t>50/368</t>
  </si>
  <si>
    <t>217/343</t>
  </si>
  <si>
    <t>176/273</t>
  </si>
  <si>
    <t>50/192</t>
  </si>
  <si>
    <t>185/364</t>
  </si>
  <si>
    <t>17/371</t>
  </si>
  <si>
    <t>49/368</t>
  </si>
  <si>
    <t>213/343</t>
  </si>
  <si>
    <t>171/273</t>
  </si>
  <si>
    <t>174/887</t>
  </si>
  <si>
    <t>225/914</t>
  </si>
  <si>
    <t>262/899</t>
  </si>
  <si>
    <t>709/825</t>
  </si>
  <si>
    <t>550/887</t>
  </si>
  <si>
    <t>361/914</t>
  </si>
  <si>
    <t>424/899</t>
  </si>
  <si>
    <t>632/825</t>
  </si>
  <si>
    <t>203/364</t>
  </si>
  <si>
    <t>35/371</t>
  </si>
  <si>
    <t>64/368</t>
  </si>
  <si>
    <t>233/343</t>
  </si>
  <si>
    <t>165/364</t>
  </si>
  <si>
    <t>15/371</t>
  </si>
  <si>
    <t>38/368</t>
  </si>
  <si>
    <t>188/343</t>
  </si>
  <si>
    <t>135/273</t>
  </si>
  <si>
    <t>303/584</t>
  </si>
  <si>
    <t>155/611</t>
  </si>
  <si>
    <t>256/598</t>
  </si>
  <si>
    <t>311/539</t>
  </si>
  <si>
    <t>260/330</t>
  </si>
  <si>
    <t>317/584</t>
  </si>
  <si>
    <t>170/611</t>
  </si>
  <si>
    <t>266/598</t>
  </si>
  <si>
    <t>274/330</t>
  </si>
  <si>
    <t>885/1021</t>
  </si>
  <si>
    <t>261/1060</t>
  </si>
  <si>
    <t>910/1050</t>
  </si>
  <si>
    <t>716/966</t>
  </si>
  <si>
    <t>585/782</t>
  </si>
  <si>
    <t>473/641</t>
  </si>
  <si>
    <t>420/537</t>
  </si>
  <si>
    <t>861/1021</t>
  </si>
  <si>
    <t>259/1060</t>
  </si>
  <si>
    <t>900/1050</t>
  </si>
  <si>
    <t>696/966</t>
  </si>
  <si>
    <t>916/1021</t>
  </si>
  <si>
    <t>277/1060</t>
  </si>
  <si>
    <t>920/1050</t>
  </si>
  <si>
    <t>745/966</t>
  </si>
  <si>
    <t>660/782</t>
  </si>
  <si>
    <t>557/641</t>
  </si>
  <si>
    <t>479/537</t>
  </si>
  <si>
    <t>105/172</t>
  </si>
  <si>
    <t>103/143</t>
  </si>
  <si>
    <t>97/170</t>
  </si>
  <si>
    <t>125/172</t>
  </si>
  <si>
    <t>93/172</t>
  </si>
  <si>
    <t>106/166</t>
  </si>
  <si>
    <t>89/172</t>
  </si>
  <si>
    <t>97/166</t>
  </si>
  <si>
    <t>126/172</t>
  </si>
  <si>
    <t>100/172</t>
  </si>
  <si>
    <t>119/166</t>
  </si>
  <si>
    <t>99/143</t>
  </si>
  <si>
    <t>40/99</t>
  </si>
  <si>
    <t>58/539</t>
  </si>
  <si>
    <t>62/548</t>
  </si>
  <si>
    <t>46/530</t>
  </si>
  <si>
    <t>31/483</t>
  </si>
  <si>
    <t>94/539</t>
  </si>
  <si>
    <t>92/548</t>
  </si>
  <si>
    <t>96/546</t>
  </si>
  <si>
    <t>71/530</t>
  </si>
  <si>
    <t>43/483</t>
  </si>
  <si>
    <t>69/410</t>
  </si>
  <si>
    <t>66/318</t>
  </si>
  <si>
    <t>67/539</t>
  </si>
  <si>
    <t>52/548</t>
  </si>
  <si>
    <t>74/546</t>
  </si>
  <si>
    <t>66/530</t>
  </si>
  <si>
    <t>48/483</t>
  </si>
  <si>
    <t>76/410</t>
  </si>
  <si>
    <t>237/539</t>
  </si>
  <si>
    <t>184/548</t>
  </si>
  <si>
    <t>225/546</t>
  </si>
  <si>
    <t>253/530</t>
  </si>
  <si>
    <t>219/483</t>
  </si>
  <si>
    <t>137/410</t>
  </si>
  <si>
    <t>154/318</t>
  </si>
  <si>
    <t>150/431</t>
  </si>
  <si>
    <t>17/450</t>
  </si>
  <si>
    <t>132/443</t>
  </si>
  <si>
    <t>90/407</t>
  </si>
  <si>
    <t>44/341</t>
  </si>
  <si>
    <t>64/308</t>
  </si>
  <si>
    <t>233/431</t>
  </si>
  <si>
    <t>20/450</t>
  </si>
  <si>
    <t>192/443</t>
  </si>
  <si>
    <t>148/407</t>
  </si>
  <si>
    <t>80/341</t>
  </si>
  <si>
    <t>88/308</t>
  </si>
  <si>
    <t>188/576</t>
  </si>
  <si>
    <t>230/583</t>
  </si>
  <si>
    <t>80/478</t>
  </si>
  <si>
    <t>191/576</t>
  </si>
  <si>
    <t>235/583</t>
  </si>
  <si>
    <t>100/553</t>
  </si>
  <si>
    <t>107/478</t>
  </si>
  <si>
    <t>133/431</t>
  </si>
  <si>
    <t>182/450</t>
  </si>
  <si>
    <t>168/443</t>
  </si>
  <si>
    <t>CPR Oblig 6 Mois S</t>
  </si>
  <si>
    <t>179/450</t>
  </si>
  <si>
    <t>169/443</t>
  </si>
  <si>
    <t>FR0013215811</t>
  </si>
  <si>
    <t>2154/2490</t>
  </si>
  <si>
    <t>410/2614</t>
  </si>
  <si>
    <t>1367/2574</t>
  </si>
  <si>
    <t>2082/2299</t>
  </si>
  <si>
    <t>1484/1650</t>
  </si>
  <si>
    <t>716/1182</t>
  </si>
  <si>
    <t>2210/2490</t>
  </si>
  <si>
    <t>461/2614</t>
  </si>
  <si>
    <t>1494/2574</t>
  </si>
  <si>
    <t>2127/2299</t>
  </si>
  <si>
    <t>1536/1650</t>
  </si>
  <si>
    <t>829/1182</t>
  </si>
  <si>
    <t>1578/2490</t>
  </si>
  <si>
    <t>1683/2614</t>
  </si>
  <si>
    <t>2035/2574</t>
  </si>
  <si>
    <t>1216/2299</t>
  </si>
  <si>
    <t>605/1650</t>
  </si>
  <si>
    <t>384/1182</t>
  </si>
  <si>
    <t>1712/2490</t>
  </si>
  <si>
    <t>1752/2614</t>
  </si>
  <si>
    <t>2108/2574</t>
  </si>
  <si>
    <t>1349/2299</t>
  </si>
  <si>
    <t>779/1650</t>
  </si>
  <si>
    <t>498/1182</t>
  </si>
  <si>
    <t>192/364</t>
  </si>
  <si>
    <t>18/371</t>
  </si>
  <si>
    <t>52/368</t>
  </si>
  <si>
    <t>232/343</t>
  </si>
  <si>
    <t>76/192</t>
  </si>
  <si>
    <t>166/364</t>
  </si>
  <si>
    <t>13/371</t>
  </si>
  <si>
    <t>39/368</t>
  </si>
  <si>
    <t>136/273</t>
  </si>
  <si>
    <t>182/364</t>
  </si>
  <si>
    <t>16/371</t>
  </si>
  <si>
    <t>48/368</t>
  </si>
  <si>
    <t>209/343</t>
  </si>
  <si>
    <t>49/192</t>
  </si>
  <si>
    <t>CPR Silver Age Z-C</t>
  </si>
  <si>
    <t>FR0013246246</t>
  </si>
  <si>
    <t>1629/2017</t>
  </si>
  <si>
    <t>1939/2107</t>
  </si>
  <si>
    <t>1870/2076</t>
  </si>
  <si>
    <t>1469/1882</t>
  </si>
  <si>
    <t>724/1395</t>
  </si>
  <si>
    <t>383/1076</t>
  </si>
  <si>
    <t>291/780</t>
  </si>
  <si>
    <t>373/761</t>
  </si>
  <si>
    <t>375/787</t>
  </si>
  <si>
    <t>342/779</t>
  </si>
  <si>
    <t>440/707</t>
  </si>
  <si>
    <t>328/761</t>
  </si>
  <si>
    <t>309/779</t>
  </si>
  <si>
    <t>382/707</t>
  </si>
  <si>
    <t>982/1686</t>
  </si>
  <si>
    <t>540/1752</t>
  </si>
  <si>
    <t>1011/1730</t>
  </si>
  <si>
    <t>890/1565</t>
  </si>
  <si>
    <t>354/1201</t>
  </si>
  <si>
    <t>305/726</t>
  </si>
  <si>
    <t>970/1686</t>
  </si>
  <si>
    <t>511/1752</t>
  </si>
  <si>
    <t>996/1730</t>
  </si>
  <si>
    <t>740/1565</t>
  </si>
  <si>
    <t>224/1201</t>
  </si>
  <si>
    <t>270/932</t>
  </si>
  <si>
    <t>211/726</t>
  </si>
  <si>
    <t>1093/1686</t>
  </si>
  <si>
    <t>605/1752</t>
  </si>
  <si>
    <t>1130/1730</t>
  </si>
  <si>
    <t>1045/1565</t>
  </si>
  <si>
    <t>540/1201</t>
  </si>
  <si>
    <t>528/932</t>
  </si>
  <si>
    <t>421/726</t>
  </si>
  <si>
    <t>174/1356</t>
  </si>
  <si>
    <t>284/1397</t>
  </si>
  <si>
    <t>182/1383</t>
  </si>
  <si>
    <t>266/1313</t>
  </si>
  <si>
    <t>770/1170</t>
  </si>
  <si>
    <t>791/1007</t>
  </si>
  <si>
    <t>777/823</t>
  </si>
  <si>
    <t>80/450</t>
  </si>
  <si>
    <t>85/443</t>
  </si>
  <si>
    <t>224/407</t>
  </si>
  <si>
    <t>301/341</t>
  </si>
  <si>
    <t>295/308</t>
  </si>
  <si>
    <t>240/253</t>
  </si>
  <si>
    <t>185/1356</t>
  </si>
  <si>
    <t>285/1397</t>
  </si>
  <si>
    <t>180/1383</t>
  </si>
  <si>
    <t>296/1313</t>
  </si>
  <si>
    <t>777/1170</t>
  </si>
  <si>
    <t>724/1007</t>
  </si>
  <si>
    <t>774/823</t>
  </si>
  <si>
    <t>942/1720</t>
  </si>
  <si>
    <t>837/1802</t>
  </si>
  <si>
    <t>383/1779</t>
  </si>
  <si>
    <t>1066/1599</t>
  </si>
  <si>
    <t>936/1164</t>
  </si>
  <si>
    <t>579/875</t>
  </si>
  <si>
    <t>530/632</t>
  </si>
  <si>
    <t>377/882</t>
  </si>
  <si>
    <t>311/948</t>
  </si>
  <si>
    <t>334/921</t>
  </si>
  <si>
    <t>409/843</t>
  </si>
  <si>
    <t>433/692</t>
  </si>
  <si>
    <t>413/577</t>
  </si>
  <si>
    <t>394/454</t>
  </si>
  <si>
    <t>129/882</t>
  </si>
  <si>
    <t>727/948</t>
  </si>
  <si>
    <t>238/921</t>
  </si>
  <si>
    <t>128/843</t>
  </si>
  <si>
    <t>250/692</t>
  </si>
  <si>
    <t>168/577</t>
  </si>
  <si>
    <t>277/454</t>
  </si>
  <si>
    <t>147/591</t>
  </si>
  <si>
    <t>428/616</t>
  </si>
  <si>
    <t>194/600</t>
  </si>
  <si>
    <t>128/574</t>
  </si>
  <si>
    <t>212/489</t>
  </si>
  <si>
    <t>155/423</t>
  </si>
  <si>
    <t>201/353</t>
  </si>
  <si>
    <t>1009/1145</t>
  </si>
  <si>
    <t>251/1161</t>
  </si>
  <si>
    <t>1038/1114</t>
  </si>
  <si>
    <t>819/929</t>
  </si>
  <si>
    <t>753/795</t>
  </si>
  <si>
    <t>609/648</t>
  </si>
  <si>
    <t>784/1145</t>
  </si>
  <si>
    <t>794/1161</t>
  </si>
  <si>
    <t>714/1155</t>
  </si>
  <si>
    <t>825/1114</t>
  </si>
  <si>
    <t>705/929</t>
  </si>
  <si>
    <t>535/795</t>
  </si>
  <si>
    <t>508/648</t>
  </si>
  <si>
    <t>3388/4345</t>
  </si>
  <si>
    <t>1194/4572</t>
  </si>
  <si>
    <t>2700/4495</t>
  </si>
  <si>
    <t>2442/4016</t>
  </si>
  <si>
    <t>997/2981</t>
  </si>
  <si>
    <t>42/539</t>
  </si>
  <si>
    <t>39/548</t>
  </si>
  <si>
    <t>39/546</t>
  </si>
  <si>
    <t>30/530</t>
  </si>
  <si>
    <t>26/483</t>
  </si>
  <si>
    <t>64/410</t>
  </si>
  <si>
    <t>392/878</t>
  </si>
  <si>
    <t>136/895</t>
  </si>
  <si>
    <t>93/850</t>
  </si>
  <si>
    <t>493/772</t>
  </si>
  <si>
    <t>204/576</t>
  </si>
  <si>
    <t>679/878</t>
  </si>
  <si>
    <t>284/895</t>
  </si>
  <si>
    <t>596/891</t>
  </si>
  <si>
    <t>687/850</t>
  </si>
  <si>
    <t>689/772</t>
  </si>
  <si>
    <t>444/576</t>
  </si>
  <si>
    <t>163/407</t>
  </si>
  <si>
    <t>138/415</t>
  </si>
  <si>
    <t>161/411</t>
  </si>
  <si>
    <t>168/396</t>
  </si>
  <si>
    <t>172/362</t>
  </si>
  <si>
    <t>148/333</t>
  </si>
  <si>
    <t>167/265</t>
  </si>
  <si>
    <t>74/539</t>
  </si>
  <si>
    <t>82/548</t>
  </si>
  <si>
    <t>65/546</t>
  </si>
  <si>
    <t>94/530</t>
  </si>
  <si>
    <t>180/483</t>
  </si>
  <si>
    <t>223/410</t>
  </si>
  <si>
    <t>182/318</t>
  </si>
  <si>
    <t>336/740</t>
  </si>
  <si>
    <t>683/754</t>
  </si>
  <si>
    <t>551/750</t>
  </si>
  <si>
    <t>189/722</t>
  </si>
  <si>
    <t>425/641</t>
  </si>
  <si>
    <t>407/557</t>
  </si>
  <si>
    <t>304/414</t>
  </si>
  <si>
    <t>174/246</t>
  </si>
  <si>
    <t>155/244</t>
  </si>
  <si>
    <t>117/220</t>
  </si>
  <si>
    <t>134/203</t>
  </si>
  <si>
    <t>148/177</t>
  </si>
  <si>
    <t>178/246</t>
  </si>
  <si>
    <t>212/246</t>
  </si>
  <si>
    <t>116/220</t>
  </si>
  <si>
    <t>136/203</t>
  </si>
  <si>
    <t>1320/4345</t>
  </si>
  <si>
    <t>1750/4572</t>
  </si>
  <si>
    <t>1346/4495</t>
  </si>
  <si>
    <t>1086/4016</t>
  </si>
  <si>
    <t>493/2981</t>
  </si>
  <si>
    <t>877/2184</t>
  </si>
  <si>
    <t>676/1651</t>
  </si>
  <si>
    <t>Etoile Actions Opportunités C/D</t>
  </si>
  <si>
    <t>226/246</t>
  </si>
  <si>
    <t>155/246</t>
  </si>
  <si>
    <t>210/246</t>
  </si>
  <si>
    <t>208/244</t>
  </si>
  <si>
    <t>196/220</t>
  </si>
  <si>
    <t>151/203</t>
  </si>
  <si>
    <t>1119/1145</t>
  </si>
  <si>
    <t>379/1161</t>
  </si>
  <si>
    <t>974/1155</t>
  </si>
  <si>
    <t>874/1114</t>
  </si>
  <si>
    <t>777/929</t>
  </si>
  <si>
    <t>562/795</t>
  </si>
  <si>
    <t>1116/1145</t>
  </si>
  <si>
    <t>360/1161</t>
  </si>
  <si>
    <t>981/1155</t>
  </si>
  <si>
    <t>875/1114</t>
  </si>
  <si>
    <t>772/929</t>
  </si>
  <si>
    <t>566/795</t>
  </si>
  <si>
    <t>528/648</t>
  </si>
  <si>
    <t>254/1145</t>
  </si>
  <si>
    <t>344/1161</t>
  </si>
  <si>
    <t>445/1155</t>
  </si>
  <si>
    <t>224/1114</t>
  </si>
  <si>
    <t>765/929</t>
  </si>
  <si>
    <t>601/795</t>
  </si>
  <si>
    <t>481/648</t>
  </si>
  <si>
    <t>768/1686</t>
  </si>
  <si>
    <t>1288/1752</t>
  </si>
  <si>
    <t>902/1730</t>
  </si>
  <si>
    <t>510/1565</t>
  </si>
  <si>
    <t>288/1201</t>
  </si>
  <si>
    <t>358/932</t>
  </si>
  <si>
    <t>224/726</t>
  </si>
  <si>
    <t>337/619</t>
  </si>
  <si>
    <t>261/635</t>
  </si>
  <si>
    <t>241/629</t>
  </si>
  <si>
    <t>335/600</t>
  </si>
  <si>
    <t>453/497</t>
  </si>
  <si>
    <t>390/411</t>
  </si>
  <si>
    <t>309/319</t>
  </si>
  <si>
    <t>119/219</t>
  </si>
  <si>
    <t>162/223</t>
  </si>
  <si>
    <t>53/223</t>
  </si>
  <si>
    <t>144/215</t>
  </si>
  <si>
    <t>142/196</t>
  </si>
  <si>
    <t>43/170</t>
  </si>
  <si>
    <t>32/126</t>
  </si>
  <si>
    <t>28/219</t>
  </si>
  <si>
    <t>110/223</t>
  </si>
  <si>
    <t>47/223</t>
  </si>
  <si>
    <t>28/215</t>
  </si>
  <si>
    <t>195/196</t>
  </si>
  <si>
    <t>154/170</t>
  </si>
  <si>
    <t>123/126</t>
  </si>
  <si>
    <t>410/878</t>
  </si>
  <si>
    <t>485/895</t>
  </si>
  <si>
    <t>344/891</t>
  </si>
  <si>
    <t>355/850</t>
  </si>
  <si>
    <t>409/878</t>
  </si>
  <si>
    <t>490/895</t>
  </si>
  <si>
    <t>345/891</t>
  </si>
  <si>
    <t>356/850</t>
  </si>
  <si>
    <t>366/772</t>
  </si>
  <si>
    <t>277/576</t>
  </si>
  <si>
    <t>75/373</t>
  </si>
  <si>
    <t>281/382</t>
  </si>
  <si>
    <t>19/377</t>
  </si>
  <si>
    <t>94/366</t>
  </si>
  <si>
    <t>85/294</t>
  </si>
  <si>
    <t>52/233</t>
  </si>
  <si>
    <t>23/158</t>
  </si>
  <si>
    <t>22/161</t>
  </si>
  <si>
    <t>25/159</t>
  </si>
  <si>
    <t>78/144</t>
  </si>
  <si>
    <t>107/109</t>
  </si>
  <si>
    <t>69/76</t>
  </si>
  <si>
    <t>41/223</t>
  </si>
  <si>
    <t>206/231</t>
  </si>
  <si>
    <t>26/227</t>
  </si>
  <si>
    <t>21/216</t>
  </si>
  <si>
    <t>154/194</t>
  </si>
  <si>
    <t>129/173</t>
  </si>
  <si>
    <t>117/135</t>
  </si>
  <si>
    <t>10/240</t>
  </si>
  <si>
    <t>185/243</t>
  </si>
  <si>
    <t>20/233</t>
  </si>
  <si>
    <t>31/199</t>
  </si>
  <si>
    <t>53/132</t>
  </si>
  <si>
    <t>130/905</t>
  </si>
  <si>
    <t>61/936</t>
  </si>
  <si>
    <t>76/926</t>
  </si>
  <si>
    <t>39/820</t>
  </si>
  <si>
    <t>16/905</t>
  </si>
  <si>
    <t>39/936</t>
  </si>
  <si>
    <t>2/820</t>
  </si>
  <si>
    <t>Etoile Euro Actions 03/2023 C</t>
  </si>
  <si>
    <t>48/936</t>
  </si>
  <si>
    <t>15/926</t>
  </si>
  <si>
    <t>125/905</t>
  </si>
  <si>
    <t>55/936</t>
  </si>
  <si>
    <t>66/926</t>
  </si>
  <si>
    <t>46/820</t>
  </si>
  <si>
    <t>6/905</t>
  </si>
  <si>
    <t>440/936</t>
  </si>
  <si>
    <t>5/926</t>
  </si>
  <si>
    <t>1/820</t>
  </si>
  <si>
    <t>33/905</t>
  </si>
  <si>
    <t>38/936</t>
  </si>
  <si>
    <t>7/820</t>
  </si>
  <si>
    <t>116/905</t>
  </si>
  <si>
    <t>68/936</t>
  </si>
  <si>
    <t>56/926</t>
  </si>
  <si>
    <t>493/878</t>
  </si>
  <si>
    <t>517/895</t>
  </si>
  <si>
    <t>361/891</t>
  </si>
  <si>
    <t>430/850</t>
  </si>
  <si>
    <t>479/772</t>
  </si>
  <si>
    <t>308/878</t>
  </si>
  <si>
    <t>763/895</t>
  </si>
  <si>
    <t>277/891</t>
  </si>
  <si>
    <t>170/850</t>
  </si>
  <si>
    <t>384/772</t>
  </si>
  <si>
    <t>92/576</t>
  </si>
  <si>
    <t>333/878</t>
  </si>
  <si>
    <t>295/895</t>
  </si>
  <si>
    <t>259/891</t>
  </si>
  <si>
    <t>366/850</t>
  </si>
  <si>
    <t>382/772</t>
  </si>
  <si>
    <t>344/576</t>
  </si>
  <si>
    <t>21/67</t>
  </si>
  <si>
    <t>13/69</t>
  </si>
  <si>
    <t>19/62</t>
  </si>
  <si>
    <t>20/44</t>
  </si>
  <si>
    <t>12/39</t>
  </si>
  <si>
    <t>925/4345</t>
  </si>
  <si>
    <t>1645/4572</t>
  </si>
  <si>
    <t>303/4495</t>
  </si>
  <si>
    <t>803/4016</t>
  </si>
  <si>
    <t>2175/2981</t>
  </si>
  <si>
    <t>818/2184</t>
  </si>
  <si>
    <t>1446/1651</t>
  </si>
  <si>
    <t>764/882</t>
  </si>
  <si>
    <t>347/948</t>
  </si>
  <si>
    <t>796/921</t>
  </si>
  <si>
    <t>667/843</t>
  </si>
  <si>
    <t>556/692</t>
  </si>
  <si>
    <t>534/577</t>
  </si>
  <si>
    <t>406/454</t>
  </si>
  <si>
    <t>92/107</t>
  </si>
  <si>
    <t>27/98</t>
  </si>
  <si>
    <t>39/90</t>
  </si>
  <si>
    <t>166/407</t>
  </si>
  <si>
    <t>133/415</t>
  </si>
  <si>
    <t>174/396</t>
  </si>
  <si>
    <t>157/362</t>
  </si>
  <si>
    <t>142/333</t>
  </si>
  <si>
    <t>156/265</t>
  </si>
  <si>
    <t>107/407</t>
  </si>
  <si>
    <t>82/415</t>
  </si>
  <si>
    <t>106/411</t>
  </si>
  <si>
    <t>105/396</t>
  </si>
  <si>
    <t>82/362</t>
  </si>
  <si>
    <t>79/333</t>
  </si>
  <si>
    <t>92/265</t>
  </si>
  <si>
    <t>105/407</t>
  </si>
  <si>
    <t>78/415</t>
  </si>
  <si>
    <t>109/411</t>
  </si>
  <si>
    <t>104/396</t>
  </si>
  <si>
    <t>62/362</t>
  </si>
  <si>
    <t>29/333</t>
  </si>
  <si>
    <t>25/265</t>
  </si>
  <si>
    <t>94/407</t>
  </si>
  <si>
    <t>72/415</t>
  </si>
  <si>
    <t>71/396</t>
  </si>
  <si>
    <t>45/362</t>
  </si>
  <si>
    <t>16/333</t>
  </si>
  <si>
    <t>14/265</t>
  </si>
  <si>
    <t>77/415</t>
  </si>
  <si>
    <t>108/411</t>
  </si>
  <si>
    <t>106/396</t>
  </si>
  <si>
    <t>76/362</t>
  </si>
  <si>
    <t>63/333</t>
  </si>
  <si>
    <t>61/265</t>
  </si>
  <si>
    <t>191/407</t>
  </si>
  <si>
    <t>148/415</t>
  </si>
  <si>
    <t>189/411</t>
  </si>
  <si>
    <t>188/396</t>
  </si>
  <si>
    <t>176/362</t>
  </si>
  <si>
    <t>164/333</t>
  </si>
  <si>
    <t>160/265</t>
  </si>
  <si>
    <t>150/407</t>
  </si>
  <si>
    <t>116/415</t>
  </si>
  <si>
    <t>151/411</t>
  </si>
  <si>
    <t>151/396</t>
  </si>
  <si>
    <t>131/362</t>
  </si>
  <si>
    <t>110/333</t>
  </si>
  <si>
    <t>106/265</t>
  </si>
  <si>
    <t>144/267</t>
  </si>
  <si>
    <t>91/269</t>
  </si>
  <si>
    <t>62/269</t>
  </si>
  <si>
    <t>892/1720</t>
  </si>
  <si>
    <t>1117/1802</t>
  </si>
  <si>
    <t>1201/1779</t>
  </si>
  <si>
    <t>1115/1599</t>
  </si>
  <si>
    <t>891/1720</t>
  </si>
  <si>
    <t>1116/1802</t>
  </si>
  <si>
    <t>1200/1779</t>
  </si>
  <si>
    <t>1116/1599</t>
  </si>
  <si>
    <t>957/1164</t>
  </si>
  <si>
    <t>652/875</t>
  </si>
  <si>
    <t>191/632</t>
  </si>
  <si>
    <t>634/994</t>
  </si>
  <si>
    <t>327/1027</t>
  </si>
  <si>
    <t>433/1016</t>
  </si>
  <si>
    <t>834/929</t>
  </si>
  <si>
    <t>665/731</t>
  </si>
  <si>
    <t>535/599</t>
  </si>
  <si>
    <t>312/491</t>
  </si>
  <si>
    <t>197/761</t>
  </si>
  <si>
    <t>332/787</t>
  </si>
  <si>
    <t>163/779</t>
  </si>
  <si>
    <t>365/707</t>
  </si>
  <si>
    <t>167/503</t>
  </si>
  <si>
    <t>129/307</t>
  </si>
  <si>
    <t>1345/1877</t>
  </si>
  <si>
    <t>1280/1956</t>
  </si>
  <si>
    <t>1375/1915</t>
  </si>
  <si>
    <t>613/1770</t>
  </si>
  <si>
    <t>989/1372</t>
  </si>
  <si>
    <t>373/1112</t>
  </si>
  <si>
    <t>516/906</t>
  </si>
  <si>
    <t>84/246</t>
  </si>
  <si>
    <t>152/246</t>
  </si>
  <si>
    <t>131/246</t>
  </si>
  <si>
    <t>57/244</t>
  </si>
  <si>
    <t>1805/4345</t>
  </si>
  <si>
    <t>1786/4572</t>
  </si>
  <si>
    <t>2116/4495</t>
  </si>
  <si>
    <t>1762/4016</t>
  </si>
  <si>
    <t>1581/2981</t>
  </si>
  <si>
    <t>1731/2184</t>
  </si>
  <si>
    <t>1064/1651</t>
  </si>
  <si>
    <t>196/761</t>
  </si>
  <si>
    <t>330/787</t>
  </si>
  <si>
    <t>162/779</t>
  </si>
  <si>
    <t>357/707</t>
  </si>
  <si>
    <t>494/1686</t>
  </si>
  <si>
    <t>798/1752</t>
  </si>
  <si>
    <t>558/1730</t>
  </si>
  <si>
    <t>989/1565</t>
  </si>
  <si>
    <t>886/1201</t>
  </si>
  <si>
    <t>715/932</t>
  </si>
  <si>
    <t>500/726</t>
  </si>
  <si>
    <t>263/576</t>
  </si>
  <si>
    <t>217/586</t>
  </si>
  <si>
    <t>163/583</t>
  </si>
  <si>
    <t>265/553</t>
  </si>
  <si>
    <t>187/478</t>
  </si>
  <si>
    <t>90/397</t>
  </si>
  <si>
    <t>127/314</t>
  </si>
  <si>
    <t>410/1356</t>
  </si>
  <si>
    <t>352/1397</t>
  </si>
  <si>
    <t>263/1383</t>
  </si>
  <si>
    <t>574/1313</t>
  </si>
  <si>
    <t>209/1170</t>
  </si>
  <si>
    <t>77/1007</t>
  </si>
  <si>
    <t>162/823</t>
  </si>
  <si>
    <t>8/87</t>
  </si>
  <si>
    <t>13/86</t>
  </si>
  <si>
    <t>78/83</t>
  </si>
  <si>
    <t>856/1356</t>
  </si>
  <si>
    <t>22/1397</t>
  </si>
  <si>
    <t>193/1383</t>
  </si>
  <si>
    <t>681/1313</t>
  </si>
  <si>
    <t>1167/1170</t>
  </si>
  <si>
    <t>1007/1007</t>
  </si>
  <si>
    <t>823/823</t>
  </si>
  <si>
    <t>68/186</t>
  </si>
  <si>
    <t>93/193</t>
  </si>
  <si>
    <t>41/190</t>
  </si>
  <si>
    <t>93/177</t>
  </si>
  <si>
    <t>29/92</t>
  </si>
  <si>
    <t>9/63</t>
  </si>
  <si>
    <t>578/882</t>
  </si>
  <si>
    <t>404/948</t>
  </si>
  <si>
    <t>472/921</t>
  </si>
  <si>
    <t>540/843</t>
  </si>
  <si>
    <t>571/692</t>
  </si>
  <si>
    <t>440/577</t>
  </si>
  <si>
    <t>351/454</t>
  </si>
  <si>
    <t>555/882</t>
  </si>
  <si>
    <t>378/948</t>
  </si>
  <si>
    <t>462/921</t>
  </si>
  <si>
    <t>526/843</t>
  </si>
  <si>
    <t>439/577</t>
  </si>
  <si>
    <t>349/454</t>
  </si>
  <si>
    <t>349/591</t>
  </si>
  <si>
    <t>331/616</t>
  </si>
  <si>
    <t>221/600</t>
  </si>
  <si>
    <t>335/574</t>
  </si>
  <si>
    <t>313/489</t>
  </si>
  <si>
    <t>236/423</t>
  </si>
  <si>
    <t>189/353</t>
  </si>
  <si>
    <t>350/591</t>
  </si>
  <si>
    <t>315/616</t>
  </si>
  <si>
    <t>227/600</t>
  </si>
  <si>
    <t>334/574</t>
  </si>
  <si>
    <t>311/489</t>
  </si>
  <si>
    <t>237/423</t>
  </si>
  <si>
    <t>188/353</t>
  </si>
  <si>
    <t>199/312</t>
  </si>
  <si>
    <t>163/320</t>
  </si>
  <si>
    <t>134/316</t>
  </si>
  <si>
    <t>201/309</t>
  </si>
  <si>
    <t>201/288</t>
  </si>
  <si>
    <t>175/270</t>
  </si>
  <si>
    <t>173/238</t>
  </si>
  <si>
    <t>195/312</t>
  </si>
  <si>
    <t>153/320</t>
  </si>
  <si>
    <t>136/316</t>
  </si>
  <si>
    <t>202/309</t>
  </si>
  <si>
    <t>202/288</t>
  </si>
  <si>
    <t>173/270</t>
  </si>
  <si>
    <t>172/238</t>
  </si>
  <si>
    <t>182/878</t>
  </si>
  <si>
    <t>702/895</t>
  </si>
  <si>
    <t>167/891</t>
  </si>
  <si>
    <t>149/850</t>
  </si>
  <si>
    <t>150/772</t>
  </si>
  <si>
    <t>88/576</t>
  </si>
  <si>
    <t>29/29</t>
  </si>
  <si>
    <t>84/101</t>
  </si>
  <si>
    <t>29/101</t>
  </si>
  <si>
    <t>30/94</t>
  </si>
  <si>
    <t>12/73</t>
  </si>
  <si>
    <t>81/345</t>
  </si>
  <si>
    <t>364/374</t>
  </si>
  <si>
    <t>59/352</t>
  </si>
  <si>
    <t>107/329</t>
  </si>
  <si>
    <t>114/208</t>
  </si>
  <si>
    <t>151/169</t>
  </si>
  <si>
    <t>662/1877</t>
  </si>
  <si>
    <t>572/1956</t>
  </si>
  <si>
    <t>788/1915</t>
  </si>
  <si>
    <t>435/1770</t>
  </si>
  <si>
    <t>860/1372</t>
  </si>
  <si>
    <t>746/1112</t>
  </si>
  <si>
    <t>672/906</t>
  </si>
  <si>
    <t>957/1877</t>
  </si>
  <si>
    <t>770/1956</t>
  </si>
  <si>
    <t>1018/1915</t>
  </si>
  <si>
    <t>703/1770</t>
  </si>
  <si>
    <t>1147/1372</t>
  </si>
  <si>
    <t>972/1112</t>
  </si>
  <si>
    <t>815/906</t>
  </si>
  <si>
    <t>243/994</t>
  </si>
  <si>
    <t>793/1027</t>
  </si>
  <si>
    <t>182/1016</t>
  </si>
  <si>
    <t>298/929</t>
  </si>
  <si>
    <t>511/731</t>
  </si>
  <si>
    <t>362/599</t>
  </si>
  <si>
    <t>420/491</t>
  </si>
  <si>
    <t>831/1720</t>
  </si>
  <si>
    <t>774/1802</t>
  </si>
  <si>
    <t>293/1779</t>
  </si>
  <si>
    <t>1134/1599</t>
  </si>
  <si>
    <t>502/1164</t>
  </si>
  <si>
    <t>150/875</t>
  </si>
  <si>
    <t>321/632</t>
  </si>
  <si>
    <t>405/539</t>
  </si>
  <si>
    <t>422/548</t>
  </si>
  <si>
    <t>423/546</t>
  </si>
  <si>
    <t>408/530</t>
  </si>
  <si>
    <t>370/483</t>
  </si>
  <si>
    <t>319/410</t>
  </si>
  <si>
    <t>228/318</t>
  </si>
  <si>
    <t>662/994</t>
  </si>
  <si>
    <t>347/1027</t>
  </si>
  <si>
    <t>458/1016</t>
  </si>
  <si>
    <t>849/929</t>
  </si>
  <si>
    <t>684/731</t>
  </si>
  <si>
    <t>538/599</t>
  </si>
  <si>
    <t>341/491</t>
  </si>
  <si>
    <t>161/994</t>
  </si>
  <si>
    <t>265/1027</t>
  </si>
  <si>
    <t>125/929</t>
  </si>
  <si>
    <t>541/731</t>
  </si>
  <si>
    <t>389/599</t>
  </si>
  <si>
    <t>371/491</t>
  </si>
  <si>
    <t>996/2017</t>
  </si>
  <si>
    <t>495/2107</t>
  </si>
  <si>
    <t>569/2076</t>
  </si>
  <si>
    <t>1653/1882</t>
  </si>
  <si>
    <t>1248/1395</t>
  </si>
  <si>
    <t>782/1076</t>
  </si>
  <si>
    <t>641/780</t>
  </si>
  <si>
    <t>845/1356</t>
  </si>
  <si>
    <t>265/1397</t>
  </si>
  <si>
    <t>1034/1383</t>
  </si>
  <si>
    <t>781/1313</t>
  </si>
  <si>
    <t>1011/1170</t>
  </si>
  <si>
    <t>889/1007</t>
  </si>
  <si>
    <t>749/823</t>
  </si>
  <si>
    <t>40/59</t>
  </si>
  <si>
    <t>1/58</t>
  </si>
  <si>
    <t>1/50</t>
  </si>
  <si>
    <t>302/539</t>
  </si>
  <si>
    <t>270/548</t>
  </si>
  <si>
    <t>288/546</t>
  </si>
  <si>
    <t>317/530</t>
  </si>
  <si>
    <t>293/483</t>
  </si>
  <si>
    <t>273/548</t>
  </si>
  <si>
    <t>292/546</t>
  </si>
  <si>
    <t>318/530</t>
  </si>
  <si>
    <t>294/483</t>
  </si>
  <si>
    <t>294/539</t>
  </si>
  <si>
    <t>261/548</t>
  </si>
  <si>
    <t>280/546</t>
  </si>
  <si>
    <t>311/530</t>
  </si>
  <si>
    <t>279/483</t>
  </si>
  <si>
    <t>61/170</t>
  </si>
  <si>
    <t>132/172</t>
  </si>
  <si>
    <t>83/172</t>
  </si>
  <si>
    <t>65/143</t>
  </si>
  <si>
    <t>45/99</t>
  </si>
  <si>
    <t>1781/4580</t>
  </si>
  <si>
    <t>3044/4723</t>
  </si>
  <si>
    <t>2894/4658</t>
  </si>
  <si>
    <t>2324/4427</t>
  </si>
  <si>
    <t>2937/3396</t>
  </si>
  <si>
    <t>2499/2721</t>
  </si>
  <si>
    <t>2258/2374</t>
  </si>
  <si>
    <t>70/79</t>
  </si>
  <si>
    <t>62/82</t>
  </si>
  <si>
    <t>69/79</t>
  </si>
  <si>
    <t>632/878</t>
  </si>
  <si>
    <t>658/895</t>
  </si>
  <si>
    <t>786/891</t>
  </si>
  <si>
    <t>385/850</t>
  </si>
  <si>
    <t>749/772</t>
  </si>
  <si>
    <t>513/576</t>
  </si>
  <si>
    <t>428/878</t>
  </si>
  <si>
    <t>739/895</t>
  </si>
  <si>
    <t>817/891</t>
  </si>
  <si>
    <t>198/850</t>
  </si>
  <si>
    <t>712/772</t>
  </si>
  <si>
    <t>377/576</t>
  </si>
  <si>
    <t>384/878</t>
  </si>
  <si>
    <t>735/895</t>
  </si>
  <si>
    <t>757/891</t>
  </si>
  <si>
    <t>221/850</t>
  </si>
  <si>
    <t>698/772</t>
  </si>
  <si>
    <t>331/576</t>
  </si>
  <si>
    <t>454/878</t>
  </si>
  <si>
    <t>720/895</t>
  </si>
  <si>
    <t>807/891</t>
  </si>
  <si>
    <t>318/850</t>
  </si>
  <si>
    <t>679/772</t>
  </si>
  <si>
    <t>329/576</t>
  </si>
  <si>
    <t>143/171</t>
  </si>
  <si>
    <t>150/175</t>
  </si>
  <si>
    <t>167/170</t>
  </si>
  <si>
    <t>84/141</t>
  </si>
  <si>
    <t>142/171</t>
  </si>
  <si>
    <t>149/175</t>
  </si>
  <si>
    <t>55/157</t>
  </si>
  <si>
    <t>83/141</t>
  </si>
  <si>
    <t>430/434</t>
  </si>
  <si>
    <t>96/462</t>
  </si>
  <si>
    <t>270/451</t>
  </si>
  <si>
    <t>244/408</t>
  </si>
  <si>
    <t>285/334</t>
  </si>
  <si>
    <t>215/248</t>
  </si>
  <si>
    <t>273/483</t>
  </si>
  <si>
    <t>144/528</t>
  </si>
  <si>
    <t>207/521</t>
  </si>
  <si>
    <t>265/410</t>
  </si>
  <si>
    <t>124/184</t>
  </si>
  <si>
    <t>95/116</t>
  </si>
  <si>
    <t>143/604</t>
  </si>
  <si>
    <t>254/592</t>
  </si>
  <si>
    <t>242/302</t>
  </si>
  <si>
    <t>169/183</t>
  </si>
  <si>
    <t>FDA 14 O C/D</t>
  </si>
  <si>
    <t>18/244</t>
  </si>
  <si>
    <t>59/255</t>
  </si>
  <si>
    <t>34/248</t>
  </si>
  <si>
    <t>19/223</t>
  </si>
  <si>
    <t>59/110</t>
  </si>
  <si>
    <t>15/60</t>
  </si>
  <si>
    <t>268/1158</t>
  </si>
  <si>
    <t>370/1225</t>
  </si>
  <si>
    <t>231/1202</t>
  </si>
  <si>
    <t>489/1033</t>
  </si>
  <si>
    <t>213/372</t>
  </si>
  <si>
    <t>46/576</t>
  </si>
  <si>
    <t>464/604</t>
  </si>
  <si>
    <t>111/592</t>
  </si>
  <si>
    <t>19/498</t>
  </si>
  <si>
    <t>103/302</t>
  </si>
  <si>
    <t>60/183</t>
  </si>
  <si>
    <t>31/637</t>
  </si>
  <si>
    <t>2/662</t>
  </si>
  <si>
    <t>1/649</t>
  </si>
  <si>
    <t>2/583</t>
  </si>
  <si>
    <t>61/409</t>
  </si>
  <si>
    <t>15/318</t>
  </si>
  <si>
    <t>39/73</t>
  </si>
  <si>
    <t>21/94</t>
  </si>
  <si>
    <t>36/97</t>
  </si>
  <si>
    <t>98/576</t>
  </si>
  <si>
    <t>513/604</t>
  </si>
  <si>
    <t>24/592</t>
  </si>
  <si>
    <t>217/498</t>
  </si>
  <si>
    <t>221/302</t>
  </si>
  <si>
    <t>108/183</t>
  </si>
  <si>
    <t>192/2490</t>
  </si>
  <si>
    <t>61/2614</t>
  </si>
  <si>
    <t>274/2574</t>
  </si>
  <si>
    <t>424/2299</t>
  </si>
  <si>
    <t>168/1650</t>
  </si>
  <si>
    <t>77/1182</t>
  </si>
  <si>
    <t>58/2490</t>
  </si>
  <si>
    <t>2216/2614</t>
  </si>
  <si>
    <t>83/2574</t>
  </si>
  <si>
    <t>63/2299</t>
  </si>
  <si>
    <t>310/1650</t>
  </si>
  <si>
    <t>104/1182</t>
  </si>
  <si>
    <t>60/2490</t>
  </si>
  <si>
    <t>893/2614</t>
  </si>
  <si>
    <t>221/2574</t>
  </si>
  <si>
    <t>103/2299</t>
  </si>
  <si>
    <t>156/1650</t>
  </si>
  <si>
    <t>78/1182</t>
  </si>
  <si>
    <t>1905/2490</t>
  </si>
  <si>
    <t>376/2614</t>
  </si>
  <si>
    <t>965/2574</t>
  </si>
  <si>
    <t>1801/2299</t>
  </si>
  <si>
    <t>1263/1650</t>
  </si>
  <si>
    <t>945/1182</t>
  </si>
  <si>
    <t>First Eagle Amundi Income Builder A2HSMD</t>
  </si>
  <si>
    <t>1844/4580</t>
  </si>
  <si>
    <t>3179/4723</t>
  </si>
  <si>
    <t>4127/4658</t>
  </si>
  <si>
    <t>LU1412470343</t>
  </si>
  <si>
    <t>First Eagle Amundi Income Builder A2S-C</t>
  </si>
  <si>
    <t>369/815</t>
  </si>
  <si>
    <t>552/866</t>
  </si>
  <si>
    <t>372/838</t>
  </si>
  <si>
    <t>LU1412470699</t>
  </si>
  <si>
    <t>First Eagle Amundi Income Builder A2S-MD</t>
  </si>
  <si>
    <t>370/815</t>
  </si>
  <si>
    <t>550/866</t>
  </si>
  <si>
    <t>LU1412471077</t>
  </si>
  <si>
    <t>368/815</t>
  </si>
  <si>
    <t>559/866</t>
  </si>
  <si>
    <t>371/838</t>
  </si>
  <si>
    <t>393/761</t>
  </si>
  <si>
    <t>430/815</t>
  </si>
  <si>
    <t>508/866</t>
  </si>
  <si>
    <t>425/838</t>
  </si>
  <si>
    <t>432/761</t>
  </si>
  <si>
    <t>169/2017</t>
  </si>
  <si>
    <t>347/2107</t>
  </si>
  <si>
    <t>195/2076</t>
  </si>
  <si>
    <t>864/1882</t>
  </si>
  <si>
    <t>174/2017</t>
  </si>
  <si>
    <t>344/2107</t>
  </si>
  <si>
    <t>202/2076</t>
  </si>
  <si>
    <t>851/1882</t>
  </si>
  <si>
    <t>2120/4580</t>
  </si>
  <si>
    <t>2877/4723</t>
  </si>
  <si>
    <t>2968/4658</t>
  </si>
  <si>
    <t>3776/4427</t>
  </si>
  <si>
    <t>235/4580</t>
  </si>
  <si>
    <t>236/4723</t>
  </si>
  <si>
    <t>19/4658</t>
  </si>
  <si>
    <t>1306/4427</t>
  </si>
  <si>
    <t>2162/4580</t>
  </si>
  <si>
    <t>3806/4723</t>
  </si>
  <si>
    <t>4257/4658</t>
  </si>
  <si>
    <t>3414/4427</t>
  </si>
  <si>
    <t>341/815</t>
  </si>
  <si>
    <t>467/866</t>
  </si>
  <si>
    <t>356/838</t>
  </si>
  <si>
    <t>447/761</t>
  </si>
  <si>
    <t>343/815</t>
  </si>
  <si>
    <t>470/866</t>
  </si>
  <si>
    <t>354/838</t>
  </si>
  <si>
    <t>467/761</t>
  </si>
  <si>
    <t>427/815</t>
  </si>
  <si>
    <t>509/866</t>
  </si>
  <si>
    <t>427/838</t>
  </si>
  <si>
    <t>421/761</t>
  </si>
  <si>
    <t>417/815</t>
  </si>
  <si>
    <t>514/866</t>
  </si>
  <si>
    <t>428/838</t>
  </si>
  <si>
    <t>405/761</t>
  </si>
  <si>
    <t>419/815</t>
  </si>
  <si>
    <t>720/866</t>
  </si>
  <si>
    <t>477/838</t>
  </si>
  <si>
    <t>407/761</t>
  </si>
  <si>
    <t>570/866</t>
  </si>
  <si>
    <t>513/838</t>
  </si>
  <si>
    <t>250/2017</t>
  </si>
  <si>
    <t>394/2107</t>
  </si>
  <si>
    <t>263/2076</t>
  </si>
  <si>
    <t>1167/1882</t>
  </si>
  <si>
    <t>220/2017</t>
  </si>
  <si>
    <t>504/2107</t>
  </si>
  <si>
    <t>220/2076</t>
  </si>
  <si>
    <t>1066/1882</t>
  </si>
  <si>
    <t>520/815</t>
  </si>
  <si>
    <t>569/866</t>
  </si>
  <si>
    <t>515/838</t>
  </si>
  <si>
    <t>536/761</t>
  </si>
  <si>
    <t>536/815</t>
  </si>
  <si>
    <t>575/866</t>
  </si>
  <si>
    <t>525/838</t>
  </si>
  <si>
    <t>574/866</t>
  </si>
  <si>
    <t>522/838</t>
  </si>
  <si>
    <t>143/2017</t>
  </si>
  <si>
    <t>283/2107</t>
  </si>
  <si>
    <t>152/2076</t>
  </si>
  <si>
    <t>762/1882</t>
  </si>
  <si>
    <t>131/2017</t>
  </si>
  <si>
    <t>276/2107</t>
  </si>
  <si>
    <t>151/2076</t>
  </si>
  <si>
    <t>648/1882</t>
  </si>
  <si>
    <t>352/815</t>
  </si>
  <si>
    <t>480/866</t>
  </si>
  <si>
    <t>356/761</t>
  </si>
  <si>
    <t>365/815</t>
  </si>
  <si>
    <t>482/866</t>
  </si>
  <si>
    <t>369/838</t>
  </si>
  <si>
    <t>366/761</t>
  </si>
  <si>
    <t>256/304</t>
  </si>
  <si>
    <t>200/323</t>
  </si>
  <si>
    <t>208/282</t>
  </si>
  <si>
    <t>110/174</t>
  </si>
  <si>
    <t>78/116</t>
  </si>
  <si>
    <t>258/304</t>
  </si>
  <si>
    <t>199/323</t>
  </si>
  <si>
    <t>266/318</t>
  </si>
  <si>
    <t>114/174</t>
  </si>
  <si>
    <t>77/116</t>
  </si>
  <si>
    <t>82/132</t>
  </si>
  <si>
    <t>20/135</t>
  </si>
  <si>
    <t>87/132</t>
  </si>
  <si>
    <t>94/114</t>
  </si>
  <si>
    <t>61/79</t>
  </si>
  <si>
    <t>34/60</t>
  </si>
  <si>
    <t>321/994</t>
  </si>
  <si>
    <t>130/1027</t>
  </si>
  <si>
    <t>276/1016</t>
  </si>
  <si>
    <t>803/929</t>
  </si>
  <si>
    <t>681/731</t>
  </si>
  <si>
    <t>501/599</t>
  </si>
  <si>
    <t>332/994</t>
  </si>
  <si>
    <t>138/1027</t>
  </si>
  <si>
    <t>278/1016</t>
  </si>
  <si>
    <t>807/929</t>
  </si>
  <si>
    <t>678/731</t>
  </si>
  <si>
    <t>497/599</t>
  </si>
  <si>
    <t>2223/4580</t>
  </si>
  <si>
    <t>3053/4723</t>
  </si>
  <si>
    <t>3706/4658</t>
  </si>
  <si>
    <t>3671/4427</t>
  </si>
  <si>
    <t>3153/3396</t>
  </si>
  <si>
    <t>1555/2721</t>
  </si>
  <si>
    <t>2362/4580</t>
  </si>
  <si>
    <t>2909/4723</t>
  </si>
  <si>
    <t>3674/4658</t>
  </si>
  <si>
    <t>3762/4427</t>
  </si>
  <si>
    <t>3194/3396</t>
  </si>
  <si>
    <t>1588/2721</t>
  </si>
  <si>
    <t>284/4580</t>
  </si>
  <si>
    <t>261/4723</t>
  </si>
  <si>
    <t>46/4658</t>
  </si>
  <si>
    <t>1295/4427</t>
  </si>
  <si>
    <t>2180/4580</t>
  </si>
  <si>
    <t>3150/4723</t>
  </si>
  <si>
    <t>4393/4658</t>
  </si>
  <si>
    <t>3353/4427</t>
  </si>
  <si>
    <t>417/3396</t>
  </si>
  <si>
    <t>2172/4580</t>
  </si>
  <si>
    <t>3263/4723</t>
  </si>
  <si>
    <t>4389/4658</t>
  </si>
  <si>
    <t>3343/4427</t>
  </si>
  <si>
    <t>396/3396</t>
  </si>
  <si>
    <t>246/304</t>
  </si>
  <si>
    <t>193/323</t>
  </si>
  <si>
    <t>202/282</t>
  </si>
  <si>
    <t>102/174</t>
  </si>
  <si>
    <t>72/116</t>
  </si>
  <si>
    <t>245/304</t>
  </si>
  <si>
    <t>211/323</t>
  </si>
  <si>
    <t>265/318</t>
  </si>
  <si>
    <t>201/282</t>
  </si>
  <si>
    <t>106/174</t>
  </si>
  <si>
    <t>68/116</t>
  </si>
  <si>
    <t>19/52</t>
  </si>
  <si>
    <t>247/304</t>
  </si>
  <si>
    <t>194/323</t>
  </si>
  <si>
    <t>269/318</t>
  </si>
  <si>
    <t>103/174</t>
  </si>
  <si>
    <t>279/304</t>
  </si>
  <si>
    <t>222/323</t>
  </si>
  <si>
    <t>279/318</t>
  </si>
  <si>
    <t>269/304</t>
  </si>
  <si>
    <t>230/323</t>
  </si>
  <si>
    <t>281/318</t>
  </si>
  <si>
    <t>219/282</t>
  </si>
  <si>
    <t>272/304</t>
  </si>
  <si>
    <t>226/323</t>
  </si>
  <si>
    <t>280/318</t>
  </si>
  <si>
    <t>220/282</t>
  </si>
  <si>
    <t>132/174</t>
  </si>
  <si>
    <t>94/116</t>
  </si>
  <si>
    <t>408/994</t>
  </si>
  <si>
    <t>158/1027</t>
  </si>
  <si>
    <t>323/1016</t>
  </si>
  <si>
    <t>841/929</t>
  </si>
  <si>
    <t>705/731</t>
  </si>
  <si>
    <t>536/599</t>
  </si>
  <si>
    <t>270/304</t>
  </si>
  <si>
    <t>233/323</t>
  </si>
  <si>
    <t>277/318</t>
  </si>
  <si>
    <t>133/174</t>
  </si>
  <si>
    <t>89/116</t>
  </si>
  <si>
    <t>30/52</t>
  </si>
  <si>
    <t>266/304</t>
  </si>
  <si>
    <t>229/323</t>
  </si>
  <si>
    <t>278/318</t>
  </si>
  <si>
    <t>217/282</t>
  </si>
  <si>
    <t>240/304</t>
  </si>
  <si>
    <t>181/323</t>
  </si>
  <si>
    <t>257/318</t>
  </si>
  <si>
    <t>189/282</t>
  </si>
  <si>
    <t>60/174</t>
  </si>
  <si>
    <t>54/116</t>
  </si>
  <si>
    <t>63/132</t>
  </si>
  <si>
    <t>16/135</t>
  </si>
  <si>
    <t>85/114</t>
  </si>
  <si>
    <t>263/994</t>
  </si>
  <si>
    <t>89/1027</t>
  </si>
  <si>
    <t>221/1016</t>
  </si>
  <si>
    <t>770/929</t>
  </si>
  <si>
    <t>634/731</t>
  </si>
  <si>
    <t>442/599</t>
  </si>
  <si>
    <t>1807/4580</t>
  </si>
  <si>
    <t>2842/4723</t>
  </si>
  <si>
    <t>3522/4658</t>
  </si>
  <si>
    <t>3327/4427</t>
  </si>
  <si>
    <t>2912/3396</t>
  </si>
  <si>
    <t>233/304</t>
  </si>
  <si>
    <t>182/323</t>
  </si>
  <si>
    <t>256/318</t>
  </si>
  <si>
    <t>41/116</t>
  </si>
  <si>
    <t>243/304</t>
  </si>
  <si>
    <t>187/323</t>
  </si>
  <si>
    <t>191/282</t>
  </si>
  <si>
    <t>71/174</t>
  </si>
  <si>
    <t>59/116</t>
  </si>
  <si>
    <t>70/132</t>
  </si>
  <si>
    <t>79/132</t>
  </si>
  <si>
    <t>268/994</t>
  </si>
  <si>
    <t>93/1027</t>
  </si>
  <si>
    <t>233/1016</t>
  </si>
  <si>
    <t>790/929</t>
  </si>
  <si>
    <t>656/731</t>
  </si>
  <si>
    <t>452/599</t>
  </si>
  <si>
    <t>271/994</t>
  </si>
  <si>
    <t>111/1027</t>
  </si>
  <si>
    <t>247/1016</t>
  </si>
  <si>
    <t>646/731</t>
  </si>
  <si>
    <t>241/304</t>
  </si>
  <si>
    <t>188/323</t>
  </si>
  <si>
    <t>259/318</t>
  </si>
  <si>
    <t>197/282</t>
  </si>
  <si>
    <t>51/116</t>
  </si>
  <si>
    <t>6/52</t>
  </si>
  <si>
    <t>242/304</t>
  </si>
  <si>
    <t>189/323</t>
  </si>
  <si>
    <t>79/174</t>
  </si>
  <si>
    <t>52/116</t>
  </si>
  <si>
    <t>7/52</t>
  </si>
  <si>
    <t>1987/4580</t>
  </si>
  <si>
    <t>2944/4723</t>
  </si>
  <si>
    <t>3611/4658</t>
  </si>
  <si>
    <t>3508/4427</t>
  </si>
  <si>
    <t>3078/3396</t>
  </si>
  <si>
    <t>235/304</t>
  </si>
  <si>
    <t>202/323</t>
  </si>
  <si>
    <t>261/318</t>
  </si>
  <si>
    <t>184/282</t>
  </si>
  <si>
    <t>72/174</t>
  </si>
  <si>
    <t>38/116</t>
  </si>
  <si>
    <t>569/829</t>
  </si>
  <si>
    <t>189/848</t>
  </si>
  <si>
    <t>396/843</t>
  </si>
  <si>
    <t>571/767</t>
  </si>
  <si>
    <t>467/593</t>
  </si>
  <si>
    <t>567/829</t>
  </si>
  <si>
    <t>186/848</t>
  </si>
  <si>
    <t>403/843</t>
  </si>
  <si>
    <t>Fonds AV Echus FIA - B C</t>
  </si>
  <si>
    <t>FR0013217643</t>
  </si>
  <si>
    <t>557/829</t>
  </si>
  <si>
    <t>185/848</t>
  </si>
  <si>
    <t>380/843</t>
  </si>
  <si>
    <t>561/829</t>
  </si>
  <si>
    <t>191/848</t>
  </si>
  <si>
    <t>392/843</t>
  </si>
  <si>
    <t>566/767</t>
  </si>
  <si>
    <t>56/740</t>
  </si>
  <si>
    <t>80/754</t>
  </si>
  <si>
    <t>456/750</t>
  </si>
  <si>
    <t>48/722</t>
  </si>
  <si>
    <t>34/641</t>
  </si>
  <si>
    <t>1/557</t>
  </si>
  <si>
    <t>2/414</t>
  </si>
  <si>
    <t>286/576</t>
  </si>
  <si>
    <t>212/586</t>
  </si>
  <si>
    <t>406/583</t>
  </si>
  <si>
    <t>284/553</t>
  </si>
  <si>
    <t>307/478</t>
  </si>
  <si>
    <t>349/397</t>
  </si>
  <si>
    <t>278/314</t>
  </si>
  <si>
    <t>561/4580</t>
  </si>
  <si>
    <t>3793/4723</t>
  </si>
  <si>
    <t>486/4658</t>
  </si>
  <si>
    <t>1064/4427</t>
  </si>
  <si>
    <t>1153/3396</t>
  </si>
  <si>
    <t>732/2721</t>
  </si>
  <si>
    <t>1231/2374</t>
  </si>
  <si>
    <t>322/1356</t>
  </si>
  <si>
    <t>106/1397</t>
  </si>
  <si>
    <t>65/1383</t>
  </si>
  <si>
    <t>411/1313</t>
  </si>
  <si>
    <t>314/1170</t>
  </si>
  <si>
    <t>74/1007</t>
  </si>
  <si>
    <t>397/1356</t>
  </si>
  <si>
    <t>124/1397</t>
  </si>
  <si>
    <t>88/1383</t>
  </si>
  <si>
    <t>525/1313</t>
  </si>
  <si>
    <t>517/1170</t>
  </si>
  <si>
    <t>128/1007</t>
  </si>
  <si>
    <t>302/823</t>
  </si>
  <si>
    <t>399/1356</t>
  </si>
  <si>
    <t>127/1397</t>
  </si>
  <si>
    <t>89/1383</t>
  </si>
  <si>
    <t>527/1313</t>
  </si>
  <si>
    <t>518/1170</t>
  </si>
  <si>
    <t>130/1007</t>
  </si>
  <si>
    <t>303/823</t>
  </si>
  <si>
    <t>Grupo Inversiones Gestión 10 SICAV</t>
  </si>
  <si>
    <t>ES0181241037</t>
  </si>
  <si>
    <t>217/663</t>
  </si>
  <si>
    <t>528/686</t>
  </si>
  <si>
    <t>612/679</t>
  </si>
  <si>
    <t>151/621</t>
  </si>
  <si>
    <t>384/489</t>
  </si>
  <si>
    <t>218/320</t>
  </si>
  <si>
    <t>437/905</t>
  </si>
  <si>
    <t>445/936</t>
  </si>
  <si>
    <t>294/926</t>
  </si>
  <si>
    <t>558/1720</t>
  </si>
  <si>
    <t>631/1802</t>
  </si>
  <si>
    <t>471/1779</t>
  </si>
  <si>
    <t>526/1599</t>
  </si>
  <si>
    <t>281/1164</t>
  </si>
  <si>
    <t>222/875</t>
  </si>
  <si>
    <t>345/632</t>
  </si>
  <si>
    <t>127/316</t>
  </si>
  <si>
    <t>49/309</t>
  </si>
  <si>
    <t>43/288</t>
  </si>
  <si>
    <t>27/270</t>
  </si>
  <si>
    <t>47/238</t>
  </si>
  <si>
    <t>572/2017</t>
  </si>
  <si>
    <t>1681/2107</t>
  </si>
  <si>
    <t>803/2076</t>
  </si>
  <si>
    <t>353/1882</t>
  </si>
  <si>
    <t>167/1395</t>
  </si>
  <si>
    <t>64/1076</t>
  </si>
  <si>
    <t>206/780</t>
  </si>
  <si>
    <t>77/663</t>
  </si>
  <si>
    <t>586/686</t>
  </si>
  <si>
    <t>408/679</t>
  </si>
  <si>
    <t>52/621</t>
  </si>
  <si>
    <t>320/489</t>
  </si>
  <si>
    <t>33/407</t>
  </si>
  <si>
    <t>84/320</t>
  </si>
  <si>
    <t>160/591</t>
  </si>
  <si>
    <t>387/616</t>
  </si>
  <si>
    <t>195/600</t>
  </si>
  <si>
    <t>205/574</t>
  </si>
  <si>
    <t>203/489</t>
  </si>
  <si>
    <t>181/591</t>
  </si>
  <si>
    <t>414/616</t>
  </si>
  <si>
    <t>214/600</t>
  </si>
  <si>
    <t>240/574</t>
  </si>
  <si>
    <t>249/489</t>
  </si>
  <si>
    <t>190/423</t>
  </si>
  <si>
    <t>77/353</t>
  </si>
  <si>
    <t>1384/4580</t>
  </si>
  <si>
    <t>3243/4723</t>
  </si>
  <si>
    <t>2398/4658</t>
  </si>
  <si>
    <t>2496/4427</t>
  </si>
  <si>
    <t>1/84</t>
  </si>
  <si>
    <t>59/79</t>
  </si>
  <si>
    <t>57/66</t>
  </si>
  <si>
    <t>1530/3842</t>
  </si>
  <si>
    <t>745/4082</t>
  </si>
  <si>
    <t>57/3983</t>
  </si>
  <si>
    <t>1740/3544</t>
  </si>
  <si>
    <t>1257/2338</t>
  </si>
  <si>
    <t>234/829</t>
  </si>
  <si>
    <t>51/848</t>
  </si>
  <si>
    <t>59/843</t>
  </si>
  <si>
    <t>376/767</t>
  </si>
  <si>
    <t>385/593</t>
  </si>
  <si>
    <t>282/829</t>
  </si>
  <si>
    <t>65/848</t>
  </si>
  <si>
    <t>62/843</t>
  </si>
  <si>
    <t>359/767</t>
  </si>
  <si>
    <t>301/593</t>
  </si>
  <si>
    <t>28/50</t>
  </si>
  <si>
    <t>19/19</t>
  </si>
  <si>
    <t>5/6</t>
  </si>
  <si>
    <t>377/407</t>
  </si>
  <si>
    <t>372/415</t>
  </si>
  <si>
    <t>389/411</t>
  </si>
  <si>
    <t>364/396</t>
  </si>
  <si>
    <t>349/362</t>
  </si>
  <si>
    <t>320/333</t>
  </si>
  <si>
    <t>254/265</t>
  </si>
  <si>
    <t>378/407</t>
  </si>
  <si>
    <t>373/415</t>
  </si>
  <si>
    <t>365/396</t>
  </si>
  <si>
    <t>350/362</t>
  </si>
  <si>
    <t>319/333</t>
  </si>
  <si>
    <t>253/265</t>
  </si>
  <si>
    <t>1193/1720</t>
  </si>
  <si>
    <t>269/1802</t>
  </si>
  <si>
    <t>620/1779</t>
  </si>
  <si>
    <t>1420/1599</t>
  </si>
  <si>
    <t>1013/1164</t>
  </si>
  <si>
    <t>792/875</t>
  </si>
  <si>
    <t>551/632</t>
  </si>
  <si>
    <t>963/1145</t>
  </si>
  <si>
    <t>1019/1161</t>
  </si>
  <si>
    <t>682/1114</t>
  </si>
  <si>
    <t>817/929</t>
  </si>
  <si>
    <t>608/795</t>
  </si>
  <si>
    <t>522/648</t>
  </si>
  <si>
    <t>61/157</t>
  </si>
  <si>
    <t>142/165</t>
  </si>
  <si>
    <t>54/155</t>
  </si>
  <si>
    <t>41/77</t>
  </si>
  <si>
    <t>508/882</t>
  </si>
  <si>
    <t>228/948</t>
  </si>
  <si>
    <t>452/921</t>
  </si>
  <si>
    <t>616/843</t>
  </si>
  <si>
    <t>434/692</t>
  </si>
  <si>
    <t>405/577</t>
  </si>
  <si>
    <t>257/454</t>
  </si>
  <si>
    <t>978/1686</t>
  </si>
  <si>
    <t>1286/1752</t>
  </si>
  <si>
    <t>1163/1730</t>
  </si>
  <si>
    <t>1062/1565</t>
  </si>
  <si>
    <t>450/1201</t>
  </si>
  <si>
    <t>460/932</t>
  </si>
  <si>
    <t>238/726</t>
  </si>
  <si>
    <t>408/882</t>
  </si>
  <si>
    <t>538/948</t>
  </si>
  <si>
    <t>673/921</t>
  </si>
  <si>
    <t>303/843</t>
  </si>
  <si>
    <t>171/692</t>
  </si>
  <si>
    <t>162/577</t>
  </si>
  <si>
    <t>141/454</t>
  </si>
  <si>
    <t>2605/4580</t>
  </si>
  <si>
    <t>2890/4723</t>
  </si>
  <si>
    <t>2254/4658</t>
  </si>
  <si>
    <t>3503/4427</t>
  </si>
  <si>
    <t>3070/3396</t>
  </si>
  <si>
    <t>2135/2721</t>
  </si>
  <si>
    <t>1827/2374</t>
  </si>
  <si>
    <t>4282/4580</t>
  </si>
  <si>
    <t>4439/4723</t>
  </si>
  <si>
    <t>4346/4658</t>
  </si>
  <si>
    <t>3970/4427</t>
  </si>
  <si>
    <t>2737/3396</t>
  </si>
  <si>
    <t>2516/2721</t>
  </si>
  <si>
    <t>2104/2374</t>
  </si>
  <si>
    <t>894/4580</t>
  </si>
  <si>
    <t>3460/4723</t>
  </si>
  <si>
    <t>2172/4658</t>
  </si>
  <si>
    <t>1460/4427</t>
  </si>
  <si>
    <t>3062/3396</t>
  </si>
  <si>
    <t>1975/2721</t>
  </si>
  <si>
    <t>1119/2374</t>
  </si>
  <si>
    <t>1109/4580</t>
  </si>
  <si>
    <t>3167/4723</t>
  </si>
  <si>
    <t>1442/4658</t>
  </si>
  <si>
    <t>1101/4427</t>
  </si>
  <si>
    <t>2906/4580</t>
  </si>
  <si>
    <t>3761/4723</t>
  </si>
  <si>
    <t>3438/4658</t>
  </si>
  <si>
    <t>991/4427</t>
  </si>
  <si>
    <t>2183/3396</t>
  </si>
  <si>
    <t>1028/2721</t>
  </si>
  <si>
    <t>1184/2374</t>
  </si>
  <si>
    <t>515/2490</t>
  </si>
  <si>
    <t>978/2614</t>
  </si>
  <si>
    <t>671/2574</t>
  </si>
  <si>
    <t>596/2299</t>
  </si>
  <si>
    <t>648/1650</t>
  </si>
  <si>
    <t>208/1182</t>
  </si>
  <si>
    <t>244/767</t>
  </si>
  <si>
    <t>604/1004</t>
  </si>
  <si>
    <t>84/1036</t>
  </si>
  <si>
    <t>691/1018</t>
  </si>
  <si>
    <t>644/1004</t>
  </si>
  <si>
    <t>90/1036</t>
  </si>
  <si>
    <t>712/1018</t>
  </si>
  <si>
    <t>199/350</t>
  </si>
  <si>
    <t>319/364</t>
  </si>
  <si>
    <t>333/362</t>
  </si>
  <si>
    <t>280/339</t>
  </si>
  <si>
    <t>1174/4345</t>
  </si>
  <si>
    <t>1578/4572</t>
  </si>
  <si>
    <t>1156/4495</t>
  </si>
  <si>
    <t>292/4016</t>
  </si>
  <si>
    <t>1808/2981</t>
  </si>
  <si>
    <t>267/2184</t>
  </si>
  <si>
    <t>415/576</t>
  </si>
  <si>
    <t>235/597</t>
  </si>
  <si>
    <t>300/554</t>
  </si>
  <si>
    <t>76/109</t>
  </si>
  <si>
    <t>7/109</t>
  </si>
  <si>
    <t>20/104</t>
  </si>
  <si>
    <t>85/96</t>
  </si>
  <si>
    <t>42/70</t>
  </si>
  <si>
    <t>17/109</t>
  </si>
  <si>
    <t>96/96</t>
  </si>
  <si>
    <t>88/89</t>
  </si>
  <si>
    <t>10/109</t>
  </si>
  <si>
    <t>93/109</t>
  </si>
  <si>
    <t>28/104</t>
  </si>
  <si>
    <t>91/96</t>
  </si>
  <si>
    <t>78/89</t>
  </si>
  <si>
    <t>18/109</t>
  </si>
  <si>
    <t>99/109</t>
  </si>
  <si>
    <t>58/70</t>
  </si>
  <si>
    <t>86/109</t>
  </si>
  <si>
    <t>16/109</t>
  </si>
  <si>
    <t>97/109</t>
  </si>
  <si>
    <t>44/104</t>
  </si>
  <si>
    <t>87/89</t>
  </si>
  <si>
    <t>819/1004</t>
  </si>
  <si>
    <t>7/1036</t>
  </si>
  <si>
    <t>868/1018</t>
  </si>
  <si>
    <t>218/952</t>
  </si>
  <si>
    <t>702/1004</t>
  </si>
  <si>
    <t>57/1036</t>
  </si>
  <si>
    <t>775/1018</t>
  </si>
  <si>
    <t>180/952</t>
  </si>
  <si>
    <t>185/701</t>
  </si>
  <si>
    <t>11/440</t>
  </si>
  <si>
    <t>5/209</t>
  </si>
  <si>
    <t>718/1004</t>
  </si>
  <si>
    <t>64/1036</t>
  </si>
  <si>
    <t>812/1018</t>
  </si>
  <si>
    <t>203/952</t>
  </si>
  <si>
    <t>228/701</t>
  </si>
  <si>
    <t>729/1004</t>
  </si>
  <si>
    <t>65/1036</t>
  </si>
  <si>
    <t>820/1018</t>
  </si>
  <si>
    <t>243/701</t>
  </si>
  <si>
    <t>23/440</t>
  </si>
  <si>
    <t>734/1004</t>
  </si>
  <si>
    <t>68/1036</t>
  </si>
  <si>
    <t>824/1018</t>
  </si>
  <si>
    <t>212/952</t>
  </si>
  <si>
    <t>266/701</t>
  </si>
  <si>
    <t>735/1004</t>
  </si>
  <si>
    <t>67/1036</t>
  </si>
  <si>
    <t>825/1018</t>
  </si>
  <si>
    <t>213/952</t>
  </si>
  <si>
    <t>267/701</t>
  </si>
  <si>
    <t>796/1004</t>
  </si>
  <si>
    <t>85/1036</t>
  </si>
  <si>
    <t>888/1018</t>
  </si>
  <si>
    <t>174/952</t>
  </si>
  <si>
    <t>244/701</t>
  </si>
  <si>
    <t>22/440</t>
  </si>
  <si>
    <t>794/1004</t>
  </si>
  <si>
    <t>82/1036</t>
  </si>
  <si>
    <t>885/1018</t>
  </si>
  <si>
    <t>172/952</t>
  </si>
  <si>
    <t>242/701</t>
  </si>
  <si>
    <t>20/440</t>
  </si>
  <si>
    <t>760/1004</t>
  </si>
  <si>
    <t>81/1036</t>
  </si>
  <si>
    <t>842/1018</t>
  </si>
  <si>
    <t>150/952</t>
  </si>
  <si>
    <t>184/701</t>
  </si>
  <si>
    <t>9/440</t>
  </si>
  <si>
    <t>6/209</t>
  </si>
  <si>
    <t>752/1004</t>
  </si>
  <si>
    <t>22/1036</t>
  </si>
  <si>
    <t>782/1018</t>
  </si>
  <si>
    <t>228/952</t>
  </si>
  <si>
    <t>245/701</t>
  </si>
  <si>
    <t>2073/2377</t>
  </si>
  <si>
    <t>2278/2457</t>
  </si>
  <si>
    <t>2196/2422</t>
  </si>
  <si>
    <t>1567/2253</t>
  </si>
  <si>
    <t>2186/2377</t>
  </si>
  <si>
    <t>2028/2457</t>
  </si>
  <si>
    <t>2211/2422</t>
  </si>
  <si>
    <t>1587/2253</t>
  </si>
  <si>
    <t>2022/2377</t>
  </si>
  <si>
    <t>2265/2457</t>
  </si>
  <si>
    <t>2170/2422</t>
  </si>
  <si>
    <t>1468/2253</t>
  </si>
  <si>
    <t>1121/1747</t>
  </si>
  <si>
    <t>665/1242</t>
  </si>
  <si>
    <t>2057/2377</t>
  </si>
  <si>
    <t>2270/2457</t>
  </si>
  <si>
    <t>2182/2422</t>
  </si>
  <si>
    <t>1527/2253</t>
  </si>
  <si>
    <t>1228/1747</t>
  </si>
  <si>
    <t>2074/2377</t>
  </si>
  <si>
    <t>2277/2457</t>
  </si>
  <si>
    <t>2193/2422</t>
  </si>
  <si>
    <t>1565/2253</t>
  </si>
  <si>
    <t>1281/1747</t>
  </si>
  <si>
    <t>847/1242</t>
  </si>
  <si>
    <t>2150/2377</t>
  </si>
  <si>
    <t>2327/2457</t>
  </si>
  <si>
    <t>2226/2422</t>
  </si>
  <si>
    <t>1465/2253</t>
  </si>
  <si>
    <t>1278/1747</t>
  </si>
  <si>
    <t>2109/2377</t>
  </si>
  <si>
    <t>2309/2457</t>
  </si>
  <si>
    <t>2206/2422</t>
  </si>
  <si>
    <t>1408/2253</t>
  </si>
  <si>
    <t>1120/1747</t>
  </si>
  <si>
    <t>625/1242</t>
  </si>
  <si>
    <t>2110/2377</t>
  </si>
  <si>
    <t>2190/2457</t>
  </si>
  <si>
    <t>2178/2422</t>
  </si>
  <si>
    <t>1641/2253</t>
  </si>
  <si>
    <t>1288/1747</t>
  </si>
  <si>
    <t>2093/2377</t>
  </si>
  <si>
    <t>2179/2457</t>
  </si>
  <si>
    <t>2173/2422</t>
  </si>
  <si>
    <t>1619/2253</t>
  </si>
  <si>
    <t>1257/1747</t>
  </si>
  <si>
    <t>2049/2377</t>
  </si>
  <si>
    <t>2165/2457</t>
  </si>
  <si>
    <t>2142/2422</t>
  </si>
  <si>
    <t>1517/2253</t>
  </si>
  <si>
    <t>1103/1747</t>
  </si>
  <si>
    <t>599/1242</t>
  </si>
  <si>
    <t>2094/2377</t>
  </si>
  <si>
    <t>2186/2457</t>
  </si>
  <si>
    <t>2174/2422</t>
  </si>
  <si>
    <t>1620/2253</t>
  </si>
  <si>
    <t>26/106</t>
  </si>
  <si>
    <t>64/103</t>
  </si>
  <si>
    <t>45/69</t>
  </si>
  <si>
    <t>30/105</t>
  </si>
  <si>
    <t>27/106</t>
  </si>
  <si>
    <t>33/106</t>
  </si>
  <si>
    <t>68/103</t>
  </si>
  <si>
    <t>35/106</t>
  </si>
  <si>
    <t>64/96</t>
  </si>
  <si>
    <t>39/106</t>
  </si>
  <si>
    <t>74/96</t>
  </si>
  <si>
    <t>36/105</t>
  </si>
  <si>
    <t>65/103</t>
  </si>
  <si>
    <t>35/87</t>
  </si>
  <si>
    <t>43/106</t>
  </si>
  <si>
    <t>73/96</t>
  </si>
  <si>
    <t>145/1145</t>
  </si>
  <si>
    <t>127/1161</t>
  </si>
  <si>
    <t>202/1155</t>
  </si>
  <si>
    <t>77/1114</t>
  </si>
  <si>
    <t>86/929</t>
  </si>
  <si>
    <t>25/795</t>
  </si>
  <si>
    <t>165/1145</t>
  </si>
  <si>
    <t>140/1161</t>
  </si>
  <si>
    <t>217/1155</t>
  </si>
  <si>
    <t>84/1114</t>
  </si>
  <si>
    <t>113/929</t>
  </si>
  <si>
    <t>36/795</t>
  </si>
  <si>
    <t>172/1145</t>
  </si>
  <si>
    <t>144/1161</t>
  </si>
  <si>
    <t>221/1155</t>
  </si>
  <si>
    <t>91/1114</t>
  </si>
  <si>
    <t>122/929</t>
  </si>
  <si>
    <t>45/795</t>
  </si>
  <si>
    <t>193/1145</t>
  </si>
  <si>
    <t>160/1161</t>
  </si>
  <si>
    <t>245/1155</t>
  </si>
  <si>
    <t>107/1114</t>
  </si>
  <si>
    <t>175/929</t>
  </si>
  <si>
    <t>71/795</t>
  </si>
  <si>
    <t>189/223</t>
  </si>
  <si>
    <t>60/231</t>
  </si>
  <si>
    <t>174/227</t>
  </si>
  <si>
    <t>184/194</t>
  </si>
  <si>
    <t>160/173</t>
  </si>
  <si>
    <t>197/223</t>
  </si>
  <si>
    <t>65/231</t>
  </si>
  <si>
    <t>184/227</t>
  </si>
  <si>
    <t>152/216</t>
  </si>
  <si>
    <t>186/194</t>
  </si>
  <si>
    <t>169/173</t>
  </si>
  <si>
    <t>26/65</t>
  </si>
  <si>
    <t>272/480</t>
  </si>
  <si>
    <t>66/507</t>
  </si>
  <si>
    <t>301/500</t>
  </si>
  <si>
    <t>321/458</t>
  </si>
  <si>
    <t>185/374</t>
  </si>
  <si>
    <t>273/480</t>
  </si>
  <si>
    <t>69/507</t>
  </si>
  <si>
    <t>303/500</t>
  </si>
  <si>
    <t>322/458</t>
  </si>
  <si>
    <t>184/374</t>
  </si>
  <si>
    <t>274/480</t>
  </si>
  <si>
    <t>67/507</t>
  </si>
  <si>
    <t>302/500</t>
  </si>
  <si>
    <t>323/458</t>
  </si>
  <si>
    <t>186/374</t>
  </si>
  <si>
    <t>270/480</t>
  </si>
  <si>
    <t>68/507</t>
  </si>
  <si>
    <t>299/500</t>
  </si>
  <si>
    <t>320/458</t>
  </si>
  <si>
    <t>183/374</t>
  </si>
  <si>
    <t>275/480</t>
  </si>
  <si>
    <t>70/507</t>
  </si>
  <si>
    <t>305/500</t>
  </si>
  <si>
    <t>324/458</t>
  </si>
  <si>
    <t>187/374</t>
  </si>
  <si>
    <t>21/92</t>
  </si>
  <si>
    <t>41/93</t>
  </si>
  <si>
    <t>1/90</t>
  </si>
  <si>
    <t>15/56</t>
  </si>
  <si>
    <t>5/43</t>
  </si>
  <si>
    <t>61/93</t>
  </si>
  <si>
    <t>2/90</t>
  </si>
  <si>
    <t>60/77</t>
  </si>
  <si>
    <t>25/92</t>
  </si>
  <si>
    <t>38/93</t>
  </si>
  <si>
    <t>27/93</t>
  </si>
  <si>
    <t>8/90</t>
  </si>
  <si>
    <t>55/77</t>
  </si>
  <si>
    <t>26/92</t>
  </si>
  <si>
    <t>26/93</t>
  </si>
  <si>
    <t>28/92</t>
  </si>
  <si>
    <t>37/93</t>
  </si>
  <si>
    <t>28/93</t>
  </si>
  <si>
    <t>30/93</t>
  </si>
  <si>
    <t>54/77</t>
  </si>
  <si>
    <t>20/56</t>
  </si>
  <si>
    <t>33/92</t>
  </si>
  <si>
    <t>40/93</t>
  </si>
  <si>
    <t>39/93</t>
  </si>
  <si>
    <t>67/77</t>
  </si>
  <si>
    <t>31/93</t>
  </si>
  <si>
    <t>6/90</t>
  </si>
  <si>
    <t>57/77</t>
  </si>
  <si>
    <t>32/92</t>
  </si>
  <si>
    <t>3/90</t>
  </si>
  <si>
    <t>63/77</t>
  </si>
  <si>
    <t>31/92</t>
  </si>
  <si>
    <t>12/90</t>
  </si>
  <si>
    <t>69/77</t>
  </si>
  <si>
    <t>35/56</t>
  </si>
  <si>
    <t>27/92</t>
  </si>
  <si>
    <t>49/93</t>
  </si>
  <si>
    <t>10/90</t>
  </si>
  <si>
    <t>66/77</t>
  </si>
  <si>
    <t>28/56</t>
  </si>
  <si>
    <t>24/92</t>
  </si>
  <si>
    <t>32/93</t>
  </si>
  <si>
    <t>30/92</t>
  </si>
  <si>
    <t>50/93</t>
  </si>
  <si>
    <t>68/77</t>
  </si>
  <si>
    <t>34/56</t>
  </si>
  <si>
    <t>63/67</t>
  </si>
  <si>
    <t>59/62</t>
  </si>
  <si>
    <t>35/70</t>
  </si>
  <si>
    <t>43/69</t>
  </si>
  <si>
    <t>53/69</t>
  </si>
  <si>
    <t>17/52</t>
  </si>
  <si>
    <t>39/52</t>
  </si>
  <si>
    <t>13/52</t>
  </si>
  <si>
    <t>35/52</t>
  </si>
  <si>
    <t>48/51</t>
  </si>
  <si>
    <t>14/52</t>
  </si>
  <si>
    <t>36/52</t>
  </si>
  <si>
    <t>3128/4345</t>
  </si>
  <si>
    <t>2756/4572</t>
  </si>
  <si>
    <t>2128/4495</t>
  </si>
  <si>
    <t>1213/4016</t>
  </si>
  <si>
    <t>1646/2981</t>
  </si>
  <si>
    <t>1331/2184</t>
  </si>
  <si>
    <t>907/1651</t>
  </si>
  <si>
    <t>3185/4345</t>
  </si>
  <si>
    <t>2951/4572</t>
  </si>
  <si>
    <t>2204/4495</t>
  </si>
  <si>
    <t>1228/4016</t>
  </si>
  <si>
    <t>1633/2981</t>
  </si>
  <si>
    <t>1321/2184</t>
  </si>
  <si>
    <t>916/1651</t>
  </si>
  <si>
    <t>1602/2017</t>
  </si>
  <si>
    <t>830/2107</t>
  </si>
  <si>
    <t>1009/2076</t>
  </si>
  <si>
    <t>1270/1882</t>
  </si>
  <si>
    <t>604/1395</t>
  </si>
  <si>
    <t>590/1076</t>
  </si>
  <si>
    <t>335/780</t>
  </si>
  <si>
    <t>1603/2017</t>
  </si>
  <si>
    <t>842/2107</t>
  </si>
  <si>
    <t>1010/2076</t>
  </si>
  <si>
    <t>1269/1882</t>
  </si>
  <si>
    <t>605/1395</t>
  </si>
  <si>
    <t>591/1076</t>
  </si>
  <si>
    <t>334/780</t>
  </si>
  <si>
    <t>1789/2017</t>
  </si>
  <si>
    <t>1345/2107</t>
  </si>
  <si>
    <t>1717/2076</t>
  </si>
  <si>
    <t>561/1882</t>
  </si>
  <si>
    <t>148/1395</t>
  </si>
  <si>
    <t>137/1076</t>
  </si>
  <si>
    <t>66/780</t>
  </si>
  <si>
    <t>1786/2017</t>
  </si>
  <si>
    <t>1338/2107</t>
  </si>
  <si>
    <t>1716/2076</t>
  </si>
  <si>
    <t>555/1882</t>
  </si>
  <si>
    <t>146/1395</t>
  </si>
  <si>
    <t>136/1076</t>
  </si>
  <si>
    <t>67/780</t>
  </si>
  <si>
    <t>858/882</t>
  </si>
  <si>
    <t>447/948</t>
  </si>
  <si>
    <t>785/921</t>
  </si>
  <si>
    <t>664/843</t>
  </si>
  <si>
    <t>317/577</t>
  </si>
  <si>
    <t>139/454</t>
  </si>
  <si>
    <t>856/882</t>
  </si>
  <si>
    <t>445/948</t>
  </si>
  <si>
    <t>779/921</t>
  </si>
  <si>
    <t>661/843</t>
  </si>
  <si>
    <t>268/692</t>
  </si>
  <si>
    <t>316/577</t>
  </si>
  <si>
    <t>138/454</t>
  </si>
  <si>
    <t>533/905</t>
  </si>
  <si>
    <t>304/936</t>
  </si>
  <si>
    <t>351/926</t>
  </si>
  <si>
    <t>640/820</t>
  </si>
  <si>
    <t>1407/1720</t>
  </si>
  <si>
    <t>919/1802</t>
  </si>
  <si>
    <t>951/1779</t>
  </si>
  <si>
    <t>1545/1599</t>
  </si>
  <si>
    <t>1417/1720</t>
  </si>
  <si>
    <t>752/1802</t>
  </si>
  <si>
    <t>273/1779</t>
  </si>
  <si>
    <t>1227/1720</t>
  </si>
  <si>
    <t>791/1802</t>
  </si>
  <si>
    <t>634/1779</t>
  </si>
  <si>
    <t>1403/1599</t>
  </si>
  <si>
    <t>48/878</t>
  </si>
  <si>
    <t>81/895</t>
  </si>
  <si>
    <t>62/891</t>
  </si>
  <si>
    <t>47/850</t>
  </si>
  <si>
    <t>58/772</t>
  </si>
  <si>
    <t>49/878</t>
  </si>
  <si>
    <t>93/895</t>
  </si>
  <si>
    <t>79/891</t>
  </si>
  <si>
    <t>48/850</t>
  </si>
  <si>
    <t>57/772</t>
  </si>
  <si>
    <t>LCL 5 Horizons Avril 2015 Echu C</t>
  </si>
  <si>
    <t>1/36</t>
  </si>
  <si>
    <t>LCL 5 Horizons Avril 2015 Monétarise C</t>
  </si>
  <si>
    <t>1/539</t>
  </si>
  <si>
    <t>1/548</t>
  </si>
  <si>
    <t>1/546</t>
  </si>
  <si>
    <t>1/530</t>
  </si>
  <si>
    <t>25/905</t>
  </si>
  <si>
    <t>887/936</t>
  </si>
  <si>
    <t>264/926</t>
  </si>
  <si>
    <t>10/820</t>
  </si>
  <si>
    <t>26/905</t>
  </si>
  <si>
    <t>888/936</t>
  </si>
  <si>
    <t>268/926</t>
  </si>
  <si>
    <t>11/820</t>
  </si>
  <si>
    <t>207/436</t>
  </si>
  <si>
    <t>419/450</t>
  </si>
  <si>
    <t>368/414</t>
  </si>
  <si>
    <t>303/353</t>
  </si>
  <si>
    <t>213/279</t>
  </si>
  <si>
    <t>202/222</t>
  </si>
  <si>
    <t>53/994</t>
  </si>
  <si>
    <t>1008/1027</t>
  </si>
  <si>
    <t>92/1016</t>
  </si>
  <si>
    <t>25/929</t>
  </si>
  <si>
    <t>283/731</t>
  </si>
  <si>
    <t>262/599</t>
  </si>
  <si>
    <t>191/491</t>
  </si>
  <si>
    <t>LCL Actions Emergents C</t>
  </si>
  <si>
    <t>1762/2377</t>
  </si>
  <si>
    <t>1686/2457</t>
  </si>
  <si>
    <t>1819/2422</t>
  </si>
  <si>
    <t>1476/2253</t>
  </si>
  <si>
    <t>793/1747</t>
  </si>
  <si>
    <t>708/1242</t>
  </si>
  <si>
    <t>309/697</t>
  </si>
  <si>
    <t>1350/1686</t>
  </si>
  <si>
    <t>1333/1752</t>
  </si>
  <si>
    <t>1207/1730</t>
  </si>
  <si>
    <t>1135/1565</t>
  </si>
  <si>
    <t>676/1201</t>
  </si>
  <si>
    <t>589/932</t>
  </si>
  <si>
    <t>425/726</t>
  </si>
  <si>
    <t>406/1145</t>
  </si>
  <si>
    <t>791/1161</t>
  </si>
  <si>
    <t>433/1155</t>
  </si>
  <si>
    <t>703/1114</t>
  </si>
  <si>
    <t>407/1145</t>
  </si>
  <si>
    <t>789/1161</t>
  </si>
  <si>
    <t>432/1155</t>
  </si>
  <si>
    <t>699/1114</t>
  </si>
  <si>
    <t>439/929</t>
  </si>
  <si>
    <t>556/795</t>
  </si>
  <si>
    <t>435/648</t>
  </si>
  <si>
    <t>1084/1877</t>
  </si>
  <si>
    <t>1537/1956</t>
  </si>
  <si>
    <t>1191/1915</t>
  </si>
  <si>
    <t>1136/1770</t>
  </si>
  <si>
    <t>728/1112</t>
  </si>
  <si>
    <t>636/906</t>
  </si>
  <si>
    <t>198/246</t>
  </si>
  <si>
    <t>124/244</t>
  </si>
  <si>
    <t>106/220</t>
  </si>
  <si>
    <t>82/203</t>
  </si>
  <si>
    <t>66/177</t>
  </si>
  <si>
    <t>116/156</t>
  </si>
  <si>
    <t>87/157</t>
  </si>
  <si>
    <t>112/133</t>
  </si>
  <si>
    <t>111/119</t>
  </si>
  <si>
    <t>132/206</t>
  </si>
  <si>
    <t>193/217</t>
  </si>
  <si>
    <t>138/207</t>
  </si>
  <si>
    <t>117/151</t>
  </si>
  <si>
    <t>102/129</t>
  </si>
  <si>
    <t>77/103</t>
  </si>
  <si>
    <t>3775/4345</t>
  </si>
  <si>
    <t>3654/4572</t>
  </si>
  <si>
    <t>3815/4495</t>
  </si>
  <si>
    <t>3240/4016</t>
  </si>
  <si>
    <t>1718/2981</t>
  </si>
  <si>
    <t>1828/2184</t>
  </si>
  <si>
    <t>1072/1651</t>
  </si>
  <si>
    <t>233/944</t>
  </si>
  <si>
    <t>235/999</t>
  </si>
  <si>
    <t>277/986</t>
  </si>
  <si>
    <t>141/876</t>
  </si>
  <si>
    <t>69/264</t>
  </si>
  <si>
    <t>15/124</t>
  </si>
  <si>
    <t>135/244</t>
  </si>
  <si>
    <t>234/254</t>
  </si>
  <si>
    <t>87/254</t>
  </si>
  <si>
    <t>202/235</t>
  </si>
  <si>
    <t>158/189</t>
  </si>
  <si>
    <t>121/158</t>
  </si>
  <si>
    <t>284/354</t>
  </si>
  <si>
    <t>234/364</t>
  </si>
  <si>
    <t>250/360</t>
  </si>
  <si>
    <t>211/332</t>
  </si>
  <si>
    <t>185/287</t>
  </si>
  <si>
    <t>157/245</t>
  </si>
  <si>
    <t>123/206</t>
  </si>
  <si>
    <t>149/267</t>
  </si>
  <si>
    <t>87/234</t>
  </si>
  <si>
    <t>79/196</t>
  </si>
  <si>
    <t>431/761</t>
  </si>
  <si>
    <t>537/787</t>
  </si>
  <si>
    <t>349/779</t>
  </si>
  <si>
    <t>443/707</t>
  </si>
  <si>
    <t>247/503</t>
  </si>
  <si>
    <t>183/307</t>
  </si>
  <si>
    <t>93/161</t>
  </si>
  <si>
    <t>LCL Amplitudes Avril 2016 Echu C</t>
  </si>
  <si>
    <t>3/36</t>
  </si>
  <si>
    <t>2/36</t>
  </si>
  <si>
    <t>5/36</t>
  </si>
  <si>
    <t>553/829</t>
  </si>
  <si>
    <t>182/848</t>
  </si>
  <si>
    <t>376/843</t>
  </si>
  <si>
    <t>563/829</t>
  </si>
  <si>
    <t>198/848</t>
  </si>
  <si>
    <t>395/843</t>
  </si>
  <si>
    <t>83/101</t>
  </si>
  <si>
    <t>30/101</t>
  </si>
  <si>
    <t>32/94</t>
  </si>
  <si>
    <t>348/878</t>
  </si>
  <si>
    <t>656/895</t>
  </si>
  <si>
    <t>499/891</t>
  </si>
  <si>
    <t>294/850</t>
  </si>
  <si>
    <t>714/772</t>
  </si>
  <si>
    <t>451/576</t>
  </si>
  <si>
    <t>324/539</t>
  </si>
  <si>
    <t>110/548</t>
  </si>
  <si>
    <t>277/546</t>
  </si>
  <si>
    <t>347/530</t>
  </si>
  <si>
    <t>320/483</t>
  </si>
  <si>
    <t>302/410</t>
  </si>
  <si>
    <t>17/318</t>
  </si>
  <si>
    <t>26/31</t>
  </si>
  <si>
    <t>273/878</t>
  </si>
  <si>
    <t>762/895</t>
  </si>
  <si>
    <t>749/891</t>
  </si>
  <si>
    <t>137/850</t>
  </si>
  <si>
    <t>286/772</t>
  </si>
  <si>
    <t>252/576</t>
  </si>
  <si>
    <t>317/878</t>
  </si>
  <si>
    <t>792/895</t>
  </si>
  <si>
    <t>805/891</t>
  </si>
  <si>
    <t>158/850</t>
  </si>
  <si>
    <t>409/772</t>
  </si>
  <si>
    <t>251/576</t>
  </si>
  <si>
    <t>125/878</t>
  </si>
  <si>
    <t>736/895</t>
  </si>
  <si>
    <t>69/891</t>
  </si>
  <si>
    <t>71/850</t>
  </si>
  <si>
    <t>65/772</t>
  </si>
  <si>
    <t>134/576</t>
  </si>
  <si>
    <t>260/878</t>
  </si>
  <si>
    <t>748/895</t>
  </si>
  <si>
    <t>195/891</t>
  </si>
  <si>
    <t>86/850</t>
  </si>
  <si>
    <t>76/772</t>
  </si>
  <si>
    <t>122/576</t>
  </si>
  <si>
    <t>LCL Formule Sécurité France AV Avr 2011</t>
  </si>
  <si>
    <t>123/878</t>
  </si>
  <si>
    <t>766/895</t>
  </si>
  <si>
    <t>131/891</t>
  </si>
  <si>
    <t>77/850</t>
  </si>
  <si>
    <t>98/772</t>
  </si>
  <si>
    <t>100/576</t>
  </si>
  <si>
    <t>LCL Formule Sécurité France AV Fév 2011</t>
  </si>
  <si>
    <t>148/878</t>
  </si>
  <si>
    <t>722/895</t>
  </si>
  <si>
    <t>118/891</t>
  </si>
  <si>
    <t>90/850</t>
  </si>
  <si>
    <t>113/772</t>
  </si>
  <si>
    <t>116/576</t>
  </si>
  <si>
    <t>424/994</t>
  </si>
  <si>
    <t>310/1027</t>
  </si>
  <si>
    <t>217/1016</t>
  </si>
  <si>
    <t>667/929</t>
  </si>
  <si>
    <t>473/731</t>
  </si>
  <si>
    <t>354/599</t>
  </si>
  <si>
    <t>219/491</t>
  </si>
  <si>
    <t>LCL Investissement Dynamique O</t>
  </si>
  <si>
    <t>320/994</t>
  </si>
  <si>
    <t>251/1027</t>
  </si>
  <si>
    <t>175/1016</t>
  </si>
  <si>
    <t>719/929</t>
  </si>
  <si>
    <t>LCL Investissement Equilibre C/D</t>
  </si>
  <si>
    <t>508/2017</t>
  </si>
  <si>
    <t>840/2107</t>
  </si>
  <si>
    <t>212/2076</t>
  </si>
  <si>
    <t>841/1882</t>
  </si>
  <si>
    <t>471/1395</t>
  </si>
  <si>
    <t>288/1076</t>
  </si>
  <si>
    <t>738/1720</t>
  </si>
  <si>
    <t>1323/1802</t>
  </si>
  <si>
    <t>820/1779</t>
  </si>
  <si>
    <t>649/1720</t>
  </si>
  <si>
    <t>1279/1802</t>
  </si>
  <si>
    <t>738/1779</t>
  </si>
  <si>
    <t>1684/1720</t>
  </si>
  <si>
    <t>1277/1802</t>
  </si>
  <si>
    <t>1754/1779</t>
  </si>
  <si>
    <t>1550/1599</t>
  </si>
  <si>
    <t>1019/1720</t>
  </si>
  <si>
    <t>1426/1802</t>
  </si>
  <si>
    <t>1034/1779</t>
  </si>
  <si>
    <t>1275/1599</t>
  </si>
  <si>
    <t>176/1164</t>
  </si>
  <si>
    <t>380/875</t>
  </si>
  <si>
    <t>LCL La Grande Boucle (Avril 2017) C</t>
  </si>
  <si>
    <t>913/936</t>
  </si>
  <si>
    <t>815/926</t>
  </si>
  <si>
    <t>FR0013238185</t>
  </si>
  <si>
    <t>387/905</t>
  </si>
  <si>
    <t>411/936</t>
  </si>
  <si>
    <t>247/926</t>
  </si>
  <si>
    <t>386/905</t>
  </si>
  <si>
    <t>409/936</t>
  </si>
  <si>
    <t>246/926</t>
  </si>
  <si>
    <t>394/2490</t>
  </si>
  <si>
    <t>1148/2614</t>
  </si>
  <si>
    <t>309/2574</t>
  </si>
  <si>
    <t>445/2299</t>
  </si>
  <si>
    <t>977/1650</t>
  </si>
  <si>
    <t>324/1182</t>
  </si>
  <si>
    <t>169/767</t>
  </si>
  <si>
    <t>959/2017</t>
  </si>
  <si>
    <t>437/2107</t>
  </si>
  <si>
    <t>484/2076</t>
  </si>
  <si>
    <t>1542/1882</t>
  </si>
  <si>
    <t>1284/1395</t>
  </si>
  <si>
    <t>665/780</t>
  </si>
  <si>
    <t>643/1877</t>
  </si>
  <si>
    <t>1138/1956</t>
  </si>
  <si>
    <t>782/1915</t>
  </si>
  <si>
    <t>552/1770</t>
  </si>
  <si>
    <t>753/1372</t>
  </si>
  <si>
    <t>634/1112</t>
  </si>
  <si>
    <t>395/906</t>
  </si>
  <si>
    <t>358/539</t>
  </si>
  <si>
    <t>325/548</t>
  </si>
  <si>
    <t>348/546</t>
  </si>
  <si>
    <t>361/530</t>
  </si>
  <si>
    <t>343/483</t>
  </si>
  <si>
    <t>267/410</t>
  </si>
  <si>
    <t>359/539</t>
  </si>
  <si>
    <t>362/530</t>
  </si>
  <si>
    <t>344/483</t>
  </si>
  <si>
    <t>266/410</t>
  </si>
  <si>
    <t>270/539</t>
  </si>
  <si>
    <t>246/548</t>
  </si>
  <si>
    <t>261/546</t>
  </si>
  <si>
    <t>292/530</t>
  </si>
  <si>
    <t>248/483</t>
  </si>
  <si>
    <t>271/539</t>
  </si>
  <si>
    <t>247/548</t>
  </si>
  <si>
    <t>262/546</t>
  </si>
  <si>
    <t>294/530</t>
  </si>
  <si>
    <t>246/483</t>
  </si>
  <si>
    <t>247/483</t>
  </si>
  <si>
    <t>235/410</t>
  </si>
  <si>
    <t>213/318</t>
  </si>
  <si>
    <t>415/637</t>
  </si>
  <si>
    <t>164/662</t>
  </si>
  <si>
    <t>201/649</t>
  </si>
  <si>
    <t>495/583</t>
  </si>
  <si>
    <t>334/409</t>
  </si>
  <si>
    <t>276/318</t>
  </si>
  <si>
    <t>133/144</t>
  </si>
  <si>
    <t>LCL Obligations 24 Mois C</t>
  </si>
  <si>
    <t>18/186</t>
  </si>
  <si>
    <t>16/193</t>
  </si>
  <si>
    <t>5/190</t>
  </si>
  <si>
    <t>42/92</t>
  </si>
  <si>
    <t>13/63</t>
  </si>
  <si>
    <t>LCL Obligations 24 Mois D</t>
  </si>
  <si>
    <t>19/186</t>
  </si>
  <si>
    <t>4/190</t>
  </si>
  <si>
    <t>43/92</t>
  </si>
  <si>
    <t>12/63</t>
  </si>
  <si>
    <t>14/25</t>
  </si>
  <si>
    <t>163/1138</t>
  </si>
  <si>
    <t>172/1170</t>
  </si>
  <si>
    <t>100/1161</t>
  </si>
  <si>
    <t>181/1100</t>
  </si>
  <si>
    <t>261/932</t>
  </si>
  <si>
    <t>243/749</t>
  </si>
  <si>
    <t>110/524</t>
  </si>
  <si>
    <t>564/1356</t>
  </si>
  <si>
    <t>623/1397</t>
  </si>
  <si>
    <t>483/1383</t>
  </si>
  <si>
    <t>66/1313</t>
  </si>
  <si>
    <t>792/1170</t>
  </si>
  <si>
    <t>397/1007</t>
  </si>
  <si>
    <t>194/823</t>
  </si>
  <si>
    <t>329/1356</t>
  </si>
  <si>
    <t>302/1397</t>
  </si>
  <si>
    <t>111/1383</t>
  </si>
  <si>
    <t>481/1313</t>
  </si>
  <si>
    <t>257/1170</t>
  </si>
  <si>
    <t>29/1007</t>
  </si>
  <si>
    <t>87/823</t>
  </si>
  <si>
    <t>168/172</t>
  </si>
  <si>
    <t>9/178</t>
  </si>
  <si>
    <t>126/177</t>
  </si>
  <si>
    <t>42/169</t>
  </si>
  <si>
    <t>119/156</t>
  </si>
  <si>
    <t>34/144</t>
  </si>
  <si>
    <t>42/323</t>
  </si>
  <si>
    <t>16/375</t>
  </si>
  <si>
    <t>22/359</t>
  </si>
  <si>
    <t>239/258</t>
  </si>
  <si>
    <t>LCL Obligations Moyen Terme Euro IC</t>
  </si>
  <si>
    <t>157/1356</t>
  </si>
  <si>
    <t>129/1397</t>
  </si>
  <si>
    <t>43/1383</t>
  </si>
  <si>
    <t>269/1313</t>
  </si>
  <si>
    <t>100/1170</t>
  </si>
  <si>
    <t>21/1007</t>
  </si>
  <si>
    <t>10/823</t>
  </si>
  <si>
    <t>195/1356</t>
  </si>
  <si>
    <t>158/1397</t>
  </si>
  <si>
    <t>50/1383</t>
  </si>
  <si>
    <t>330/1313</t>
  </si>
  <si>
    <t>182/1170</t>
  </si>
  <si>
    <t>24/1007</t>
  </si>
  <si>
    <t>23/823</t>
  </si>
  <si>
    <t>196/1356</t>
  </si>
  <si>
    <t>159/1397</t>
  </si>
  <si>
    <t>51/1383</t>
  </si>
  <si>
    <t>332/1313</t>
  </si>
  <si>
    <t>183/1170</t>
  </si>
  <si>
    <t>25/1007</t>
  </si>
  <si>
    <t>24/823</t>
  </si>
  <si>
    <t>LCL Obligations Revenu Trim 3 A/I</t>
  </si>
  <si>
    <t>249/1356</t>
  </si>
  <si>
    <t>301/1397</t>
  </si>
  <si>
    <t>174/1383</t>
  </si>
  <si>
    <t>219/1313</t>
  </si>
  <si>
    <t>216/1007</t>
  </si>
  <si>
    <t>198/823</t>
  </si>
  <si>
    <t>LCL Obligations Revenu Trim 4 A/I</t>
  </si>
  <si>
    <t>250/1356</t>
  </si>
  <si>
    <t>300/1397</t>
  </si>
  <si>
    <t>173/1383</t>
  </si>
  <si>
    <t>220/1313</t>
  </si>
  <si>
    <t>832/1170</t>
  </si>
  <si>
    <t>215/1007</t>
  </si>
  <si>
    <t>197/823</t>
  </si>
  <si>
    <t>LCL Obligations Revenu Trim 5 A/I</t>
  </si>
  <si>
    <t>251/1356</t>
  </si>
  <si>
    <t>298/1397</t>
  </si>
  <si>
    <t>175/1383</t>
  </si>
  <si>
    <t>221/1313</t>
  </si>
  <si>
    <t>833/1170</t>
  </si>
  <si>
    <t>214/1007</t>
  </si>
  <si>
    <t>196/823</t>
  </si>
  <si>
    <t>4/36</t>
  </si>
  <si>
    <t>LCL Optimium Tour 2017 C</t>
  </si>
  <si>
    <t>FR0013235587</t>
  </si>
  <si>
    <t>192/905</t>
  </si>
  <si>
    <t>229/936</t>
  </si>
  <si>
    <t>201/926</t>
  </si>
  <si>
    <t>169/905</t>
  </si>
  <si>
    <t>236/936</t>
  </si>
  <si>
    <t>193/926</t>
  </si>
  <si>
    <t>47/905</t>
  </si>
  <si>
    <t>588/936</t>
  </si>
  <si>
    <t>159/926</t>
  </si>
  <si>
    <t>34/820</t>
  </si>
  <si>
    <t>21/905</t>
  </si>
  <si>
    <t>925/936</t>
  </si>
  <si>
    <t>295/926</t>
  </si>
  <si>
    <t>4/820</t>
  </si>
  <si>
    <t>45/905</t>
  </si>
  <si>
    <t>605/936</t>
  </si>
  <si>
    <t>173/926</t>
  </si>
  <si>
    <t>31/820</t>
  </si>
  <si>
    <t>22/905</t>
  </si>
  <si>
    <t>926/936</t>
  </si>
  <si>
    <t>303/926</t>
  </si>
  <si>
    <t>5/820</t>
  </si>
  <si>
    <t>464/905</t>
  </si>
  <si>
    <t>315/936</t>
  </si>
  <si>
    <t>260/926</t>
  </si>
  <si>
    <t>629/820</t>
  </si>
  <si>
    <t>318/562</t>
  </si>
  <si>
    <t>184/316</t>
  </si>
  <si>
    <t>481/882</t>
  </si>
  <si>
    <t>373/948</t>
  </si>
  <si>
    <t>332/921</t>
  </si>
  <si>
    <t>747/843</t>
  </si>
  <si>
    <t>587/692</t>
  </si>
  <si>
    <t>506/577</t>
  </si>
  <si>
    <t>369/878</t>
  </si>
  <si>
    <t>390/895</t>
  </si>
  <si>
    <t>263/891</t>
  </si>
  <si>
    <t>428/850</t>
  </si>
  <si>
    <t>404/772</t>
  </si>
  <si>
    <t>484/576</t>
  </si>
  <si>
    <t>31/36</t>
  </si>
  <si>
    <t>27/31</t>
  </si>
  <si>
    <t>43/905</t>
  </si>
  <si>
    <t>460/936</t>
  </si>
  <si>
    <t>120/926</t>
  </si>
  <si>
    <t>32/820</t>
  </si>
  <si>
    <t>48/905</t>
  </si>
  <si>
    <t>453/936</t>
  </si>
  <si>
    <t>33/820</t>
  </si>
  <si>
    <t>109/905</t>
  </si>
  <si>
    <t>283/936</t>
  </si>
  <si>
    <t>223/926</t>
  </si>
  <si>
    <t>75/820</t>
  </si>
  <si>
    <t>353/539</t>
  </si>
  <si>
    <t>313/548</t>
  </si>
  <si>
    <t>341/546</t>
  </si>
  <si>
    <t>359/530</t>
  </si>
  <si>
    <t>323/483</t>
  </si>
  <si>
    <t>274/410</t>
  </si>
  <si>
    <t>203/318</t>
  </si>
  <si>
    <t>352/539</t>
  </si>
  <si>
    <t>357/530</t>
  </si>
  <si>
    <t>321/483</t>
  </si>
  <si>
    <t>312/548</t>
  </si>
  <si>
    <t>322/483</t>
  </si>
  <si>
    <t>278/410</t>
  </si>
  <si>
    <t>252/431</t>
  </si>
  <si>
    <t>233/450</t>
  </si>
  <si>
    <t>257/443</t>
  </si>
  <si>
    <t>226/407</t>
  </si>
  <si>
    <t>162/341</t>
  </si>
  <si>
    <t>164/308</t>
  </si>
  <si>
    <t>123/253</t>
  </si>
  <si>
    <t>267/431</t>
  </si>
  <si>
    <t>248/450</t>
  </si>
  <si>
    <t>264/443</t>
  </si>
  <si>
    <t>171/341</t>
  </si>
  <si>
    <t>173/308</t>
  </si>
  <si>
    <t>33/878</t>
  </si>
  <si>
    <t>679/895</t>
  </si>
  <si>
    <t>160/891</t>
  </si>
  <si>
    <t>29/850</t>
  </si>
  <si>
    <t>52/772</t>
  </si>
  <si>
    <t>59/905</t>
  </si>
  <si>
    <t>566/936</t>
  </si>
  <si>
    <t>162/926</t>
  </si>
  <si>
    <t>29/820</t>
  </si>
  <si>
    <t>37/878</t>
  </si>
  <si>
    <t>510/895</t>
  </si>
  <si>
    <t>108/891</t>
  </si>
  <si>
    <t>30/850</t>
  </si>
  <si>
    <t>44/772</t>
  </si>
  <si>
    <t>418/905</t>
  </si>
  <si>
    <t>652/936</t>
  </si>
  <si>
    <t>444/926</t>
  </si>
  <si>
    <t>62/878</t>
  </si>
  <si>
    <t>424/895</t>
  </si>
  <si>
    <t>142/891</t>
  </si>
  <si>
    <t>52/850</t>
  </si>
  <si>
    <t>74/905</t>
  </si>
  <si>
    <t>454/936</t>
  </si>
  <si>
    <t>200/926</t>
  </si>
  <si>
    <t>29/878</t>
  </si>
  <si>
    <t>675/895</t>
  </si>
  <si>
    <t>137/891</t>
  </si>
  <si>
    <t>27/850</t>
  </si>
  <si>
    <t>56/772</t>
  </si>
  <si>
    <t>62/905</t>
  </si>
  <si>
    <t>571/936</t>
  </si>
  <si>
    <t>164/926</t>
  </si>
  <si>
    <t>30/820</t>
  </si>
  <si>
    <t>39/878</t>
  </si>
  <si>
    <t>513/895</t>
  </si>
  <si>
    <t>107/891</t>
  </si>
  <si>
    <t>33/850</t>
  </si>
  <si>
    <t>48/772</t>
  </si>
  <si>
    <t>LCL Triple Horizon AV (Janvier 2017) C</t>
  </si>
  <si>
    <t>345/905</t>
  </si>
  <si>
    <t>634/936</t>
  </si>
  <si>
    <t>47/878</t>
  </si>
  <si>
    <t>364/895</t>
  </si>
  <si>
    <t>103/891</t>
  </si>
  <si>
    <t>46/850</t>
  </si>
  <si>
    <t>31/905</t>
  </si>
  <si>
    <t>677/936</t>
  </si>
  <si>
    <t>197/926</t>
  </si>
  <si>
    <t>18/820</t>
  </si>
  <si>
    <t>452/905</t>
  </si>
  <si>
    <t>567/936</t>
  </si>
  <si>
    <t>468/926</t>
  </si>
  <si>
    <t>32/905</t>
  </si>
  <si>
    <t>679/936</t>
  </si>
  <si>
    <t>190/926</t>
  </si>
  <si>
    <t>17/820</t>
  </si>
  <si>
    <t>450/905</t>
  </si>
  <si>
    <t>575/936</t>
  </si>
  <si>
    <t>465/926</t>
  </si>
  <si>
    <t>374/878</t>
  </si>
  <si>
    <t>130/895</t>
  </si>
  <si>
    <t>261/891</t>
  </si>
  <si>
    <t>271/850</t>
  </si>
  <si>
    <t>128/772</t>
  </si>
  <si>
    <t>404/878</t>
  </si>
  <si>
    <t>91/895</t>
  </si>
  <si>
    <t>206/891</t>
  </si>
  <si>
    <t>287/850</t>
  </si>
  <si>
    <t>202/772</t>
  </si>
  <si>
    <t>44/576</t>
  </si>
  <si>
    <t>395/1356</t>
  </si>
  <si>
    <t>354/1397</t>
  </si>
  <si>
    <t>155/1383</t>
  </si>
  <si>
    <t>448/1313</t>
  </si>
  <si>
    <t>939/1170</t>
  </si>
  <si>
    <t>113/4580</t>
  </si>
  <si>
    <t>4436/4723</t>
  </si>
  <si>
    <t>254/4658</t>
  </si>
  <si>
    <t>276/4427</t>
  </si>
  <si>
    <t>1849/3396</t>
  </si>
  <si>
    <t>1454/2721</t>
  </si>
  <si>
    <t>762/2374</t>
  </si>
  <si>
    <t>1399/4580</t>
  </si>
  <si>
    <t>2663/4723</t>
  </si>
  <si>
    <t>2493/4658</t>
  </si>
  <si>
    <t>2235/4427</t>
  </si>
  <si>
    <t>1/30</t>
  </si>
  <si>
    <t>3/16</t>
  </si>
  <si>
    <t>1/8</t>
  </si>
  <si>
    <t>347/4580</t>
  </si>
  <si>
    <t>4423/4723</t>
  </si>
  <si>
    <t>2394/4658</t>
  </si>
  <si>
    <t>112/4427</t>
  </si>
  <si>
    <t>1438/3396</t>
  </si>
  <si>
    <t>461/2721</t>
  </si>
  <si>
    <t>429/2374</t>
  </si>
  <si>
    <t>146/279</t>
  </si>
  <si>
    <t>116/288</t>
  </si>
  <si>
    <t>79/282</t>
  </si>
  <si>
    <t>178/275</t>
  </si>
  <si>
    <t>189/237</t>
  </si>
  <si>
    <t>124/189</t>
  </si>
  <si>
    <t>124/139</t>
  </si>
  <si>
    <t>263/431</t>
  </si>
  <si>
    <t>227/450</t>
  </si>
  <si>
    <t>289/443</t>
  </si>
  <si>
    <t>201/341</t>
  </si>
  <si>
    <t>264/431</t>
  </si>
  <si>
    <t>229/450</t>
  </si>
  <si>
    <t>290/443</t>
  </si>
  <si>
    <t>255/407</t>
  </si>
  <si>
    <t>200/341</t>
  </si>
  <si>
    <t>245/308</t>
  </si>
  <si>
    <t>222/253</t>
  </si>
  <si>
    <t>1526/2377</t>
  </si>
  <si>
    <t>1612/2457</t>
  </si>
  <si>
    <t>1568/2422</t>
  </si>
  <si>
    <t>1264/2253</t>
  </si>
  <si>
    <t>641/1747</t>
  </si>
  <si>
    <t>645/1242</t>
  </si>
  <si>
    <t>93/407</t>
  </si>
  <si>
    <t>85/415</t>
  </si>
  <si>
    <t>93/396</t>
  </si>
  <si>
    <t>75/362</t>
  </si>
  <si>
    <t>52/333</t>
  </si>
  <si>
    <t>76/265</t>
  </si>
  <si>
    <t>385/994</t>
  </si>
  <si>
    <t>293/1027</t>
  </si>
  <si>
    <t>206/1016</t>
  </si>
  <si>
    <t>630/929</t>
  </si>
  <si>
    <t>183/731</t>
  </si>
  <si>
    <t>116/599</t>
  </si>
  <si>
    <t>63/491</t>
  </si>
  <si>
    <t>2217/2490</t>
  </si>
  <si>
    <t>1386/2614</t>
  </si>
  <si>
    <t>1693/2574</t>
  </si>
  <si>
    <t>2078/2299</t>
  </si>
  <si>
    <t>1266/1650</t>
  </si>
  <si>
    <t>909/1182</t>
  </si>
  <si>
    <t>617/767</t>
  </si>
  <si>
    <t>Objectif Prudence C/D</t>
  </si>
  <si>
    <t>878/1720</t>
  </si>
  <si>
    <t>1395/1802</t>
  </si>
  <si>
    <t>944/1779</t>
  </si>
  <si>
    <t>1206/1599</t>
  </si>
  <si>
    <t>169/1164</t>
  </si>
  <si>
    <t>111/875</t>
  </si>
  <si>
    <t>164/632</t>
  </si>
  <si>
    <t>199/266</t>
  </si>
  <si>
    <t>205/265</t>
  </si>
  <si>
    <t>50/261</t>
  </si>
  <si>
    <t>34/223</t>
  </si>
  <si>
    <t>27/192</t>
  </si>
  <si>
    <t>74/878</t>
  </si>
  <si>
    <t>703/895</t>
  </si>
  <si>
    <t>417/891</t>
  </si>
  <si>
    <t>39/850</t>
  </si>
  <si>
    <t>121/772</t>
  </si>
  <si>
    <t>59/576</t>
  </si>
  <si>
    <t>56/878</t>
  </si>
  <si>
    <t>791/895</t>
  </si>
  <si>
    <t>373/891</t>
  </si>
  <si>
    <t>37/850</t>
  </si>
  <si>
    <t>85/772</t>
  </si>
  <si>
    <t>73/576</t>
  </si>
  <si>
    <t>86/878</t>
  </si>
  <si>
    <t>700/895</t>
  </si>
  <si>
    <t>422/891</t>
  </si>
  <si>
    <t>43/850</t>
  </si>
  <si>
    <t>148/772</t>
  </si>
  <si>
    <t>62/576</t>
  </si>
  <si>
    <t>59/878</t>
  </si>
  <si>
    <t>794/895</t>
  </si>
  <si>
    <t>431/891</t>
  </si>
  <si>
    <t>38/850</t>
  </si>
  <si>
    <t>115/772</t>
  </si>
  <si>
    <t>67/576</t>
  </si>
  <si>
    <t>Opalia Vie Echu C</t>
  </si>
  <si>
    <t>44/878</t>
  </si>
  <si>
    <t>207/891</t>
  </si>
  <si>
    <t>21/850</t>
  </si>
  <si>
    <t>93/772</t>
  </si>
  <si>
    <t>60/576</t>
  </si>
  <si>
    <t>Oriance Vie Echu C</t>
  </si>
  <si>
    <t>461/878</t>
  </si>
  <si>
    <t>228/891</t>
  </si>
  <si>
    <t>535/850</t>
  </si>
  <si>
    <t>617/772</t>
  </si>
  <si>
    <t>530/576</t>
  </si>
  <si>
    <t>254/323</t>
  </si>
  <si>
    <t>619/1145</t>
  </si>
  <si>
    <t>678/1161</t>
  </si>
  <si>
    <t>537/1155</t>
  </si>
  <si>
    <t>258/1114</t>
  </si>
  <si>
    <t>700/929</t>
  </si>
  <si>
    <t>389/795</t>
  </si>
  <si>
    <t>445/648</t>
  </si>
  <si>
    <t>574/1145</t>
  </si>
  <si>
    <t>681/1161</t>
  </si>
  <si>
    <t>520/1155</t>
  </si>
  <si>
    <t>225/1114</t>
  </si>
  <si>
    <t>621/929</t>
  </si>
  <si>
    <t>322/795</t>
  </si>
  <si>
    <t>405/648</t>
  </si>
  <si>
    <t>1094/1877</t>
  </si>
  <si>
    <t>1268/1956</t>
  </si>
  <si>
    <t>1003/1915</t>
  </si>
  <si>
    <t>1106/1770</t>
  </si>
  <si>
    <t>1323/1372</t>
  </si>
  <si>
    <t>1040/1112</t>
  </si>
  <si>
    <t>852/906</t>
  </si>
  <si>
    <t>129/246</t>
  </si>
  <si>
    <t>86/246</t>
  </si>
  <si>
    <t>90/244</t>
  </si>
  <si>
    <t>84/220</t>
  </si>
  <si>
    <t>53/203</t>
  </si>
  <si>
    <t>986/2017</t>
  </si>
  <si>
    <t>545/2107</t>
  </si>
  <si>
    <t>563/2076</t>
  </si>
  <si>
    <t>1654/1882</t>
  </si>
  <si>
    <t>1242/1395</t>
  </si>
  <si>
    <t>781/1076</t>
  </si>
  <si>
    <t>502/780</t>
  </si>
  <si>
    <t>678/1356</t>
  </si>
  <si>
    <t>674/1397</t>
  </si>
  <si>
    <t>289/1383</t>
  </si>
  <si>
    <t>808/1313</t>
  </si>
  <si>
    <t>458/1170</t>
  </si>
  <si>
    <t>353/1007</t>
  </si>
  <si>
    <t>457/823</t>
  </si>
  <si>
    <t>160/994</t>
  </si>
  <si>
    <t>252/1027</t>
  </si>
  <si>
    <t>76/1016</t>
  </si>
  <si>
    <t>118/929</t>
  </si>
  <si>
    <t>548/731</t>
  </si>
  <si>
    <t>393/599</t>
  </si>
  <si>
    <t>300/491</t>
  </si>
  <si>
    <t>822/1720</t>
  </si>
  <si>
    <t>776/1802</t>
  </si>
  <si>
    <t>279/1779</t>
  </si>
  <si>
    <t>1129/1599</t>
  </si>
  <si>
    <t>495/1164</t>
  </si>
  <si>
    <t>145/875</t>
  </si>
  <si>
    <t>187/632</t>
  </si>
  <si>
    <t>301/431</t>
  </si>
  <si>
    <t>271/450</t>
  </si>
  <si>
    <t>324/443</t>
  </si>
  <si>
    <t>240/341</t>
  </si>
  <si>
    <t>274/308</t>
  </si>
  <si>
    <t>531/1731</t>
  </si>
  <si>
    <t>423/1900</t>
  </si>
  <si>
    <t>344/1834</t>
  </si>
  <si>
    <t>733/1479</t>
  </si>
  <si>
    <t>493/759</t>
  </si>
  <si>
    <t>353/424</t>
  </si>
  <si>
    <t>172/187</t>
  </si>
  <si>
    <t>77/4580</t>
  </si>
  <si>
    <t>1258/4723</t>
  </si>
  <si>
    <t>23/4658</t>
  </si>
  <si>
    <t>251/4427</t>
  </si>
  <si>
    <t>7/3396</t>
  </si>
  <si>
    <t>17/2721</t>
  </si>
  <si>
    <t>25/2374</t>
  </si>
  <si>
    <t>113/312</t>
  </si>
  <si>
    <t>157/320</t>
  </si>
  <si>
    <t>84/316</t>
  </si>
  <si>
    <t>106/309</t>
  </si>
  <si>
    <t>119/288</t>
  </si>
  <si>
    <t>127/270</t>
  </si>
  <si>
    <t>152/238</t>
  </si>
  <si>
    <t>1095/2017</t>
  </si>
  <si>
    <t>1532/2107</t>
  </si>
  <si>
    <t>1636/2076</t>
  </si>
  <si>
    <t>784/1882</t>
  </si>
  <si>
    <t>239/1395</t>
  </si>
  <si>
    <t>205/1076</t>
  </si>
  <si>
    <t>366/780</t>
  </si>
  <si>
    <t>765/2017</t>
  </si>
  <si>
    <t>2092/2107</t>
  </si>
  <si>
    <t>1433/2076</t>
  </si>
  <si>
    <t>169/1882</t>
  </si>
  <si>
    <t>1309/1395</t>
  </si>
  <si>
    <t>252/1076</t>
  </si>
  <si>
    <t>400/780</t>
  </si>
  <si>
    <t>1233/4580</t>
  </si>
  <si>
    <t>4355/4723</t>
  </si>
  <si>
    <t>3917/4658</t>
  </si>
  <si>
    <t>1327/4427</t>
  </si>
  <si>
    <t>1877/3396</t>
  </si>
  <si>
    <t>1259/2721</t>
  </si>
  <si>
    <t>963/2374</t>
  </si>
  <si>
    <t>2385/4580</t>
  </si>
  <si>
    <t>2182/4723</t>
  </si>
  <si>
    <t>2132/4658</t>
  </si>
  <si>
    <t>3496/4427</t>
  </si>
  <si>
    <t>Portfolio Dettes Financières Euro AC</t>
  </si>
  <si>
    <t>749/4082</t>
  </si>
  <si>
    <t>FR0013234291</t>
  </si>
  <si>
    <t>897/1138</t>
  </si>
  <si>
    <t>303/1170</t>
  </si>
  <si>
    <t>998/1161</t>
  </si>
  <si>
    <t>852/1100</t>
  </si>
  <si>
    <t>874/932</t>
  </si>
  <si>
    <t>24/740</t>
  </si>
  <si>
    <t>99/754</t>
  </si>
  <si>
    <t>69/750</t>
  </si>
  <si>
    <t>34/722</t>
  </si>
  <si>
    <t>536/641</t>
  </si>
  <si>
    <t>519/557</t>
  </si>
  <si>
    <t>397/414</t>
  </si>
  <si>
    <t>Portfolio LCR Gov C</t>
  </si>
  <si>
    <t>395/1877</t>
  </si>
  <si>
    <t>769/1956</t>
  </si>
  <si>
    <t>1006/1915</t>
  </si>
  <si>
    <t>59/1770</t>
  </si>
  <si>
    <t>396/1372</t>
  </si>
  <si>
    <t>42/1112</t>
  </si>
  <si>
    <t>23/246</t>
  </si>
  <si>
    <t>4/246</t>
  </si>
  <si>
    <t>27/246</t>
  </si>
  <si>
    <t>19/244</t>
  </si>
  <si>
    <t>28/220</t>
  </si>
  <si>
    <t>18/203</t>
  </si>
  <si>
    <t>875/1138</t>
  </si>
  <si>
    <t>241/1170</t>
  </si>
  <si>
    <t>948/1161</t>
  </si>
  <si>
    <t>930/1100</t>
  </si>
  <si>
    <t>887/932</t>
  </si>
  <si>
    <t>565/749</t>
  </si>
  <si>
    <t>197/524</t>
  </si>
  <si>
    <t>49/2490</t>
  </si>
  <si>
    <t>2214/2614</t>
  </si>
  <si>
    <t>95/2574</t>
  </si>
  <si>
    <t>111/2299</t>
  </si>
  <si>
    <t>274/1650</t>
  </si>
  <si>
    <t>767/1182</t>
  </si>
  <si>
    <t>335/878</t>
  </si>
  <si>
    <t>297/895</t>
  </si>
  <si>
    <t>544/891</t>
  </si>
  <si>
    <t>406/850</t>
  </si>
  <si>
    <t>227/772</t>
  </si>
  <si>
    <t>38/576</t>
  </si>
  <si>
    <t>313/878</t>
  </si>
  <si>
    <t>288/895</t>
  </si>
  <si>
    <t>519/891</t>
  </si>
  <si>
    <t>376/850</t>
  </si>
  <si>
    <t>200/772</t>
  </si>
  <si>
    <t>25/576</t>
  </si>
  <si>
    <t>19/994</t>
  </si>
  <si>
    <t>1004/1027</t>
  </si>
  <si>
    <t>30/1016</t>
  </si>
  <si>
    <t>73/929</t>
  </si>
  <si>
    <t>408/731</t>
  </si>
  <si>
    <t>97/599</t>
  </si>
  <si>
    <t>330/491</t>
  </si>
  <si>
    <t>270/2017</t>
  </si>
  <si>
    <t>1932/2107</t>
  </si>
  <si>
    <t>290/2076</t>
  </si>
  <si>
    <t>627/1882</t>
  </si>
  <si>
    <t>920/1395</t>
  </si>
  <si>
    <t>616/1076</t>
  </si>
  <si>
    <t>639/780</t>
  </si>
  <si>
    <t>529/878</t>
  </si>
  <si>
    <t>176/895</t>
  </si>
  <si>
    <t>420/891</t>
  </si>
  <si>
    <t>367/850</t>
  </si>
  <si>
    <t>238/772</t>
  </si>
  <si>
    <t>99/240</t>
  </si>
  <si>
    <t>119/243</t>
  </si>
  <si>
    <t>95/233</t>
  </si>
  <si>
    <t>27/132</t>
  </si>
  <si>
    <t>25/99</t>
  </si>
  <si>
    <t>85/101</t>
  </si>
  <si>
    <t>987/1145</t>
  </si>
  <si>
    <t>515/1161</t>
  </si>
  <si>
    <t>745/1155</t>
  </si>
  <si>
    <t>923/1114</t>
  </si>
  <si>
    <t>852/929</t>
  </si>
  <si>
    <t>683/795</t>
  </si>
  <si>
    <t>564/648</t>
  </si>
  <si>
    <t>1014/1145</t>
  </si>
  <si>
    <t>108/1161</t>
  </si>
  <si>
    <t>434/1155</t>
  </si>
  <si>
    <t>790/1114</t>
  </si>
  <si>
    <t>865/929</t>
  </si>
  <si>
    <t>720/795</t>
  </si>
  <si>
    <t>574/648</t>
  </si>
  <si>
    <t>1019/1145</t>
  </si>
  <si>
    <t>111/1161</t>
  </si>
  <si>
    <t>442/1155</t>
  </si>
  <si>
    <t>793/1114</t>
  </si>
  <si>
    <t>867/929</t>
  </si>
  <si>
    <t>721/795</t>
  </si>
  <si>
    <t>575/648</t>
  </si>
  <si>
    <t>992/1877</t>
  </si>
  <si>
    <t>1367/1956</t>
  </si>
  <si>
    <t>920/1915</t>
  </si>
  <si>
    <t>1208/1770</t>
  </si>
  <si>
    <t>844/1372</t>
  </si>
  <si>
    <t>792/1112</t>
  </si>
  <si>
    <t>693/906</t>
  </si>
  <si>
    <t>1399/1877</t>
  </si>
  <si>
    <t>1447/1956</t>
  </si>
  <si>
    <t>1342/1915</t>
  </si>
  <si>
    <t>1274/1770</t>
  </si>
  <si>
    <t>1204/1372</t>
  </si>
  <si>
    <t>991/1112</t>
  </si>
  <si>
    <t>808/906</t>
  </si>
  <si>
    <t>1189/1877</t>
  </si>
  <si>
    <t>1469/1956</t>
  </si>
  <si>
    <t>1334/1915</t>
  </si>
  <si>
    <t>1348/1770</t>
  </si>
  <si>
    <t>842/1112</t>
  </si>
  <si>
    <t>729/906</t>
  </si>
  <si>
    <t>1193/1877</t>
  </si>
  <si>
    <t>1471/1956</t>
  </si>
  <si>
    <t>1336/1915</t>
  </si>
  <si>
    <t>1349/1770</t>
  </si>
  <si>
    <t>948/1372</t>
  </si>
  <si>
    <t>843/1112</t>
  </si>
  <si>
    <t>731/906</t>
  </si>
  <si>
    <t>173/206</t>
  </si>
  <si>
    <t>196/217</t>
  </si>
  <si>
    <t>167/207</t>
  </si>
  <si>
    <t>134/151</t>
  </si>
  <si>
    <t>67/103</t>
  </si>
  <si>
    <t>176/206</t>
  </si>
  <si>
    <t>175/207</t>
  </si>
  <si>
    <t>137/151</t>
  </si>
  <si>
    <t>113/129</t>
  </si>
  <si>
    <t>1315/1877</t>
  </si>
  <si>
    <t>1086/1956</t>
  </si>
  <si>
    <t>1548/1915</t>
  </si>
  <si>
    <t>874/1770</t>
  </si>
  <si>
    <t>1095/1372</t>
  </si>
  <si>
    <t>631/1112</t>
  </si>
  <si>
    <t>663/906</t>
  </si>
  <si>
    <t>367/1877</t>
  </si>
  <si>
    <t>1273/1956</t>
  </si>
  <si>
    <t>1414/1915</t>
  </si>
  <si>
    <t>399/1770</t>
  </si>
  <si>
    <t>1286/1372</t>
  </si>
  <si>
    <t>1043/1112</t>
  </si>
  <si>
    <t>823/906</t>
  </si>
  <si>
    <t>1445/1877</t>
  </si>
  <si>
    <t>832/1956</t>
  </si>
  <si>
    <t>1107/1915</t>
  </si>
  <si>
    <t>1297/1770</t>
  </si>
  <si>
    <t>1074/1372</t>
  </si>
  <si>
    <t>973/1112</t>
  </si>
  <si>
    <t>832/906</t>
  </si>
  <si>
    <t>92/246</t>
  </si>
  <si>
    <t>113/220</t>
  </si>
  <si>
    <t>86/203</t>
  </si>
  <si>
    <t>65/177</t>
  </si>
  <si>
    <t>146/246</t>
  </si>
  <si>
    <t>147/246</t>
  </si>
  <si>
    <t>178/203</t>
  </si>
  <si>
    <t>38/177</t>
  </si>
  <si>
    <t>162/246</t>
  </si>
  <si>
    <t>141/246</t>
  </si>
  <si>
    <t>211/244</t>
  </si>
  <si>
    <t>190/220</t>
  </si>
  <si>
    <t>172/203</t>
  </si>
  <si>
    <t>161/246</t>
  </si>
  <si>
    <t>191/220</t>
  </si>
  <si>
    <t>171/203</t>
  </si>
  <si>
    <t>197/246</t>
  </si>
  <si>
    <t>145/220</t>
  </si>
  <si>
    <t>133/203</t>
  </si>
  <si>
    <t>138/244</t>
  </si>
  <si>
    <t>160/220</t>
  </si>
  <si>
    <t>141/203</t>
  </si>
  <si>
    <t>236/246</t>
  </si>
  <si>
    <t>143/246</t>
  </si>
  <si>
    <t>235/246</t>
  </si>
  <si>
    <t>197/220</t>
  </si>
  <si>
    <t>191/203</t>
  </si>
  <si>
    <t>118/156</t>
  </si>
  <si>
    <t>99/157</t>
  </si>
  <si>
    <t>96/157</t>
  </si>
  <si>
    <t>139/154</t>
  </si>
  <si>
    <t>107/133</t>
  </si>
  <si>
    <t>112/119</t>
  </si>
  <si>
    <t>73/99</t>
  </si>
  <si>
    <t>108/133</t>
  </si>
  <si>
    <t>113/119</t>
  </si>
  <si>
    <t>846/1021</t>
  </si>
  <si>
    <t>359/1060</t>
  </si>
  <si>
    <t>375/1050</t>
  </si>
  <si>
    <t>674/966</t>
  </si>
  <si>
    <t>739/782</t>
  </si>
  <si>
    <t>532/641</t>
  </si>
  <si>
    <t>442/537</t>
  </si>
  <si>
    <t>174/373</t>
  </si>
  <si>
    <t>71/382</t>
  </si>
  <si>
    <t>165/377</t>
  </si>
  <si>
    <t>95/366</t>
  </si>
  <si>
    <t>107/294</t>
  </si>
  <si>
    <t>92/233</t>
  </si>
  <si>
    <t>154/267</t>
  </si>
  <si>
    <t>79/269</t>
  </si>
  <si>
    <t>63/269</t>
  </si>
  <si>
    <t>122/263</t>
  </si>
  <si>
    <t>146/234</t>
  </si>
  <si>
    <t>107/196</t>
  </si>
  <si>
    <t>3876/4345</t>
  </si>
  <si>
    <t>3394/4572</t>
  </si>
  <si>
    <t>3764/4495</t>
  </si>
  <si>
    <t>3148/4016</t>
  </si>
  <si>
    <t>1698/2981</t>
  </si>
  <si>
    <t>1586/2184</t>
  </si>
  <si>
    <t>833/1651</t>
  </si>
  <si>
    <t>1434/2377</t>
  </si>
  <si>
    <t>1392/2457</t>
  </si>
  <si>
    <t>1487/2422</t>
  </si>
  <si>
    <t>1330/2253</t>
  </si>
  <si>
    <t>1335/1747</t>
  </si>
  <si>
    <t>1051/1242</t>
  </si>
  <si>
    <t>3215/4345</t>
  </si>
  <si>
    <t>3031/4572</t>
  </si>
  <si>
    <t>3666/4495</t>
  </si>
  <si>
    <t>2500/4016</t>
  </si>
  <si>
    <t>1570/2981</t>
  </si>
  <si>
    <t>972/2184</t>
  </si>
  <si>
    <t>792/1651</t>
  </si>
  <si>
    <t>723/732</t>
  </si>
  <si>
    <t>655/770</t>
  </si>
  <si>
    <t>751/761</t>
  </si>
  <si>
    <t>538/699</t>
  </si>
  <si>
    <t>419/605</t>
  </si>
  <si>
    <t>424/498</t>
  </si>
  <si>
    <t>327/393</t>
  </si>
  <si>
    <t>313/395</t>
  </si>
  <si>
    <t>301/437</t>
  </si>
  <si>
    <t>342/424</t>
  </si>
  <si>
    <t>232/366</t>
  </si>
  <si>
    <t>162/288</t>
  </si>
  <si>
    <t>181/255</t>
  </si>
  <si>
    <t>99/223</t>
  </si>
  <si>
    <t>241/254</t>
  </si>
  <si>
    <t>101/254</t>
  </si>
  <si>
    <t>212/235</t>
  </si>
  <si>
    <t>162/189</t>
  </si>
  <si>
    <t>793/1686</t>
  </si>
  <si>
    <t>1179/1752</t>
  </si>
  <si>
    <t>871/1730</t>
  </si>
  <si>
    <t>1144/1565</t>
  </si>
  <si>
    <t>600/1201</t>
  </si>
  <si>
    <t>566/932</t>
  </si>
  <si>
    <t>356/726</t>
  </si>
  <si>
    <t>170/324</t>
  </si>
  <si>
    <t>82/327</t>
  </si>
  <si>
    <t>138/325</t>
  </si>
  <si>
    <t>162/316</t>
  </si>
  <si>
    <t>215/258</t>
  </si>
  <si>
    <t>141/180</t>
  </si>
  <si>
    <t>116/141</t>
  </si>
  <si>
    <t>94/312</t>
  </si>
  <si>
    <t>276/320</t>
  </si>
  <si>
    <t>98/316</t>
  </si>
  <si>
    <t>61/309</t>
  </si>
  <si>
    <t>76/270</t>
  </si>
  <si>
    <t>118/238</t>
  </si>
  <si>
    <t>229/905</t>
  </si>
  <si>
    <t>92/936</t>
  </si>
  <si>
    <t>288/926</t>
  </si>
  <si>
    <t>240/820</t>
  </si>
  <si>
    <t>570/882</t>
  </si>
  <si>
    <t>417/948</t>
  </si>
  <si>
    <t>384/921</t>
  </si>
  <si>
    <t>648/843</t>
  </si>
  <si>
    <t>263/692</t>
  </si>
  <si>
    <t>165/577</t>
  </si>
  <si>
    <t>179/454</t>
  </si>
  <si>
    <t>30/36</t>
  </si>
  <si>
    <t>24/29</t>
  </si>
  <si>
    <t>325/539</t>
  </si>
  <si>
    <t>342/548</t>
  </si>
  <si>
    <t>317/546</t>
  </si>
  <si>
    <t>325/530</t>
  </si>
  <si>
    <t>339/483</t>
  </si>
  <si>
    <t>148/548</t>
  </si>
  <si>
    <t>99/546</t>
  </si>
  <si>
    <t>120/530</t>
  </si>
  <si>
    <t>166/483</t>
  </si>
  <si>
    <t>207/410</t>
  </si>
  <si>
    <t>162/318</t>
  </si>
  <si>
    <t>19/120</t>
  </si>
  <si>
    <t>22/123</t>
  </si>
  <si>
    <t>21/122</t>
  </si>
  <si>
    <t>24/114</t>
  </si>
  <si>
    <t>41/94</t>
  </si>
  <si>
    <t>32/78</t>
  </si>
  <si>
    <t>18/120</t>
  </si>
  <si>
    <t>20/122</t>
  </si>
  <si>
    <t>23/114</t>
  </si>
  <si>
    <t>152/407</t>
  </si>
  <si>
    <t>142/415</t>
  </si>
  <si>
    <t>150/411</t>
  </si>
  <si>
    <t>116/396</t>
  </si>
  <si>
    <t>100/362</t>
  </si>
  <si>
    <t>62/333</t>
  </si>
  <si>
    <t>42/265</t>
  </si>
  <si>
    <t>97/407</t>
  </si>
  <si>
    <t>93/411</t>
  </si>
  <si>
    <t>94/396</t>
  </si>
  <si>
    <t>72/362</t>
  </si>
  <si>
    <t>34/333</t>
  </si>
  <si>
    <t>176/415</t>
  </si>
  <si>
    <t>174/411</t>
  </si>
  <si>
    <t>152/396</t>
  </si>
  <si>
    <t>133/362</t>
  </si>
  <si>
    <t>356/407</t>
  </si>
  <si>
    <t>326/415</t>
  </si>
  <si>
    <t>350/396</t>
  </si>
  <si>
    <t>319/362</t>
  </si>
  <si>
    <t>296/333</t>
  </si>
  <si>
    <t>229/265</t>
  </si>
  <si>
    <t>355/407</t>
  </si>
  <si>
    <t>325/415</t>
  </si>
  <si>
    <t>351/411</t>
  </si>
  <si>
    <t>349/396</t>
  </si>
  <si>
    <t>318/362</t>
  </si>
  <si>
    <t>295/333</t>
  </si>
  <si>
    <t>212/265</t>
  </si>
  <si>
    <t>250/539</t>
  </si>
  <si>
    <t>216/548</t>
  </si>
  <si>
    <t>220/546</t>
  </si>
  <si>
    <t>289/530</t>
  </si>
  <si>
    <t>249/483</t>
  </si>
  <si>
    <t>194/410</t>
  </si>
  <si>
    <t>135/539</t>
  </si>
  <si>
    <t>114/548</t>
  </si>
  <si>
    <t>108/546</t>
  </si>
  <si>
    <t>159/530</t>
  </si>
  <si>
    <t>88/483</t>
  </si>
  <si>
    <t>118/410</t>
  </si>
  <si>
    <t>96/318</t>
  </si>
  <si>
    <t>78/539</t>
  </si>
  <si>
    <t>83/548</t>
  </si>
  <si>
    <t>79/546</t>
  </si>
  <si>
    <t>74/530</t>
  </si>
  <si>
    <t>327/539</t>
  </si>
  <si>
    <t>312/546</t>
  </si>
  <si>
    <t>346/530</t>
  </si>
  <si>
    <t>328/483</t>
  </si>
  <si>
    <t>165/279</t>
  </si>
  <si>
    <t>79/288</t>
  </si>
  <si>
    <t>94/282</t>
  </si>
  <si>
    <t>171/275</t>
  </si>
  <si>
    <t>196/237</t>
  </si>
  <si>
    <t>120/189</t>
  </si>
  <si>
    <t>194/279</t>
  </si>
  <si>
    <t>82/288</t>
  </si>
  <si>
    <t>113/282</t>
  </si>
  <si>
    <t>186/275</t>
  </si>
  <si>
    <t>213/237</t>
  </si>
  <si>
    <t>141/189</t>
  </si>
  <si>
    <t>92/139</t>
  </si>
  <si>
    <t>31/229</t>
  </si>
  <si>
    <t>14/238</t>
  </si>
  <si>
    <t>17/235</t>
  </si>
  <si>
    <t>38/194</t>
  </si>
  <si>
    <t>65/163</t>
  </si>
  <si>
    <t>34/111</t>
  </si>
  <si>
    <t>41/229</t>
  </si>
  <si>
    <t>18/238</t>
  </si>
  <si>
    <t>27/235</t>
  </si>
  <si>
    <t>68/220</t>
  </si>
  <si>
    <t>98/194</t>
  </si>
  <si>
    <t>86/163</t>
  </si>
  <si>
    <t>304/1138</t>
  </si>
  <si>
    <t>243/1170</t>
  </si>
  <si>
    <t>286/1161</t>
  </si>
  <si>
    <t>346/1100</t>
  </si>
  <si>
    <t>701/932</t>
  </si>
  <si>
    <t>710/749</t>
  </si>
  <si>
    <t>493/524</t>
  </si>
  <si>
    <t>464/740</t>
  </si>
  <si>
    <t>96/754</t>
  </si>
  <si>
    <t>186/750</t>
  </si>
  <si>
    <t>548/722</t>
  </si>
  <si>
    <t>270/641</t>
  </si>
  <si>
    <t>175/557</t>
  </si>
  <si>
    <t>230/414</t>
  </si>
  <si>
    <t>465/740</t>
  </si>
  <si>
    <t>95/754</t>
  </si>
  <si>
    <t>188/750</t>
  </si>
  <si>
    <t>549/722</t>
  </si>
  <si>
    <t>269/641</t>
  </si>
  <si>
    <t>174/557</t>
  </si>
  <si>
    <t>229/414</t>
  </si>
  <si>
    <t>333/740</t>
  </si>
  <si>
    <t>85/754</t>
  </si>
  <si>
    <t>142/750</t>
  </si>
  <si>
    <t>460/722</t>
  </si>
  <si>
    <t>135/641</t>
  </si>
  <si>
    <t>84/557</t>
  </si>
  <si>
    <t>109/182</t>
  </si>
  <si>
    <t>8/188</t>
  </si>
  <si>
    <t>29/184</t>
  </si>
  <si>
    <t>126/171</t>
  </si>
  <si>
    <t>45/91</t>
  </si>
  <si>
    <t>170/172</t>
  </si>
  <si>
    <t>14/178</t>
  </si>
  <si>
    <t>7/169</t>
  </si>
  <si>
    <t>145/156</t>
  </si>
  <si>
    <t>75/144</t>
  </si>
  <si>
    <t>68/105</t>
  </si>
  <si>
    <t>172/172</t>
  </si>
  <si>
    <t>16/178</t>
  </si>
  <si>
    <t>168/177</t>
  </si>
  <si>
    <t>22/169</t>
  </si>
  <si>
    <t>152/156</t>
  </si>
  <si>
    <t>111/144</t>
  </si>
  <si>
    <t>94/105</t>
  </si>
  <si>
    <t>318/1123</t>
  </si>
  <si>
    <t>203/1170</t>
  </si>
  <si>
    <t>270/1151</t>
  </si>
  <si>
    <t>507/1045</t>
  </si>
  <si>
    <t>327/865</t>
  </si>
  <si>
    <t>54/716</t>
  </si>
  <si>
    <t>318/494</t>
  </si>
  <si>
    <t>933/1356</t>
  </si>
  <si>
    <t>408/1397</t>
  </si>
  <si>
    <t>707/1383</t>
  </si>
  <si>
    <t>718/1313</t>
  </si>
  <si>
    <t>693/1170</t>
  </si>
  <si>
    <t>369/1007</t>
  </si>
  <si>
    <t>502/823</t>
  </si>
  <si>
    <t>932/1356</t>
  </si>
  <si>
    <t>419/1397</t>
  </si>
  <si>
    <t>709/1383</t>
  </si>
  <si>
    <t>722/1313</t>
  </si>
  <si>
    <t>696/1170</t>
  </si>
  <si>
    <t>371/1007</t>
  </si>
  <si>
    <t>504/823</t>
  </si>
  <si>
    <t>427/1356</t>
  </si>
  <si>
    <t>258/1397</t>
  </si>
  <si>
    <t>494/1383</t>
  </si>
  <si>
    <t>328/1313</t>
  </si>
  <si>
    <t>760/1170</t>
  </si>
  <si>
    <t>586/1007</t>
  </si>
  <si>
    <t>687/823</t>
  </si>
  <si>
    <t>437/1356</t>
  </si>
  <si>
    <t>260/1397</t>
  </si>
  <si>
    <t>498/1383</t>
  </si>
  <si>
    <t>989/1170</t>
  </si>
  <si>
    <t>762/1007</t>
  </si>
  <si>
    <t>801/823</t>
  </si>
  <si>
    <t>438/1356</t>
  </si>
  <si>
    <t>259/1397</t>
  </si>
  <si>
    <t>499/1383</t>
  </si>
  <si>
    <t>335/1313</t>
  </si>
  <si>
    <t>793/1170</t>
  </si>
  <si>
    <t>488/1007</t>
  </si>
  <si>
    <t>672/823</t>
  </si>
  <si>
    <t>425/1356</t>
  </si>
  <si>
    <t>261/1397</t>
  </si>
  <si>
    <t>500/1383</t>
  </si>
  <si>
    <t>334/1313</t>
  </si>
  <si>
    <t>785/1170</t>
  </si>
  <si>
    <t>489/1007</t>
  </si>
  <si>
    <t>669/823</t>
  </si>
  <si>
    <t>327/1356</t>
  </si>
  <si>
    <t>186/1397</t>
  </si>
  <si>
    <t>127/1383</t>
  </si>
  <si>
    <t>666/1313</t>
  </si>
  <si>
    <t>181/1170</t>
  </si>
  <si>
    <t>65/1007</t>
  </si>
  <si>
    <t>388/823</t>
  </si>
  <si>
    <t>1333/2490</t>
  </si>
  <si>
    <t>597/2614</t>
  </si>
  <si>
    <t>756/2574</t>
  </si>
  <si>
    <t>1841/2299</t>
  </si>
  <si>
    <t>1277/1650</t>
  </si>
  <si>
    <t>481/663</t>
  </si>
  <si>
    <t>110/686</t>
  </si>
  <si>
    <t>356/679</t>
  </si>
  <si>
    <t>550/621</t>
  </si>
  <si>
    <t>969/1720</t>
  </si>
  <si>
    <t>932/1802</t>
  </si>
  <si>
    <t>390/1779</t>
  </si>
  <si>
    <t>1098/1599</t>
  </si>
  <si>
    <t>978/1720</t>
  </si>
  <si>
    <t>403/1779</t>
  </si>
  <si>
    <t>1101/1599</t>
  </si>
  <si>
    <t>1100/1599</t>
  </si>
  <si>
    <t>979/1720</t>
  </si>
  <si>
    <t>1102/1599</t>
  </si>
  <si>
    <t>160/431</t>
  </si>
  <si>
    <t>249/450</t>
  </si>
  <si>
    <t>198/443</t>
  </si>
  <si>
    <t>129/341</t>
  </si>
  <si>
    <t>128/308</t>
  </si>
  <si>
    <t>93/431</t>
  </si>
  <si>
    <t>163/450</t>
  </si>
  <si>
    <t>122/443</t>
  </si>
  <si>
    <t>65/407</t>
  </si>
  <si>
    <t>64/341</t>
  </si>
  <si>
    <t>94/308</t>
  </si>
  <si>
    <t>265/431</t>
  </si>
  <si>
    <t>242/450</t>
  </si>
  <si>
    <t>263/443</t>
  </si>
  <si>
    <t>169/341</t>
  </si>
  <si>
    <t>161/308</t>
  </si>
  <si>
    <t>201/431</t>
  </si>
  <si>
    <t>185/450</t>
  </si>
  <si>
    <t>206/443</t>
  </si>
  <si>
    <t>183/407</t>
  </si>
  <si>
    <t>114/341</t>
  </si>
  <si>
    <t>134/308</t>
  </si>
  <si>
    <t>354/431</t>
  </si>
  <si>
    <t>338/450</t>
  </si>
  <si>
    <t>362/443</t>
  </si>
  <si>
    <t>332/407</t>
  </si>
  <si>
    <t>274/341</t>
  </si>
  <si>
    <t>240/308</t>
  </si>
  <si>
    <t>227/246</t>
  </si>
  <si>
    <t>243/246</t>
  </si>
  <si>
    <t>234/246</t>
  </si>
  <si>
    <t>174/244</t>
  </si>
  <si>
    <t>194/203</t>
  </si>
  <si>
    <t>2191/4580</t>
  </si>
  <si>
    <t>2582/4723</t>
  </si>
  <si>
    <t>2695/4658</t>
  </si>
  <si>
    <t>2590/4427</t>
  </si>
  <si>
    <t>2799/3396</t>
  </si>
  <si>
    <t>2277/2721</t>
  </si>
  <si>
    <t>1884/2374</t>
  </si>
  <si>
    <t>116/4580</t>
  </si>
  <si>
    <t>477/4723</t>
  </si>
  <si>
    <t>32/4658</t>
  </si>
  <si>
    <t>258/4427</t>
  </si>
  <si>
    <t>56/3396</t>
  </si>
  <si>
    <t>32/2721</t>
  </si>
  <si>
    <t>2/2374</t>
  </si>
  <si>
    <t>543/597</t>
  </si>
  <si>
    <t>104/585</t>
  </si>
  <si>
    <t>146/554</t>
  </si>
  <si>
    <t>327/453</t>
  </si>
  <si>
    <t>200/362</t>
  </si>
  <si>
    <t>41/576</t>
  </si>
  <si>
    <t>526/597</t>
  </si>
  <si>
    <t>68/585</t>
  </si>
  <si>
    <t>131/554</t>
  </si>
  <si>
    <t>242/453</t>
  </si>
  <si>
    <t>152/362</t>
  </si>
  <si>
    <t>258/297</t>
  </si>
  <si>
    <t>592/1720</t>
  </si>
  <si>
    <t>865/1802</t>
  </si>
  <si>
    <t>449/1779</t>
  </si>
  <si>
    <t>816/1599</t>
  </si>
  <si>
    <t>493/1164</t>
  </si>
  <si>
    <t>322/875</t>
  </si>
  <si>
    <t>889/1720</t>
  </si>
  <si>
    <t>887/1802</t>
  </si>
  <si>
    <t>353/1779</t>
  </si>
  <si>
    <t>1045/1599</t>
  </si>
  <si>
    <t>762/1164</t>
  </si>
  <si>
    <t>435/875</t>
  </si>
  <si>
    <t>1049/1720</t>
  </si>
  <si>
    <t>954/1802</t>
  </si>
  <si>
    <t>429/1779</t>
  </si>
  <si>
    <t>1196/1599</t>
  </si>
  <si>
    <t>898/1164</t>
  </si>
  <si>
    <t>534/875</t>
  </si>
  <si>
    <t>949/1720</t>
  </si>
  <si>
    <t>917/1802</t>
  </si>
  <si>
    <t>371/1779</t>
  </si>
  <si>
    <t>1082/1599</t>
  </si>
  <si>
    <t>816/1164</t>
  </si>
  <si>
    <t>950/1720</t>
  </si>
  <si>
    <t>904/1802</t>
  </si>
  <si>
    <t>369/1779</t>
  </si>
  <si>
    <t>1083/1599</t>
  </si>
  <si>
    <t>814/1164</t>
  </si>
  <si>
    <t>1093/1720</t>
  </si>
  <si>
    <t>982/1802</t>
  </si>
  <si>
    <t>448/1779</t>
  </si>
  <si>
    <t>1227/1599</t>
  </si>
  <si>
    <t>928/1164</t>
  </si>
  <si>
    <t>1090/1720</t>
  </si>
  <si>
    <t>976/1802</t>
  </si>
  <si>
    <t>446/1779</t>
  </si>
  <si>
    <t>1225/1599</t>
  </si>
  <si>
    <t>927/1164</t>
  </si>
  <si>
    <t>916/1720</t>
  </si>
  <si>
    <t>895/1802</t>
  </si>
  <si>
    <t>360/1779</t>
  </si>
  <si>
    <t>1059/1599</t>
  </si>
  <si>
    <t>781/1164</t>
  </si>
  <si>
    <t>1425/1720</t>
  </si>
  <si>
    <t>1774/1802</t>
  </si>
  <si>
    <t>1235/1779</t>
  </si>
  <si>
    <t>1268/1599</t>
  </si>
  <si>
    <t>244/878</t>
  </si>
  <si>
    <t>775/895</t>
  </si>
  <si>
    <t>744/891</t>
  </si>
  <si>
    <t>122/850</t>
  </si>
  <si>
    <t>242/772</t>
  </si>
  <si>
    <t>211/576</t>
  </si>
  <si>
    <t>114/878</t>
  </si>
  <si>
    <t>790/895</t>
  </si>
  <si>
    <t>476/891</t>
  </si>
  <si>
    <t>57/850</t>
  </si>
  <si>
    <t>106/772</t>
  </si>
  <si>
    <t>90/576</t>
  </si>
  <si>
    <t>144/878</t>
  </si>
  <si>
    <t>815/895</t>
  </si>
  <si>
    <t>654/891</t>
  </si>
  <si>
    <t>79/850</t>
  </si>
  <si>
    <t>100/772</t>
  </si>
  <si>
    <t>118/576</t>
  </si>
  <si>
    <t>117/878</t>
  </si>
  <si>
    <t>796/895</t>
  </si>
  <si>
    <t>589/891</t>
  </si>
  <si>
    <t>72/850</t>
  </si>
  <si>
    <t>71/772</t>
  </si>
  <si>
    <t>87/576</t>
  </si>
  <si>
    <t>209/878</t>
  </si>
  <si>
    <t>783/895</t>
  </si>
  <si>
    <t>669/891</t>
  </si>
  <si>
    <t>83/850</t>
  </si>
  <si>
    <t>69/772</t>
  </si>
  <si>
    <t>161/576</t>
  </si>
  <si>
    <t>124/878</t>
  </si>
  <si>
    <t>840/895</t>
  </si>
  <si>
    <t>655/891</t>
  </si>
  <si>
    <t>65/850</t>
  </si>
  <si>
    <t>60/772</t>
  </si>
  <si>
    <t>154/878</t>
  </si>
  <si>
    <t>875/895</t>
  </si>
  <si>
    <t>819/891</t>
  </si>
  <si>
    <t>91/850</t>
  </si>
  <si>
    <t>96/772</t>
  </si>
  <si>
    <t>199/878</t>
  </si>
  <si>
    <t>812/895</t>
  </si>
  <si>
    <t>816/891</t>
  </si>
  <si>
    <t>106/850</t>
  </si>
  <si>
    <t>101/772</t>
  </si>
  <si>
    <t>433/878</t>
  </si>
  <si>
    <t>848/895</t>
  </si>
  <si>
    <t>834/891</t>
  </si>
  <si>
    <t>115/850</t>
  </si>
  <si>
    <t>111/772</t>
  </si>
  <si>
    <t>276/878</t>
  </si>
  <si>
    <t>782/895</t>
  </si>
  <si>
    <t>789/891</t>
  </si>
  <si>
    <t>139/850</t>
  </si>
  <si>
    <t>343/772</t>
  </si>
  <si>
    <t>182/576</t>
  </si>
  <si>
    <t>113/878</t>
  </si>
  <si>
    <t>795/895</t>
  </si>
  <si>
    <t>576/891</t>
  </si>
  <si>
    <t>58/850</t>
  </si>
  <si>
    <t>198/772</t>
  </si>
  <si>
    <t>78/576</t>
  </si>
  <si>
    <t>141/878</t>
  </si>
  <si>
    <t>820/895</t>
  </si>
  <si>
    <t>679/891</t>
  </si>
  <si>
    <t>88/850</t>
  </si>
  <si>
    <t>256/772</t>
  </si>
  <si>
    <t>119/576</t>
  </si>
  <si>
    <t>142/878</t>
  </si>
  <si>
    <t>809/895</t>
  </si>
  <si>
    <t>660/891</t>
  </si>
  <si>
    <t>100/850</t>
  </si>
  <si>
    <t>160/772</t>
  </si>
  <si>
    <t>77/576</t>
  </si>
  <si>
    <t>171/878</t>
  </si>
  <si>
    <t>810/895</t>
  </si>
  <si>
    <t>731/891</t>
  </si>
  <si>
    <t>119/850</t>
  </si>
  <si>
    <t>144/772</t>
  </si>
  <si>
    <t>168/878</t>
  </si>
  <si>
    <t>823/895</t>
  </si>
  <si>
    <t>740/891</t>
  </si>
  <si>
    <t>150/850</t>
  </si>
  <si>
    <t>138/772</t>
  </si>
  <si>
    <t>174/878</t>
  </si>
  <si>
    <t>793/895</t>
  </si>
  <si>
    <t>657/891</t>
  </si>
  <si>
    <t>132/850</t>
  </si>
  <si>
    <t>90/772</t>
  </si>
  <si>
    <t>286/878</t>
  </si>
  <si>
    <t>788/895</t>
  </si>
  <si>
    <t>769/891</t>
  </si>
  <si>
    <t>151/850</t>
  </si>
  <si>
    <t>107/772</t>
  </si>
  <si>
    <t>451/878</t>
  </si>
  <si>
    <t>789/895</t>
  </si>
  <si>
    <t>809/891</t>
  </si>
  <si>
    <t>194/850</t>
  </si>
  <si>
    <t>120/772</t>
  </si>
  <si>
    <t>117/396</t>
  </si>
  <si>
    <t>133/451</t>
  </si>
  <si>
    <t>83/423</t>
  </si>
  <si>
    <t>337/396</t>
  </si>
  <si>
    <t>322/451</t>
  </si>
  <si>
    <t>346/423</t>
  </si>
  <si>
    <t>226/337</t>
  </si>
  <si>
    <t>1479/2490</t>
  </si>
  <si>
    <t>812/2614</t>
  </si>
  <si>
    <t>1152/2574</t>
  </si>
  <si>
    <t>1526/2299</t>
  </si>
  <si>
    <t>4114/4580</t>
  </si>
  <si>
    <t>3423/4723</t>
  </si>
  <si>
    <t>3981/4658</t>
  </si>
  <si>
    <t>4144/4427</t>
  </si>
  <si>
    <t>324/396</t>
  </si>
  <si>
    <t>305/451</t>
  </si>
  <si>
    <t>340/423</t>
  </si>
  <si>
    <t>206/337</t>
  </si>
  <si>
    <t>669/4580</t>
  </si>
  <si>
    <t>4348/4723</t>
  </si>
  <si>
    <t>3270/4658</t>
  </si>
  <si>
    <t>613/4427</t>
  </si>
  <si>
    <t>2285/3396</t>
  </si>
  <si>
    <t>459/2721</t>
  </si>
  <si>
    <t>982/2374</t>
  </si>
  <si>
    <t>325/591</t>
  </si>
  <si>
    <t>604/616</t>
  </si>
  <si>
    <t>413/600</t>
  </si>
  <si>
    <t>185/574</t>
  </si>
  <si>
    <t>258/489</t>
  </si>
  <si>
    <t>87/423</t>
  </si>
  <si>
    <t>133/353</t>
  </si>
  <si>
    <t>501/591</t>
  </si>
  <si>
    <t>548/616</t>
  </si>
  <si>
    <t>376/600</t>
  </si>
  <si>
    <t>473/574</t>
  </si>
  <si>
    <t>273/489</t>
  </si>
  <si>
    <t>156/423</t>
  </si>
  <si>
    <t>163/353</t>
  </si>
  <si>
    <t>478/591</t>
  </si>
  <si>
    <t>536/616</t>
  </si>
  <si>
    <t>354/600</t>
  </si>
  <si>
    <t>440/574</t>
  </si>
  <si>
    <t>217/489</t>
  </si>
  <si>
    <t>126/423</t>
  </si>
  <si>
    <t>136/353</t>
  </si>
  <si>
    <t>683/882</t>
  </si>
  <si>
    <t>903/948</t>
  </si>
  <si>
    <t>427/921</t>
  </si>
  <si>
    <t>657/843</t>
  </si>
  <si>
    <t>134/692</t>
  </si>
  <si>
    <t>56/577</t>
  </si>
  <si>
    <t>97/454</t>
  </si>
  <si>
    <t>651/882</t>
  </si>
  <si>
    <t>894/948</t>
  </si>
  <si>
    <t>379/921</t>
  </si>
  <si>
    <t>625/843</t>
  </si>
  <si>
    <t>105/692</t>
  </si>
  <si>
    <t>36/577</t>
  </si>
  <si>
    <t>77/454</t>
  </si>
  <si>
    <t>853/878</t>
  </si>
  <si>
    <t>575/895</t>
  </si>
  <si>
    <t>58/891</t>
  </si>
  <si>
    <t>604/850</t>
  </si>
  <si>
    <t>240/772</t>
  </si>
  <si>
    <t>237/576</t>
  </si>
  <si>
    <t>Togoinvest SICAV</t>
  </si>
  <si>
    <t>ES0179352036</t>
  </si>
  <si>
    <t>363/4580</t>
  </si>
  <si>
    <t>3268/4723</t>
  </si>
  <si>
    <t>432/4658</t>
  </si>
  <si>
    <t>786/4427</t>
  </si>
  <si>
    <t>2637/3396</t>
  </si>
  <si>
    <t>1967/2721</t>
  </si>
  <si>
    <t>1439/2374</t>
  </si>
  <si>
    <t>53/905</t>
  </si>
  <si>
    <t>309/936</t>
  </si>
  <si>
    <t>24/820</t>
  </si>
  <si>
    <t>46/905</t>
  </si>
  <si>
    <t>351/936</t>
  </si>
  <si>
    <t>126/926</t>
  </si>
  <si>
    <t>22/820</t>
  </si>
  <si>
    <t>148/905</t>
  </si>
  <si>
    <t>195/936</t>
  </si>
  <si>
    <t>188/926</t>
  </si>
  <si>
    <t>226/820</t>
  </si>
  <si>
    <t>114/905</t>
  </si>
  <si>
    <t>461/936</t>
  </si>
  <si>
    <t>277/926</t>
  </si>
  <si>
    <t>71/905</t>
  </si>
  <si>
    <t>654/936</t>
  </si>
  <si>
    <t>483/926</t>
  </si>
  <si>
    <t>26/820</t>
  </si>
  <si>
    <t>818/905</t>
  </si>
  <si>
    <t>729/936</t>
  </si>
  <si>
    <t>792/926</t>
  </si>
  <si>
    <t>Trianance 6 Ans N°3 C</t>
  </si>
  <si>
    <t>FR0013242450</t>
  </si>
  <si>
    <t>2021/4580</t>
  </si>
  <si>
    <t>2133/4723</t>
  </si>
  <si>
    <t>2101/4658</t>
  </si>
  <si>
    <t>2976/4427</t>
  </si>
  <si>
    <t>2734/3396</t>
  </si>
  <si>
    <t>2067/2721</t>
  </si>
  <si>
    <t>1930/2374</t>
  </si>
  <si>
    <t>76/84</t>
  </si>
  <si>
    <t>26/66</t>
  </si>
  <si>
    <t>84/84</t>
  </si>
  <si>
    <t>28/79</t>
  </si>
  <si>
    <t>25/66</t>
  </si>
  <si>
    <t>452/1356</t>
  </si>
  <si>
    <t>149/1397</t>
  </si>
  <si>
    <t>103/1383</t>
  </si>
  <si>
    <t>611/1313</t>
  </si>
  <si>
    <t>617/1170</t>
  </si>
  <si>
    <t>184/1007</t>
  </si>
  <si>
    <t>495/823</t>
  </si>
  <si>
    <t>449/1356</t>
  </si>
  <si>
    <t>137/1397</t>
  </si>
  <si>
    <t>100/1383</t>
  </si>
  <si>
    <t>606/1313</t>
  </si>
  <si>
    <t>613/1170</t>
  </si>
  <si>
    <t>180/1007</t>
  </si>
  <si>
    <t>496/823</t>
  </si>
  <si>
    <t>3111/4580</t>
  </si>
  <si>
    <t>1135/4723</t>
  </si>
  <si>
    <t>3870/4658</t>
  </si>
  <si>
    <t>2444/4427</t>
  </si>
  <si>
    <t>2027/3396</t>
  </si>
  <si>
    <t>2192/2721</t>
  </si>
  <si>
    <t>1898/2374</t>
  </si>
  <si>
    <t>525/891</t>
  </si>
  <si>
    <t>751/927</t>
  </si>
  <si>
    <t>610/913</t>
  </si>
  <si>
    <t>312/660</t>
  </si>
  <si>
    <t>866/891</t>
  </si>
  <si>
    <t>734/927</t>
  </si>
  <si>
    <t>869/913</t>
  </si>
  <si>
    <t>Acticcia 90 N11</t>
  </si>
  <si>
    <t>111/927</t>
  </si>
  <si>
    <t>729/891</t>
  </si>
  <si>
    <t>800/927</t>
  </si>
  <si>
    <t>790/913</t>
  </si>
  <si>
    <t>356/844</t>
  </si>
  <si>
    <t>354/660</t>
  </si>
  <si>
    <t>548/891</t>
  </si>
  <si>
    <t>716/927</t>
  </si>
  <si>
    <t>659/913</t>
  </si>
  <si>
    <t>264/844</t>
  </si>
  <si>
    <t>436/891</t>
  </si>
  <si>
    <t>673/927</t>
  </si>
  <si>
    <t>285/913</t>
  </si>
  <si>
    <t>281/844</t>
  </si>
  <si>
    <t>583/891</t>
  </si>
  <si>
    <t>707/927</t>
  </si>
  <si>
    <t>398/913</t>
  </si>
  <si>
    <t>389/844</t>
  </si>
  <si>
    <t>612/891</t>
  </si>
  <si>
    <t>652/927</t>
  </si>
  <si>
    <t>381/913</t>
  </si>
  <si>
    <t>463/844</t>
  </si>
  <si>
    <t>793/891</t>
  </si>
  <si>
    <t>706/927</t>
  </si>
  <si>
    <t>528/913</t>
  </si>
  <si>
    <t>559/844</t>
  </si>
  <si>
    <t>547/891</t>
  </si>
  <si>
    <t>749/927</t>
  </si>
  <si>
    <t>238/913</t>
  </si>
  <si>
    <t>766/844</t>
  </si>
  <si>
    <t>644/891</t>
  </si>
  <si>
    <t>775/927</t>
  </si>
  <si>
    <t>527/913</t>
  </si>
  <si>
    <t>401/589</t>
  </si>
  <si>
    <t>543/601</t>
  </si>
  <si>
    <t>508/599</t>
  </si>
  <si>
    <t>305/563</t>
  </si>
  <si>
    <t>97/497</t>
  </si>
  <si>
    <t>718/891</t>
  </si>
  <si>
    <t>658/927</t>
  </si>
  <si>
    <t>585/913</t>
  </si>
  <si>
    <t>500/844</t>
  </si>
  <si>
    <t>668/927</t>
  </si>
  <si>
    <t>303/913</t>
  </si>
  <si>
    <t>457/844</t>
  </si>
  <si>
    <t>678/891</t>
  </si>
  <si>
    <t>739/927</t>
  </si>
  <si>
    <t>342/913</t>
  </si>
  <si>
    <t>583/844</t>
  </si>
  <si>
    <t>510/891</t>
  </si>
  <si>
    <t>699/927</t>
  </si>
  <si>
    <t>289/913</t>
  </si>
  <si>
    <t>675/844</t>
  </si>
  <si>
    <t>770/891</t>
  </si>
  <si>
    <t>756/927</t>
  </si>
  <si>
    <t>593/913</t>
  </si>
  <si>
    <t>Acticcia Vie 90 N6 C</t>
  </si>
  <si>
    <t>745/927</t>
  </si>
  <si>
    <t>896/913</t>
  </si>
  <si>
    <t>FR0013218625</t>
  </si>
  <si>
    <t>Acticcia Vie 90 N7</t>
  </si>
  <si>
    <t>490/601</t>
  </si>
  <si>
    <t>552/599</t>
  </si>
  <si>
    <t>304/563</t>
  </si>
  <si>
    <t>99/497</t>
  </si>
  <si>
    <t>467/589</t>
  </si>
  <si>
    <t>522/601</t>
  </si>
  <si>
    <t>493/599</t>
  </si>
  <si>
    <t>343/563</t>
  </si>
  <si>
    <t>424/589</t>
  </si>
  <si>
    <t>503/601</t>
  </si>
  <si>
    <t>409/599</t>
  </si>
  <si>
    <t>344/563</t>
  </si>
  <si>
    <t>131/485</t>
  </si>
  <si>
    <t>377/504</t>
  </si>
  <si>
    <t>83/501</t>
  </si>
  <si>
    <t>288/461</t>
  </si>
  <si>
    <t>89/200</t>
  </si>
  <si>
    <t>884/2925</t>
  </si>
  <si>
    <t>2122/3022</t>
  </si>
  <si>
    <t>1500/2988</t>
  </si>
  <si>
    <t>1494/2797</t>
  </si>
  <si>
    <t>524/2188</t>
  </si>
  <si>
    <t>936/1809</t>
  </si>
  <si>
    <t>353/1139</t>
  </si>
  <si>
    <t>380/687</t>
  </si>
  <si>
    <t>514/697</t>
  </si>
  <si>
    <t>391/693</t>
  </si>
  <si>
    <t>484/672</t>
  </si>
  <si>
    <t>488/567</t>
  </si>
  <si>
    <t>381/455</t>
  </si>
  <si>
    <t>88/485</t>
  </si>
  <si>
    <t>453/504</t>
  </si>
  <si>
    <t>254/501</t>
  </si>
  <si>
    <t>78/461</t>
  </si>
  <si>
    <t>143/891</t>
  </si>
  <si>
    <t>820/927</t>
  </si>
  <si>
    <t>434/913</t>
  </si>
  <si>
    <t>33/844</t>
  </si>
  <si>
    <t>120/660</t>
  </si>
  <si>
    <t>72/441</t>
  </si>
  <si>
    <t>23/50</t>
  </si>
  <si>
    <t>14/194</t>
  </si>
  <si>
    <t>3/195</t>
  </si>
  <si>
    <t>7/195</t>
  </si>
  <si>
    <t>32/194</t>
  </si>
  <si>
    <t>147/252</t>
  </si>
  <si>
    <t>135/258</t>
  </si>
  <si>
    <t>178/257</t>
  </si>
  <si>
    <t>134/247</t>
  </si>
  <si>
    <t>168/216</t>
  </si>
  <si>
    <t>160/192</t>
  </si>
  <si>
    <t>4/179</t>
  </si>
  <si>
    <t>14/177</t>
  </si>
  <si>
    <t>56/158</t>
  </si>
  <si>
    <t>72/108</t>
  </si>
  <si>
    <t>46/83</t>
  </si>
  <si>
    <t>152/582</t>
  </si>
  <si>
    <t>147/593</t>
  </si>
  <si>
    <t>132/587</t>
  </si>
  <si>
    <t>136/577</t>
  </si>
  <si>
    <t>90/553</t>
  </si>
  <si>
    <t>140/521</t>
  </si>
  <si>
    <t>194/582</t>
  </si>
  <si>
    <t>157/593</t>
  </si>
  <si>
    <t>203/577</t>
  </si>
  <si>
    <t>140/553</t>
  </si>
  <si>
    <t>181/521</t>
  </si>
  <si>
    <t>86/362</t>
  </si>
  <si>
    <t>132/252</t>
  </si>
  <si>
    <t>102/258</t>
  </si>
  <si>
    <t>148/257</t>
  </si>
  <si>
    <t>132/247</t>
  </si>
  <si>
    <t>127/216</t>
  </si>
  <si>
    <t>152/192</t>
  </si>
  <si>
    <t>125/265</t>
  </si>
  <si>
    <t>80/293</t>
  </si>
  <si>
    <t>115/289</t>
  </si>
  <si>
    <t>103/187</t>
  </si>
  <si>
    <t>24/44</t>
  </si>
  <si>
    <t>Amundi Absolute Return Mix</t>
  </si>
  <si>
    <t>115/194</t>
  </si>
  <si>
    <t>81/195</t>
  </si>
  <si>
    <t>109/195</t>
  </si>
  <si>
    <t>105/194</t>
  </si>
  <si>
    <t>122/161</t>
  </si>
  <si>
    <t>87/119</t>
  </si>
  <si>
    <t>10/52</t>
  </si>
  <si>
    <t>74/237</t>
  </si>
  <si>
    <t>1739/2269</t>
  </si>
  <si>
    <t>1057/2344</t>
  </si>
  <si>
    <t>1630/2316</t>
  </si>
  <si>
    <t>1630/2167</t>
  </si>
  <si>
    <t>1548/2269</t>
  </si>
  <si>
    <t>961/2344</t>
  </si>
  <si>
    <t>1404/2316</t>
  </si>
  <si>
    <t>1580/2167</t>
  </si>
  <si>
    <t>1591/2269</t>
  </si>
  <si>
    <t>931/2344</t>
  </si>
  <si>
    <t>1301/2316</t>
  </si>
  <si>
    <t>1656/2167</t>
  </si>
  <si>
    <t>104/133</t>
  </si>
  <si>
    <t>85/133</t>
  </si>
  <si>
    <t>114/126</t>
  </si>
  <si>
    <t>60/113</t>
  </si>
  <si>
    <t>45/111</t>
  </si>
  <si>
    <t>62/113</t>
  </si>
  <si>
    <t>75/116</t>
  </si>
  <si>
    <t>52/111</t>
  </si>
  <si>
    <t>70/113</t>
  </si>
  <si>
    <t>71/116</t>
  </si>
  <si>
    <t>89/115</t>
  </si>
  <si>
    <t>61/111</t>
  </si>
  <si>
    <t>69/113</t>
  </si>
  <si>
    <t>96/115</t>
  </si>
  <si>
    <t>57/111</t>
  </si>
  <si>
    <t>1936/2269</t>
  </si>
  <si>
    <t>686/2344</t>
  </si>
  <si>
    <t>1119/2316</t>
  </si>
  <si>
    <t>1624/2269</t>
  </si>
  <si>
    <t>885/2344</t>
  </si>
  <si>
    <t>1299/2316</t>
  </si>
  <si>
    <t>1761/2167</t>
  </si>
  <si>
    <t>114/163</t>
  </si>
  <si>
    <t>104/163</t>
  </si>
  <si>
    <t>75/142</t>
  </si>
  <si>
    <t>63/99</t>
  </si>
  <si>
    <t>472/687</t>
  </si>
  <si>
    <t>463/697</t>
  </si>
  <si>
    <t>485/693</t>
  </si>
  <si>
    <t>426/672</t>
  </si>
  <si>
    <t>241/567</t>
  </si>
  <si>
    <t>226/455</t>
  </si>
  <si>
    <t>71/229</t>
  </si>
  <si>
    <t>Amundi Actions Euro - P (C)</t>
  </si>
  <si>
    <t>352/520</t>
  </si>
  <si>
    <t>227/525</t>
  </si>
  <si>
    <t>221/522</t>
  </si>
  <si>
    <t>338/427</t>
  </si>
  <si>
    <t>285/385</t>
  </si>
  <si>
    <t>195/520</t>
  </si>
  <si>
    <t>312/525</t>
  </si>
  <si>
    <t>271/522</t>
  </si>
  <si>
    <t>194/502</t>
  </si>
  <si>
    <t>161/427</t>
  </si>
  <si>
    <t>151/385</t>
  </si>
  <si>
    <t>169/273</t>
  </si>
  <si>
    <t>874/1184</t>
  </si>
  <si>
    <t>613/1210</t>
  </si>
  <si>
    <t>705/1199</t>
  </si>
  <si>
    <t>785/1144</t>
  </si>
  <si>
    <t>654/953</t>
  </si>
  <si>
    <t>527/843</t>
  </si>
  <si>
    <t>265/598</t>
  </si>
  <si>
    <t>503/1184</t>
  </si>
  <si>
    <t>789/1210</t>
  </si>
  <si>
    <t>640/1199</t>
  </si>
  <si>
    <t>335/953</t>
  </si>
  <si>
    <t>367/843</t>
  </si>
  <si>
    <t>325/598</t>
  </si>
  <si>
    <t>88/124</t>
  </si>
  <si>
    <t>103/125</t>
  </si>
  <si>
    <t>56/125</t>
  </si>
  <si>
    <t>92/113</t>
  </si>
  <si>
    <t>72/106</t>
  </si>
  <si>
    <t>40/70</t>
  </si>
  <si>
    <t>122/132</t>
  </si>
  <si>
    <t>89/132</t>
  </si>
  <si>
    <t>116/132</t>
  </si>
  <si>
    <t>94/126</t>
  </si>
  <si>
    <t>54/120</t>
  </si>
  <si>
    <t>61/132</t>
  </si>
  <si>
    <t>62/132</t>
  </si>
  <si>
    <t>30/126</t>
  </si>
  <si>
    <t>47/120</t>
  </si>
  <si>
    <t>2253/2925</t>
  </si>
  <si>
    <t>2148/3022</t>
  </si>
  <si>
    <t>2384/2988</t>
  </si>
  <si>
    <t>1883/2797</t>
  </si>
  <si>
    <t>782/2188</t>
  </si>
  <si>
    <t>823/1809</t>
  </si>
  <si>
    <t>594/1139</t>
  </si>
  <si>
    <t>2744/2925</t>
  </si>
  <si>
    <t>2812/3022</t>
  </si>
  <si>
    <t>2630/2988</t>
  </si>
  <si>
    <t>2758/2797</t>
  </si>
  <si>
    <t>2154/2188</t>
  </si>
  <si>
    <t>1775/1809</t>
  </si>
  <si>
    <t>1057/1184</t>
  </si>
  <si>
    <t>326/1210</t>
  </si>
  <si>
    <t>814/1199</t>
  </si>
  <si>
    <t>1091/1144</t>
  </si>
  <si>
    <t>282/953</t>
  </si>
  <si>
    <t>752/843</t>
  </si>
  <si>
    <t>43/80</t>
  </si>
  <si>
    <t>70/81</t>
  </si>
  <si>
    <t>64/80</t>
  </si>
  <si>
    <t>10/71</t>
  </si>
  <si>
    <t>18/69</t>
  </si>
  <si>
    <t>3/41</t>
  </si>
  <si>
    <t>2875/2925</t>
  </si>
  <si>
    <t>2390/3022</t>
  </si>
  <si>
    <t>2924/2988</t>
  </si>
  <si>
    <t>2411/2797</t>
  </si>
  <si>
    <t>344/1184</t>
  </si>
  <si>
    <t>806/1210</t>
  </si>
  <si>
    <t>857/1199</t>
  </si>
  <si>
    <t>352/1144</t>
  </si>
  <si>
    <t>312/953</t>
  </si>
  <si>
    <t>282/843</t>
  </si>
  <si>
    <t>421/598</t>
  </si>
  <si>
    <t>633/835</t>
  </si>
  <si>
    <t>624/853</t>
  </si>
  <si>
    <t>596/846</t>
  </si>
  <si>
    <t>557/799</t>
  </si>
  <si>
    <t>325/687</t>
  </si>
  <si>
    <t>318/589</t>
  </si>
  <si>
    <t>186/412</t>
  </si>
  <si>
    <t>541/751</t>
  </si>
  <si>
    <t>440/795</t>
  </si>
  <si>
    <t>277/783</t>
  </si>
  <si>
    <t>562/698</t>
  </si>
  <si>
    <t>497/575</t>
  </si>
  <si>
    <t>356/468</t>
  </si>
  <si>
    <t>122/835</t>
  </si>
  <si>
    <t>152/853</t>
  </si>
  <si>
    <t>43/846</t>
  </si>
  <si>
    <t>594/799</t>
  </si>
  <si>
    <t>659/687</t>
  </si>
  <si>
    <t>548/589</t>
  </si>
  <si>
    <t>400/412</t>
  </si>
  <si>
    <t>765/835</t>
  </si>
  <si>
    <t>753/853</t>
  </si>
  <si>
    <t>715/846</t>
  </si>
  <si>
    <t>663/799</t>
  </si>
  <si>
    <t>470/687</t>
  </si>
  <si>
    <t>431/589</t>
  </si>
  <si>
    <t>513/891</t>
  </si>
  <si>
    <t>563/927</t>
  </si>
  <si>
    <t>537/913</t>
  </si>
  <si>
    <t>569/891</t>
  </si>
  <si>
    <t>420/927</t>
  </si>
  <si>
    <t>317/913</t>
  </si>
  <si>
    <t>210/394</t>
  </si>
  <si>
    <t>315/395</t>
  </si>
  <si>
    <t>231/395</t>
  </si>
  <si>
    <t>196/390</t>
  </si>
  <si>
    <t>223/344</t>
  </si>
  <si>
    <t>206/294</t>
  </si>
  <si>
    <t>1771/2269</t>
  </si>
  <si>
    <t>1164/2344</t>
  </si>
  <si>
    <t>1520/2316</t>
  </si>
  <si>
    <t>1593/2167</t>
  </si>
  <si>
    <t>1685/2269</t>
  </si>
  <si>
    <t>1361/2344</t>
  </si>
  <si>
    <t>1542/2316</t>
  </si>
  <si>
    <t>1297/2167</t>
  </si>
  <si>
    <t>1597/2269</t>
  </si>
  <si>
    <t>1476/2344</t>
  </si>
  <si>
    <t>1724/2316</t>
  </si>
  <si>
    <t>1241/2167</t>
  </si>
  <si>
    <t>175/582</t>
  </si>
  <si>
    <t>153/593</t>
  </si>
  <si>
    <t>174/587</t>
  </si>
  <si>
    <t>174/577</t>
  </si>
  <si>
    <t>108/553</t>
  </si>
  <si>
    <t>160/521</t>
  </si>
  <si>
    <t>81/362</t>
  </si>
  <si>
    <t>198/582</t>
  </si>
  <si>
    <t>166/593</t>
  </si>
  <si>
    <t>195/587</t>
  </si>
  <si>
    <t>213/577</t>
  </si>
  <si>
    <t>168/553</t>
  </si>
  <si>
    <t>198/521</t>
  </si>
  <si>
    <t>99/362</t>
  </si>
  <si>
    <t>514/902</t>
  </si>
  <si>
    <t>438/961</t>
  </si>
  <si>
    <t>430/950</t>
  </si>
  <si>
    <t>597/838</t>
  </si>
  <si>
    <t>48/95</t>
  </si>
  <si>
    <t>52/95</t>
  </si>
  <si>
    <t>75/88</t>
  </si>
  <si>
    <t>51/56</t>
  </si>
  <si>
    <t>298/582</t>
  </si>
  <si>
    <t>202/593</t>
  </si>
  <si>
    <t>291/587</t>
  </si>
  <si>
    <t>291/577</t>
  </si>
  <si>
    <t>268/553</t>
  </si>
  <si>
    <t>233/521</t>
  </si>
  <si>
    <t>285/362</t>
  </si>
  <si>
    <t>5/49</t>
  </si>
  <si>
    <t>9/49</t>
  </si>
  <si>
    <t>19/31</t>
  </si>
  <si>
    <t>47/356</t>
  </si>
  <si>
    <t>77/363</t>
  </si>
  <si>
    <t>42/361</t>
  </si>
  <si>
    <t>55/350</t>
  </si>
  <si>
    <t>50/304</t>
  </si>
  <si>
    <t>51/256</t>
  </si>
  <si>
    <t>15/142</t>
  </si>
  <si>
    <t>63/356</t>
  </si>
  <si>
    <t>71/363</t>
  </si>
  <si>
    <t>58/361</t>
  </si>
  <si>
    <t>70/350</t>
  </si>
  <si>
    <t>107/304</t>
  </si>
  <si>
    <t>213/256</t>
  </si>
  <si>
    <t>96/142</t>
  </si>
  <si>
    <t>111/589</t>
  </si>
  <si>
    <t>371/601</t>
  </si>
  <si>
    <t>251/599</t>
  </si>
  <si>
    <t>95/563</t>
  </si>
  <si>
    <t>347/687</t>
  </si>
  <si>
    <t>337/697</t>
  </si>
  <si>
    <t>392/693</t>
  </si>
  <si>
    <t>333/672</t>
  </si>
  <si>
    <t>345/567</t>
  </si>
  <si>
    <t>176/237</t>
  </si>
  <si>
    <t>212/238</t>
  </si>
  <si>
    <t>202/237</t>
  </si>
  <si>
    <t>102/237</t>
  </si>
  <si>
    <t>146/179</t>
  </si>
  <si>
    <t>211/238</t>
  </si>
  <si>
    <t>105/237</t>
  </si>
  <si>
    <t>145/179</t>
  </si>
  <si>
    <t>200/238</t>
  </si>
  <si>
    <t>99/237</t>
  </si>
  <si>
    <t>150/179</t>
  </si>
  <si>
    <t>202/238</t>
  </si>
  <si>
    <t>96/237</t>
  </si>
  <si>
    <t>149/179</t>
  </si>
  <si>
    <t>226/259</t>
  </si>
  <si>
    <t>168/260</t>
  </si>
  <si>
    <t>207/260</t>
  </si>
  <si>
    <t>192/259</t>
  </si>
  <si>
    <t>172/205</t>
  </si>
  <si>
    <t>194/238</t>
  </si>
  <si>
    <t>161/237</t>
  </si>
  <si>
    <t>80/113</t>
  </si>
  <si>
    <t>85/116</t>
  </si>
  <si>
    <t>102/115</t>
  </si>
  <si>
    <t>23/48</t>
  </si>
  <si>
    <t>40/49</t>
  </si>
  <si>
    <t>17/48</t>
  </si>
  <si>
    <t>36/47</t>
  </si>
  <si>
    <t>5/42</t>
  </si>
  <si>
    <t>31/39</t>
  </si>
  <si>
    <t>13/16</t>
  </si>
  <si>
    <t>822/2269</t>
  </si>
  <si>
    <t>1401/2344</t>
  </si>
  <si>
    <t>1713/2316</t>
  </si>
  <si>
    <t>602/2167</t>
  </si>
  <si>
    <t>Amundi Equity Euro Conservative - I2 (C)</t>
  </si>
  <si>
    <t>469/525</t>
  </si>
  <si>
    <t>143/522</t>
  </si>
  <si>
    <t>517/1154</t>
  </si>
  <si>
    <t>176/1204</t>
  </si>
  <si>
    <t>430/1190</t>
  </si>
  <si>
    <t>594/1077</t>
  </si>
  <si>
    <t>662/813</t>
  </si>
  <si>
    <t>416/583</t>
  </si>
  <si>
    <t>167/238</t>
  </si>
  <si>
    <t>57/179</t>
  </si>
  <si>
    <t>33/109</t>
  </si>
  <si>
    <t>171/356</t>
  </si>
  <si>
    <t>317/363</t>
  </si>
  <si>
    <t>151/361</t>
  </si>
  <si>
    <t>141/350</t>
  </si>
  <si>
    <t>96/132</t>
  </si>
  <si>
    <t>41/126</t>
  </si>
  <si>
    <t>539/582</t>
  </si>
  <si>
    <t>505/593</t>
  </si>
  <si>
    <t>542/587</t>
  </si>
  <si>
    <t>539/577</t>
  </si>
  <si>
    <t>508/553</t>
  </si>
  <si>
    <t>456/521</t>
  </si>
  <si>
    <t>319/356</t>
  </si>
  <si>
    <t>350/363</t>
  </si>
  <si>
    <t>326/350</t>
  </si>
  <si>
    <t>160/304</t>
  </si>
  <si>
    <t>195/256</t>
  </si>
  <si>
    <t>232/356</t>
  </si>
  <si>
    <t>262/363</t>
  </si>
  <si>
    <t>260/361</t>
  </si>
  <si>
    <t>214/350</t>
  </si>
  <si>
    <t>204/304</t>
  </si>
  <si>
    <t>191/256</t>
  </si>
  <si>
    <t>305/356</t>
  </si>
  <si>
    <t>330/363</t>
  </si>
  <si>
    <t>299/361</t>
  </si>
  <si>
    <t>200/304</t>
  </si>
  <si>
    <t>198/256</t>
  </si>
  <si>
    <t>39/101</t>
  </si>
  <si>
    <t>9/108</t>
  </si>
  <si>
    <t>56/88</t>
  </si>
  <si>
    <t>32/69</t>
  </si>
  <si>
    <t>20/70</t>
  </si>
  <si>
    <t>20/69</t>
  </si>
  <si>
    <t>354/520</t>
  </si>
  <si>
    <t>415/525</t>
  </si>
  <si>
    <t>434/522</t>
  </si>
  <si>
    <t>210/502</t>
  </si>
  <si>
    <t>276/427</t>
  </si>
  <si>
    <t>178/385</t>
  </si>
  <si>
    <t>51/71</t>
  </si>
  <si>
    <t>42/75</t>
  </si>
  <si>
    <t>61/74</t>
  </si>
  <si>
    <t>37/41</t>
  </si>
  <si>
    <t>32/48</t>
  </si>
  <si>
    <t>97/100</t>
  </si>
  <si>
    <t>80/124</t>
  </si>
  <si>
    <t>99/125</t>
  </si>
  <si>
    <t>77/125</t>
  </si>
  <si>
    <t>75/124</t>
  </si>
  <si>
    <t>34/48</t>
  </si>
  <si>
    <t>17/47</t>
  </si>
  <si>
    <t>162/269</t>
  </si>
  <si>
    <t>270/281</t>
  </si>
  <si>
    <t>169/274</t>
  </si>
  <si>
    <t>246/253</t>
  </si>
  <si>
    <t>57/197</t>
  </si>
  <si>
    <t>56/152</t>
  </si>
  <si>
    <t>140/261</t>
  </si>
  <si>
    <t>157/264</t>
  </si>
  <si>
    <t>97/263</t>
  </si>
  <si>
    <t>174/259</t>
  </si>
  <si>
    <t>37/238</t>
  </si>
  <si>
    <t>27/198</t>
  </si>
  <si>
    <t>65/80</t>
  </si>
  <si>
    <t>59/80</t>
  </si>
  <si>
    <t>56/69</t>
  </si>
  <si>
    <t>199/261</t>
  </si>
  <si>
    <t>231/264</t>
  </si>
  <si>
    <t>165/263</t>
  </si>
  <si>
    <t>87/238</t>
  </si>
  <si>
    <t>125/198</t>
  </si>
  <si>
    <t>29/87</t>
  </si>
  <si>
    <t>62/87</t>
  </si>
  <si>
    <t>59/76</t>
  </si>
  <si>
    <t>49/69</t>
  </si>
  <si>
    <t>5/352</t>
  </si>
  <si>
    <t>21/336</t>
  </si>
  <si>
    <t>248/284</t>
  </si>
  <si>
    <t>193/345</t>
  </si>
  <si>
    <t>139/352</t>
  </si>
  <si>
    <t>193/349</t>
  </si>
  <si>
    <t>211/336</t>
  </si>
  <si>
    <t>46/661</t>
  </si>
  <si>
    <t>565/676</t>
  </si>
  <si>
    <t>66/669</t>
  </si>
  <si>
    <t>24/654</t>
  </si>
  <si>
    <t>47/573</t>
  </si>
  <si>
    <t>9/477</t>
  </si>
  <si>
    <t>62/661</t>
  </si>
  <si>
    <t>586/676</t>
  </si>
  <si>
    <t>239/669</t>
  </si>
  <si>
    <t>27/654</t>
  </si>
  <si>
    <t>135/573</t>
  </si>
  <si>
    <t>19/477</t>
  </si>
  <si>
    <t>225/661</t>
  </si>
  <si>
    <t>409/676</t>
  </si>
  <si>
    <t>472/669</t>
  </si>
  <si>
    <t>61/654</t>
  </si>
  <si>
    <t>19/573</t>
  </si>
  <si>
    <t>95/108</t>
  </si>
  <si>
    <t>106/111</t>
  </si>
  <si>
    <t>101/111</t>
  </si>
  <si>
    <t>8/155</t>
  </si>
  <si>
    <t>25/155</t>
  </si>
  <si>
    <t>28/155</t>
  </si>
  <si>
    <t>10/154</t>
  </si>
  <si>
    <t>67/150</t>
  </si>
  <si>
    <t>52/143</t>
  </si>
  <si>
    <t>9/22</t>
  </si>
  <si>
    <t>7/17</t>
  </si>
  <si>
    <t>26/87</t>
  </si>
  <si>
    <t>32/70</t>
  </si>
  <si>
    <t>306/687</t>
  </si>
  <si>
    <t>272/697</t>
  </si>
  <si>
    <t>283/693</t>
  </si>
  <si>
    <t>214/672</t>
  </si>
  <si>
    <t>201/567</t>
  </si>
  <si>
    <t>205/455</t>
  </si>
  <si>
    <t>47/118</t>
  </si>
  <si>
    <t>90/119</t>
  </si>
  <si>
    <t>23/100</t>
  </si>
  <si>
    <t>7/91</t>
  </si>
  <si>
    <t>201/520</t>
  </si>
  <si>
    <t>275/525</t>
  </si>
  <si>
    <t>277/522</t>
  </si>
  <si>
    <t>155/502</t>
  </si>
  <si>
    <t>128/427</t>
  </si>
  <si>
    <t>79/385</t>
  </si>
  <si>
    <t>10/78</t>
  </si>
  <si>
    <t>13/81</t>
  </si>
  <si>
    <t>49/70</t>
  </si>
  <si>
    <t>247/1184</t>
  </si>
  <si>
    <t>515/1210</t>
  </si>
  <si>
    <t>434/1199</t>
  </si>
  <si>
    <t>211/1144</t>
  </si>
  <si>
    <t>15/37</t>
  </si>
  <si>
    <t>41/98</t>
  </si>
  <si>
    <t>85/99</t>
  </si>
  <si>
    <t>20/86</t>
  </si>
  <si>
    <t>972/1184</t>
  </si>
  <si>
    <t>663/1210</t>
  </si>
  <si>
    <t>998/1199</t>
  </si>
  <si>
    <t>971/1144</t>
  </si>
  <si>
    <t>627/953</t>
  </si>
  <si>
    <t>612/843</t>
  </si>
  <si>
    <t>755/1184</t>
  </si>
  <si>
    <t>803/1210</t>
  </si>
  <si>
    <t>884/1199</t>
  </si>
  <si>
    <t>450/1144</t>
  </si>
  <si>
    <t>493/953</t>
  </si>
  <si>
    <t>401/843</t>
  </si>
  <si>
    <t>83/138</t>
  </si>
  <si>
    <t>92/140</t>
  </si>
  <si>
    <t>68/133</t>
  </si>
  <si>
    <t>74/108</t>
  </si>
  <si>
    <t>306/1184</t>
  </si>
  <si>
    <t>1005/1210</t>
  </si>
  <si>
    <t>604/1199</t>
  </si>
  <si>
    <t>919/1144</t>
  </si>
  <si>
    <t>178/953</t>
  </si>
  <si>
    <t>310/843</t>
  </si>
  <si>
    <t>41/120</t>
  </si>
  <si>
    <t>124/126</t>
  </si>
  <si>
    <t>31/123</t>
  </si>
  <si>
    <t>87/115</t>
  </si>
  <si>
    <t>92/98</t>
  </si>
  <si>
    <t>12/23</t>
  </si>
  <si>
    <t>221/247</t>
  </si>
  <si>
    <t>201/257</t>
  </si>
  <si>
    <t>233/253</t>
  </si>
  <si>
    <t>187/240</t>
  </si>
  <si>
    <t>126/173</t>
  </si>
  <si>
    <t>22/48</t>
  </si>
  <si>
    <t>19/48</t>
  </si>
  <si>
    <t>6/48</t>
  </si>
  <si>
    <t>25/45</t>
  </si>
  <si>
    <t>16/40</t>
  </si>
  <si>
    <t>584/1184</t>
  </si>
  <si>
    <t>227/1210</t>
  </si>
  <si>
    <t>912/1199</t>
  </si>
  <si>
    <t>851/1144</t>
  </si>
  <si>
    <t>300/1184</t>
  </si>
  <si>
    <t>1121/1210</t>
  </si>
  <si>
    <t>728/1199</t>
  </si>
  <si>
    <t>973/1144</t>
  </si>
  <si>
    <t>20/23</t>
  </si>
  <si>
    <t>18/21</t>
  </si>
  <si>
    <t>648/1184</t>
  </si>
  <si>
    <t>688/1210</t>
  </si>
  <si>
    <t>780/1199</t>
  </si>
  <si>
    <t>514/1144</t>
  </si>
  <si>
    <t>393/953</t>
  </si>
  <si>
    <t>313/843</t>
  </si>
  <si>
    <t>38/50</t>
  </si>
  <si>
    <t>8/50</t>
  </si>
  <si>
    <t>29/47</t>
  </si>
  <si>
    <t>38/45</t>
  </si>
  <si>
    <t>1032/1184</t>
  </si>
  <si>
    <t>344/1210</t>
  </si>
  <si>
    <t>1021/1199</t>
  </si>
  <si>
    <t>227/1144</t>
  </si>
  <si>
    <t>799/953</t>
  </si>
  <si>
    <t>525/843</t>
  </si>
  <si>
    <t>67/132</t>
  </si>
  <si>
    <t>31/126</t>
  </si>
  <si>
    <t>33/120</t>
  </si>
  <si>
    <t>62/99</t>
  </si>
  <si>
    <t>68/87</t>
  </si>
  <si>
    <t>71/89</t>
  </si>
  <si>
    <t>70/76</t>
  </si>
  <si>
    <t>29/48</t>
  </si>
  <si>
    <t>37/39</t>
  </si>
  <si>
    <t>239/345</t>
  </si>
  <si>
    <t>211/352</t>
  </si>
  <si>
    <t>244/349</t>
  </si>
  <si>
    <t>199/336</t>
  </si>
  <si>
    <t>163/284</t>
  </si>
  <si>
    <t>138/256</t>
  </si>
  <si>
    <t>13/17</t>
  </si>
  <si>
    <t>9/17</t>
  </si>
  <si>
    <t>31/90</t>
  </si>
  <si>
    <t>65/93</t>
  </si>
  <si>
    <t>56/91</t>
  </si>
  <si>
    <t>349/394</t>
  </si>
  <si>
    <t>123/395</t>
  </si>
  <si>
    <t>372/395</t>
  </si>
  <si>
    <t>299/344</t>
  </si>
  <si>
    <t>195/294</t>
  </si>
  <si>
    <t>11/73</t>
  </si>
  <si>
    <t>38/61</t>
  </si>
  <si>
    <t>111/201</t>
  </si>
  <si>
    <t>166/182</t>
  </si>
  <si>
    <t>115/134</t>
  </si>
  <si>
    <t>300/378</t>
  </si>
  <si>
    <t>262/382</t>
  </si>
  <si>
    <t>301/382</t>
  </si>
  <si>
    <t>313/371</t>
  </si>
  <si>
    <t>241/334</t>
  </si>
  <si>
    <t>281/835</t>
  </si>
  <si>
    <t>453/853</t>
  </si>
  <si>
    <t>354/846</t>
  </si>
  <si>
    <t>349/799</t>
  </si>
  <si>
    <t>116/687</t>
  </si>
  <si>
    <t>104/589</t>
  </si>
  <si>
    <t>64/98</t>
  </si>
  <si>
    <t>62/95</t>
  </si>
  <si>
    <t>2224/2925</t>
  </si>
  <si>
    <t>953/3022</t>
  </si>
  <si>
    <t>2473/2988</t>
  </si>
  <si>
    <t>1605/2797</t>
  </si>
  <si>
    <t>256/2188</t>
  </si>
  <si>
    <t>269/1809</t>
  </si>
  <si>
    <t>2351/2925</t>
  </si>
  <si>
    <t>698/3022</t>
  </si>
  <si>
    <t>2608/2988</t>
  </si>
  <si>
    <t>1532/2797</t>
  </si>
  <si>
    <t>117/2188</t>
  </si>
  <si>
    <t>169/1809</t>
  </si>
  <si>
    <t>11/81</t>
  </si>
  <si>
    <t>42/78</t>
  </si>
  <si>
    <t>1864/2925</t>
  </si>
  <si>
    <t>1005/3022</t>
  </si>
  <si>
    <t>2202/2988</t>
  </si>
  <si>
    <t>1262/2797</t>
  </si>
  <si>
    <t>1850/2925</t>
  </si>
  <si>
    <t>1248/3022</t>
  </si>
  <si>
    <t>2184/2988</t>
  </si>
  <si>
    <t>1284/2797</t>
  </si>
  <si>
    <t>346/2188</t>
  </si>
  <si>
    <t>272/1809</t>
  </si>
  <si>
    <t>112/118</t>
  </si>
  <si>
    <t>92/119</t>
  </si>
  <si>
    <t>114/118</t>
  </si>
  <si>
    <t>55/91</t>
  </si>
  <si>
    <t>431/1184</t>
  </si>
  <si>
    <t>974/1210</t>
  </si>
  <si>
    <t>391/1199</t>
  </si>
  <si>
    <t>1063/1144</t>
  </si>
  <si>
    <t>151/953</t>
  </si>
  <si>
    <t>46/835</t>
  </si>
  <si>
    <t>845/853</t>
  </si>
  <si>
    <t>178/846</t>
  </si>
  <si>
    <t>16/799</t>
  </si>
  <si>
    <t>3/687</t>
  </si>
  <si>
    <t>4/589</t>
  </si>
  <si>
    <t>18/113</t>
  </si>
  <si>
    <t>55/110</t>
  </si>
  <si>
    <t>23/101</t>
  </si>
  <si>
    <t>41/81</t>
  </si>
  <si>
    <t>563/835</t>
  </si>
  <si>
    <t>91/853</t>
  </si>
  <si>
    <t>499/846</t>
  </si>
  <si>
    <t>91/799</t>
  </si>
  <si>
    <t>309/835</t>
  </si>
  <si>
    <t>445/853</t>
  </si>
  <si>
    <t>351/846</t>
  </si>
  <si>
    <t>346/799</t>
  </si>
  <si>
    <t>86/687</t>
  </si>
  <si>
    <t>81/589</t>
  </si>
  <si>
    <t>11/54</t>
  </si>
  <si>
    <t>4/55</t>
  </si>
  <si>
    <t>11/55</t>
  </si>
  <si>
    <t>9/54</t>
  </si>
  <si>
    <t>459/661</t>
  </si>
  <si>
    <t>122/676</t>
  </si>
  <si>
    <t>355/669</t>
  </si>
  <si>
    <t>544/654</t>
  </si>
  <si>
    <t>442/573</t>
  </si>
  <si>
    <t>410/477</t>
  </si>
  <si>
    <t>450/661</t>
  </si>
  <si>
    <t>113/676</t>
  </si>
  <si>
    <t>274/669</t>
  </si>
  <si>
    <t>538/654</t>
  </si>
  <si>
    <t>408/573</t>
  </si>
  <si>
    <t>339/661</t>
  </si>
  <si>
    <t>191/676</t>
  </si>
  <si>
    <t>100/669</t>
  </si>
  <si>
    <t>498/654</t>
  </si>
  <si>
    <t>475/573</t>
  </si>
  <si>
    <t>423/477</t>
  </si>
  <si>
    <t>465/661</t>
  </si>
  <si>
    <t>319/676</t>
  </si>
  <si>
    <t>477/669</t>
  </si>
  <si>
    <t>235/654</t>
  </si>
  <si>
    <t>179/573</t>
  </si>
  <si>
    <t>216/477</t>
  </si>
  <si>
    <t>771/1184</t>
  </si>
  <si>
    <t>929/1210</t>
  </si>
  <si>
    <t>987/1199</t>
  </si>
  <si>
    <t>797/1144</t>
  </si>
  <si>
    <t>661/953</t>
  </si>
  <si>
    <t>628/843</t>
  </si>
  <si>
    <t>575/1184</t>
  </si>
  <si>
    <t>722/1210</t>
  </si>
  <si>
    <t>723/1199</t>
  </si>
  <si>
    <t>500/1144</t>
  </si>
  <si>
    <t>341/953</t>
  </si>
  <si>
    <t>252/843</t>
  </si>
  <si>
    <t>5/8</t>
  </si>
  <si>
    <t>6/8</t>
  </si>
  <si>
    <t>90/164</t>
  </si>
  <si>
    <t>163/168</t>
  </si>
  <si>
    <t>148/153</t>
  </si>
  <si>
    <t>21/131</t>
  </si>
  <si>
    <t>26/59</t>
  </si>
  <si>
    <t>25/59</t>
  </si>
  <si>
    <t>349/582</t>
  </si>
  <si>
    <t>439/593</t>
  </si>
  <si>
    <t>455/587</t>
  </si>
  <si>
    <t>343/577</t>
  </si>
  <si>
    <t>444/553</t>
  </si>
  <si>
    <t>407/521</t>
  </si>
  <si>
    <t>1475/2269</t>
  </si>
  <si>
    <t>1314/2344</t>
  </si>
  <si>
    <t>1693/2316</t>
  </si>
  <si>
    <t>1151/2167</t>
  </si>
  <si>
    <t>1035/1706</t>
  </si>
  <si>
    <t>969/1286</t>
  </si>
  <si>
    <t>34/113</t>
  </si>
  <si>
    <t>19/111</t>
  </si>
  <si>
    <t>22/76</t>
  </si>
  <si>
    <t>472/485</t>
  </si>
  <si>
    <t>16/504</t>
  </si>
  <si>
    <t>455/501</t>
  </si>
  <si>
    <t>372/378</t>
  </si>
  <si>
    <t>310/323</t>
  </si>
  <si>
    <t>145/1154</t>
  </si>
  <si>
    <t>457/1204</t>
  </si>
  <si>
    <t>316/1190</t>
  </si>
  <si>
    <t>124/1077</t>
  </si>
  <si>
    <t>457/813</t>
  </si>
  <si>
    <t>42/583</t>
  </si>
  <si>
    <t>517/2269</t>
  </si>
  <si>
    <t>124/2344</t>
  </si>
  <si>
    <t>226/2316</t>
  </si>
  <si>
    <t>265/2167</t>
  </si>
  <si>
    <t>1015/1706</t>
  </si>
  <si>
    <t>155/1286</t>
  </si>
  <si>
    <t>5/30</t>
  </si>
  <si>
    <t>10/29</t>
  </si>
  <si>
    <t>1881/2269</t>
  </si>
  <si>
    <t>382/2344</t>
  </si>
  <si>
    <t>1000/2316</t>
  </si>
  <si>
    <t>1870/2167</t>
  </si>
  <si>
    <t>1110/1706</t>
  </si>
  <si>
    <t>502/1286</t>
  </si>
  <si>
    <t>1858/2269</t>
  </si>
  <si>
    <t>169/2344</t>
  </si>
  <si>
    <t>1117/2316</t>
  </si>
  <si>
    <t>1685/2167</t>
  </si>
  <si>
    <t>1189/1706</t>
  </si>
  <si>
    <t>280/1286</t>
  </si>
  <si>
    <t>1902/2269</t>
  </si>
  <si>
    <t>383/2344</t>
  </si>
  <si>
    <t>1225/2316</t>
  </si>
  <si>
    <t>1723/2167</t>
  </si>
  <si>
    <t>1009/1706</t>
  </si>
  <si>
    <t>411/1286</t>
  </si>
  <si>
    <t>16/29</t>
  </si>
  <si>
    <t>112/113</t>
  </si>
  <si>
    <t>108/116</t>
  </si>
  <si>
    <t>73/76</t>
  </si>
  <si>
    <t>1/902</t>
  </si>
  <si>
    <t>87/961</t>
  </si>
  <si>
    <t>98/950</t>
  </si>
  <si>
    <t>1/838</t>
  </si>
  <si>
    <t>47/649</t>
  </si>
  <si>
    <t>136/521</t>
  </si>
  <si>
    <t>13/113</t>
  </si>
  <si>
    <t>81/116</t>
  </si>
  <si>
    <t>16/115</t>
  </si>
  <si>
    <t>11/111</t>
  </si>
  <si>
    <t>27/76</t>
  </si>
  <si>
    <t>39/113</t>
  </si>
  <si>
    <t>3/116</t>
  </si>
  <si>
    <t>1/111</t>
  </si>
  <si>
    <t>40/76</t>
  </si>
  <si>
    <t>1797/2269</t>
  </si>
  <si>
    <t>418/2344</t>
  </si>
  <si>
    <t>1250/2316</t>
  </si>
  <si>
    <t>1782/2167</t>
  </si>
  <si>
    <t>1559/1706</t>
  </si>
  <si>
    <t>1135/1286</t>
  </si>
  <si>
    <t>10/113</t>
  </si>
  <si>
    <t>64/116</t>
  </si>
  <si>
    <t>22/115</t>
  </si>
  <si>
    <t>11/76</t>
  </si>
  <si>
    <t>5/113</t>
  </si>
  <si>
    <t>2/116</t>
  </si>
  <si>
    <t>2/115</t>
  </si>
  <si>
    <t>6/111</t>
  </si>
  <si>
    <t>18/76</t>
  </si>
  <si>
    <t>106/116</t>
  </si>
  <si>
    <t>9/115</t>
  </si>
  <si>
    <t>2/111</t>
  </si>
  <si>
    <t>23/76</t>
  </si>
  <si>
    <t>1101/2269</t>
  </si>
  <si>
    <t>1409/2344</t>
  </si>
  <si>
    <t>1320/2316</t>
  </si>
  <si>
    <t>840/2167</t>
  </si>
  <si>
    <t>1577/1706</t>
  </si>
  <si>
    <t>1169/1286</t>
  </si>
  <si>
    <t>113/116</t>
  </si>
  <si>
    <t>115/115</t>
  </si>
  <si>
    <t>23/111</t>
  </si>
  <si>
    <t>65/76</t>
  </si>
  <si>
    <t>1144/2269</t>
  </si>
  <si>
    <t>65/2344</t>
  </si>
  <si>
    <t>636/2316</t>
  </si>
  <si>
    <t>618/2167</t>
  </si>
  <si>
    <t>650/1706</t>
  </si>
  <si>
    <t>153/261</t>
  </si>
  <si>
    <t>107/264</t>
  </si>
  <si>
    <t>72/263</t>
  </si>
  <si>
    <t>110/238</t>
  </si>
  <si>
    <t>56/127</t>
  </si>
  <si>
    <t>220/520</t>
  </si>
  <si>
    <t>224/525</t>
  </si>
  <si>
    <t>212/522</t>
  </si>
  <si>
    <t>307/427</t>
  </si>
  <si>
    <t>180/385</t>
  </si>
  <si>
    <t>431/751</t>
  </si>
  <si>
    <t>55/795</t>
  </si>
  <si>
    <t>164/783</t>
  </si>
  <si>
    <t>537/698</t>
  </si>
  <si>
    <t>523/575</t>
  </si>
  <si>
    <t>452/468</t>
  </si>
  <si>
    <t>339/644</t>
  </si>
  <si>
    <t>321/661</t>
  </si>
  <si>
    <t>193/654</t>
  </si>
  <si>
    <t>424/628</t>
  </si>
  <si>
    <t>166/545</t>
  </si>
  <si>
    <t>106/463</t>
  </si>
  <si>
    <t>332/1184</t>
  </si>
  <si>
    <t>360/1210</t>
  </si>
  <si>
    <t>410/1199</t>
  </si>
  <si>
    <t>410/1144</t>
  </si>
  <si>
    <t>704/953</t>
  </si>
  <si>
    <t>638/843</t>
  </si>
  <si>
    <t>469/598</t>
  </si>
  <si>
    <t>108/118</t>
  </si>
  <si>
    <t>28/119</t>
  </si>
  <si>
    <t>68/118</t>
  </si>
  <si>
    <t>74/100</t>
  </si>
  <si>
    <t>78/91</t>
  </si>
  <si>
    <t>867/1184</t>
  </si>
  <si>
    <t>499/1210</t>
  </si>
  <si>
    <t>494/1199</t>
  </si>
  <si>
    <t>636/1144</t>
  </si>
  <si>
    <t>603/953</t>
  </si>
  <si>
    <t>414/843</t>
  </si>
  <si>
    <t>632/2925</t>
  </si>
  <si>
    <t>2456/3022</t>
  </si>
  <si>
    <t>709/2988</t>
  </si>
  <si>
    <t>675/2797</t>
  </si>
  <si>
    <t>1643/2188</t>
  </si>
  <si>
    <t>991/1809</t>
  </si>
  <si>
    <t>925/1139</t>
  </si>
  <si>
    <t>7/34</t>
  </si>
  <si>
    <t>12/16</t>
  </si>
  <si>
    <t>9/34</t>
  </si>
  <si>
    <t>12/29</t>
  </si>
  <si>
    <t>14/21</t>
  </si>
  <si>
    <t>11/16</t>
  </si>
  <si>
    <t>28/30</t>
  </si>
  <si>
    <t>15/16</t>
  </si>
  <si>
    <t>Amundi Fds Bd Euro High Yield Short Term - AE (D)</t>
  </si>
  <si>
    <t>36/108</t>
  </si>
  <si>
    <t>87/105</t>
  </si>
  <si>
    <t>86/257</t>
  </si>
  <si>
    <t>95/271</t>
  </si>
  <si>
    <t>41/265</t>
  </si>
  <si>
    <t>28/222</t>
  </si>
  <si>
    <t>61/751</t>
  </si>
  <si>
    <t>68/795</t>
  </si>
  <si>
    <t>42/783</t>
  </si>
  <si>
    <t>152/698</t>
  </si>
  <si>
    <t>13/34</t>
  </si>
  <si>
    <t>353/644</t>
  </si>
  <si>
    <t>133/661</t>
  </si>
  <si>
    <t>147/654</t>
  </si>
  <si>
    <t>266/628</t>
  </si>
  <si>
    <t>259/545</t>
  </si>
  <si>
    <t>64/463</t>
  </si>
  <si>
    <t>220/300</t>
  </si>
  <si>
    <t>72/356</t>
  </si>
  <si>
    <t>89/363</t>
  </si>
  <si>
    <t>60/361</t>
  </si>
  <si>
    <t>78/350</t>
  </si>
  <si>
    <t>154/304</t>
  </si>
  <si>
    <t>127/256</t>
  </si>
  <si>
    <t>86/142</t>
  </si>
  <si>
    <t>10/48</t>
  </si>
  <si>
    <t>9/47</t>
  </si>
  <si>
    <t>126/261</t>
  </si>
  <si>
    <t>38/264</t>
  </si>
  <si>
    <t>23/263</t>
  </si>
  <si>
    <t>145/259</t>
  </si>
  <si>
    <t>75/238</t>
  </si>
  <si>
    <t>28/198</t>
  </si>
  <si>
    <t>45/101</t>
  </si>
  <si>
    <t>24/105</t>
  </si>
  <si>
    <t>58/99</t>
  </si>
  <si>
    <t>34/67</t>
  </si>
  <si>
    <t>63/69</t>
  </si>
  <si>
    <t>22/69</t>
  </si>
  <si>
    <t>44/161</t>
  </si>
  <si>
    <t>113/159</t>
  </si>
  <si>
    <t>25/269</t>
  </si>
  <si>
    <t>102/281</t>
  </si>
  <si>
    <t>37/274</t>
  </si>
  <si>
    <t>87/253</t>
  </si>
  <si>
    <t>128/197</t>
  </si>
  <si>
    <t>86/152</t>
  </si>
  <si>
    <t>65/92</t>
  </si>
  <si>
    <t>71/88</t>
  </si>
  <si>
    <t>643/1154</t>
  </si>
  <si>
    <t>607/1204</t>
  </si>
  <si>
    <t>781/1190</t>
  </si>
  <si>
    <t>762/1077</t>
  </si>
  <si>
    <t>126/813</t>
  </si>
  <si>
    <t>39/583</t>
  </si>
  <si>
    <t>21/317</t>
  </si>
  <si>
    <t>6/24</t>
  </si>
  <si>
    <t>133/163</t>
  </si>
  <si>
    <t>132/171</t>
  </si>
  <si>
    <t>138/170</t>
  </si>
  <si>
    <t>101/155</t>
  </si>
  <si>
    <t>8/81</t>
  </si>
  <si>
    <t>101/168</t>
  </si>
  <si>
    <t>140/171</t>
  </si>
  <si>
    <t>115/169</t>
  </si>
  <si>
    <t>129/165</t>
  </si>
  <si>
    <t>86/130</t>
  </si>
  <si>
    <t>58/89</t>
  </si>
  <si>
    <t>104/274</t>
  </si>
  <si>
    <t>43/253</t>
  </si>
  <si>
    <t>103/197</t>
  </si>
  <si>
    <t>82/152</t>
  </si>
  <si>
    <t>50/92</t>
  </si>
  <si>
    <t>201/231</t>
  </si>
  <si>
    <t>198/240</t>
  </si>
  <si>
    <t>192/237</t>
  </si>
  <si>
    <t>70/217</t>
  </si>
  <si>
    <t>1/46</t>
  </si>
  <si>
    <t>35/48</t>
  </si>
  <si>
    <t>26/48</t>
  </si>
  <si>
    <t>730/1154</t>
  </si>
  <si>
    <t>815/1204</t>
  </si>
  <si>
    <t>967/1190</t>
  </si>
  <si>
    <t>768/1077</t>
  </si>
  <si>
    <t>82/813</t>
  </si>
  <si>
    <t>25/583</t>
  </si>
  <si>
    <t>11/317</t>
  </si>
  <si>
    <t>41/164</t>
  </si>
  <si>
    <t>69/168</t>
  </si>
  <si>
    <t>49/153</t>
  </si>
  <si>
    <t>27/95</t>
  </si>
  <si>
    <t>19/103</t>
  </si>
  <si>
    <t>51/164</t>
  </si>
  <si>
    <t>99/168</t>
  </si>
  <si>
    <t>39/131</t>
  </si>
  <si>
    <t>26/109</t>
  </si>
  <si>
    <t>383/582</t>
  </si>
  <si>
    <t>401/593</t>
  </si>
  <si>
    <t>395/587</t>
  </si>
  <si>
    <t>386/577</t>
  </si>
  <si>
    <t>392/553</t>
  </si>
  <si>
    <t>374/521</t>
  </si>
  <si>
    <t>173/362</t>
  </si>
  <si>
    <t>14/130</t>
  </si>
  <si>
    <t>16/131</t>
  </si>
  <si>
    <t>12/128</t>
  </si>
  <si>
    <t>9/119</t>
  </si>
  <si>
    <t>11/87</t>
  </si>
  <si>
    <t>17/97</t>
  </si>
  <si>
    <t>66/88</t>
  </si>
  <si>
    <t>54/76</t>
  </si>
  <si>
    <t>58/95</t>
  </si>
  <si>
    <t>88/97</t>
  </si>
  <si>
    <t>67/95</t>
  </si>
  <si>
    <t>74/88</t>
  </si>
  <si>
    <t>62/76</t>
  </si>
  <si>
    <t>46/141</t>
  </si>
  <si>
    <t>43/144</t>
  </si>
  <si>
    <t>54/144</t>
  </si>
  <si>
    <t>Amundi Fds CPR Equity Global Gold Mines - AU (C)</t>
  </si>
  <si>
    <t>72/81</t>
  </si>
  <si>
    <t>33/81</t>
  </si>
  <si>
    <t>62/71</t>
  </si>
  <si>
    <t>Amundi Fds CPR Global Resources - AU (C)</t>
  </si>
  <si>
    <t>2863/2925</t>
  </si>
  <si>
    <t>2987/3022</t>
  </si>
  <si>
    <t>2935/2988</t>
  </si>
  <si>
    <t>2763/2797</t>
  </si>
  <si>
    <t>2071/2188</t>
  </si>
  <si>
    <t>1737/1809</t>
  </si>
  <si>
    <t>Amundi Fds Credit Unconstrained - AE (C)</t>
  </si>
  <si>
    <t>27/85</t>
  </si>
  <si>
    <t>14/82</t>
  </si>
  <si>
    <t>22/55</t>
  </si>
  <si>
    <t>26/44</t>
  </si>
  <si>
    <t>3/27</t>
  </si>
  <si>
    <t>125/394</t>
  </si>
  <si>
    <t>138/395</t>
  </si>
  <si>
    <t>122/395</t>
  </si>
  <si>
    <t>189/390</t>
  </si>
  <si>
    <t>145/394</t>
  </si>
  <si>
    <t>80/395</t>
  </si>
  <si>
    <t>111/395</t>
  </si>
  <si>
    <t>162/344</t>
  </si>
  <si>
    <t>158/294</t>
  </si>
  <si>
    <t>150/198</t>
  </si>
  <si>
    <t>21/22</t>
  </si>
  <si>
    <t>15/20</t>
  </si>
  <si>
    <t>617/687</t>
  </si>
  <si>
    <t>609/697</t>
  </si>
  <si>
    <t>526/693</t>
  </si>
  <si>
    <t>652/672</t>
  </si>
  <si>
    <t>484/567</t>
  </si>
  <si>
    <t>415/687</t>
  </si>
  <si>
    <t>550/697</t>
  </si>
  <si>
    <t>393/693</t>
  </si>
  <si>
    <t>561/672</t>
  </si>
  <si>
    <t>145/567</t>
  </si>
  <si>
    <t>482/687</t>
  </si>
  <si>
    <t>467/697</t>
  </si>
  <si>
    <t>496/693</t>
  </si>
  <si>
    <t>438/672</t>
  </si>
  <si>
    <t>254/567</t>
  </si>
  <si>
    <t>227/455</t>
  </si>
  <si>
    <t>Amundi Fds Equity Euro Concentrated - AE (C)</t>
  </si>
  <si>
    <t>345/520</t>
  </si>
  <si>
    <t>212/525</t>
  </si>
  <si>
    <t>233/522</t>
  </si>
  <si>
    <t>347/502</t>
  </si>
  <si>
    <t>321/427</t>
  </si>
  <si>
    <t>263/385</t>
  </si>
  <si>
    <t>142/520</t>
  </si>
  <si>
    <t>445/525</t>
  </si>
  <si>
    <t>189/522</t>
  </si>
  <si>
    <t>301/502</t>
  </si>
  <si>
    <t>37/75</t>
  </si>
  <si>
    <t>48/69</t>
  </si>
  <si>
    <t>35/58</t>
  </si>
  <si>
    <t>877/1184</t>
  </si>
  <si>
    <t>588/1210</t>
  </si>
  <si>
    <t>703/1199</t>
  </si>
  <si>
    <t>777/1144</t>
  </si>
  <si>
    <t>649/953</t>
  </si>
  <si>
    <t>519/843</t>
  </si>
  <si>
    <t>508/1184</t>
  </si>
  <si>
    <t>992/1210</t>
  </si>
  <si>
    <t>546/1199</t>
  </si>
  <si>
    <t>756/1144</t>
  </si>
  <si>
    <t>93/953</t>
  </si>
  <si>
    <t>245/843</t>
  </si>
  <si>
    <t>177/247</t>
  </si>
  <si>
    <t>221/257</t>
  </si>
  <si>
    <t>178/253</t>
  </si>
  <si>
    <t>167/203</t>
  </si>
  <si>
    <t>137/173</t>
  </si>
  <si>
    <t>110/126</t>
  </si>
  <si>
    <t>2720/2925</t>
  </si>
  <si>
    <t>2394/3022</t>
  </si>
  <si>
    <t>2689/2988</t>
  </si>
  <si>
    <t>2305/2797</t>
  </si>
  <si>
    <t>1508/2188</t>
  </si>
  <si>
    <t>1537/1809</t>
  </si>
  <si>
    <t>2036/2925</t>
  </si>
  <si>
    <t>2689/3022</t>
  </si>
  <si>
    <t>2614/2988</t>
  </si>
  <si>
    <t>1714/2797</t>
  </si>
  <si>
    <t>581/2188</t>
  </si>
  <si>
    <t>2324/2925</t>
  </si>
  <si>
    <t>2681/3022</t>
  </si>
  <si>
    <t>2343/2988</t>
  </si>
  <si>
    <t>2206/2797</t>
  </si>
  <si>
    <t>437/2188</t>
  </si>
  <si>
    <t>140/163</t>
  </si>
  <si>
    <t>138/172</t>
  </si>
  <si>
    <t>136/169</t>
  </si>
  <si>
    <t>128/155</t>
  </si>
  <si>
    <t>49/71</t>
  </si>
  <si>
    <t>57/65</t>
  </si>
  <si>
    <t>36/60</t>
  </si>
  <si>
    <t>10/87</t>
  </si>
  <si>
    <t>36/76</t>
  </si>
  <si>
    <t>22/68</t>
  </si>
  <si>
    <t>132/345</t>
  </si>
  <si>
    <t>71/352</t>
  </si>
  <si>
    <t>92/349</t>
  </si>
  <si>
    <t>57/336</t>
  </si>
  <si>
    <t>120/284</t>
  </si>
  <si>
    <t>162/256</t>
  </si>
  <si>
    <t>23/198</t>
  </si>
  <si>
    <t>163/345</t>
  </si>
  <si>
    <t>268/352</t>
  </si>
  <si>
    <t>128/349</t>
  </si>
  <si>
    <t>67/284</t>
  </si>
  <si>
    <t>157/256</t>
  </si>
  <si>
    <t>60/87</t>
  </si>
  <si>
    <t>9/30</t>
  </si>
  <si>
    <t>2/9</t>
  </si>
  <si>
    <t>3/9</t>
  </si>
  <si>
    <t>15/835</t>
  </si>
  <si>
    <t>279/853</t>
  </si>
  <si>
    <t>89/846</t>
  </si>
  <si>
    <t>514/799</t>
  </si>
  <si>
    <t>290/687</t>
  </si>
  <si>
    <t>403/589</t>
  </si>
  <si>
    <t>83/412</t>
  </si>
  <si>
    <t>696/835</t>
  </si>
  <si>
    <t>65/853</t>
  </si>
  <si>
    <t>616/846</t>
  </si>
  <si>
    <t>224/799</t>
  </si>
  <si>
    <t>542/687</t>
  </si>
  <si>
    <t>302/589</t>
  </si>
  <si>
    <t>345/412</t>
  </si>
  <si>
    <t>129/257</t>
  </si>
  <si>
    <t>30/271</t>
  </si>
  <si>
    <t>94/265</t>
  </si>
  <si>
    <t>169/222</t>
  </si>
  <si>
    <t>100/125</t>
  </si>
  <si>
    <t>66/70</t>
  </si>
  <si>
    <t>21/24</t>
  </si>
  <si>
    <t>Amundi Fds Global Perspectives - AE (C)</t>
  </si>
  <si>
    <t>1308/2269</t>
  </si>
  <si>
    <t>919/2344</t>
  </si>
  <si>
    <t>864/2316</t>
  </si>
  <si>
    <t>1787/2167</t>
  </si>
  <si>
    <t>1381/1706</t>
  </si>
  <si>
    <t>1178/1286</t>
  </si>
  <si>
    <t>Amundi Fds Multi Asset Conservative - AE (C)</t>
  </si>
  <si>
    <t>19/162</t>
  </si>
  <si>
    <t>43/162</t>
  </si>
  <si>
    <t>438/891</t>
  </si>
  <si>
    <t>404/927</t>
  </si>
  <si>
    <t>318/913</t>
  </si>
  <si>
    <t>573/844</t>
  </si>
  <si>
    <t>Amundi Fds SBI FM Equity India - AU (C)</t>
  </si>
  <si>
    <t>19/87</t>
  </si>
  <si>
    <t>54/89</t>
  </si>
  <si>
    <t>29/89</t>
  </si>
  <si>
    <t>42/76</t>
  </si>
  <si>
    <t>Amundi Fds Sbi Fm Equity India Select - AU (C)</t>
  </si>
  <si>
    <t>74/89</t>
  </si>
  <si>
    <t>79/89</t>
  </si>
  <si>
    <t>48/76</t>
  </si>
  <si>
    <t>31/43</t>
  </si>
  <si>
    <t>78/108</t>
  </si>
  <si>
    <t>6/109</t>
  </si>
  <si>
    <t>41/751</t>
  </si>
  <si>
    <t>16/795</t>
  </si>
  <si>
    <t>35/783</t>
  </si>
  <si>
    <t>46/698</t>
  </si>
  <si>
    <t>26/261</t>
  </si>
  <si>
    <t>30/264</t>
  </si>
  <si>
    <t>45/263</t>
  </si>
  <si>
    <t>43/259</t>
  </si>
  <si>
    <t>17/198</t>
  </si>
  <si>
    <t>72/127</t>
  </si>
  <si>
    <t>Amundi FTSE 100 UCITS ETF - GBP (C)</t>
  </si>
  <si>
    <t>294/378</t>
  </si>
  <si>
    <t>232/382</t>
  </si>
  <si>
    <t>286/382</t>
  </si>
  <si>
    <t>328/371</t>
  </si>
  <si>
    <t>260/307</t>
  </si>
  <si>
    <t>1034/1210</t>
  </si>
  <si>
    <t>394/1199</t>
  </si>
  <si>
    <t>589/628</t>
  </si>
  <si>
    <t>423/629</t>
  </si>
  <si>
    <t>445/629</t>
  </si>
  <si>
    <t>604/628</t>
  </si>
  <si>
    <t>506/607</t>
  </si>
  <si>
    <t>438/548</t>
  </si>
  <si>
    <t>45/347</t>
  </si>
  <si>
    <t>523/628</t>
  </si>
  <si>
    <t>85/629</t>
  </si>
  <si>
    <t>320/629</t>
  </si>
  <si>
    <t>553/628</t>
  </si>
  <si>
    <t>575/607</t>
  </si>
  <si>
    <t>518/548</t>
  </si>
  <si>
    <t>233/347</t>
  </si>
  <si>
    <t>912/1154</t>
  </si>
  <si>
    <t>1103/1204</t>
  </si>
  <si>
    <t>843/1190</t>
  </si>
  <si>
    <t>993/1077</t>
  </si>
  <si>
    <t>221/813</t>
  </si>
  <si>
    <t>448/583</t>
  </si>
  <si>
    <t>113/317</t>
  </si>
  <si>
    <t>36/231</t>
  </si>
  <si>
    <t>95/240</t>
  </si>
  <si>
    <t>60/237</t>
  </si>
  <si>
    <t>127/174</t>
  </si>
  <si>
    <t>84/105</t>
  </si>
  <si>
    <t>70/99</t>
  </si>
  <si>
    <t>84/88</t>
  </si>
  <si>
    <t>Amundi Global Infrastructure - UCITS ETF (C)</t>
  </si>
  <si>
    <t>1006/3022</t>
  </si>
  <si>
    <t>LU1589350310</t>
  </si>
  <si>
    <t>13/21</t>
  </si>
  <si>
    <t>10/16</t>
  </si>
  <si>
    <t>18/85</t>
  </si>
  <si>
    <t>27/82</t>
  </si>
  <si>
    <t>1624/2925</t>
  </si>
  <si>
    <t>2737/3022</t>
  </si>
  <si>
    <t>1473/2988</t>
  </si>
  <si>
    <t>2437/2797</t>
  </si>
  <si>
    <t>232/2188</t>
  </si>
  <si>
    <t>67/171</t>
  </si>
  <si>
    <t>99/179</t>
  </si>
  <si>
    <t>41/177</t>
  </si>
  <si>
    <t>Amundi Harmonie (C)</t>
  </si>
  <si>
    <t>1568/2269</t>
  </si>
  <si>
    <t>689/2344</t>
  </si>
  <si>
    <t>558/2316</t>
  </si>
  <si>
    <t>1804/2167</t>
  </si>
  <si>
    <t>900/1706</t>
  </si>
  <si>
    <t>546/1286</t>
  </si>
  <si>
    <t>81/486</t>
  </si>
  <si>
    <t>482/520</t>
  </si>
  <si>
    <t>64/525</t>
  </si>
  <si>
    <t>303/522</t>
  </si>
  <si>
    <t>485/502</t>
  </si>
  <si>
    <t>283/427</t>
  </si>
  <si>
    <t>15/21</t>
  </si>
  <si>
    <t>13/20</t>
  </si>
  <si>
    <t>1738/2925</t>
  </si>
  <si>
    <t>919/3022</t>
  </si>
  <si>
    <t>1663/2988</t>
  </si>
  <si>
    <t>2078/2797</t>
  </si>
  <si>
    <t>463/1154</t>
  </si>
  <si>
    <t>577/1204</t>
  </si>
  <si>
    <t>254/1190</t>
  </si>
  <si>
    <t>271/356</t>
  </si>
  <si>
    <t>310/363</t>
  </si>
  <si>
    <t>257/361</t>
  </si>
  <si>
    <t>258/350</t>
  </si>
  <si>
    <t>159/304</t>
  </si>
  <si>
    <t>212/356</t>
  </si>
  <si>
    <t>110/363</t>
  </si>
  <si>
    <t>220/361</t>
  </si>
  <si>
    <t>939/1154</t>
  </si>
  <si>
    <t>1056/1204</t>
  </si>
  <si>
    <t>957/1190</t>
  </si>
  <si>
    <t>89/95</t>
  </si>
  <si>
    <t>79/103</t>
  </si>
  <si>
    <t>495/1184</t>
  </si>
  <si>
    <t>623/1210</t>
  </si>
  <si>
    <t>741/1199</t>
  </si>
  <si>
    <t>1752/2925</t>
  </si>
  <si>
    <t>901/3022</t>
  </si>
  <si>
    <t>2133/2988</t>
  </si>
  <si>
    <t>1637/2797</t>
  </si>
  <si>
    <t>132/164</t>
  </si>
  <si>
    <t>91/170</t>
  </si>
  <si>
    <t>143/169</t>
  </si>
  <si>
    <t>Amundi Index J.P. Morgan EMU Govies IG - AE (C)</t>
  </si>
  <si>
    <t>72/261</t>
  </si>
  <si>
    <t>117/263</t>
  </si>
  <si>
    <t>75/259</t>
  </si>
  <si>
    <t>106/238</t>
  </si>
  <si>
    <t>534/1154</t>
  </si>
  <si>
    <t>612/1204</t>
  </si>
  <si>
    <t>347/1190</t>
  </si>
  <si>
    <t>883/1077</t>
  </si>
  <si>
    <t>462/813</t>
  </si>
  <si>
    <t>357/583</t>
  </si>
  <si>
    <t>Amundi Index MSCI Emerging Markets - AU (C)</t>
  </si>
  <si>
    <t>333/687</t>
  </si>
  <si>
    <t>335/697</t>
  </si>
  <si>
    <t>299/693</t>
  </si>
  <si>
    <t>265/672</t>
  </si>
  <si>
    <t>283/567</t>
  </si>
  <si>
    <t>177/520</t>
  </si>
  <si>
    <t>280/525</t>
  </si>
  <si>
    <t>288/522</t>
  </si>
  <si>
    <t>162/502</t>
  </si>
  <si>
    <t>151/427</t>
  </si>
  <si>
    <t>93/385</t>
  </si>
  <si>
    <t>583/1184</t>
  </si>
  <si>
    <t>690/1210</t>
  </si>
  <si>
    <t>788/1199</t>
  </si>
  <si>
    <t>535/1144</t>
  </si>
  <si>
    <t>410/953</t>
  </si>
  <si>
    <t>350/843</t>
  </si>
  <si>
    <t>232/345</t>
  </si>
  <si>
    <t>195/352</t>
  </si>
  <si>
    <t>230/349</t>
  </si>
  <si>
    <t>194/336</t>
  </si>
  <si>
    <t>141/284</t>
  </si>
  <si>
    <t>158/256</t>
  </si>
  <si>
    <t>404/835</t>
  </si>
  <si>
    <t>353/853</t>
  </si>
  <si>
    <t>449/846</t>
  </si>
  <si>
    <t>449/799</t>
  </si>
  <si>
    <t>230/687</t>
  </si>
  <si>
    <t>220/589</t>
  </si>
  <si>
    <t>365/394</t>
  </si>
  <si>
    <t>130/395</t>
  </si>
  <si>
    <t>369/395</t>
  </si>
  <si>
    <t>284/390</t>
  </si>
  <si>
    <t>283/344</t>
  </si>
  <si>
    <t>189/294</t>
  </si>
  <si>
    <t>1887/2925</t>
  </si>
  <si>
    <t>1213/3022</t>
  </si>
  <si>
    <t>2170/2988</t>
  </si>
  <si>
    <t>1286/2797</t>
  </si>
  <si>
    <t>386/2188</t>
  </si>
  <si>
    <t>392/835</t>
  </si>
  <si>
    <t>487/853</t>
  </si>
  <si>
    <t>409/846</t>
  </si>
  <si>
    <t>448/799</t>
  </si>
  <si>
    <t>148/687</t>
  </si>
  <si>
    <t>17/49</t>
  </si>
  <si>
    <t>24/48</t>
  </si>
  <si>
    <t>16/32</t>
  </si>
  <si>
    <t>2/49</t>
  </si>
  <si>
    <t>Amundi Interinvest Bd Global Inflation - I16 E (C)</t>
  </si>
  <si>
    <t>27/48</t>
  </si>
  <si>
    <t>115/1154</t>
  </si>
  <si>
    <t>328/1204</t>
  </si>
  <si>
    <t>107/1190</t>
  </si>
  <si>
    <t>527/1077</t>
  </si>
  <si>
    <t>419/813</t>
  </si>
  <si>
    <t>347/583</t>
  </si>
  <si>
    <t>82/108</t>
  </si>
  <si>
    <t>48/111</t>
  </si>
  <si>
    <t>6/81</t>
  </si>
  <si>
    <t>165/751</t>
  </si>
  <si>
    <t>262/795</t>
  </si>
  <si>
    <t>104/783</t>
  </si>
  <si>
    <t>140/698</t>
  </si>
  <si>
    <t>221/575</t>
  </si>
  <si>
    <t>116/468</t>
  </si>
  <si>
    <t>64/270</t>
  </si>
  <si>
    <t>19/163</t>
  </si>
  <si>
    <t>60/142</t>
  </si>
  <si>
    <t>91/131</t>
  </si>
  <si>
    <t>607/687</t>
  </si>
  <si>
    <t>367/697</t>
  </si>
  <si>
    <t>410/693</t>
  </si>
  <si>
    <t>610/672</t>
  </si>
  <si>
    <t>295/567</t>
  </si>
  <si>
    <t>297/455</t>
  </si>
  <si>
    <t>2889/2925</t>
  </si>
  <si>
    <t>2659/3022</t>
  </si>
  <si>
    <t>2931/2988</t>
  </si>
  <si>
    <t>2693/2797</t>
  </si>
  <si>
    <t>2142/2188</t>
  </si>
  <si>
    <t>1720/1809</t>
  </si>
  <si>
    <t>112/163</t>
  </si>
  <si>
    <t>108/163</t>
  </si>
  <si>
    <t>33/142</t>
  </si>
  <si>
    <t>1465/2925</t>
  </si>
  <si>
    <t>941/3022</t>
  </si>
  <si>
    <t>1486/2988</t>
  </si>
  <si>
    <t>992/2797</t>
  </si>
  <si>
    <t>791/2188</t>
  </si>
  <si>
    <t>901/1809</t>
  </si>
  <si>
    <t>583/1139</t>
  </si>
  <si>
    <t>47/252</t>
  </si>
  <si>
    <t>10/258</t>
  </si>
  <si>
    <t>40/257</t>
  </si>
  <si>
    <t>166/247</t>
  </si>
  <si>
    <t>112/216</t>
  </si>
  <si>
    <t>59/252</t>
  </si>
  <si>
    <t>131/258</t>
  </si>
  <si>
    <t>44/257</t>
  </si>
  <si>
    <t>119/247</t>
  </si>
  <si>
    <t>247/252</t>
  </si>
  <si>
    <t>17/258</t>
  </si>
  <si>
    <t>81/257</t>
  </si>
  <si>
    <t>552/751</t>
  </si>
  <si>
    <t>167/795</t>
  </si>
  <si>
    <t>223/783</t>
  </si>
  <si>
    <t>570/1154</t>
  </si>
  <si>
    <t>306/1204</t>
  </si>
  <si>
    <t>496/1190</t>
  </si>
  <si>
    <t>557/1077</t>
  </si>
  <si>
    <t>620/813</t>
  </si>
  <si>
    <t>55/195</t>
  </si>
  <si>
    <t>124/195</t>
  </si>
  <si>
    <t>43/161</t>
  </si>
  <si>
    <t>204/237</t>
  </si>
  <si>
    <t>68/238</t>
  </si>
  <si>
    <t>149/237</t>
  </si>
  <si>
    <t>197/237</t>
  </si>
  <si>
    <t>69/179</t>
  </si>
  <si>
    <t>146/194</t>
  </si>
  <si>
    <t>61/195</t>
  </si>
  <si>
    <t>127/195</t>
  </si>
  <si>
    <t>117/194</t>
  </si>
  <si>
    <t>147/194</t>
  </si>
  <si>
    <t>56/195</t>
  </si>
  <si>
    <t>129/195</t>
  </si>
  <si>
    <t>127/194</t>
  </si>
  <si>
    <t>123/194</t>
  </si>
  <si>
    <t>64/195</t>
  </si>
  <si>
    <t>107/195</t>
  </si>
  <si>
    <t>93/194</t>
  </si>
  <si>
    <t>32/161</t>
  </si>
  <si>
    <t>116/194</t>
  </si>
  <si>
    <t>58/195</t>
  </si>
  <si>
    <t>68/194</t>
  </si>
  <si>
    <t>9/161</t>
  </si>
  <si>
    <t>104/492</t>
  </si>
  <si>
    <t>136/512</t>
  </si>
  <si>
    <t>101/503</t>
  </si>
  <si>
    <t>157/194</t>
  </si>
  <si>
    <t>90/195</t>
  </si>
  <si>
    <t>149/195</t>
  </si>
  <si>
    <t>141/194</t>
  </si>
  <si>
    <t>150/161</t>
  </si>
  <si>
    <t>64/237</t>
  </si>
  <si>
    <t>61/238</t>
  </si>
  <si>
    <t>10/237</t>
  </si>
  <si>
    <t>41/179</t>
  </si>
  <si>
    <t>45/237</t>
  </si>
  <si>
    <t>9/237</t>
  </si>
  <si>
    <t>36/179</t>
  </si>
  <si>
    <t>166/237</t>
  </si>
  <si>
    <t>60/238</t>
  </si>
  <si>
    <t>120/237</t>
  </si>
  <si>
    <t>150/237</t>
  </si>
  <si>
    <t>96/179</t>
  </si>
  <si>
    <t>119/237</t>
  </si>
  <si>
    <t>52/238</t>
  </si>
  <si>
    <t>92/237</t>
  </si>
  <si>
    <t>46/237</t>
  </si>
  <si>
    <t>55/179</t>
  </si>
  <si>
    <t>52/237</t>
  </si>
  <si>
    <t>134/237</t>
  </si>
  <si>
    <t>13/237</t>
  </si>
  <si>
    <t>24/179</t>
  </si>
  <si>
    <t>17/237</t>
  </si>
  <si>
    <t>20/237</t>
  </si>
  <si>
    <t>12/237</t>
  </si>
  <si>
    <t>23/179</t>
  </si>
  <si>
    <t>30/260</t>
  </si>
  <si>
    <t>66/260</t>
  </si>
  <si>
    <t>83/205</t>
  </si>
  <si>
    <t>125/259</t>
  </si>
  <si>
    <t>44/260</t>
  </si>
  <si>
    <t>70/260</t>
  </si>
  <si>
    <t>111/205</t>
  </si>
  <si>
    <t>101/237</t>
  </si>
  <si>
    <t>59/238</t>
  </si>
  <si>
    <t>77/237</t>
  </si>
  <si>
    <t>58/237</t>
  </si>
  <si>
    <t>23/113</t>
  </si>
  <si>
    <t>4/116</t>
  </si>
  <si>
    <t>16/111</t>
  </si>
  <si>
    <t>38/99</t>
  </si>
  <si>
    <t>12/109</t>
  </si>
  <si>
    <t>52/99</t>
  </si>
  <si>
    <t>7/75</t>
  </si>
  <si>
    <t>1/69</t>
  </si>
  <si>
    <t>1/41</t>
  </si>
  <si>
    <t>411/582</t>
  </si>
  <si>
    <t>357/593</t>
  </si>
  <si>
    <t>403/587</t>
  </si>
  <si>
    <t>428/577</t>
  </si>
  <si>
    <t>386/553</t>
  </si>
  <si>
    <t>399/521</t>
  </si>
  <si>
    <t>22/81</t>
  </si>
  <si>
    <t>23/81</t>
  </si>
  <si>
    <t>32/130</t>
  </si>
  <si>
    <t>36/131</t>
  </si>
  <si>
    <t>33/130</t>
  </si>
  <si>
    <t>38/128</t>
  </si>
  <si>
    <t>Amundi MSCI BRAZIL UCITS ETF (C)</t>
  </si>
  <si>
    <t>Amundi MSCI USA Minimum Vol Factor - UCITS ETF (C)</t>
  </si>
  <si>
    <t>LU1589349734</t>
  </si>
  <si>
    <t>591/644</t>
  </si>
  <si>
    <t>501/661</t>
  </si>
  <si>
    <t>601/654</t>
  </si>
  <si>
    <t>549/628</t>
  </si>
  <si>
    <t>293/545</t>
  </si>
  <si>
    <t>276/463</t>
  </si>
  <si>
    <t>54/300</t>
  </si>
  <si>
    <t>220/252</t>
  </si>
  <si>
    <t>240/257</t>
  </si>
  <si>
    <t>225/247</t>
  </si>
  <si>
    <t>185/216</t>
  </si>
  <si>
    <t>168/192</t>
  </si>
  <si>
    <t>40/130</t>
  </si>
  <si>
    <t>91/113</t>
  </si>
  <si>
    <t>104/115</t>
  </si>
  <si>
    <t>82/113</t>
  </si>
  <si>
    <t>100/115</t>
  </si>
  <si>
    <t>49/111</t>
  </si>
  <si>
    <t>97/121</t>
  </si>
  <si>
    <t>111/121</t>
  </si>
  <si>
    <t>686/1154</t>
  </si>
  <si>
    <t>965/1204</t>
  </si>
  <si>
    <t>624/1190</t>
  </si>
  <si>
    <t>751/1077</t>
  </si>
  <si>
    <t>326/813</t>
  </si>
  <si>
    <t>73/583</t>
  </si>
  <si>
    <t>129/317</t>
  </si>
  <si>
    <t>5/80</t>
  </si>
  <si>
    <t>4/81</t>
  </si>
  <si>
    <t>6/45</t>
  </si>
  <si>
    <t>989/1154</t>
  </si>
  <si>
    <t>53/1204</t>
  </si>
  <si>
    <t>605/1190</t>
  </si>
  <si>
    <t>845/1077</t>
  </si>
  <si>
    <t>643/813</t>
  </si>
  <si>
    <t>127/583</t>
  </si>
  <si>
    <t>74/121</t>
  </si>
  <si>
    <t>566/751</t>
  </si>
  <si>
    <t>274/783</t>
  </si>
  <si>
    <t>471/492</t>
  </si>
  <si>
    <t>87/512</t>
  </si>
  <si>
    <t>486/503</t>
  </si>
  <si>
    <t>756/1154</t>
  </si>
  <si>
    <t>127/1204</t>
  </si>
  <si>
    <t>643/1190</t>
  </si>
  <si>
    <t>Amundi Obiettivo Reddito 2022 Quattro</t>
  </si>
  <si>
    <t>378/1204</t>
  </si>
  <si>
    <t>517/1190</t>
  </si>
  <si>
    <t>45/121</t>
  </si>
  <si>
    <t>1968/2269</t>
  </si>
  <si>
    <t>504/2344</t>
  </si>
  <si>
    <t>1067/2316</t>
  </si>
  <si>
    <t>Amundi Obiettivo Risparmio 2022 Quattro</t>
  </si>
  <si>
    <t>344/795</t>
  </si>
  <si>
    <t>608/783</t>
  </si>
  <si>
    <t>115/121</t>
  </si>
  <si>
    <t>102/109</t>
  </si>
  <si>
    <t>Amundi Obiettivo Trend 2022 Due</t>
  </si>
  <si>
    <t>177/252</t>
  </si>
  <si>
    <t>182/258</t>
  </si>
  <si>
    <t>101/257</t>
  </si>
  <si>
    <t>52/216</t>
  </si>
  <si>
    <t>26/192</t>
  </si>
  <si>
    <t>25/130</t>
  </si>
  <si>
    <t>28/64</t>
  </si>
  <si>
    <t>17/65</t>
  </si>
  <si>
    <t>40/60</t>
  </si>
  <si>
    <t>257/644</t>
  </si>
  <si>
    <t>145/661</t>
  </si>
  <si>
    <t>81/654</t>
  </si>
  <si>
    <t>319/628</t>
  </si>
  <si>
    <t>88/545</t>
  </si>
  <si>
    <t>51/463</t>
  </si>
  <si>
    <t>64/300</t>
  </si>
  <si>
    <t>652/1154</t>
  </si>
  <si>
    <t>758/1204</t>
  </si>
  <si>
    <t>899/1190</t>
  </si>
  <si>
    <t>620/1077</t>
  </si>
  <si>
    <t>75/813</t>
  </si>
  <si>
    <t>23/583</t>
  </si>
  <si>
    <t>10/317</t>
  </si>
  <si>
    <t>491/644</t>
  </si>
  <si>
    <t>390/661</t>
  </si>
  <si>
    <t>388/654</t>
  </si>
  <si>
    <t>460/628</t>
  </si>
  <si>
    <t>268/545</t>
  </si>
  <si>
    <t>264/463</t>
  </si>
  <si>
    <t>2682/2925</t>
  </si>
  <si>
    <t>2313/3022</t>
  </si>
  <si>
    <t>2731/2988</t>
  </si>
  <si>
    <t>1884/2797</t>
  </si>
  <si>
    <t>915/2188</t>
  </si>
  <si>
    <t>807/1809</t>
  </si>
  <si>
    <t>11/14</t>
  </si>
  <si>
    <t>225/2269</t>
  </si>
  <si>
    <t>1075/2344</t>
  </si>
  <si>
    <t>126/2316</t>
  </si>
  <si>
    <t>187/2167</t>
  </si>
  <si>
    <t>501/1706</t>
  </si>
  <si>
    <t>229/1286</t>
  </si>
  <si>
    <t>180/486</t>
  </si>
  <si>
    <t>213/252</t>
  </si>
  <si>
    <t>188/258</t>
  </si>
  <si>
    <t>237/257</t>
  </si>
  <si>
    <t>138/216</t>
  </si>
  <si>
    <t>103/192</t>
  </si>
  <si>
    <t>76/238</t>
  </si>
  <si>
    <t>59/237</t>
  </si>
  <si>
    <t>35/179</t>
  </si>
  <si>
    <t>122/237</t>
  </si>
  <si>
    <t>54/237</t>
  </si>
  <si>
    <t>85/179</t>
  </si>
  <si>
    <t>22/237</t>
  </si>
  <si>
    <t>65/238</t>
  </si>
  <si>
    <t>18/237</t>
  </si>
  <si>
    <t>21/237</t>
  </si>
  <si>
    <t>10/179</t>
  </si>
  <si>
    <t>7/113</t>
  </si>
  <si>
    <t>22/116</t>
  </si>
  <si>
    <t>3/115</t>
  </si>
  <si>
    <t>8/111</t>
  </si>
  <si>
    <t>178/259</t>
  </si>
  <si>
    <t>42/260</t>
  </si>
  <si>
    <t>111/260</t>
  </si>
  <si>
    <t>146/259</t>
  </si>
  <si>
    <t>71/205</t>
  </si>
  <si>
    <t>36/259</t>
  </si>
  <si>
    <t>23/260</t>
  </si>
  <si>
    <t>37/259</t>
  </si>
  <si>
    <t>74/205</t>
  </si>
  <si>
    <t>2/83</t>
  </si>
  <si>
    <t>68/85</t>
  </si>
  <si>
    <t>2/85</t>
  </si>
  <si>
    <t>6/80</t>
  </si>
  <si>
    <t>74/259</t>
  </si>
  <si>
    <t>14/260</t>
  </si>
  <si>
    <t>28/260</t>
  </si>
  <si>
    <t>135/259</t>
  </si>
  <si>
    <t>63/205</t>
  </si>
  <si>
    <t>84/121</t>
  </si>
  <si>
    <t>62/74</t>
  </si>
  <si>
    <t>889/891</t>
  </si>
  <si>
    <t>651/927</t>
  </si>
  <si>
    <t>852/913</t>
  </si>
  <si>
    <t>718/844</t>
  </si>
  <si>
    <t>820/891</t>
  </si>
  <si>
    <t>240/927</t>
  </si>
  <si>
    <t>674/913</t>
  </si>
  <si>
    <t>656/844</t>
  </si>
  <si>
    <t>82/150</t>
  </si>
  <si>
    <t>70/110</t>
  </si>
  <si>
    <t>1224/2269</t>
  </si>
  <si>
    <t>661/2344</t>
  </si>
  <si>
    <t>733/2316</t>
  </si>
  <si>
    <t>1753/2167</t>
  </si>
  <si>
    <t>1363/1706</t>
  </si>
  <si>
    <t>965/1286</t>
  </si>
  <si>
    <t>100/133</t>
  </si>
  <si>
    <t>76/133</t>
  </si>
  <si>
    <t>83/102</t>
  </si>
  <si>
    <t>100/237</t>
  </si>
  <si>
    <t>22/238</t>
  </si>
  <si>
    <t>84/237</t>
  </si>
  <si>
    <t>123/237</t>
  </si>
  <si>
    <t>167/179</t>
  </si>
  <si>
    <t>95/109</t>
  </si>
  <si>
    <t>182/194</t>
  </si>
  <si>
    <t>93/195</t>
  </si>
  <si>
    <t>78/195</t>
  </si>
  <si>
    <t>164/194</t>
  </si>
  <si>
    <t>106/161</t>
  </si>
  <si>
    <t>403/644</t>
  </si>
  <si>
    <t>74/661</t>
  </si>
  <si>
    <t>391/654</t>
  </si>
  <si>
    <t>402/628</t>
  </si>
  <si>
    <t>530/545</t>
  </si>
  <si>
    <t>456/463</t>
  </si>
  <si>
    <t>274/300</t>
  </si>
  <si>
    <t>666/751</t>
  </si>
  <si>
    <t>504/795</t>
  </si>
  <si>
    <t>575/783</t>
  </si>
  <si>
    <t>629/698</t>
  </si>
  <si>
    <t>284/575</t>
  </si>
  <si>
    <t>336/468</t>
  </si>
  <si>
    <t>129/270</t>
  </si>
  <si>
    <t>534/891</t>
  </si>
  <si>
    <t>145/927</t>
  </si>
  <si>
    <t>358/913</t>
  </si>
  <si>
    <t>575/844</t>
  </si>
  <si>
    <t>488/660</t>
  </si>
  <si>
    <t>376/441</t>
  </si>
  <si>
    <t>100/128</t>
  </si>
  <si>
    <t>563/891</t>
  </si>
  <si>
    <t>286/927</t>
  </si>
  <si>
    <t>412/913</t>
  </si>
  <si>
    <t>584/844</t>
  </si>
  <si>
    <t>548/660</t>
  </si>
  <si>
    <t>355/441</t>
  </si>
  <si>
    <t>106/128</t>
  </si>
  <si>
    <t>645/891</t>
  </si>
  <si>
    <t>318/927</t>
  </si>
  <si>
    <t>479/913</t>
  </si>
  <si>
    <t>661/844</t>
  </si>
  <si>
    <t>593/660</t>
  </si>
  <si>
    <t>429/891</t>
  </si>
  <si>
    <t>340/927</t>
  </si>
  <si>
    <t>287/913</t>
  </si>
  <si>
    <t>466/844</t>
  </si>
  <si>
    <t>379/660</t>
  </si>
  <si>
    <t>100/927</t>
  </si>
  <si>
    <t>260/913</t>
  </si>
  <si>
    <t>550/844</t>
  </si>
  <si>
    <t>465/660</t>
  </si>
  <si>
    <t>464/891</t>
  </si>
  <si>
    <t>431/927</t>
  </si>
  <si>
    <t>308/913</t>
  </si>
  <si>
    <t>560/844</t>
  </si>
  <si>
    <t>310/751</t>
  </si>
  <si>
    <t>311/795</t>
  </si>
  <si>
    <t>174/783</t>
  </si>
  <si>
    <t>584/698</t>
  </si>
  <si>
    <t>489/575</t>
  </si>
  <si>
    <t>398/468</t>
  </si>
  <si>
    <t>25/64</t>
  </si>
  <si>
    <t>71/76</t>
  </si>
  <si>
    <t>11/63</t>
  </si>
  <si>
    <t>204/257</t>
  </si>
  <si>
    <t>107/258</t>
  </si>
  <si>
    <t>55/251</t>
  </si>
  <si>
    <t>117/226</t>
  </si>
  <si>
    <t>61/141</t>
  </si>
  <si>
    <t>249/257</t>
  </si>
  <si>
    <t>27/258</t>
  </si>
  <si>
    <t>245/258</t>
  </si>
  <si>
    <t>234/251</t>
  </si>
  <si>
    <t>209/226</t>
  </si>
  <si>
    <t>130/208</t>
  </si>
  <si>
    <t>112/141</t>
  </si>
  <si>
    <t>35/160</t>
  </si>
  <si>
    <t>34/162</t>
  </si>
  <si>
    <t>24/144</t>
  </si>
  <si>
    <t>40/127</t>
  </si>
  <si>
    <t>225/520</t>
  </si>
  <si>
    <t>283/525</t>
  </si>
  <si>
    <t>207/522</t>
  </si>
  <si>
    <t>90/502</t>
  </si>
  <si>
    <t>232/427</t>
  </si>
  <si>
    <t>102/385</t>
  </si>
  <si>
    <t>154/273</t>
  </si>
  <si>
    <t>344/644</t>
  </si>
  <si>
    <t>380/661</t>
  </si>
  <si>
    <t>156/654</t>
  </si>
  <si>
    <t>296/492</t>
  </si>
  <si>
    <t>170/512</t>
  </si>
  <si>
    <t>286/503</t>
  </si>
  <si>
    <t>271/460</t>
  </si>
  <si>
    <t>168/316</t>
  </si>
  <si>
    <t>40/751</t>
  </si>
  <si>
    <t>15/795</t>
  </si>
  <si>
    <t>34/783</t>
  </si>
  <si>
    <t>44/698</t>
  </si>
  <si>
    <t>50/119</t>
  </si>
  <si>
    <t>51/120</t>
  </si>
  <si>
    <t>32/116</t>
  </si>
  <si>
    <t>9/102</t>
  </si>
  <si>
    <t>134/194</t>
  </si>
  <si>
    <t>26/195</t>
  </si>
  <si>
    <t>71/195</t>
  </si>
  <si>
    <t>155/194</t>
  </si>
  <si>
    <t>124/161</t>
  </si>
  <si>
    <t>91/119</t>
  </si>
  <si>
    <t>34/492</t>
  </si>
  <si>
    <t>26/512</t>
  </si>
  <si>
    <t>14/503</t>
  </si>
  <si>
    <t>376/582</t>
  </si>
  <si>
    <t>340/593</t>
  </si>
  <si>
    <t>361/587</t>
  </si>
  <si>
    <t>381/577</t>
  </si>
  <si>
    <t>358/553</t>
  </si>
  <si>
    <t>389/521</t>
  </si>
  <si>
    <t>287/362</t>
  </si>
  <si>
    <t>174/247</t>
  </si>
  <si>
    <t>173/253</t>
  </si>
  <si>
    <t>160/240</t>
  </si>
  <si>
    <t>159/203</t>
  </si>
  <si>
    <t>109/126</t>
  </si>
  <si>
    <t>450/628</t>
  </si>
  <si>
    <t>153/629</t>
  </si>
  <si>
    <t>531/628</t>
  </si>
  <si>
    <t>435/607</t>
  </si>
  <si>
    <t>399/548</t>
  </si>
  <si>
    <t>169/347</t>
  </si>
  <si>
    <t>459/628</t>
  </si>
  <si>
    <t>200/629</t>
  </si>
  <si>
    <t>326/629</t>
  </si>
  <si>
    <t>440/628</t>
  </si>
  <si>
    <t>497/607</t>
  </si>
  <si>
    <t>453/548</t>
  </si>
  <si>
    <t>198/347</t>
  </si>
  <si>
    <t>Amundi Strategies Actions EURO (C)</t>
  </si>
  <si>
    <t>158/520</t>
  </si>
  <si>
    <t>344/525</t>
  </si>
  <si>
    <t>172/522</t>
  </si>
  <si>
    <t>238/502</t>
  </si>
  <si>
    <t>123/427</t>
  </si>
  <si>
    <t>194/385</t>
  </si>
  <si>
    <t>Amundi Strategies Actions Europe (C)</t>
  </si>
  <si>
    <t>697/1184</t>
  </si>
  <si>
    <t>930/1210</t>
  </si>
  <si>
    <t>754/1199</t>
  </si>
  <si>
    <t>753/1144</t>
  </si>
  <si>
    <t>541/953</t>
  </si>
  <si>
    <t>508/843</t>
  </si>
  <si>
    <t>418/598</t>
  </si>
  <si>
    <t>Amundi Strategies Actions France C</t>
  </si>
  <si>
    <t>64/132</t>
  </si>
  <si>
    <t>56/126</t>
  </si>
  <si>
    <t>45/120</t>
  </si>
  <si>
    <t>50/101</t>
  </si>
  <si>
    <t>2/63</t>
  </si>
  <si>
    <t>30/76</t>
  </si>
  <si>
    <t>1/63</t>
  </si>
  <si>
    <t>41/50</t>
  </si>
  <si>
    <t>15/68</t>
  </si>
  <si>
    <t>59/68</t>
  </si>
  <si>
    <t>21/68</t>
  </si>
  <si>
    <t>60/61</t>
  </si>
  <si>
    <t>19/68</t>
  </si>
  <si>
    <t>56/68</t>
  </si>
  <si>
    <t>29/64</t>
  </si>
  <si>
    <t>6/22</t>
  </si>
  <si>
    <t>13/22</t>
  </si>
  <si>
    <t>10/21</t>
  </si>
  <si>
    <t>32/77</t>
  </si>
  <si>
    <t>22/77</t>
  </si>
  <si>
    <t>30/65</t>
  </si>
  <si>
    <t>801/2269</t>
  </si>
  <si>
    <t>1556/2344</t>
  </si>
  <si>
    <t>715/2316</t>
  </si>
  <si>
    <t>544/2167</t>
  </si>
  <si>
    <t>249/1706</t>
  </si>
  <si>
    <t>227/1286</t>
  </si>
  <si>
    <t>371/492</t>
  </si>
  <si>
    <t>227/512</t>
  </si>
  <si>
    <t>319/503</t>
  </si>
  <si>
    <t>357/460</t>
  </si>
  <si>
    <t>208/316</t>
  </si>
  <si>
    <t>14/520</t>
  </si>
  <si>
    <t>259/525</t>
  </si>
  <si>
    <t>18/522</t>
  </si>
  <si>
    <t>46/502</t>
  </si>
  <si>
    <t>81/2269</t>
  </si>
  <si>
    <t>561/2344</t>
  </si>
  <si>
    <t>22/2316</t>
  </si>
  <si>
    <t>1004/2167</t>
  </si>
  <si>
    <t>Amundi Treso 6 Mois P</t>
  </si>
  <si>
    <t>176/252</t>
  </si>
  <si>
    <t>132/258</t>
  </si>
  <si>
    <t>195/257</t>
  </si>
  <si>
    <t>187/247</t>
  </si>
  <si>
    <t>193/216</t>
  </si>
  <si>
    <t>181/192</t>
  </si>
  <si>
    <t>305/582</t>
  </si>
  <si>
    <t>244/593</t>
  </si>
  <si>
    <t>295/587</t>
  </si>
  <si>
    <t>312/577</t>
  </si>
  <si>
    <t>301/553</t>
  </si>
  <si>
    <t>287/521</t>
  </si>
  <si>
    <t>140/362</t>
  </si>
  <si>
    <t>101/258</t>
  </si>
  <si>
    <t>173/257</t>
  </si>
  <si>
    <t>505/582</t>
  </si>
  <si>
    <t>479/593</t>
  </si>
  <si>
    <t>524/587</t>
  </si>
  <si>
    <t>514/577</t>
  </si>
  <si>
    <t>488/553</t>
  </si>
  <si>
    <t>483/521</t>
  </si>
  <si>
    <t>303/362</t>
  </si>
  <si>
    <t>525/582</t>
  </si>
  <si>
    <t>14/593</t>
  </si>
  <si>
    <t>64/587</t>
  </si>
  <si>
    <t>553/577</t>
  </si>
  <si>
    <t>34/521</t>
  </si>
  <si>
    <t>377/582</t>
  </si>
  <si>
    <t>322/593</t>
  </si>
  <si>
    <t>375/587</t>
  </si>
  <si>
    <t>385/577</t>
  </si>
  <si>
    <t>384/553</t>
  </si>
  <si>
    <t>406/521</t>
  </si>
  <si>
    <t>244/362</t>
  </si>
  <si>
    <t>Amundi USA Eqty Mlt Smt Alc Snfc Beta-UCITS ETF(C)</t>
  </si>
  <si>
    <t>97/113</t>
  </si>
  <si>
    <t>LU1589350070</t>
  </si>
  <si>
    <t>27/130</t>
  </si>
  <si>
    <t>28/131</t>
  </si>
  <si>
    <t>33/128</t>
  </si>
  <si>
    <t>37/119</t>
  </si>
  <si>
    <t>33/110</t>
  </si>
  <si>
    <t>215/1184</t>
  </si>
  <si>
    <t>1080/1210</t>
  </si>
  <si>
    <t>298/1199</t>
  </si>
  <si>
    <t>905/1144</t>
  </si>
  <si>
    <t>606/953</t>
  </si>
  <si>
    <t>229/843</t>
  </si>
  <si>
    <t>290/598</t>
  </si>
  <si>
    <t>735/795</t>
  </si>
  <si>
    <t>186/751</t>
  </si>
  <si>
    <t>245/795</t>
  </si>
  <si>
    <t>117/783</t>
  </si>
  <si>
    <t>415/698</t>
  </si>
  <si>
    <t>164/575</t>
  </si>
  <si>
    <t>199/468</t>
  </si>
  <si>
    <t>167/270</t>
  </si>
  <si>
    <t>304/492</t>
  </si>
  <si>
    <t>182/512</t>
  </si>
  <si>
    <t>299/503</t>
  </si>
  <si>
    <t>257/460</t>
  </si>
  <si>
    <t>227/316</t>
  </si>
  <si>
    <t>192/492</t>
  </si>
  <si>
    <t>256/512</t>
  </si>
  <si>
    <t>196/503</t>
  </si>
  <si>
    <t>64/316</t>
  </si>
  <si>
    <t>1801/2925</t>
  </si>
  <si>
    <t>988/3022</t>
  </si>
  <si>
    <t>1742/2988</t>
  </si>
  <si>
    <t>1880/2797</t>
  </si>
  <si>
    <t>259/2188</t>
  </si>
  <si>
    <t>27/87</t>
  </si>
  <si>
    <t>33/84</t>
  </si>
  <si>
    <t>37/76</t>
  </si>
  <si>
    <t>25/87</t>
  </si>
  <si>
    <t>29/80</t>
  </si>
  <si>
    <t>43/82</t>
  </si>
  <si>
    <t>15/76</t>
  </si>
  <si>
    <t>100/261</t>
  </si>
  <si>
    <t>49/263</t>
  </si>
  <si>
    <t>120/259</t>
  </si>
  <si>
    <t>15/238</t>
  </si>
  <si>
    <t>6/198</t>
  </si>
  <si>
    <t>25/54</t>
  </si>
  <si>
    <t>50/55</t>
  </si>
  <si>
    <t>27/55</t>
  </si>
  <si>
    <t>22/44</t>
  </si>
  <si>
    <t>233/661</t>
  </si>
  <si>
    <t>189/676</t>
  </si>
  <si>
    <t>270/669</t>
  </si>
  <si>
    <t>202/654</t>
  </si>
  <si>
    <t>369/573</t>
  </si>
  <si>
    <t>351/477</t>
  </si>
  <si>
    <t>245/661</t>
  </si>
  <si>
    <t>196/676</t>
  </si>
  <si>
    <t>247/669</t>
  </si>
  <si>
    <t>224/654</t>
  </si>
  <si>
    <t>339/573</t>
  </si>
  <si>
    <t>309/477</t>
  </si>
  <si>
    <t>208/1184</t>
  </si>
  <si>
    <t>519/1210</t>
  </si>
  <si>
    <t>247/1199</t>
  </si>
  <si>
    <t>351/1144</t>
  </si>
  <si>
    <t>1522/2925</t>
  </si>
  <si>
    <t>1628/3022</t>
  </si>
  <si>
    <t>1787/2988</t>
  </si>
  <si>
    <t>1433/2797</t>
  </si>
  <si>
    <t>898/2188</t>
  </si>
  <si>
    <t>791/1809</t>
  </si>
  <si>
    <t>656/1139</t>
  </si>
  <si>
    <t>79/161</t>
  </si>
  <si>
    <t>49/160</t>
  </si>
  <si>
    <t>118/159</t>
  </si>
  <si>
    <t>15/103</t>
  </si>
  <si>
    <t>12/74</t>
  </si>
  <si>
    <t>91/252</t>
  </si>
  <si>
    <t>81/258</t>
  </si>
  <si>
    <t>51/257</t>
  </si>
  <si>
    <t>94/247</t>
  </si>
  <si>
    <t>58/216</t>
  </si>
  <si>
    <t>144/192</t>
  </si>
  <si>
    <t>117/130</t>
  </si>
  <si>
    <t>502/1184</t>
  </si>
  <si>
    <t>448/1210</t>
  </si>
  <si>
    <t>585/1199</t>
  </si>
  <si>
    <t>382/1144</t>
  </si>
  <si>
    <t>560/953</t>
  </si>
  <si>
    <t>550/843</t>
  </si>
  <si>
    <t>392/598</t>
  </si>
  <si>
    <t>9/56</t>
  </si>
  <si>
    <t>56/59</t>
  </si>
  <si>
    <t>3/52</t>
  </si>
  <si>
    <t>53/116</t>
  </si>
  <si>
    <t>47/111</t>
  </si>
  <si>
    <t>508/891</t>
  </si>
  <si>
    <t>799/927</t>
  </si>
  <si>
    <t>785/913</t>
  </si>
  <si>
    <t>654/660</t>
  </si>
  <si>
    <t>398/441</t>
  </si>
  <si>
    <t>2315/2925</t>
  </si>
  <si>
    <t>2177/3022</t>
  </si>
  <si>
    <t>2431/2988</t>
  </si>
  <si>
    <t>1955/2797</t>
  </si>
  <si>
    <t>930/2188</t>
  </si>
  <si>
    <t>956/1809</t>
  </si>
  <si>
    <t>706/1139</t>
  </si>
  <si>
    <t>393/582</t>
  </si>
  <si>
    <t>362/593</t>
  </si>
  <si>
    <t>400/577</t>
  </si>
  <si>
    <t>377/553</t>
  </si>
  <si>
    <t>408/521</t>
  </si>
  <si>
    <t>330/362</t>
  </si>
  <si>
    <t>426/891</t>
  </si>
  <si>
    <t>443/927</t>
  </si>
  <si>
    <t>253/913</t>
  </si>
  <si>
    <t>510/844</t>
  </si>
  <si>
    <t>391/660</t>
  </si>
  <si>
    <t>235/441</t>
  </si>
  <si>
    <t>49/56</t>
  </si>
  <si>
    <t>7/59</t>
  </si>
  <si>
    <t>51/55</t>
  </si>
  <si>
    <t>43/52</t>
  </si>
  <si>
    <t>46/49</t>
  </si>
  <si>
    <t>460/520</t>
  </si>
  <si>
    <t>239/525</t>
  </si>
  <si>
    <t>379/522</t>
  </si>
  <si>
    <t>306/502</t>
  </si>
  <si>
    <t>466/628</t>
  </si>
  <si>
    <t>429/629</t>
  </si>
  <si>
    <t>340/629</t>
  </si>
  <si>
    <t>490/628</t>
  </si>
  <si>
    <t>309/607</t>
  </si>
  <si>
    <t>221/548</t>
  </si>
  <si>
    <t>31/347</t>
  </si>
  <si>
    <t>526/628</t>
  </si>
  <si>
    <t>141/629</t>
  </si>
  <si>
    <t>463/629</t>
  </si>
  <si>
    <t>563/628</t>
  </si>
  <si>
    <t>279/607</t>
  </si>
  <si>
    <t>462/548</t>
  </si>
  <si>
    <t>98/347</t>
  </si>
  <si>
    <t>155/628</t>
  </si>
  <si>
    <t>587/629</t>
  </si>
  <si>
    <t>40/628</t>
  </si>
  <si>
    <t>14/607</t>
  </si>
  <si>
    <t>23/548</t>
  </si>
  <si>
    <t>110/347</t>
  </si>
  <si>
    <t>772/2269</t>
  </si>
  <si>
    <t>1266/2344</t>
  </si>
  <si>
    <t>804/2316</t>
  </si>
  <si>
    <t>1071/2167</t>
  </si>
  <si>
    <t>481/1706</t>
  </si>
  <si>
    <t>348/1286</t>
  </si>
  <si>
    <t>63/133</t>
  </si>
  <si>
    <t>119/134</t>
  </si>
  <si>
    <t>84/133</t>
  </si>
  <si>
    <t>66/126</t>
  </si>
  <si>
    <t>172/582</t>
  </si>
  <si>
    <t>146/593</t>
  </si>
  <si>
    <t>160/587</t>
  </si>
  <si>
    <t>169/577</t>
  </si>
  <si>
    <t>121/553</t>
  </si>
  <si>
    <t>159/521</t>
  </si>
  <si>
    <t>BFT Capital Plus - A (C)</t>
  </si>
  <si>
    <t>49/194</t>
  </si>
  <si>
    <t>49/195</t>
  </si>
  <si>
    <t>53/195</t>
  </si>
  <si>
    <t>72/194</t>
  </si>
  <si>
    <t>94/161</t>
  </si>
  <si>
    <t>62/119</t>
  </si>
  <si>
    <t>BFT Convertibles ISR - P (C)</t>
  </si>
  <si>
    <t>37/97</t>
  </si>
  <si>
    <t>49/95</t>
  </si>
  <si>
    <t>53/88</t>
  </si>
  <si>
    <t>96/252</t>
  </si>
  <si>
    <t>73/258</t>
  </si>
  <si>
    <t>107/257</t>
  </si>
  <si>
    <t>97/247</t>
  </si>
  <si>
    <t>117/216</t>
  </si>
  <si>
    <t>134/192</t>
  </si>
  <si>
    <t>BFT Credit 6 Mois I</t>
  </si>
  <si>
    <t>151/252</t>
  </si>
  <si>
    <t>113/258</t>
  </si>
  <si>
    <t>176/257</t>
  </si>
  <si>
    <t>148/247</t>
  </si>
  <si>
    <t>143/216</t>
  </si>
  <si>
    <t>158/192</t>
  </si>
  <si>
    <t>62/252</t>
  </si>
  <si>
    <t>93/258</t>
  </si>
  <si>
    <t>56/257</t>
  </si>
  <si>
    <t>45/247</t>
  </si>
  <si>
    <t>79/192</t>
  </si>
  <si>
    <t>101/130</t>
  </si>
  <si>
    <t>34/161</t>
  </si>
  <si>
    <t>30/159</t>
  </si>
  <si>
    <t>BFT Ducat ISR - I (C)</t>
  </si>
  <si>
    <t>195/582</t>
  </si>
  <si>
    <t>163/593</t>
  </si>
  <si>
    <t>218/587</t>
  </si>
  <si>
    <t>193/577</t>
  </si>
  <si>
    <t>174/521</t>
  </si>
  <si>
    <t>57/118</t>
  </si>
  <si>
    <t>76/118</t>
  </si>
  <si>
    <t>79/100</t>
  </si>
  <si>
    <t>65/91</t>
  </si>
  <si>
    <t>BFT France Futur - E (C)</t>
  </si>
  <si>
    <t>31/72</t>
  </si>
  <si>
    <t>46/180</t>
  </si>
  <si>
    <t>83/181</t>
  </si>
  <si>
    <t>15/181</t>
  </si>
  <si>
    <t>84/179</t>
  </si>
  <si>
    <t>145/165</t>
  </si>
  <si>
    <t>123/156</t>
  </si>
  <si>
    <t>95/115</t>
  </si>
  <si>
    <t>57/237</t>
  </si>
  <si>
    <t>90/238</t>
  </si>
  <si>
    <t>90/237</t>
  </si>
  <si>
    <t>113/179</t>
  </si>
  <si>
    <t>23/80</t>
  </si>
  <si>
    <t>3/81</t>
  </si>
  <si>
    <t>32/80</t>
  </si>
  <si>
    <t>4/76</t>
  </si>
  <si>
    <t>50/69</t>
  </si>
  <si>
    <t>201/644</t>
  </si>
  <si>
    <t>374/661</t>
  </si>
  <si>
    <t>417/654</t>
  </si>
  <si>
    <t>144/628</t>
  </si>
  <si>
    <t>295/582</t>
  </si>
  <si>
    <t>231/593</t>
  </si>
  <si>
    <t>284/587</t>
  </si>
  <si>
    <t>303/577</t>
  </si>
  <si>
    <t>254/553</t>
  </si>
  <si>
    <t>243/521</t>
  </si>
  <si>
    <t>102/362</t>
  </si>
  <si>
    <t>145/492</t>
  </si>
  <si>
    <t>148/512</t>
  </si>
  <si>
    <t>150/503</t>
  </si>
  <si>
    <t>BFT Selection Rendement 2023 I-C</t>
  </si>
  <si>
    <t>162/512</t>
  </si>
  <si>
    <t>FR0013231974</t>
  </si>
  <si>
    <t>BFT Selection Rendement 2024 - I (C)</t>
  </si>
  <si>
    <t>194/512</t>
  </si>
  <si>
    <t>20/503</t>
  </si>
  <si>
    <t>221/582</t>
  </si>
  <si>
    <t>199/593</t>
  </si>
  <si>
    <t>243/587</t>
  </si>
  <si>
    <t>208/577</t>
  </si>
  <si>
    <t>184/553</t>
  </si>
  <si>
    <t>96/362</t>
  </si>
  <si>
    <t>204/582</t>
  </si>
  <si>
    <t>269/593</t>
  </si>
  <si>
    <t>277/587</t>
  </si>
  <si>
    <t>154/577</t>
  </si>
  <si>
    <t>129/553</t>
  </si>
  <si>
    <t>235/521</t>
  </si>
  <si>
    <t>25/628</t>
  </si>
  <si>
    <t>603/629</t>
  </si>
  <si>
    <t>87/629</t>
  </si>
  <si>
    <t>23/628</t>
  </si>
  <si>
    <t>18/607</t>
  </si>
  <si>
    <t>1794/2269</t>
  </si>
  <si>
    <t>813/2344</t>
  </si>
  <si>
    <t>1391/2316</t>
  </si>
  <si>
    <t>1770/2167</t>
  </si>
  <si>
    <t>406/520</t>
  </si>
  <si>
    <t>436/525</t>
  </si>
  <si>
    <t>363/522</t>
  </si>
  <si>
    <t>453/502</t>
  </si>
  <si>
    <t>348/427</t>
  </si>
  <si>
    <t>363/385</t>
  </si>
  <si>
    <t>132/273</t>
  </si>
  <si>
    <t>318/891</t>
  </si>
  <si>
    <t>345/927</t>
  </si>
  <si>
    <t>577/913</t>
  </si>
  <si>
    <t>368/844</t>
  </si>
  <si>
    <t>544/927</t>
  </si>
  <si>
    <t>747/913</t>
  </si>
  <si>
    <t>369/582</t>
  </si>
  <si>
    <t>369/593</t>
  </si>
  <si>
    <t>385/587</t>
  </si>
  <si>
    <t>366/577</t>
  </si>
  <si>
    <t>342/553</t>
  </si>
  <si>
    <t>361/521</t>
  </si>
  <si>
    <t>311/362</t>
  </si>
  <si>
    <t>320/1154</t>
  </si>
  <si>
    <t>129/1204</t>
  </si>
  <si>
    <t>150/1190</t>
  </si>
  <si>
    <t>741/1077</t>
  </si>
  <si>
    <t>437/813</t>
  </si>
  <si>
    <t>85/583</t>
  </si>
  <si>
    <t>168/317</t>
  </si>
  <si>
    <t>273/644</t>
  </si>
  <si>
    <t>127/661</t>
  </si>
  <si>
    <t>182/654</t>
  </si>
  <si>
    <t>239/628</t>
  </si>
  <si>
    <t>325/545</t>
  </si>
  <si>
    <t>209/463</t>
  </si>
  <si>
    <t>148/300</t>
  </si>
  <si>
    <t>Cash Flow 18 Juillet 2017 (C)</t>
  </si>
  <si>
    <t>FR0013260163</t>
  </si>
  <si>
    <t>15/87</t>
  </si>
  <si>
    <t>35/69</t>
  </si>
  <si>
    <t>CPR Actions Euro Restructurations- P (C)</t>
  </si>
  <si>
    <t>489/525</t>
  </si>
  <si>
    <t>44/132</t>
  </si>
  <si>
    <t>72/132</t>
  </si>
  <si>
    <t>45/132</t>
  </si>
  <si>
    <t>36/101</t>
  </si>
  <si>
    <t>50/70</t>
  </si>
  <si>
    <t>52/69</t>
  </si>
  <si>
    <t>21/69</t>
  </si>
  <si>
    <t>8/66</t>
  </si>
  <si>
    <t>1/61</t>
  </si>
  <si>
    <t>1/34</t>
  </si>
  <si>
    <t>CPR Cash - P (C)</t>
  </si>
  <si>
    <t>322/582</t>
  </si>
  <si>
    <t>282/593</t>
  </si>
  <si>
    <t>334/587</t>
  </si>
  <si>
    <t>296/553</t>
  </si>
  <si>
    <t>278/521</t>
  </si>
  <si>
    <t>129/362</t>
  </si>
  <si>
    <t>418/520</t>
  </si>
  <si>
    <t>455/525</t>
  </si>
  <si>
    <t>335/522</t>
  </si>
  <si>
    <t>468/502</t>
  </si>
  <si>
    <t>352/427</t>
  </si>
  <si>
    <t>199/385</t>
  </si>
  <si>
    <t>79/97</t>
  </si>
  <si>
    <t>55/76</t>
  </si>
  <si>
    <t>36/56</t>
  </si>
  <si>
    <t>169/179</t>
  </si>
  <si>
    <t>149/177</t>
  </si>
  <si>
    <t>17/171</t>
  </si>
  <si>
    <t>15/177</t>
  </si>
  <si>
    <t>5/158</t>
  </si>
  <si>
    <t>29/108</t>
  </si>
  <si>
    <t>35/171</t>
  </si>
  <si>
    <t>7/179</t>
  </si>
  <si>
    <t>12/177</t>
  </si>
  <si>
    <t>47/158</t>
  </si>
  <si>
    <t>701/751</t>
  </si>
  <si>
    <t>670/795</t>
  </si>
  <si>
    <t>614/783</t>
  </si>
  <si>
    <t>630/698</t>
  </si>
  <si>
    <t>209/575</t>
  </si>
  <si>
    <t>177/468</t>
  </si>
  <si>
    <t>52/270</t>
  </si>
  <si>
    <t>361/485</t>
  </si>
  <si>
    <t>287/504</t>
  </si>
  <si>
    <t>402/501</t>
  </si>
  <si>
    <t>301/461</t>
  </si>
  <si>
    <t>94/378</t>
  </si>
  <si>
    <t>13/200</t>
  </si>
  <si>
    <t>701/902</t>
  </si>
  <si>
    <t>823/961</t>
  </si>
  <si>
    <t>757/950</t>
  </si>
  <si>
    <t>475/838</t>
  </si>
  <si>
    <t>144/649</t>
  </si>
  <si>
    <t>17/322</t>
  </si>
  <si>
    <t>CPR Euro High Dividend P (C/D)</t>
  </si>
  <si>
    <t>10/118</t>
  </si>
  <si>
    <t>12/119</t>
  </si>
  <si>
    <t>5/117</t>
  </si>
  <si>
    <t>51/100</t>
  </si>
  <si>
    <t>19/91</t>
  </si>
  <si>
    <t>47/261</t>
  </si>
  <si>
    <t>47/264</t>
  </si>
  <si>
    <t>153/263</t>
  </si>
  <si>
    <t>44/259</t>
  </si>
  <si>
    <t>231/238</t>
  </si>
  <si>
    <t>31/59</t>
  </si>
  <si>
    <t>24/59</t>
  </si>
  <si>
    <t>33/59</t>
  </si>
  <si>
    <t>340/520</t>
  </si>
  <si>
    <t>290/525</t>
  </si>
  <si>
    <t>337/522</t>
  </si>
  <si>
    <t>295/502</t>
  </si>
  <si>
    <t>323/427</t>
  </si>
  <si>
    <t>195/385</t>
  </si>
  <si>
    <t>401/520</t>
  </si>
  <si>
    <t>215/525</t>
  </si>
  <si>
    <t>331/522</t>
  </si>
  <si>
    <t>397/502</t>
  </si>
  <si>
    <t>341/427</t>
  </si>
  <si>
    <t>309/385</t>
  </si>
  <si>
    <t>CPR Europe - P (C/D)</t>
  </si>
  <si>
    <t>924/1184</t>
  </si>
  <si>
    <t>617/1210</t>
  </si>
  <si>
    <t>879/1199</t>
  </si>
  <si>
    <t>715/1144</t>
  </si>
  <si>
    <t>692/953</t>
  </si>
  <si>
    <t>450/598</t>
  </si>
  <si>
    <t>CPR Europe Low Carbon P (C/D)</t>
  </si>
  <si>
    <t>870/1184</t>
  </si>
  <si>
    <t>699/1210</t>
  </si>
  <si>
    <t>832/1199</t>
  </si>
  <si>
    <t>864/1144</t>
  </si>
  <si>
    <t>840/953</t>
  </si>
  <si>
    <t>671/843</t>
  </si>
  <si>
    <t>CPR Focus Inflation - P (C)</t>
  </si>
  <si>
    <t>62/70</t>
  </si>
  <si>
    <t>66/69</t>
  </si>
  <si>
    <t>66/66</t>
  </si>
  <si>
    <t>CPR GEAR Emergents - P (C/D)</t>
  </si>
  <si>
    <t>245/687</t>
  </si>
  <si>
    <t>62/697</t>
  </si>
  <si>
    <t>142/693</t>
  </si>
  <si>
    <t>155/672</t>
  </si>
  <si>
    <t>1969/2925</t>
  </si>
  <si>
    <t>164/3022</t>
  </si>
  <si>
    <t>2041/2988</t>
  </si>
  <si>
    <t>1166/2797</t>
  </si>
  <si>
    <t>970/2188</t>
  </si>
  <si>
    <t>402/1809</t>
  </si>
  <si>
    <t>828/1139</t>
  </si>
  <si>
    <t>428/1154</t>
  </si>
  <si>
    <t>194/1204</t>
  </si>
  <si>
    <t>427/1190</t>
  </si>
  <si>
    <t>558/1077</t>
  </si>
  <si>
    <t>680/813</t>
  </si>
  <si>
    <t>477/583</t>
  </si>
  <si>
    <t>237/317</t>
  </si>
  <si>
    <t>604/2925</t>
  </si>
  <si>
    <t>335/3022</t>
  </si>
  <si>
    <t>764/2988</t>
  </si>
  <si>
    <t>2203/2797</t>
  </si>
  <si>
    <t>370/485</t>
  </si>
  <si>
    <t>304/504</t>
  </si>
  <si>
    <t>405/501</t>
  </si>
  <si>
    <t>311/461</t>
  </si>
  <si>
    <t>9/118</t>
  </si>
  <si>
    <t>14/119</t>
  </si>
  <si>
    <t>6/117</t>
  </si>
  <si>
    <t>538/1184</t>
  </si>
  <si>
    <t>990/1210</t>
  </si>
  <si>
    <t>1063/1199</t>
  </si>
  <si>
    <t>637/2925</t>
  </si>
  <si>
    <t>389/3022</t>
  </si>
  <si>
    <t>844/2988</t>
  </si>
  <si>
    <t>2220/2797</t>
  </si>
  <si>
    <t>723/902</t>
  </si>
  <si>
    <t>832/961</t>
  </si>
  <si>
    <t>765/950</t>
  </si>
  <si>
    <t>494/838</t>
  </si>
  <si>
    <t>230/1184</t>
  </si>
  <si>
    <t>275/1210</t>
  </si>
  <si>
    <t>112/1199</t>
  </si>
  <si>
    <t>885/1144</t>
  </si>
  <si>
    <t>710/751</t>
  </si>
  <si>
    <t>681/795</t>
  </si>
  <si>
    <t>615/783</t>
  </si>
  <si>
    <t>644/698</t>
  </si>
  <si>
    <t>205/2925</t>
  </si>
  <si>
    <t>120/3022</t>
  </si>
  <si>
    <t>423/2988</t>
  </si>
  <si>
    <t>298/345</t>
  </si>
  <si>
    <t>120/352</t>
  </si>
  <si>
    <t>316/349</t>
  </si>
  <si>
    <t>265/336</t>
  </si>
  <si>
    <t>115/198</t>
  </si>
  <si>
    <t>CPR Middle-Cap France - P</t>
  </si>
  <si>
    <t>48/73</t>
  </si>
  <si>
    <t>50/73</t>
  </si>
  <si>
    <t>155/582</t>
  </si>
  <si>
    <t>132/593</t>
  </si>
  <si>
    <t>157/587</t>
  </si>
  <si>
    <t>138/577</t>
  </si>
  <si>
    <t>95/553</t>
  </si>
  <si>
    <t>138/521</t>
  </si>
  <si>
    <t>246/582</t>
  </si>
  <si>
    <t>198/593</t>
  </si>
  <si>
    <t>255/587</t>
  </si>
  <si>
    <t>253/577</t>
  </si>
  <si>
    <t>222/553</t>
  </si>
  <si>
    <t>194/521</t>
  </si>
  <si>
    <t>190/362</t>
  </si>
  <si>
    <t>29/66</t>
  </si>
  <si>
    <t>28/60</t>
  </si>
  <si>
    <t>31/48</t>
  </si>
  <si>
    <t>14/16</t>
  </si>
  <si>
    <t>19/69</t>
  </si>
  <si>
    <t>17/60</t>
  </si>
  <si>
    <t>24/65</t>
  </si>
  <si>
    <t>28/66</t>
  </si>
  <si>
    <t>2033/2269</t>
  </si>
  <si>
    <t>558/2344</t>
  </si>
  <si>
    <t>1499/2316</t>
  </si>
  <si>
    <t>2023/2167</t>
  </si>
  <si>
    <t>1607/1706</t>
  </si>
  <si>
    <t>915/1286</t>
  </si>
  <si>
    <t>1581/2269</t>
  </si>
  <si>
    <t>1653/2344</t>
  </si>
  <si>
    <t>1976/2316</t>
  </si>
  <si>
    <t>1303/2167</t>
  </si>
  <si>
    <t>821/1706</t>
  </si>
  <si>
    <t>578/1286</t>
  </si>
  <si>
    <t>220/1184</t>
  </si>
  <si>
    <t>245/1210</t>
  </si>
  <si>
    <t>108/1199</t>
  </si>
  <si>
    <t>873/1144</t>
  </si>
  <si>
    <t>214/953</t>
  </si>
  <si>
    <t>142/843</t>
  </si>
  <si>
    <t>435/485</t>
  </si>
  <si>
    <t>343/504</t>
  </si>
  <si>
    <t>420/501</t>
  </si>
  <si>
    <t>432/461</t>
  </si>
  <si>
    <t>238/323</t>
  </si>
  <si>
    <t>125/200</t>
  </si>
  <si>
    <t>531/835</t>
  </si>
  <si>
    <t>321/853</t>
  </si>
  <si>
    <t>566/846</t>
  </si>
  <si>
    <t>517/799</t>
  </si>
  <si>
    <t>248/687</t>
  </si>
  <si>
    <t>278/589</t>
  </si>
  <si>
    <t>276/412</t>
  </si>
  <si>
    <t>393/891</t>
  </si>
  <si>
    <t>753/927</t>
  </si>
  <si>
    <t>633/913</t>
  </si>
  <si>
    <t>150/844</t>
  </si>
  <si>
    <t>242/660</t>
  </si>
  <si>
    <t>78/441</t>
  </si>
  <si>
    <t>119/891</t>
  </si>
  <si>
    <t>791/927</t>
  </si>
  <si>
    <t>107/913</t>
  </si>
  <si>
    <t>198/844</t>
  </si>
  <si>
    <t>61/660</t>
  </si>
  <si>
    <t>522/891</t>
  </si>
  <si>
    <t>421/927</t>
  </si>
  <si>
    <t>511/913</t>
  </si>
  <si>
    <t>346/844</t>
  </si>
  <si>
    <t>362/660</t>
  </si>
  <si>
    <t>103/441</t>
  </si>
  <si>
    <t>383/891</t>
  </si>
  <si>
    <t>754/927</t>
  </si>
  <si>
    <t>582/913</t>
  </si>
  <si>
    <t>126/844</t>
  </si>
  <si>
    <t>227/660</t>
  </si>
  <si>
    <t>68/441</t>
  </si>
  <si>
    <t>1717/2269</t>
  </si>
  <si>
    <t>766/2344</t>
  </si>
  <si>
    <t>847/2316</t>
  </si>
  <si>
    <t>1918/2167</t>
  </si>
  <si>
    <t>462/485</t>
  </si>
  <si>
    <t>218/504</t>
  </si>
  <si>
    <t>397/501</t>
  </si>
  <si>
    <t>442/461</t>
  </si>
  <si>
    <t>286/891</t>
  </si>
  <si>
    <t>553/913</t>
  </si>
  <si>
    <t>186/844</t>
  </si>
  <si>
    <t>396/660</t>
  </si>
  <si>
    <t>185/441</t>
  </si>
  <si>
    <t>378/891</t>
  </si>
  <si>
    <t>646/927</t>
  </si>
  <si>
    <t>594/913</t>
  </si>
  <si>
    <t>325/660</t>
  </si>
  <si>
    <t>111/441</t>
  </si>
  <si>
    <t>139/644</t>
  </si>
  <si>
    <t>217/661</t>
  </si>
  <si>
    <t>125/654</t>
  </si>
  <si>
    <t>191/628</t>
  </si>
  <si>
    <t>310/545</t>
  </si>
  <si>
    <t>321/463</t>
  </si>
  <si>
    <t>62/582</t>
  </si>
  <si>
    <t>46/593</t>
  </si>
  <si>
    <t>51/587</t>
  </si>
  <si>
    <t>196/577</t>
  </si>
  <si>
    <t>518/553</t>
  </si>
  <si>
    <t>510/521</t>
  </si>
  <si>
    <t>143/644</t>
  </si>
  <si>
    <t>218/661</t>
  </si>
  <si>
    <t>124/654</t>
  </si>
  <si>
    <t>211/628</t>
  </si>
  <si>
    <t>314/545</t>
  </si>
  <si>
    <t>284/463</t>
  </si>
  <si>
    <t>74/162</t>
  </si>
  <si>
    <t>51/162</t>
  </si>
  <si>
    <t>107/144</t>
  </si>
  <si>
    <t>65/162</t>
  </si>
  <si>
    <t>50/162</t>
  </si>
  <si>
    <t>71/157</t>
  </si>
  <si>
    <t>67/144</t>
  </si>
  <si>
    <t>81/127</t>
  </si>
  <si>
    <t>122/162</t>
  </si>
  <si>
    <t>34/127</t>
  </si>
  <si>
    <t>41/101</t>
  </si>
  <si>
    <t>43/96</t>
  </si>
  <si>
    <t>53/91</t>
  </si>
  <si>
    <t>25/52</t>
  </si>
  <si>
    <t>27/49</t>
  </si>
  <si>
    <t>302/520</t>
  </si>
  <si>
    <t>336/525</t>
  </si>
  <si>
    <t>285/522</t>
  </si>
  <si>
    <t>319/502</t>
  </si>
  <si>
    <t>288/427</t>
  </si>
  <si>
    <t>220/385</t>
  </si>
  <si>
    <t>798/2925</t>
  </si>
  <si>
    <t>2770/3022</t>
  </si>
  <si>
    <t>1266/2988</t>
  </si>
  <si>
    <t>163/2797</t>
  </si>
  <si>
    <t>265/2188</t>
  </si>
  <si>
    <t>544/1809</t>
  </si>
  <si>
    <t>298/1139</t>
  </si>
  <si>
    <t>64/593</t>
  </si>
  <si>
    <t>98/587</t>
  </si>
  <si>
    <t>478/589</t>
  </si>
  <si>
    <t>197/601</t>
  </si>
  <si>
    <t>428/599</t>
  </si>
  <si>
    <t>467/563</t>
  </si>
  <si>
    <t>267/334</t>
  </si>
  <si>
    <t>365/582</t>
  </si>
  <si>
    <t>305/593</t>
  </si>
  <si>
    <t>366/587</t>
  </si>
  <si>
    <t>371/577</t>
  </si>
  <si>
    <t>369/553</t>
  </si>
  <si>
    <t>381/521</t>
  </si>
  <si>
    <t>141/582</t>
  </si>
  <si>
    <t>127/593</t>
  </si>
  <si>
    <t>139/587</t>
  </si>
  <si>
    <t>152/577</t>
  </si>
  <si>
    <t>192/553</t>
  </si>
  <si>
    <t>277/521</t>
  </si>
  <si>
    <t>179/362</t>
  </si>
  <si>
    <t>46/59</t>
  </si>
  <si>
    <t>58/59</t>
  </si>
  <si>
    <t>41/59</t>
  </si>
  <si>
    <t>9/57</t>
  </si>
  <si>
    <t>5/33</t>
  </si>
  <si>
    <t>93/132</t>
  </si>
  <si>
    <t>112/132</t>
  </si>
  <si>
    <t>89/131</t>
  </si>
  <si>
    <t>64/126</t>
  </si>
  <si>
    <t>79/120</t>
  </si>
  <si>
    <t>81/101</t>
  </si>
  <si>
    <t>81/132</t>
  </si>
  <si>
    <t>108/132</t>
  </si>
  <si>
    <t>111/126</t>
  </si>
  <si>
    <t>94/120</t>
  </si>
  <si>
    <t>80/101</t>
  </si>
  <si>
    <t>85/118</t>
  </si>
  <si>
    <t>78/118</t>
  </si>
  <si>
    <t>39/91</t>
  </si>
  <si>
    <t>36/51</t>
  </si>
  <si>
    <t>117/520</t>
  </si>
  <si>
    <t>141/525</t>
  </si>
  <si>
    <t>180/522</t>
  </si>
  <si>
    <t>93/502</t>
  </si>
  <si>
    <t>320/427</t>
  </si>
  <si>
    <t>256/385</t>
  </si>
  <si>
    <t>192/273</t>
  </si>
  <si>
    <t>415/835</t>
  </si>
  <si>
    <t>604/853</t>
  </si>
  <si>
    <t>490/846</t>
  </si>
  <si>
    <t>256/799</t>
  </si>
  <si>
    <t>159/687</t>
  </si>
  <si>
    <t>194/589</t>
  </si>
  <si>
    <t>128/412</t>
  </si>
  <si>
    <t>247/394</t>
  </si>
  <si>
    <t>143/395</t>
  </si>
  <si>
    <t>200/395</t>
  </si>
  <si>
    <t>218/390</t>
  </si>
  <si>
    <t>300/344</t>
  </si>
  <si>
    <t>276/294</t>
  </si>
  <si>
    <t>189/198</t>
  </si>
  <si>
    <t>44/78</t>
  </si>
  <si>
    <t>64/81</t>
  </si>
  <si>
    <t>30/81</t>
  </si>
  <si>
    <t>13/50</t>
  </si>
  <si>
    <t>12/78</t>
  </si>
  <si>
    <t>16/78</t>
  </si>
  <si>
    <t>72/75</t>
  </si>
  <si>
    <t>48/50</t>
  </si>
  <si>
    <t>506/891</t>
  </si>
  <si>
    <t>371/927</t>
  </si>
  <si>
    <t>377/913</t>
  </si>
  <si>
    <t>497/844</t>
  </si>
  <si>
    <t>407/660</t>
  </si>
  <si>
    <t>216/441</t>
  </si>
  <si>
    <t>5/37</t>
  </si>
  <si>
    <t>18/38</t>
  </si>
  <si>
    <t>1/37</t>
  </si>
  <si>
    <t>41/144</t>
  </si>
  <si>
    <t>48/144</t>
  </si>
  <si>
    <t>77/134</t>
  </si>
  <si>
    <t>92/109</t>
  </si>
  <si>
    <t>34/50</t>
  </si>
  <si>
    <t>162/520</t>
  </si>
  <si>
    <t>218/525</t>
  </si>
  <si>
    <t>243/427</t>
  </si>
  <si>
    <t>288/385</t>
  </si>
  <si>
    <t>264/273</t>
  </si>
  <si>
    <t>1177/1184</t>
  </si>
  <si>
    <t>1209/1210</t>
  </si>
  <si>
    <t>1192/1199</t>
  </si>
  <si>
    <t>1109/1144</t>
  </si>
  <si>
    <t>948/953</t>
  </si>
  <si>
    <t>839/843</t>
  </si>
  <si>
    <t>571/598</t>
  </si>
  <si>
    <t>113/891</t>
  </si>
  <si>
    <t>66/927</t>
  </si>
  <si>
    <t>81/913</t>
  </si>
  <si>
    <t>25/844</t>
  </si>
  <si>
    <t>16/891</t>
  </si>
  <si>
    <t>40/927</t>
  </si>
  <si>
    <t>9/913</t>
  </si>
  <si>
    <t>3/844</t>
  </si>
  <si>
    <t>203/676</t>
  </si>
  <si>
    <t>71/669</t>
  </si>
  <si>
    <t>61/927</t>
  </si>
  <si>
    <t>73/913</t>
  </si>
  <si>
    <t>30/844</t>
  </si>
  <si>
    <t>5/891</t>
  </si>
  <si>
    <t>529/927</t>
  </si>
  <si>
    <t>8/913</t>
  </si>
  <si>
    <t>2/844</t>
  </si>
  <si>
    <t>29/891</t>
  </si>
  <si>
    <t>39/927</t>
  </si>
  <si>
    <t>13/913</t>
  </si>
  <si>
    <t>7/844</t>
  </si>
  <si>
    <t>99/891</t>
  </si>
  <si>
    <t>73/927</t>
  </si>
  <si>
    <t>55/913</t>
  </si>
  <si>
    <t>349/589</t>
  </si>
  <si>
    <t>346/601</t>
  </si>
  <si>
    <t>265/599</t>
  </si>
  <si>
    <t>285/563</t>
  </si>
  <si>
    <t>328/497</t>
  </si>
  <si>
    <t>270/334</t>
  </si>
  <si>
    <t>200/589</t>
  </si>
  <si>
    <t>528/601</t>
  </si>
  <si>
    <t>203/599</t>
  </si>
  <si>
    <t>79/563</t>
  </si>
  <si>
    <t>247/497</t>
  </si>
  <si>
    <t>44/334</t>
  </si>
  <si>
    <t>224/589</t>
  </si>
  <si>
    <t>204/601</t>
  </si>
  <si>
    <t>191/599</t>
  </si>
  <si>
    <t>228/563</t>
  </si>
  <si>
    <t>244/497</t>
  </si>
  <si>
    <t>216/334</t>
  </si>
  <si>
    <t>66/162</t>
  </si>
  <si>
    <t>140/162</t>
  </si>
  <si>
    <t>103/144</t>
  </si>
  <si>
    <t>112/127</t>
  </si>
  <si>
    <t>71/90</t>
  </si>
  <si>
    <t>18/23</t>
  </si>
  <si>
    <t>7/11</t>
  </si>
  <si>
    <t>310/582</t>
  </si>
  <si>
    <t>247/593</t>
  </si>
  <si>
    <t>310/587</t>
  </si>
  <si>
    <t>275/577</t>
  </si>
  <si>
    <t>241/553</t>
  </si>
  <si>
    <t>224/521</t>
  </si>
  <si>
    <t>98/362</t>
  </si>
  <si>
    <t>2876/2925</t>
  </si>
  <si>
    <t>2547/3022</t>
  </si>
  <si>
    <t>2927/2988</t>
  </si>
  <si>
    <t>2759/2797</t>
  </si>
  <si>
    <t>2125/2188</t>
  </si>
  <si>
    <t>1758/1809</t>
  </si>
  <si>
    <t>1106/1139</t>
  </si>
  <si>
    <t>1671/2269</t>
  </si>
  <si>
    <t>978/2344</t>
  </si>
  <si>
    <t>1435/2316</t>
  </si>
  <si>
    <t>1848/2167</t>
  </si>
  <si>
    <t>1391/1706</t>
  </si>
  <si>
    <t>1015/2269</t>
  </si>
  <si>
    <t>1265/2344</t>
  </si>
  <si>
    <t>1272/2316</t>
  </si>
  <si>
    <t>1178/2167</t>
  </si>
  <si>
    <t>1129/1706</t>
  </si>
  <si>
    <t>24/835</t>
  </si>
  <si>
    <t>69/853</t>
  </si>
  <si>
    <t>5/846</t>
  </si>
  <si>
    <t>286/799</t>
  </si>
  <si>
    <t>642/687</t>
  </si>
  <si>
    <t>492/589</t>
  </si>
  <si>
    <t>342/412</t>
  </si>
  <si>
    <t>823/1184</t>
  </si>
  <si>
    <t>818/1210</t>
  </si>
  <si>
    <t>843/1199</t>
  </si>
  <si>
    <t>477/1144</t>
  </si>
  <si>
    <t>619/953</t>
  </si>
  <si>
    <t>361/598</t>
  </si>
  <si>
    <t>54/132</t>
  </si>
  <si>
    <t>42/131</t>
  </si>
  <si>
    <t>53/126</t>
  </si>
  <si>
    <t>1301/2925</t>
  </si>
  <si>
    <t>1127/3022</t>
  </si>
  <si>
    <t>1605/2988</t>
  </si>
  <si>
    <t>1074/2797</t>
  </si>
  <si>
    <t>828/2188</t>
  </si>
  <si>
    <t>1175/1809</t>
  </si>
  <si>
    <t>399/1139</t>
  </si>
  <si>
    <t>308/835</t>
  </si>
  <si>
    <t>397/853</t>
  </si>
  <si>
    <t>353/846</t>
  </si>
  <si>
    <t>494/799</t>
  </si>
  <si>
    <t>427/687</t>
  </si>
  <si>
    <t>404/589</t>
  </si>
  <si>
    <t>283/412</t>
  </si>
  <si>
    <t>113/252</t>
  </si>
  <si>
    <t>99/258</t>
  </si>
  <si>
    <t>62/257</t>
  </si>
  <si>
    <t>121/247</t>
  </si>
  <si>
    <t>79/216</t>
  </si>
  <si>
    <t>39/192</t>
  </si>
  <si>
    <t>31/130</t>
  </si>
  <si>
    <t>43/64</t>
  </si>
  <si>
    <t>48/62</t>
  </si>
  <si>
    <t>20/85</t>
  </si>
  <si>
    <t>47/47</t>
  </si>
  <si>
    <t>287/644</t>
  </si>
  <si>
    <t>263/661</t>
  </si>
  <si>
    <t>155/654</t>
  </si>
  <si>
    <t>342/628</t>
  </si>
  <si>
    <t>405/1154</t>
  </si>
  <si>
    <t>304/1204</t>
  </si>
  <si>
    <t>234/1190</t>
  </si>
  <si>
    <t>464/1077</t>
  </si>
  <si>
    <t>33/100</t>
  </si>
  <si>
    <t>60/91</t>
  </si>
  <si>
    <t>44/48</t>
  </si>
  <si>
    <t>255/902</t>
  </si>
  <si>
    <t>790/961</t>
  </si>
  <si>
    <t>139/950</t>
  </si>
  <si>
    <t>277/838</t>
  </si>
  <si>
    <t>407/649</t>
  </si>
  <si>
    <t>212/521</t>
  </si>
  <si>
    <t>179/485</t>
  </si>
  <si>
    <t>412/504</t>
  </si>
  <si>
    <t>87/501</t>
  </si>
  <si>
    <t>191/461</t>
  </si>
  <si>
    <t>281/378</t>
  </si>
  <si>
    <t>156/200</t>
  </si>
  <si>
    <t>100/589</t>
  </si>
  <si>
    <t>481/601</t>
  </si>
  <si>
    <t>118/599</t>
  </si>
  <si>
    <t>64/563</t>
  </si>
  <si>
    <t>72/497</t>
  </si>
  <si>
    <t>40/334</t>
  </si>
  <si>
    <t>461/582</t>
  </si>
  <si>
    <t>445/593</t>
  </si>
  <si>
    <t>461/587</t>
  </si>
  <si>
    <t>453/577</t>
  </si>
  <si>
    <t>440/553</t>
  </si>
  <si>
    <t>465/521</t>
  </si>
  <si>
    <t>339/362</t>
  </si>
  <si>
    <t>51/75</t>
  </si>
  <si>
    <t>8/58</t>
  </si>
  <si>
    <t>23/120</t>
  </si>
  <si>
    <t>116/126</t>
  </si>
  <si>
    <t>20/123</t>
  </si>
  <si>
    <t>34/115</t>
  </si>
  <si>
    <t>43/98</t>
  </si>
  <si>
    <t>38/90</t>
  </si>
  <si>
    <t>645/1184</t>
  </si>
  <si>
    <t>558/1210</t>
  </si>
  <si>
    <t>688/1199</t>
  </si>
  <si>
    <t>531/1144</t>
  </si>
  <si>
    <t>732/953</t>
  </si>
  <si>
    <t>694/843</t>
  </si>
  <si>
    <t>202/661</t>
  </si>
  <si>
    <t>487/654</t>
  </si>
  <si>
    <t>426/628</t>
  </si>
  <si>
    <t>446/545</t>
  </si>
  <si>
    <t>374/463</t>
  </si>
  <si>
    <t>227/300</t>
  </si>
  <si>
    <t>218/1184</t>
  </si>
  <si>
    <t>1204/1210</t>
  </si>
  <si>
    <t>614/1199</t>
  </si>
  <si>
    <t>434/1144</t>
  </si>
  <si>
    <t>83/953</t>
  </si>
  <si>
    <t>37/843</t>
  </si>
  <si>
    <t>92/598</t>
  </si>
  <si>
    <t>300/582</t>
  </si>
  <si>
    <t>258/593</t>
  </si>
  <si>
    <t>302/587</t>
  </si>
  <si>
    <t>308/577</t>
  </si>
  <si>
    <t>51/72</t>
  </si>
  <si>
    <t>97/160</t>
  </si>
  <si>
    <t>66/159</t>
  </si>
  <si>
    <t>90/103</t>
  </si>
  <si>
    <t>65/74</t>
  </si>
  <si>
    <t>451/589</t>
  </si>
  <si>
    <t>451/601</t>
  </si>
  <si>
    <t>537/599</t>
  </si>
  <si>
    <t>242/563</t>
  </si>
  <si>
    <t>481/497</t>
  </si>
  <si>
    <t>300/589</t>
  </si>
  <si>
    <t>510/601</t>
  </si>
  <si>
    <t>559/599</t>
  </si>
  <si>
    <t>104/563</t>
  </si>
  <si>
    <t>462/497</t>
  </si>
  <si>
    <t>239/334</t>
  </si>
  <si>
    <t>266/589</t>
  </si>
  <si>
    <t>506/601</t>
  </si>
  <si>
    <t>521/599</t>
  </si>
  <si>
    <t>119/563</t>
  </si>
  <si>
    <t>457/497</t>
  </si>
  <si>
    <t>322/589</t>
  </si>
  <si>
    <t>496/601</t>
  </si>
  <si>
    <t>551/599</t>
  </si>
  <si>
    <t>191/563</t>
  </si>
  <si>
    <t>448/497</t>
  </si>
  <si>
    <t>1033/2925</t>
  </si>
  <si>
    <t>1108/3022</t>
  </si>
  <si>
    <t>1205/2988</t>
  </si>
  <si>
    <t>715/2797</t>
  </si>
  <si>
    <t>284/2188</t>
  </si>
  <si>
    <t>574/1809</t>
  </si>
  <si>
    <t>477/1139</t>
  </si>
  <si>
    <t>735/1154</t>
  </si>
  <si>
    <t>769/1204</t>
  </si>
  <si>
    <t>695/1190</t>
  </si>
  <si>
    <t>980/1077</t>
  </si>
  <si>
    <t>439/813</t>
  </si>
  <si>
    <t>345/583</t>
  </si>
  <si>
    <t>148/317</t>
  </si>
  <si>
    <t>FDA 1 Part O (C/D)</t>
  </si>
  <si>
    <t>109/171</t>
  </si>
  <si>
    <t>46/179</t>
  </si>
  <si>
    <t>63/177</t>
  </si>
  <si>
    <t>90/108</t>
  </si>
  <si>
    <t>3/24</t>
  </si>
  <si>
    <t>32/687</t>
  </si>
  <si>
    <t>112/697</t>
  </si>
  <si>
    <t>84/693</t>
  </si>
  <si>
    <t>50/672</t>
  </si>
  <si>
    <t>62/567</t>
  </si>
  <si>
    <t>346/455</t>
  </si>
  <si>
    <t>69/2269</t>
  </si>
  <si>
    <t>2056/2344</t>
  </si>
  <si>
    <t>77/2316</t>
  </si>
  <si>
    <t>54/2167</t>
  </si>
  <si>
    <t>92/1706</t>
  </si>
  <si>
    <t>48/1286</t>
  </si>
  <si>
    <t>68/2269</t>
  </si>
  <si>
    <t>922/2344</t>
  </si>
  <si>
    <t>204/2316</t>
  </si>
  <si>
    <t>89/2167</t>
  </si>
  <si>
    <t>59/1706</t>
  </si>
  <si>
    <t>49/1286</t>
  </si>
  <si>
    <t>Finance et Solidarite - Amundi (C)</t>
  </si>
  <si>
    <t>87/433</t>
  </si>
  <si>
    <t>16/449</t>
  </si>
  <si>
    <t>41/446</t>
  </si>
  <si>
    <t>163/411</t>
  </si>
  <si>
    <t>194/365</t>
  </si>
  <si>
    <t>99/130</t>
  </si>
  <si>
    <t>47/58</t>
  </si>
  <si>
    <t>44/50</t>
  </si>
  <si>
    <t>253/582</t>
  </si>
  <si>
    <t>189/593</t>
  </si>
  <si>
    <t>260/587</t>
  </si>
  <si>
    <t>234/577</t>
  </si>
  <si>
    <t>146/553</t>
  </si>
  <si>
    <t>Fonds AV Echus FIA - B</t>
  </si>
  <si>
    <t>15/30</t>
  </si>
  <si>
    <t>Fonds AV Echus FIA - D</t>
  </si>
  <si>
    <t>FR0013241288</t>
  </si>
  <si>
    <t>178/582</t>
  </si>
  <si>
    <t>101/593</t>
  </si>
  <si>
    <t>203/587</t>
  </si>
  <si>
    <t>171/577</t>
  </si>
  <si>
    <t>159/553</t>
  </si>
  <si>
    <t>523/891</t>
  </si>
  <si>
    <t>283/927</t>
  </si>
  <si>
    <t>319/913</t>
  </si>
  <si>
    <t>548/844</t>
  </si>
  <si>
    <t>480/660</t>
  </si>
  <si>
    <t>346/441</t>
  </si>
  <si>
    <t>102/128</t>
  </si>
  <si>
    <t>48/261</t>
  </si>
  <si>
    <t>48/264</t>
  </si>
  <si>
    <t>157/263</t>
  </si>
  <si>
    <t>124/252</t>
  </si>
  <si>
    <t>95/258</t>
  </si>
  <si>
    <t>162/257</t>
  </si>
  <si>
    <t>130/247</t>
  </si>
  <si>
    <t>131/216</t>
  </si>
  <si>
    <t>161/192</t>
  </si>
  <si>
    <t>21/64</t>
  </si>
  <si>
    <t>10/65</t>
  </si>
  <si>
    <t>12/65</t>
  </si>
  <si>
    <t>46/60</t>
  </si>
  <si>
    <t>Hadree (C)</t>
  </si>
  <si>
    <t>401/891</t>
  </si>
  <si>
    <t>536/927</t>
  </si>
  <si>
    <t>276/913</t>
  </si>
  <si>
    <t>Hevea Defensif C</t>
  </si>
  <si>
    <t>259/751</t>
  </si>
  <si>
    <t>299/795</t>
  </si>
  <si>
    <t>209/783</t>
  </si>
  <si>
    <t>282/698</t>
  </si>
  <si>
    <t>146/575</t>
  </si>
  <si>
    <t>143/468</t>
  </si>
  <si>
    <t>190/270</t>
  </si>
  <si>
    <t>Hevea Dynamique C</t>
  </si>
  <si>
    <t>420/2925</t>
  </si>
  <si>
    <t>2351/3022</t>
  </si>
  <si>
    <t>417/2988</t>
  </si>
  <si>
    <t>380/2797</t>
  </si>
  <si>
    <t>1381/2188</t>
  </si>
  <si>
    <t>703/1809</t>
  </si>
  <si>
    <t>977/1139</t>
  </si>
  <si>
    <t>Hevea Equilibre C</t>
  </si>
  <si>
    <t>185/902</t>
  </si>
  <si>
    <t>761/961</t>
  </si>
  <si>
    <t>314/950</t>
  </si>
  <si>
    <t>153/838</t>
  </si>
  <si>
    <t>68/649</t>
  </si>
  <si>
    <t>33/521</t>
  </si>
  <si>
    <t>214/322</t>
  </si>
  <si>
    <t>24/98</t>
  </si>
  <si>
    <t>27/99</t>
  </si>
  <si>
    <t>42/79</t>
  </si>
  <si>
    <t>52/155</t>
  </si>
  <si>
    <t>95/154</t>
  </si>
  <si>
    <t>3/33</t>
  </si>
  <si>
    <t>14/20</t>
  </si>
  <si>
    <t>130/1154</t>
  </si>
  <si>
    <t>26/1204</t>
  </si>
  <si>
    <t>14/1190</t>
  </si>
  <si>
    <t>294/1077</t>
  </si>
  <si>
    <t>401/813</t>
  </si>
  <si>
    <t>387/583</t>
  </si>
  <si>
    <t>230/317</t>
  </si>
  <si>
    <t>6/13</t>
  </si>
  <si>
    <t>201/237</t>
  </si>
  <si>
    <t>12/238</t>
  </si>
  <si>
    <t>222/237</t>
  </si>
  <si>
    <t>165/179</t>
  </si>
  <si>
    <t>528/582</t>
  </si>
  <si>
    <t>500/593</t>
  </si>
  <si>
    <t>547/587</t>
  </si>
  <si>
    <t>522/577</t>
  </si>
  <si>
    <t>507/553</t>
  </si>
  <si>
    <t>496/521</t>
  </si>
  <si>
    <t>80/194</t>
  </si>
  <si>
    <t>96/195</t>
  </si>
  <si>
    <t>70/195</t>
  </si>
  <si>
    <t>112/194</t>
  </si>
  <si>
    <t>64/119</t>
  </si>
  <si>
    <t>174/238</t>
  </si>
  <si>
    <t>55/237</t>
  </si>
  <si>
    <t>26/179</t>
  </si>
  <si>
    <t>404/520</t>
  </si>
  <si>
    <t>446/525</t>
  </si>
  <si>
    <t>271/502</t>
  </si>
  <si>
    <t>349/427</t>
  </si>
  <si>
    <t>259/385</t>
  </si>
  <si>
    <t>200/273</t>
  </si>
  <si>
    <t>59/74</t>
  </si>
  <si>
    <t>52/74</t>
  </si>
  <si>
    <t>30/61</t>
  </si>
  <si>
    <t>24/55</t>
  </si>
  <si>
    <t>40/194</t>
  </si>
  <si>
    <t>121/195</t>
  </si>
  <si>
    <t>57/195</t>
  </si>
  <si>
    <t>53/194</t>
  </si>
  <si>
    <t>26/161</t>
  </si>
  <si>
    <t>10/119</t>
  </si>
  <si>
    <t>488/835</t>
  </si>
  <si>
    <t>603/853</t>
  </si>
  <si>
    <t>579/846</t>
  </si>
  <si>
    <t>524/799</t>
  </si>
  <si>
    <t>216/687</t>
  </si>
  <si>
    <t>252/589</t>
  </si>
  <si>
    <t>154/412</t>
  </si>
  <si>
    <t>5/13</t>
  </si>
  <si>
    <t>3/13</t>
  </si>
  <si>
    <t>21/161</t>
  </si>
  <si>
    <t>28/29</t>
  </si>
  <si>
    <t>13/160</t>
  </si>
  <si>
    <t>4/160</t>
  </si>
  <si>
    <t>42/128</t>
  </si>
  <si>
    <t>97/103</t>
  </si>
  <si>
    <t>3/68</t>
  </si>
  <si>
    <t>2/76</t>
  </si>
  <si>
    <t>6/67</t>
  </si>
  <si>
    <t>19/55</t>
  </si>
  <si>
    <t>9/125</t>
  </si>
  <si>
    <t>42/94</t>
  </si>
  <si>
    <t>2793/2925</t>
  </si>
  <si>
    <t>1987/3022</t>
  </si>
  <si>
    <t>2872/2988</t>
  </si>
  <si>
    <t>2080/2797</t>
  </si>
  <si>
    <t>2111/2188</t>
  </si>
  <si>
    <t>1743/1809</t>
  </si>
  <si>
    <t>950/2925</t>
  </si>
  <si>
    <t>1018/3022</t>
  </si>
  <si>
    <t>1084/2988</t>
  </si>
  <si>
    <t>287/2797</t>
  </si>
  <si>
    <t>971/2188</t>
  </si>
  <si>
    <t>202/1809</t>
  </si>
  <si>
    <t>2413/2925</t>
  </si>
  <si>
    <t>92/3022</t>
  </si>
  <si>
    <t>2228/2988</t>
  </si>
  <si>
    <t>117/163</t>
  </si>
  <si>
    <t>17/172</t>
  </si>
  <si>
    <t>133/169</t>
  </si>
  <si>
    <t>40/155</t>
  </si>
  <si>
    <t>4/87</t>
  </si>
  <si>
    <t>KBI Institutional Developed Equity EUR H</t>
  </si>
  <si>
    <t>2532/2925</t>
  </si>
  <si>
    <t>355/3022</t>
  </si>
  <si>
    <t>2650/2988</t>
  </si>
  <si>
    <t>1287/2797</t>
  </si>
  <si>
    <t>869/2188</t>
  </si>
  <si>
    <t>554/687</t>
  </si>
  <si>
    <t>631/697</t>
  </si>
  <si>
    <t>614/693</t>
  </si>
  <si>
    <t>417/672</t>
  </si>
  <si>
    <t>307/567</t>
  </si>
  <si>
    <t>175/455</t>
  </si>
  <si>
    <t>459/2925</t>
  </si>
  <si>
    <t>257/3022</t>
  </si>
  <si>
    <t>412/2988</t>
  </si>
  <si>
    <t>1835/2797</t>
  </si>
  <si>
    <t>1977/2188</t>
  </si>
  <si>
    <t>1154/1809</t>
  </si>
  <si>
    <t>1116/1139</t>
  </si>
  <si>
    <t>5/118</t>
  </si>
  <si>
    <t>15/119</t>
  </si>
  <si>
    <t>14/118</t>
  </si>
  <si>
    <t>2/117</t>
  </si>
  <si>
    <t>7/100</t>
  </si>
  <si>
    <t>5/91</t>
  </si>
  <si>
    <t>1274/2925</t>
  </si>
  <si>
    <t>798/3022</t>
  </si>
  <si>
    <t>1595/2988</t>
  </si>
  <si>
    <t>1453/2797</t>
  </si>
  <si>
    <t>1935/2188</t>
  </si>
  <si>
    <t>1456/1809</t>
  </si>
  <si>
    <t>2479/2925</t>
  </si>
  <si>
    <t>404/3022</t>
  </si>
  <si>
    <t>2661/2988</t>
  </si>
  <si>
    <t>1315/2797</t>
  </si>
  <si>
    <t>617/751</t>
  </si>
  <si>
    <t>207/795</t>
  </si>
  <si>
    <t>327/783</t>
  </si>
  <si>
    <t>451/698</t>
  </si>
  <si>
    <t>KONZEPT : ERTRAG 2023</t>
  </si>
  <si>
    <t>643/751</t>
  </si>
  <si>
    <t>588/783</t>
  </si>
  <si>
    <t>610/961</t>
  </si>
  <si>
    <t>644/950</t>
  </si>
  <si>
    <t>783/902</t>
  </si>
  <si>
    <t>475/961</t>
  </si>
  <si>
    <t>611/950</t>
  </si>
  <si>
    <t>689/838</t>
  </si>
  <si>
    <t>1955/2925</t>
  </si>
  <si>
    <t>1658/3022</t>
  </si>
  <si>
    <t>1609/2988</t>
  </si>
  <si>
    <t>780/2797</t>
  </si>
  <si>
    <t>860/2188</t>
  </si>
  <si>
    <t>864/1809</t>
  </si>
  <si>
    <t>612/1139</t>
  </si>
  <si>
    <t>672/902</t>
  </si>
  <si>
    <t>355/961</t>
  </si>
  <si>
    <t>413/950</t>
  </si>
  <si>
    <t>528/838</t>
  </si>
  <si>
    <t>244/649</t>
  </si>
  <si>
    <t>250/521</t>
  </si>
  <si>
    <t>1933/2269</t>
  </si>
  <si>
    <t>1338/2344</t>
  </si>
  <si>
    <t>1876/2316</t>
  </si>
  <si>
    <t>863/2167</t>
  </si>
  <si>
    <t>266/1706</t>
  </si>
  <si>
    <t>214/1286</t>
  </si>
  <si>
    <t>690/751</t>
  </si>
  <si>
    <t>417/795</t>
  </si>
  <si>
    <t>545/783</t>
  </si>
  <si>
    <t>523/698</t>
  </si>
  <si>
    <t>260/575</t>
  </si>
  <si>
    <t>233/468</t>
  </si>
  <si>
    <t>482/891</t>
  </si>
  <si>
    <t>398/927</t>
  </si>
  <si>
    <t>322/913</t>
  </si>
  <si>
    <t>571/844</t>
  </si>
  <si>
    <t>KONZEPT: ERTRAG 2025</t>
  </si>
  <si>
    <t>784/902</t>
  </si>
  <si>
    <t>586/961</t>
  </si>
  <si>
    <t>673/950</t>
  </si>
  <si>
    <t>602/751</t>
  </si>
  <si>
    <t>415/795</t>
  </si>
  <si>
    <t>427/783</t>
  </si>
  <si>
    <t>673/698</t>
  </si>
  <si>
    <t>517/751</t>
  </si>
  <si>
    <t>365/795</t>
  </si>
  <si>
    <t>284/783</t>
  </si>
  <si>
    <t>609/698</t>
  </si>
  <si>
    <t>609/751</t>
  </si>
  <si>
    <t>125/783</t>
  </si>
  <si>
    <t>447/783</t>
  </si>
  <si>
    <t>21/891</t>
  </si>
  <si>
    <t>918/927</t>
  </si>
  <si>
    <t>281/913</t>
  </si>
  <si>
    <t>5/844</t>
  </si>
  <si>
    <t>91/891</t>
  </si>
  <si>
    <t>76/927</t>
  </si>
  <si>
    <t>123/913</t>
  </si>
  <si>
    <t>49/844</t>
  </si>
  <si>
    <t>153/660</t>
  </si>
  <si>
    <t>9/104</t>
  </si>
  <si>
    <t>17/100</t>
  </si>
  <si>
    <t>29/67</t>
  </si>
  <si>
    <t>35/53</t>
  </si>
  <si>
    <t>23/891</t>
  </si>
  <si>
    <t>885/927</t>
  </si>
  <si>
    <t>252/913</t>
  </si>
  <si>
    <t>9/844</t>
  </si>
  <si>
    <t>887/927</t>
  </si>
  <si>
    <t>255/913</t>
  </si>
  <si>
    <t>10/844</t>
  </si>
  <si>
    <t>133/520</t>
  </si>
  <si>
    <t>479/525</t>
  </si>
  <si>
    <t>163/522</t>
  </si>
  <si>
    <t>464/502</t>
  </si>
  <si>
    <t>360/427</t>
  </si>
  <si>
    <t>279/385</t>
  </si>
  <si>
    <t>215/273</t>
  </si>
  <si>
    <t>348/2925</t>
  </si>
  <si>
    <t>2734/3022</t>
  </si>
  <si>
    <t>232/2988</t>
  </si>
  <si>
    <t>324/2797</t>
  </si>
  <si>
    <t>1582/2188</t>
  </si>
  <si>
    <t>1391/1809</t>
  </si>
  <si>
    <t>968/1139</t>
  </si>
  <si>
    <t>486/687</t>
  </si>
  <si>
    <t>453/697</t>
  </si>
  <si>
    <t>509/693</t>
  </si>
  <si>
    <t>423/672</t>
  </si>
  <si>
    <t>193/567</t>
  </si>
  <si>
    <t>209/455</t>
  </si>
  <si>
    <t>66/229</t>
  </si>
  <si>
    <t>634/835</t>
  </si>
  <si>
    <t>617/853</t>
  </si>
  <si>
    <t>594/846</t>
  </si>
  <si>
    <t>555/799</t>
  </si>
  <si>
    <t>320/687</t>
  </si>
  <si>
    <t>317/589</t>
  </si>
  <si>
    <t>183/412</t>
  </si>
  <si>
    <t>175/520</t>
  </si>
  <si>
    <t>334/525</t>
  </si>
  <si>
    <t>174/522</t>
  </si>
  <si>
    <t>278/502</t>
  </si>
  <si>
    <t>175/427</t>
  </si>
  <si>
    <t>229/385</t>
  </si>
  <si>
    <t>211/273</t>
  </si>
  <si>
    <t>698/1184</t>
  </si>
  <si>
    <t>970/1210</t>
  </si>
  <si>
    <t>767/1199</t>
  </si>
  <si>
    <t>739/1144</t>
  </si>
  <si>
    <t>546/953</t>
  </si>
  <si>
    <t>523/843</t>
  </si>
  <si>
    <t>432/598</t>
  </si>
  <si>
    <t>102/132</t>
  </si>
  <si>
    <t>96/131</t>
  </si>
  <si>
    <t>76/126</t>
  </si>
  <si>
    <t>55/120</t>
  </si>
  <si>
    <t>89/124</t>
  </si>
  <si>
    <t>104/125</t>
  </si>
  <si>
    <t>58/125</t>
  </si>
  <si>
    <t>106/124</t>
  </si>
  <si>
    <t>96/113</t>
  </si>
  <si>
    <t>73/106</t>
  </si>
  <si>
    <t>178/247</t>
  </si>
  <si>
    <t>230/257</t>
  </si>
  <si>
    <t>175/253</t>
  </si>
  <si>
    <t>169/203</t>
  </si>
  <si>
    <t>138/173</t>
  </si>
  <si>
    <t>113/126</t>
  </si>
  <si>
    <t>2312/2925</t>
  </si>
  <si>
    <t>2184/3022</t>
  </si>
  <si>
    <t>2417/2988</t>
  </si>
  <si>
    <t>1944/2797</t>
  </si>
  <si>
    <t>909/2188</t>
  </si>
  <si>
    <t>1269/1809</t>
  </si>
  <si>
    <t>676/1139</t>
  </si>
  <si>
    <t>185/2925</t>
  </si>
  <si>
    <t>157/3022</t>
  </si>
  <si>
    <t>151/2988</t>
  </si>
  <si>
    <t>489/2797</t>
  </si>
  <si>
    <t>1022/2188</t>
  </si>
  <si>
    <t>738/1809</t>
  </si>
  <si>
    <t>340/1139</t>
  </si>
  <si>
    <t>71/81</t>
  </si>
  <si>
    <t>25/81</t>
  </si>
  <si>
    <t>56/71</t>
  </si>
  <si>
    <t>116/163</t>
  </si>
  <si>
    <t>105/163</t>
  </si>
  <si>
    <t>76/142</t>
  </si>
  <si>
    <t>64/99</t>
  </si>
  <si>
    <t>2879/2925</t>
  </si>
  <si>
    <t>2436/3022</t>
  </si>
  <si>
    <t>2925/2988</t>
  </si>
  <si>
    <t>2456/2797</t>
  </si>
  <si>
    <t>2129/2188</t>
  </si>
  <si>
    <t>1756/1809</t>
  </si>
  <si>
    <t>1069/1139</t>
  </si>
  <si>
    <t>95/835</t>
  </si>
  <si>
    <t>163/853</t>
  </si>
  <si>
    <t>33/846</t>
  </si>
  <si>
    <t>450/799</t>
  </si>
  <si>
    <t>653/687</t>
  </si>
  <si>
    <t>532/589</t>
  </si>
  <si>
    <t>368/412</t>
  </si>
  <si>
    <t>LCL Amplitude AVRIL 2016 Echu (C)</t>
  </si>
  <si>
    <t>LCL BP Monetarises - B</t>
  </si>
  <si>
    <t>FR0013244571</t>
  </si>
  <si>
    <t>169/582</t>
  </si>
  <si>
    <t>253/593</t>
  </si>
  <si>
    <t>253/587</t>
  </si>
  <si>
    <t>9/71</t>
  </si>
  <si>
    <t>13/74</t>
  </si>
  <si>
    <t>16/69</t>
  </si>
  <si>
    <t>235/589</t>
  </si>
  <si>
    <t>450/601</t>
  </si>
  <si>
    <t>363/599</t>
  </si>
  <si>
    <t>172/563</t>
  </si>
  <si>
    <t>463/497</t>
  </si>
  <si>
    <t>271/334</t>
  </si>
  <si>
    <t>1/582</t>
  </si>
  <si>
    <t>591/593</t>
  </si>
  <si>
    <t>10/587</t>
  </si>
  <si>
    <t>323/582</t>
  </si>
  <si>
    <t>141/593</t>
  </si>
  <si>
    <t>288/587</t>
  </si>
  <si>
    <t>337/577</t>
  </si>
  <si>
    <t>324/553</t>
  </si>
  <si>
    <t>370/521</t>
  </si>
  <si>
    <t>396/582</t>
  </si>
  <si>
    <t>358/593</t>
  </si>
  <si>
    <t>402/577</t>
  </si>
  <si>
    <t>378/553</t>
  </si>
  <si>
    <t>420/521</t>
  </si>
  <si>
    <t>360/362</t>
  </si>
  <si>
    <t>165/589</t>
  </si>
  <si>
    <t>527/601</t>
  </si>
  <si>
    <t>517/599</t>
  </si>
  <si>
    <t>54/563</t>
  </si>
  <si>
    <t>166/497</t>
  </si>
  <si>
    <t>162/334</t>
  </si>
  <si>
    <t>208/589</t>
  </si>
  <si>
    <t>551/601</t>
  </si>
  <si>
    <t>549/599</t>
  </si>
  <si>
    <t>72/563</t>
  </si>
  <si>
    <t>268/497</t>
  </si>
  <si>
    <t>154/334</t>
  </si>
  <si>
    <t>52/589</t>
  </si>
  <si>
    <t>507/601</t>
  </si>
  <si>
    <t>40/599</t>
  </si>
  <si>
    <t>19/563</t>
  </si>
  <si>
    <t>22/497</t>
  </si>
  <si>
    <t>78/334</t>
  </si>
  <si>
    <t>156/589</t>
  </si>
  <si>
    <t>517/601</t>
  </si>
  <si>
    <t>140/599</t>
  </si>
  <si>
    <t>31/563</t>
  </si>
  <si>
    <t>30/497</t>
  </si>
  <si>
    <t>530/601</t>
  </si>
  <si>
    <t>90/599</t>
  </si>
  <si>
    <t>22/563</t>
  </si>
  <si>
    <t>43/497</t>
  </si>
  <si>
    <t>52/334</t>
  </si>
  <si>
    <t>497/601</t>
  </si>
  <si>
    <t>77/599</t>
  </si>
  <si>
    <t>33/563</t>
  </si>
  <si>
    <t>52/497</t>
  </si>
  <si>
    <t>60/334</t>
  </si>
  <si>
    <t>190/485</t>
  </si>
  <si>
    <t>136/504</t>
  </si>
  <si>
    <t>252/378</t>
  </si>
  <si>
    <t>103/200</t>
  </si>
  <si>
    <t>152/902</t>
  </si>
  <si>
    <t>358/961</t>
  </si>
  <si>
    <t>53/950</t>
  </si>
  <si>
    <t>337/838</t>
  </si>
  <si>
    <t>188/649</t>
  </si>
  <si>
    <t>415/751</t>
  </si>
  <si>
    <t>636/795</t>
  </si>
  <si>
    <t>468/783</t>
  </si>
  <si>
    <t>547/698</t>
  </si>
  <si>
    <t>99/575</t>
  </si>
  <si>
    <t>221/468</t>
  </si>
  <si>
    <t>LCL La Grande Boucle (Avril 2017) (C)</t>
  </si>
  <si>
    <t>909/927</t>
  </si>
  <si>
    <t>854/913</t>
  </si>
  <si>
    <t>LCL La Grande Boucle AV (Avril 2017) (C)</t>
  </si>
  <si>
    <t>904/927</t>
  </si>
  <si>
    <t>853/913</t>
  </si>
  <si>
    <t>FR0013238193</t>
  </si>
  <si>
    <t>356/891</t>
  </si>
  <si>
    <t>496/927</t>
  </si>
  <si>
    <t>236/913</t>
  </si>
  <si>
    <t>355/891</t>
  </si>
  <si>
    <t>495/927</t>
  </si>
  <si>
    <t>235/913</t>
  </si>
  <si>
    <t>412/2269</t>
  </si>
  <si>
    <t>1141/2344</t>
  </si>
  <si>
    <t>292/2316</t>
  </si>
  <si>
    <t>491/2167</t>
  </si>
  <si>
    <t>1052/1706</t>
  </si>
  <si>
    <t>379/1286</t>
  </si>
  <si>
    <t>247/486</t>
  </si>
  <si>
    <t>1164/2269</t>
  </si>
  <si>
    <t>592/2344</t>
  </si>
  <si>
    <t>574/2316</t>
  </si>
  <si>
    <t>1594/2167</t>
  </si>
  <si>
    <t>1356/1706</t>
  </si>
  <si>
    <t>901/1286</t>
  </si>
  <si>
    <t>262/486</t>
  </si>
  <si>
    <t>504/1184</t>
  </si>
  <si>
    <t>752/1210</t>
  </si>
  <si>
    <t>568/1199</t>
  </si>
  <si>
    <t>445/1144</t>
  </si>
  <si>
    <t>467/953</t>
  </si>
  <si>
    <t>465/843</t>
  </si>
  <si>
    <t>178/598</t>
  </si>
  <si>
    <t>348/582</t>
  </si>
  <si>
    <t>302/593</t>
  </si>
  <si>
    <t>353/587</t>
  </si>
  <si>
    <t>352/577</t>
  </si>
  <si>
    <t>348/553</t>
  </si>
  <si>
    <t>319/521</t>
  </si>
  <si>
    <t>300/362</t>
  </si>
  <si>
    <t>269/582</t>
  </si>
  <si>
    <t>238/593</t>
  </si>
  <si>
    <t>273/587</t>
  </si>
  <si>
    <t>279/577</t>
  </si>
  <si>
    <t>248/553</t>
  </si>
  <si>
    <t>288/521</t>
  </si>
  <si>
    <t>203/362</t>
  </si>
  <si>
    <t>108/195</t>
  </si>
  <si>
    <t>80/195</t>
  </si>
  <si>
    <t>175/194</t>
  </si>
  <si>
    <t>152/161</t>
  </si>
  <si>
    <t>102/119</t>
  </si>
  <si>
    <t>51/52</t>
  </si>
  <si>
    <t>62/644</t>
  </si>
  <si>
    <t>11/661</t>
  </si>
  <si>
    <t>32/654</t>
  </si>
  <si>
    <t>94/628</t>
  </si>
  <si>
    <t>386/545</t>
  </si>
  <si>
    <t>208/463</t>
  </si>
  <si>
    <t>199/300</t>
  </si>
  <si>
    <t>45/356</t>
  </si>
  <si>
    <t>66/363</t>
  </si>
  <si>
    <t>27/361</t>
  </si>
  <si>
    <t>56/350</t>
  </si>
  <si>
    <t>73/304</t>
  </si>
  <si>
    <t>72/256</t>
  </si>
  <si>
    <t>21/142</t>
  </si>
  <si>
    <t>549/1154</t>
  </si>
  <si>
    <t>466/1204</t>
  </si>
  <si>
    <t>277/1190</t>
  </si>
  <si>
    <t>172/1077</t>
  </si>
  <si>
    <t>550/813</t>
  </si>
  <si>
    <t>129/583</t>
  </si>
  <si>
    <t>251/317</t>
  </si>
  <si>
    <t>242/644</t>
  </si>
  <si>
    <t>85/654</t>
  </si>
  <si>
    <t>310/628</t>
  </si>
  <si>
    <t>98/545</t>
  </si>
  <si>
    <t>23/463</t>
  </si>
  <si>
    <t>31/300</t>
  </si>
  <si>
    <t>64/69</t>
  </si>
  <si>
    <t>3/70</t>
  </si>
  <si>
    <t>42/69</t>
  </si>
  <si>
    <t>345/1154</t>
  </si>
  <si>
    <t>143/1204</t>
  </si>
  <si>
    <t>163/1190</t>
  </si>
  <si>
    <t>766/1077</t>
  </si>
  <si>
    <t>489/813</t>
  </si>
  <si>
    <t>143/317</t>
  </si>
  <si>
    <t>12/64</t>
  </si>
  <si>
    <t>8/65</t>
  </si>
  <si>
    <t>17/62</t>
  </si>
  <si>
    <t>33/60</t>
  </si>
  <si>
    <t>16/35</t>
  </si>
  <si>
    <t>191/644</t>
  </si>
  <si>
    <t>231/661</t>
  </si>
  <si>
    <t>123/654</t>
  </si>
  <si>
    <t>167/628</t>
  </si>
  <si>
    <t>335/545</t>
  </si>
  <si>
    <t>82/463</t>
  </si>
  <si>
    <t>139/300</t>
  </si>
  <si>
    <t>LCL Optimum 2016 Echu (C)</t>
  </si>
  <si>
    <t>261/593</t>
  </si>
  <si>
    <t>LCL Optimum Tour 2017 (C)</t>
  </si>
  <si>
    <t>403/913</t>
  </si>
  <si>
    <t>LCL Optimum Vie Tour 2017 (C)</t>
  </si>
  <si>
    <t>FR0013235892</t>
  </si>
  <si>
    <t>175/891</t>
  </si>
  <si>
    <t>296/927</t>
  </si>
  <si>
    <t>189/913</t>
  </si>
  <si>
    <t>150/891</t>
  </si>
  <si>
    <t>303/927</t>
  </si>
  <si>
    <t>186/913</t>
  </si>
  <si>
    <t>20/891</t>
  </si>
  <si>
    <t>917/927</t>
  </si>
  <si>
    <t>277/913</t>
  </si>
  <si>
    <t>4/844</t>
  </si>
  <si>
    <t>41/891</t>
  </si>
  <si>
    <t>657/927</t>
  </si>
  <si>
    <t>167/913</t>
  </si>
  <si>
    <t>409/927</t>
  </si>
  <si>
    <t>249/913</t>
  </si>
  <si>
    <t>563/844</t>
  </si>
  <si>
    <t>349/660</t>
  </si>
  <si>
    <t>231/441</t>
  </si>
  <si>
    <t>309/751</t>
  </si>
  <si>
    <t>318/795</t>
  </si>
  <si>
    <t>173/783</t>
  </si>
  <si>
    <t>585/698</t>
  </si>
  <si>
    <t>496/575</t>
  </si>
  <si>
    <t>407/468</t>
  </si>
  <si>
    <t>253/589</t>
  </si>
  <si>
    <t>257/601</t>
  </si>
  <si>
    <t>193/599</t>
  </si>
  <si>
    <t>283/563</t>
  </si>
  <si>
    <t>263/497</t>
  </si>
  <si>
    <t>286/334</t>
  </si>
  <si>
    <t>407/582</t>
  </si>
  <si>
    <t>386/593</t>
  </si>
  <si>
    <t>389/587</t>
  </si>
  <si>
    <t>410/577</t>
  </si>
  <si>
    <t>390/553</t>
  </si>
  <si>
    <t>436/521</t>
  </si>
  <si>
    <t>310/362</t>
  </si>
  <si>
    <t>38/891</t>
  </si>
  <si>
    <t>550/927</t>
  </si>
  <si>
    <t>125/913</t>
  </si>
  <si>
    <t>42/891</t>
  </si>
  <si>
    <t>545/927</t>
  </si>
  <si>
    <t>127/913</t>
  </si>
  <si>
    <t>92/891</t>
  </si>
  <si>
    <t>374/927</t>
  </si>
  <si>
    <t>206/913</t>
  </si>
  <si>
    <t>55/844</t>
  </si>
  <si>
    <t>342/582</t>
  </si>
  <si>
    <t>292/593</t>
  </si>
  <si>
    <t>343/587</t>
  </si>
  <si>
    <t>346/577</t>
  </si>
  <si>
    <t>328/553</t>
  </si>
  <si>
    <t>335/521</t>
  </si>
  <si>
    <t>21/28</t>
  </si>
  <si>
    <t>14/23</t>
  </si>
  <si>
    <t>6/18</t>
  </si>
  <si>
    <t>55/891</t>
  </si>
  <si>
    <t>593/927</t>
  </si>
  <si>
    <t>31/844</t>
  </si>
  <si>
    <t>135/660</t>
  </si>
  <si>
    <t>381/927</t>
  </si>
  <si>
    <t>155/913</t>
  </si>
  <si>
    <t>32/844</t>
  </si>
  <si>
    <t>116/660</t>
  </si>
  <si>
    <t>691/927</t>
  </si>
  <si>
    <t>439/913</t>
  </si>
  <si>
    <t>127/891</t>
  </si>
  <si>
    <t>307/927</t>
  </si>
  <si>
    <t>174/913</t>
  </si>
  <si>
    <t>59/844</t>
  </si>
  <si>
    <t>67/891</t>
  </si>
  <si>
    <t>546/927</t>
  </si>
  <si>
    <t>51/891</t>
  </si>
  <si>
    <t>588/927</t>
  </si>
  <si>
    <t>165/913</t>
  </si>
  <si>
    <t>28/844</t>
  </si>
  <si>
    <t>142/660</t>
  </si>
  <si>
    <t>15/73</t>
  </si>
  <si>
    <t>19/100</t>
  </si>
  <si>
    <t>7/67</t>
  </si>
  <si>
    <t>64/891</t>
  </si>
  <si>
    <t>388/927</t>
  </si>
  <si>
    <t>35/844</t>
  </si>
  <si>
    <t>124/660</t>
  </si>
  <si>
    <t>320/891</t>
  </si>
  <si>
    <t>679/927</t>
  </si>
  <si>
    <t>359/913</t>
  </si>
  <si>
    <t>89/891</t>
  </si>
  <si>
    <t>249/927</t>
  </si>
  <si>
    <t>147/913</t>
  </si>
  <si>
    <t>45/844</t>
  </si>
  <si>
    <t>630/927</t>
  </si>
  <si>
    <t>481/913</t>
  </si>
  <si>
    <t>414/891</t>
  </si>
  <si>
    <t>635/927</t>
  </si>
  <si>
    <t>477/913</t>
  </si>
  <si>
    <t>214/492</t>
  </si>
  <si>
    <t>130/512</t>
  </si>
  <si>
    <t>207/503</t>
  </si>
  <si>
    <t>147/460</t>
  </si>
  <si>
    <t>54/316</t>
  </si>
  <si>
    <t>505/891</t>
  </si>
  <si>
    <t>81/927</t>
  </si>
  <si>
    <t>241/913</t>
  </si>
  <si>
    <t>409/844</t>
  </si>
  <si>
    <t>308/660</t>
  </si>
  <si>
    <t>75/441</t>
  </si>
  <si>
    <t>259/644</t>
  </si>
  <si>
    <t>265/661</t>
  </si>
  <si>
    <t>107/654</t>
  </si>
  <si>
    <t>285/628</t>
  </si>
  <si>
    <t>395/545</t>
  </si>
  <si>
    <t>94/125</t>
  </si>
  <si>
    <t>49/125</t>
  </si>
  <si>
    <t>57/113</t>
  </si>
  <si>
    <t>161/252</t>
  </si>
  <si>
    <t>118/258</t>
  </si>
  <si>
    <t>193/257</t>
  </si>
  <si>
    <t>170/247</t>
  </si>
  <si>
    <t>176/216</t>
  </si>
  <si>
    <t>186/192</t>
  </si>
  <si>
    <t>121/130</t>
  </si>
  <si>
    <t>407/687</t>
  </si>
  <si>
    <t>435/697</t>
  </si>
  <si>
    <t>436/693</t>
  </si>
  <si>
    <t>338/672</t>
  </si>
  <si>
    <t>146/567</t>
  </si>
  <si>
    <t>181/455</t>
  </si>
  <si>
    <t>189/520</t>
  </si>
  <si>
    <t>140/525</t>
  </si>
  <si>
    <t>156/522</t>
  </si>
  <si>
    <t>130/427</t>
  </si>
  <si>
    <t>61/95</t>
  </si>
  <si>
    <t>52/56</t>
  </si>
  <si>
    <t>306/582</t>
  </si>
  <si>
    <t>263/593</t>
  </si>
  <si>
    <t>320/587</t>
  </si>
  <si>
    <t>309/577</t>
  </si>
  <si>
    <t>282/553</t>
  </si>
  <si>
    <t>285/521</t>
  </si>
  <si>
    <t>185/362</t>
  </si>
  <si>
    <t>152/628</t>
  </si>
  <si>
    <t>134/629</t>
  </si>
  <si>
    <t>349/628</t>
  </si>
  <si>
    <t>396/607</t>
  </si>
  <si>
    <t>362/548</t>
  </si>
  <si>
    <t>172/485</t>
  </si>
  <si>
    <t>129/504</t>
  </si>
  <si>
    <t>92/501</t>
  </si>
  <si>
    <t>306/461</t>
  </si>
  <si>
    <t>62/323</t>
  </si>
  <si>
    <t>36/200</t>
  </si>
  <si>
    <t>2038/2269</t>
  </si>
  <si>
    <t>1357/2344</t>
  </si>
  <si>
    <t>1689/2316</t>
  </si>
  <si>
    <t>1980/2167</t>
  </si>
  <si>
    <t>1349/1706</t>
  </si>
  <si>
    <t>989/1286</t>
  </si>
  <si>
    <t>371/751</t>
  </si>
  <si>
    <t>424/783</t>
  </si>
  <si>
    <t>515/698</t>
  </si>
  <si>
    <t>94/575</t>
  </si>
  <si>
    <t>73/468</t>
  </si>
  <si>
    <t>67/154</t>
  </si>
  <si>
    <t>62/150</t>
  </si>
  <si>
    <t>1/11</t>
  </si>
  <si>
    <t>2/10</t>
  </si>
  <si>
    <t>163/891</t>
  </si>
  <si>
    <t>631/927</t>
  </si>
  <si>
    <t>417/913</t>
  </si>
  <si>
    <t>40/844</t>
  </si>
  <si>
    <t>243/660</t>
  </si>
  <si>
    <t>93/441</t>
  </si>
  <si>
    <t>114/891</t>
  </si>
  <si>
    <t>726/927</t>
  </si>
  <si>
    <t>400/913</t>
  </si>
  <si>
    <t>38/844</t>
  </si>
  <si>
    <t>201/660</t>
  </si>
  <si>
    <t>105/441</t>
  </si>
  <si>
    <t>380/593</t>
  </si>
  <si>
    <t>182/891</t>
  </si>
  <si>
    <t>626/927</t>
  </si>
  <si>
    <t>421/913</t>
  </si>
  <si>
    <t>44/844</t>
  </si>
  <si>
    <t>270/660</t>
  </si>
  <si>
    <t>94/441</t>
  </si>
  <si>
    <t>125/891</t>
  </si>
  <si>
    <t>730/927</t>
  </si>
  <si>
    <t>432/913</t>
  </si>
  <si>
    <t>39/844</t>
  </si>
  <si>
    <t>238/660</t>
  </si>
  <si>
    <t>100/441</t>
  </si>
  <si>
    <t>Opalia Vie Echu (C)</t>
  </si>
  <si>
    <t>447/2269</t>
  </si>
  <si>
    <t>2036/2344</t>
  </si>
  <si>
    <t>345/2316</t>
  </si>
  <si>
    <t>324/2167</t>
  </si>
  <si>
    <t>580/1706</t>
  </si>
  <si>
    <t>199/1286</t>
  </si>
  <si>
    <t>231/486</t>
  </si>
  <si>
    <t>Oriance Vie Echu</t>
  </si>
  <si>
    <t>546/628</t>
  </si>
  <si>
    <t>280/629</t>
  </si>
  <si>
    <t>471/629</t>
  </si>
  <si>
    <t>555/628</t>
  </si>
  <si>
    <t>531/607</t>
  </si>
  <si>
    <t>477/548</t>
  </si>
  <si>
    <t>115/347</t>
  </si>
  <si>
    <t>465/628</t>
  </si>
  <si>
    <t>161/629</t>
  </si>
  <si>
    <t>503/628</t>
  </si>
  <si>
    <t>555/607</t>
  </si>
  <si>
    <t>464/548</t>
  </si>
  <si>
    <t>209/347</t>
  </si>
  <si>
    <t>12/55</t>
  </si>
  <si>
    <t>402/902</t>
  </si>
  <si>
    <t>691/961</t>
  </si>
  <si>
    <t>732/950</t>
  </si>
  <si>
    <t>317/838</t>
  </si>
  <si>
    <t>98/649</t>
  </si>
  <si>
    <t>92/521</t>
  </si>
  <si>
    <t>Portfolio Dettes Financieres - A (C)</t>
  </si>
  <si>
    <t>32/363</t>
  </si>
  <si>
    <t>392/661</t>
  </si>
  <si>
    <t>129/676</t>
  </si>
  <si>
    <t>153/669</t>
  </si>
  <si>
    <t>452/654</t>
  </si>
  <si>
    <t>212/520</t>
  </si>
  <si>
    <t>478/525</t>
  </si>
  <si>
    <t>274/522</t>
  </si>
  <si>
    <t>385/502</t>
  </si>
  <si>
    <t>274/644</t>
  </si>
  <si>
    <t>314/661</t>
  </si>
  <si>
    <t>460/654</t>
  </si>
  <si>
    <t>221/628</t>
  </si>
  <si>
    <t>420/545</t>
  </si>
  <si>
    <t>221/644</t>
  </si>
  <si>
    <t>195/661</t>
  </si>
  <si>
    <t>87/654</t>
  </si>
  <si>
    <t>236/628</t>
  </si>
  <si>
    <t>340/545</t>
  </si>
  <si>
    <t>392/463</t>
  </si>
  <si>
    <t>260/300</t>
  </si>
  <si>
    <t>73/252</t>
  </si>
  <si>
    <t>173/258</t>
  </si>
  <si>
    <t>7/257</t>
  </si>
  <si>
    <t>115/247</t>
  </si>
  <si>
    <t>34/216</t>
  </si>
  <si>
    <t>124/192</t>
  </si>
  <si>
    <t>100/130</t>
  </si>
  <si>
    <t>234/520</t>
  </si>
  <si>
    <t>343/522</t>
  </si>
  <si>
    <t>114/502</t>
  </si>
  <si>
    <t>164/427</t>
  </si>
  <si>
    <t>46/385</t>
  </si>
  <si>
    <t>22/132</t>
  </si>
  <si>
    <t>9/132</t>
  </si>
  <si>
    <t>15/131</t>
  </si>
  <si>
    <t>24/126</t>
  </si>
  <si>
    <t>17/120</t>
  </si>
  <si>
    <t>Portfolio Oblig Credit C</t>
  </si>
  <si>
    <t>451/1154</t>
  </si>
  <si>
    <t>357/1204</t>
  </si>
  <si>
    <t>402/1190</t>
  </si>
  <si>
    <t>562/1077</t>
  </si>
  <si>
    <t>647/813</t>
  </si>
  <si>
    <t>171/583</t>
  </si>
  <si>
    <t>293/317</t>
  </si>
  <si>
    <t>450/891</t>
  </si>
  <si>
    <t>208/927</t>
  </si>
  <si>
    <t>507/913</t>
  </si>
  <si>
    <t>545/844</t>
  </si>
  <si>
    <t>322/660</t>
  </si>
  <si>
    <t>70/441</t>
  </si>
  <si>
    <t>434/891</t>
  </si>
  <si>
    <t>202/927</t>
  </si>
  <si>
    <t>496/913</t>
  </si>
  <si>
    <t>512/844</t>
  </si>
  <si>
    <t>306/660</t>
  </si>
  <si>
    <t>51/441</t>
  </si>
  <si>
    <t>607/891</t>
  </si>
  <si>
    <t>146/927</t>
  </si>
  <si>
    <t>419/913</t>
  </si>
  <si>
    <t>508/844</t>
  </si>
  <si>
    <t>331/660</t>
  </si>
  <si>
    <t>81/441</t>
  </si>
  <si>
    <t>66/98</t>
  </si>
  <si>
    <t>27/71</t>
  </si>
  <si>
    <t>12/40</t>
  </si>
  <si>
    <t>5/58</t>
  </si>
  <si>
    <t>SG Actions Euro Selection C</t>
  </si>
  <si>
    <t>414/520</t>
  </si>
  <si>
    <t>219/525</t>
  </si>
  <si>
    <t>304/522</t>
  </si>
  <si>
    <t>370/502</t>
  </si>
  <si>
    <t>373/427</t>
  </si>
  <si>
    <t>300/385</t>
  </si>
  <si>
    <t>235/273</t>
  </si>
  <si>
    <t>434/520</t>
  </si>
  <si>
    <t>65/525</t>
  </si>
  <si>
    <t>303/502</t>
  </si>
  <si>
    <t>382/427</t>
  </si>
  <si>
    <t>328/385</t>
  </si>
  <si>
    <t>227/273</t>
  </si>
  <si>
    <t>655/1184</t>
  </si>
  <si>
    <t>870/1210</t>
  </si>
  <si>
    <t>639/1199</t>
  </si>
  <si>
    <t>765/1144</t>
  </si>
  <si>
    <t>519/953</t>
  </si>
  <si>
    <t>563/843</t>
  </si>
  <si>
    <t>405/598</t>
  </si>
  <si>
    <t>866/1184</t>
  </si>
  <si>
    <t>920/1210</t>
  </si>
  <si>
    <t>829/1199</t>
  </si>
  <si>
    <t>799/1144</t>
  </si>
  <si>
    <t>765/953</t>
  </si>
  <si>
    <t>708/843</t>
  </si>
  <si>
    <t>434/598</t>
  </si>
  <si>
    <t>747/1184</t>
  </si>
  <si>
    <t>936/1210</t>
  </si>
  <si>
    <t>826/1199</t>
  </si>
  <si>
    <t>834/1144</t>
  </si>
  <si>
    <t>597/953</t>
  </si>
  <si>
    <t>594/843</t>
  </si>
  <si>
    <t>481/598</t>
  </si>
  <si>
    <t>232/257</t>
  </si>
  <si>
    <t>219/253</t>
  </si>
  <si>
    <t>201/240</t>
  </si>
  <si>
    <t>188/203</t>
  </si>
  <si>
    <t>813/1184</t>
  </si>
  <si>
    <t>724/1210</t>
  </si>
  <si>
    <t>952/1199</t>
  </si>
  <si>
    <t>618/1144</t>
  </si>
  <si>
    <t>700/953</t>
  </si>
  <si>
    <t>464/843</t>
  </si>
  <si>
    <t>478/598</t>
  </si>
  <si>
    <t>346/1184</t>
  </si>
  <si>
    <t>812/1210</t>
  </si>
  <si>
    <t>867/1199</t>
  </si>
  <si>
    <t>826/953</t>
  </si>
  <si>
    <t>748/843</t>
  </si>
  <si>
    <t>506/598</t>
  </si>
  <si>
    <t>891/1184</t>
  </si>
  <si>
    <t>599/1210</t>
  </si>
  <si>
    <t>726/1199</t>
  </si>
  <si>
    <t>809/1144</t>
  </si>
  <si>
    <t>686/953</t>
  </si>
  <si>
    <t>696/843</t>
  </si>
  <si>
    <t>539/598</t>
  </si>
  <si>
    <t>58/132</t>
  </si>
  <si>
    <t>68/132</t>
  </si>
  <si>
    <t>61/126</t>
  </si>
  <si>
    <t>73/101</t>
  </si>
  <si>
    <t>80/132</t>
  </si>
  <si>
    <t>49/132</t>
  </si>
  <si>
    <t>103/131</t>
  </si>
  <si>
    <t>102/126</t>
  </si>
  <si>
    <t>103/120</t>
  </si>
  <si>
    <t>65/101</t>
  </si>
  <si>
    <t>77/132</t>
  </si>
  <si>
    <t>114/131</t>
  </si>
  <si>
    <t>104/126</t>
  </si>
  <si>
    <t>100/120</t>
  </si>
  <si>
    <t>103/132</t>
  </si>
  <si>
    <t>111/132</t>
  </si>
  <si>
    <t>104/132</t>
  </si>
  <si>
    <t>81/126</t>
  </si>
  <si>
    <t>77/120</t>
  </si>
  <si>
    <t>72/101</t>
  </si>
  <si>
    <t>74/132</t>
  </si>
  <si>
    <t>79/131</t>
  </si>
  <si>
    <t>89/126</t>
  </si>
  <si>
    <t>67/101</t>
  </si>
  <si>
    <t>SG Actions France Selection C</t>
  </si>
  <si>
    <t>125/132</t>
  </si>
  <si>
    <t>124/132</t>
  </si>
  <si>
    <t>118/131</t>
  </si>
  <si>
    <t>107/126</t>
  </si>
  <si>
    <t>112/120</t>
  </si>
  <si>
    <t>90/101</t>
  </si>
  <si>
    <t>90/124</t>
  </si>
  <si>
    <t>101/125</t>
  </si>
  <si>
    <t>107/124</t>
  </si>
  <si>
    <t>93/113</t>
  </si>
  <si>
    <t>74/106</t>
  </si>
  <si>
    <t>147/352</t>
  </si>
  <si>
    <t>152/349</t>
  </si>
  <si>
    <t>243/336</t>
  </si>
  <si>
    <t>257/284</t>
  </si>
  <si>
    <t>176/198</t>
  </si>
  <si>
    <t>2880/2925</t>
  </si>
  <si>
    <t>2478/3022</t>
  </si>
  <si>
    <t>2928/2988</t>
  </si>
  <si>
    <t>2497/2797</t>
  </si>
  <si>
    <t>2150/2188</t>
  </si>
  <si>
    <t>1776/1809</t>
  </si>
  <si>
    <t>1108/1139</t>
  </si>
  <si>
    <t>2361/2925</t>
  </si>
  <si>
    <t>2010/3022</t>
  </si>
  <si>
    <t>2393/2988</t>
  </si>
  <si>
    <t>1887/2797</t>
  </si>
  <si>
    <t>897/2188</t>
  </si>
  <si>
    <t>1054/1809</t>
  </si>
  <si>
    <t>747/1139</t>
  </si>
  <si>
    <t>371/687</t>
  </si>
  <si>
    <t>358/697</t>
  </si>
  <si>
    <t>415/693</t>
  </si>
  <si>
    <t>366/672</t>
  </si>
  <si>
    <t>395/567</t>
  </si>
  <si>
    <t>364/455</t>
  </si>
  <si>
    <t>2003/2925</t>
  </si>
  <si>
    <t>1788/3022</t>
  </si>
  <si>
    <t>2349/2988</t>
  </si>
  <si>
    <t>1459/2797</t>
  </si>
  <si>
    <t>818/2188</t>
  </si>
  <si>
    <t>638/1809</t>
  </si>
  <si>
    <t>503/1139</t>
  </si>
  <si>
    <t>SG Actions Monde Selection C</t>
  </si>
  <si>
    <t>2488/2925</t>
  </si>
  <si>
    <t>2392/3022</t>
  </si>
  <si>
    <t>2705/2988</t>
  </si>
  <si>
    <t>1677/2797</t>
  </si>
  <si>
    <t>698/2188</t>
  </si>
  <si>
    <t>1192/1809</t>
  </si>
  <si>
    <t>698/1139</t>
  </si>
  <si>
    <t>52/104</t>
  </si>
  <si>
    <t>58/101</t>
  </si>
  <si>
    <t>45/89</t>
  </si>
  <si>
    <t>43/71</t>
  </si>
  <si>
    <t>74/81</t>
  </si>
  <si>
    <t>28/81</t>
  </si>
  <si>
    <t>69/80</t>
  </si>
  <si>
    <t>58/71</t>
  </si>
  <si>
    <t>55/66</t>
  </si>
  <si>
    <t>578/835</t>
  </si>
  <si>
    <t>111/853</t>
  </si>
  <si>
    <t>442/846</t>
  </si>
  <si>
    <t>340/799</t>
  </si>
  <si>
    <t>623/687</t>
  </si>
  <si>
    <t>463/589</t>
  </si>
  <si>
    <t>360/412</t>
  </si>
  <si>
    <t>SG Diversifie France 85 D</t>
  </si>
  <si>
    <t>15/55</t>
  </si>
  <si>
    <t>SG Elvancia Plus N6 (C)</t>
  </si>
  <si>
    <t>213/891</t>
  </si>
  <si>
    <t>107/927</t>
  </si>
  <si>
    <t>271/913</t>
  </si>
  <si>
    <t>212/844</t>
  </si>
  <si>
    <t>SG Flexible - P (C)</t>
  </si>
  <si>
    <t>406/751</t>
  </si>
  <si>
    <t>200/783</t>
  </si>
  <si>
    <t>512/698</t>
  </si>
  <si>
    <t>251/575</t>
  </si>
  <si>
    <t>SG Liquidite PEA C</t>
  </si>
  <si>
    <t>397/582</t>
  </si>
  <si>
    <t>363/593</t>
  </si>
  <si>
    <t>386/587</t>
  </si>
  <si>
    <t>373/553</t>
  </si>
  <si>
    <t>432/521</t>
  </si>
  <si>
    <t>334/362</t>
  </si>
  <si>
    <t>SG Mone Treso - I (C)</t>
  </si>
  <si>
    <t>168/582</t>
  </si>
  <si>
    <t>161/593</t>
  </si>
  <si>
    <t>161/587</t>
  </si>
  <si>
    <t>185/553</t>
  </si>
  <si>
    <t>261/521</t>
  </si>
  <si>
    <t>125/362</t>
  </si>
  <si>
    <t>16/130</t>
  </si>
  <si>
    <t>18/131</t>
  </si>
  <si>
    <t>18/128</t>
  </si>
  <si>
    <t>24/119</t>
  </si>
  <si>
    <t>SG Monetaire Eonia ISR E C</t>
  </si>
  <si>
    <t>357/582</t>
  </si>
  <si>
    <t>314/593</t>
  </si>
  <si>
    <t>360/587</t>
  </si>
  <si>
    <t>335/577</t>
  </si>
  <si>
    <t>311/553</t>
  </si>
  <si>
    <t>298/521</t>
  </si>
  <si>
    <t>145/362</t>
  </si>
  <si>
    <t>SG Monetaire Etat E-C</t>
  </si>
  <si>
    <t>485/582</t>
  </si>
  <si>
    <t>433/593</t>
  </si>
  <si>
    <t>490/587</t>
  </si>
  <si>
    <t>498/577</t>
  </si>
  <si>
    <t>478/553</t>
  </si>
  <si>
    <t>482/521</t>
  </si>
  <si>
    <t>176/582</t>
  </si>
  <si>
    <t>144/593</t>
  </si>
  <si>
    <t>170/587</t>
  </si>
  <si>
    <t>185/577</t>
  </si>
  <si>
    <t>125/553</t>
  </si>
  <si>
    <t>179/521</t>
  </si>
  <si>
    <t>32/97</t>
  </si>
  <si>
    <t>42/96</t>
  </si>
  <si>
    <t>64/95</t>
  </si>
  <si>
    <t>17/56</t>
  </si>
  <si>
    <t>3/49</t>
  </si>
  <si>
    <t>14/47</t>
  </si>
  <si>
    <t>84/356</t>
  </si>
  <si>
    <t>86/363</t>
  </si>
  <si>
    <t>103/350</t>
  </si>
  <si>
    <t>225/304</t>
  </si>
  <si>
    <t>135/142</t>
  </si>
  <si>
    <t>169/261</t>
  </si>
  <si>
    <t>57/264</t>
  </si>
  <si>
    <t>61/263</t>
  </si>
  <si>
    <t>199/259</t>
  </si>
  <si>
    <t>88/238</t>
  </si>
  <si>
    <t>45/231</t>
  </si>
  <si>
    <t>12/240</t>
  </si>
  <si>
    <t>11/237</t>
  </si>
  <si>
    <t>92/217</t>
  </si>
  <si>
    <t>82/174</t>
  </si>
  <si>
    <t>SG Oblig Inflation P-C</t>
  </si>
  <si>
    <t>65/69</t>
  </si>
  <si>
    <t>59/69</t>
  </si>
  <si>
    <t>737/1154</t>
  </si>
  <si>
    <t>583/1204</t>
  </si>
  <si>
    <t>820/1190</t>
  </si>
  <si>
    <t>807/1077</t>
  </si>
  <si>
    <t>154/813</t>
  </si>
  <si>
    <t>64/583</t>
  </si>
  <si>
    <t>95/317</t>
  </si>
  <si>
    <t>71/83</t>
  </si>
  <si>
    <t>15/63</t>
  </si>
  <si>
    <t>10/47</t>
  </si>
  <si>
    <t>25/85</t>
  </si>
  <si>
    <t>33/85</t>
  </si>
  <si>
    <t>18/63</t>
  </si>
  <si>
    <t>239/644</t>
  </si>
  <si>
    <t>158/661</t>
  </si>
  <si>
    <t>93/654</t>
  </si>
  <si>
    <t>384/628</t>
  </si>
  <si>
    <t>67/545</t>
  </si>
  <si>
    <t>34/463</t>
  </si>
  <si>
    <t>96/300</t>
  </si>
  <si>
    <t>1221/2269</t>
  </si>
  <si>
    <t>657/2344</t>
  </si>
  <si>
    <t>734/2316</t>
  </si>
  <si>
    <t>1749/2167</t>
  </si>
  <si>
    <t>1361/1706</t>
  </si>
  <si>
    <t>1179/2269</t>
  </si>
  <si>
    <t>658/2344</t>
  </si>
  <si>
    <t>767/2316</t>
  </si>
  <si>
    <t>1706/2167</t>
  </si>
  <si>
    <t>SG Solidarite CCFD Terre Solidaire</t>
  </si>
  <si>
    <t>SG Tresorerie 12 Mois E-C</t>
  </si>
  <si>
    <t>14/30</t>
  </si>
  <si>
    <t>SG Tresorerie 6 Mois I-C</t>
  </si>
  <si>
    <t>18/28</t>
  </si>
  <si>
    <t>121/132</t>
  </si>
  <si>
    <t>129/132</t>
  </si>
  <si>
    <t>123/132</t>
  </si>
  <si>
    <t>97/131</t>
  </si>
  <si>
    <t>100/126</t>
  </si>
  <si>
    <t>113/120</t>
  </si>
  <si>
    <t>86/101</t>
  </si>
  <si>
    <t>Simbad Actions US C</t>
  </si>
  <si>
    <t>426/835</t>
  </si>
  <si>
    <t>555/853</t>
  </si>
  <si>
    <t>475/846</t>
  </si>
  <si>
    <t>562/799</t>
  </si>
  <si>
    <t>274/687</t>
  </si>
  <si>
    <t>306/589</t>
  </si>
  <si>
    <t>231/412</t>
  </si>
  <si>
    <t>Sogeactions Selection Monde C</t>
  </si>
  <si>
    <t>852/2925</t>
  </si>
  <si>
    <t>2622/3022</t>
  </si>
  <si>
    <t>1321/2988</t>
  </si>
  <si>
    <t>412/2797</t>
  </si>
  <si>
    <t>1366/2188</t>
  </si>
  <si>
    <t>697/1809</t>
  </si>
  <si>
    <t>895/1139</t>
  </si>
  <si>
    <t>Sogeretraite Actions C</t>
  </si>
  <si>
    <t>677/2925</t>
  </si>
  <si>
    <t>2426/3022</t>
  </si>
  <si>
    <t>955/2988</t>
  </si>
  <si>
    <t>372/2797</t>
  </si>
  <si>
    <t>1072/2188</t>
  </si>
  <si>
    <t>528/1809</t>
  </si>
  <si>
    <t>865/1139</t>
  </si>
  <si>
    <t>28/68</t>
  </si>
  <si>
    <t>17/76</t>
  </si>
  <si>
    <t>48/67</t>
  </si>
  <si>
    <t>14/41</t>
  </si>
  <si>
    <t>Solidarite - Amundi P (C)</t>
  </si>
  <si>
    <t>83/162</t>
  </si>
  <si>
    <t>57/162</t>
  </si>
  <si>
    <t>80/127</t>
  </si>
  <si>
    <t>142/589</t>
  </si>
  <si>
    <t>537/601</t>
  </si>
  <si>
    <t>515/599</t>
  </si>
  <si>
    <t>47/563</t>
  </si>
  <si>
    <t>135/334</t>
  </si>
  <si>
    <t>550/601</t>
  </si>
  <si>
    <t>352/599</t>
  </si>
  <si>
    <t>10/563</t>
  </si>
  <si>
    <t>47/497</t>
  </si>
  <si>
    <t>42/334</t>
  </si>
  <si>
    <t>64/589</t>
  </si>
  <si>
    <t>567/601</t>
  </si>
  <si>
    <t>467/599</t>
  </si>
  <si>
    <t>24/563</t>
  </si>
  <si>
    <t>46/497</t>
  </si>
  <si>
    <t>66/334</t>
  </si>
  <si>
    <t>Sonance 4 (C)</t>
  </si>
  <si>
    <t>46/589</t>
  </si>
  <si>
    <t>554/601</t>
  </si>
  <si>
    <t>422/599</t>
  </si>
  <si>
    <t>20/563</t>
  </si>
  <si>
    <t>27/497</t>
  </si>
  <si>
    <t>39/334</t>
  </si>
  <si>
    <t>Sonance 5 (C)</t>
  </si>
  <si>
    <t>121/589</t>
  </si>
  <si>
    <t>545/601</t>
  </si>
  <si>
    <t>475/599</t>
  </si>
  <si>
    <t>29/563</t>
  </si>
  <si>
    <t>25/497</t>
  </si>
  <si>
    <t>Sonance 90 (2) (C)</t>
  </si>
  <si>
    <t>243/891</t>
  </si>
  <si>
    <t>782/927</t>
  </si>
  <si>
    <t>598/913</t>
  </si>
  <si>
    <t>99/844</t>
  </si>
  <si>
    <t>156/660</t>
  </si>
  <si>
    <t>270/891</t>
  </si>
  <si>
    <t>844/927</t>
  </si>
  <si>
    <t>737/913</t>
  </si>
  <si>
    <t>134/844</t>
  </si>
  <si>
    <t>209/660</t>
  </si>
  <si>
    <t>Sonance 90 N3 (C)</t>
  </si>
  <si>
    <t>341/891</t>
  </si>
  <si>
    <t>743/927</t>
  </si>
  <si>
    <t>731/913</t>
  </si>
  <si>
    <t>156/844</t>
  </si>
  <si>
    <t>218/660</t>
  </si>
  <si>
    <t>Sonance 90 N4 (C)</t>
  </si>
  <si>
    <t>524/891</t>
  </si>
  <si>
    <t>792/927</t>
  </si>
  <si>
    <t>772/913</t>
  </si>
  <si>
    <t>173/844</t>
  </si>
  <si>
    <t>230/660</t>
  </si>
  <si>
    <t>168/589</t>
  </si>
  <si>
    <t>544/601</t>
  </si>
  <si>
    <t>539/599</t>
  </si>
  <si>
    <t>56/563</t>
  </si>
  <si>
    <t>208/497</t>
  </si>
  <si>
    <t>106/334</t>
  </si>
  <si>
    <t>42/589</t>
  </si>
  <si>
    <t>553/601</t>
  </si>
  <si>
    <t>413/599</t>
  </si>
  <si>
    <t>11/563</t>
  </si>
  <si>
    <t>107/497</t>
  </si>
  <si>
    <t>32/334</t>
  </si>
  <si>
    <t>61/589</t>
  </si>
  <si>
    <t>570/601</t>
  </si>
  <si>
    <t>481/599</t>
  </si>
  <si>
    <t>32/563</t>
  </si>
  <si>
    <t>143/497</t>
  </si>
  <si>
    <t>67/334</t>
  </si>
  <si>
    <t>Sonance Vie 4 (C)</t>
  </si>
  <si>
    <t>562/601</t>
  </si>
  <si>
    <t>471/599</t>
  </si>
  <si>
    <t>36/563</t>
  </si>
  <si>
    <t>80/497</t>
  </si>
  <si>
    <t>31/334</t>
  </si>
  <si>
    <t>Sonance Vie 5 (C)</t>
  </si>
  <si>
    <t>88/589</t>
  </si>
  <si>
    <t>563/601</t>
  </si>
  <si>
    <t>507/599</t>
  </si>
  <si>
    <t>45/563</t>
  </si>
  <si>
    <t>66/497</t>
  </si>
  <si>
    <t>Sonance Vie 6 (C)</t>
  </si>
  <si>
    <t>85/589</t>
  </si>
  <si>
    <t>572/601</t>
  </si>
  <si>
    <t>513/599</t>
  </si>
  <si>
    <t>65/563</t>
  </si>
  <si>
    <t>65/497</t>
  </si>
  <si>
    <t>Sonance Vie 7 (C)</t>
  </si>
  <si>
    <t>90/589</t>
  </si>
  <si>
    <t>552/601</t>
  </si>
  <si>
    <t>468/599</t>
  </si>
  <si>
    <t>52/563</t>
  </si>
  <si>
    <t>38/497</t>
  </si>
  <si>
    <t>Sonance Vie 8 (C)</t>
  </si>
  <si>
    <t>175/589</t>
  </si>
  <si>
    <t>548/601</t>
  </si>
  <si>
    <t>528/599</t>
  </si>
  <si>
    <t>66/563</t>
  </si>
  <si>
    <t>48/497</t>
  </si>
  <si>
    <t>Sonance Vie 9 (C)</t>
  </si>
  <si>
    <t>320/589</t>
  </si>
  <si>
    <t>549/601</t>
  </si>
  <si>
    <t>553/599</t>
  </si>
  <si>
    <t>99/563</t>
  </si>
  <si>
    <t>53/497</t>
  </si>
  <si>
    <t>534/628</t>
  </si>
  <si>
    <t>218/629</t>
  </si>
  <si>
    <t>169/629</t>
  </si>
  <si>
    <t>574/628</t>
  </si>
  <si>
    <t>341/607</t>
  </si>
  <si>
    <t>315/548</t>
  </si>
  <si>
    <t>1/60</t>
  </si>
  <si>
    <t>8/56</t>
  </si>
  <si>
    <t>5/51</t>
  </si>
  <si>
    <t>47/94</t>
  </si>
  <si>
    <t>32/109</t>
  </si>
  <si>
    <t>24/64</t>
  </si>
  <si>
    <t>85/352</t>
  </si>
  <si>
    <t>110/349</t>
  </si>
  <si>
    <t>72/336</t>
  </si>
  <si>
    <t>14/284</t>
  </si>
  <si>
    <t>457/485</t>
  </si>
  <si>
    <t>211/504</t>
  </si>
  <si>
    <t>451/501</t>
  </si>
  <si>
    <t>113/124</t>
  </si>
  <si>
    <t>116/130</t>
  </si>
  <si>
    <t>93/121</t>
  </si>
  <si>
    <t>327/394</t>
  </si>
  <si>
    <t>54/395</t>
  </si>
  <si>
    <t>350/395</t>
  </si>
  <si>
    <t>226/390</t>
  </si>
  <si>
    <t>195/265</t>
  </si>
  <si>
    <t>281/293</t>
  </si>
  <si>
    <t>261/289</t>
  </si>
  <si>
    <t>177/187</t>
  </si>
  <si>
    <t>108/113</t>
  </si>
  <si>
    <t>53/101</t>
  </si>
  <si>
    <t>94/104</t>
  </si>
  <si>
    <t>81/106</t>
  </si>
  <si>
    <t>150/162</t>
  </si>
  <si>
    <t>62/162</t>
  </si>
  <si>
    <t>12/144</t>
  </si>
  <si>
    <t>7/127</t>
  </si>
  <si>
    <t>1383/2925</t>
  </si>
  <si>
    <t>1515/3022</t>
  </si>
  <si>
    <t>1892/2988</t>
  </si>
  <si>
    <t>1081/2797</t>
  </si>
  <si>
    <t>Trialis (C)</t>
  </si>
  <si>
    <t>47/891</t>
  </si>
  <si>
    <t>403/927</t>
  </si>
  <si>
    <t>109/913</t>
  </si>
  <si>
    <t>115/661</t>
  </si>
  <si>
    <t>304/676</t>
  </si>
  <si>
    <t>136/669</t>
  </si>
  <si>
    <t>86/654</t>
  </si>
  <si>
    <t>Trialis 6 Ans N 3 (C)</t>
  </si>
  <si>
    <t>130/891</t>
  </si>
  <si>
    <t>248/927</t>
  </si>
  <si>
    <t>184/913</t>
  </si>
  <si>
    <t>199/844</t>
  </si>
  <si>
    <t>97/891</t>
  </si>
  <si>
    <t>553/927</t>
  </si>
  <si>
    <t>262/913</t>
  </si>
  <si>
    <t>Trialis 6 Ans N2 (C)</t>
  </si>
  <si>
    <t>374/593</t>
  </si>
  <si>
    <t>Trianance 6 Ans (C)</t>
  </si>
  <si>
    <t>135/661</t>
  </si>
  <si>
    <t>399/676</t>
  </si>
  <si>
    <t>224/669</t>
  </si>
  <si>
    <t>89/654</t>
  </si>
  <si>
    <t>349/661</t>
  </si>
  <si>
    <t>414/676</t>
  </si>
  <si>
    <t>351/669</t>
  </si>
  <si>
    <t>Trianance 6 Ans N3</t>
  </si>
  <si>
    <t>229/676</t>
  </si>
  <si>
    <t>152/164</t>
  </si>
  <si>
    <t>97/168</t>
  </si>
  <si>
    <t>63/153</t>
  </si>
  <si>
    <t>1803/2269</t>
  </si>
  <si>
    <t>630/2344</t>
  </si>
  <si>
    <t>1044/2316</t>
  </si>
  <si>
    <t>1856/2167</t>
  </si>
  <si>
    <t>1334/1706</t>
  </si>
  <si>
    <t>1077/1286</t>
  </si>
  <si>
    <t>23/64</t>
  </si>
  <si>
    <t>11/65</t>
  </si>
  <si>
    <t>13/65</t>
  </si>
  <si>
    <t>52/60</t>
  </si>
  <si>
    <t>567/628</t>
  </si>
  <si>
    <t>69/629</t>
  </si>
  <si>
    <t>512/629</t>
  </si>
  <si>
    <t>566/628</t>
  </si>
  <si>
    <t>590/607</t>
  </si>
  <si>
    <t>521/548</t>
  </si>
  <si>
    <t>325/347</t>
  </si>
  <si>
    <t>557/628</t>
  </si>
  <si>
    <t>194/629</t>
  </si>
  <si>
    <t>401/629</t>
  </si>
  <si>
    <t>565/628</t>
  </si>
  <si>
    <t>525/607</t>
  </si>
  <si>
    <t>418/548</t>
  </si>
  <si>
    <t>569/628</t>
  </si>
  <si>
    <t>163/629</t>
  </si>
  <si>
    <t>294/629</t>
  </si>
  <si>
    <t>573/628</t>
  </si>
  <si>
    <t>453/607</t>
  </si>
  <si>
    <t>245/548</t>
  </si>
  <si>
    <t>585/628</t>
  </si>
  <si>
    <t>244/629</t>
  </si>
  <si>
    <t>354/629</t>
  </si>
  <si>
    <t>432/607</t>
  </si>
  <si>
    <t>286/548</t>
  </si>
  <si>
    <t>584/628</t>
  </si>
  <si>
    <t>269/629</t>
  </si>
  <si>
    <t>324/629</t>
  </si>
  <si>
    <t>598/628</t>
  </si>
  <si>
    <t>429/607</t>
  </si>
  <si>
    <t>358/548</t>
  </si>
  <si>
    <t>250/629</t>
  </si>
  <si>
    <t>321/629</t>
  </si>
  <si>
    <t>571/628</t>
  </si>
  <si>
    <t>490/607</t>
  </si>
  <si>
    <t>ZVE 2014</t>
  </si>
  <si>
    <t>709/751</t>
  </si>
  <si>
    <t>243/795</t>
  </si>
  <si>
    <t>379/783</t>
  </si>
  <si>
    <t>681/698</t>
  </si>
  <si>
    <t>ZVE 2015</t>
  </si>
  <si>
    <t>718/751</t>
  </si>
  <si>
    <t>168/795</t>
  </si>
  <si>
    <t>308/783</t>
  </si>
  <si>
    <t>687/698</t>
  </si>
  <si>
    <t>AT0000A1HE68</t>
  </si>
  <si>
    <t>ZVE 2016</t>
  </si>
  <si>
    <t>170/795</t>
  </si>
  <si>
    <t>267/783</t>
  </si>
  <si>
    <t>AT0000A1PK52</t>
  </si>
  <si>
    <t>Overall Rating</t>
  </si>
  <si>
    <t>Morningstar Sustainability Rating</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</si>
</sst>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sz val="13.5"/>
      <color theme="1"/>
      <name val="Courier New"/>
      <family val="3"/>
    </font>
    <font>
      <b/>
      <sz val="20"/>
      <color theme="0"/>
      <name val="Courier New"/>
      <family val="3"/>
    </font>
    <font>
      <b/>
      <sz val="13.5"/>
      <color theme="0"/>
      <name val="Courier New"/>
      <family val="3"/>
    </font>
    <font>
      <sz val="11"/>
      <color theme="1"/>
      <name val="Courier New"/>
      <family val="3"/>
    </font>
    <font>
      <sz val="12"/>
      <color theme="1"/>
      <name val="Courier New"/>
      <family val="3"/>
    </font>
    <font>
      <b/>
      <sz val="11"/>
      <color theme="0"/>
      <name val="Courier New"/>
      <family val="3"/>
    </font>
    <font>
      <sz val="7"/>
      <color theme="1"/>
      <name val="Courier New"/>
      <family val="3"/>
    </font>
    <font>
      <sz val="4"/>
      <color theme="1"/>
      <name val="Courier New"/>
      <family val="3"/>
    </font>
    <font>
      <b/>
      <sz val="18"/>
      <color theme="0"/>
      <name val="Courier New"/>
      <family val="3"/>
    </font>
    <font>
      <sz val="10"/>
      <color theme="1"/>
      <name val="Courier New"/>
      <family val="3"/>
    </font>
    <font>
      <b/>
      <i/>
      <sz val="24"/>
      <color rgb="FF002060"/>
      <name val="Calibri"/>
      <family val="2"/>
      <scheme val="minor"/>
    </font>
    <font>
      <sz val="14"/>
      <color rgb="FF000000"/>
      <name val="Courier New"/>
      <family val="3"/>
    </font>
    <font>
      <b/>
      <sz val="20"/>
      <color rgb="FF002060"/>
      <name val="Courier New"/>
      <family val="3"/>
    </font>
    <font>
      <sz val="11"/>
      <color rgb="FF002060"/>
      <name val="Courier New"/>
      <family val="3"/>
    </font>
    <font>
      <b/>
      <sz val="12"/>
      <color rgb="FF002060"/>
      <name val="Courier New"/>
      <family val="3"/>
    </font>
    <font>
      <sz val="10"/>
      <name val="Arial"/>
      <family val="2"/>
    </font>
    <font>
      <sz val="8"/>
      <name val="Arial"/>
      <family val="2"/>
    </font>
    <font>
      <b/>
      <sz val="14"/>
      <name val="Arial"/>
      <family val="2"/>
    </font>
    <font>
      <sz val="8"/>
      <color indexed="53"/>
      <name val="Arial"/>
      <family val="2"/>
    </font>
    <font>
      <i/>
      <sz val="8"/>
      <name val="Arial"/>
      <family val="2"/>
    </font>
    <font>
      <sz val="8"/>
      <name val="Wingdings"/>
      <charset val="2"/>
    </font>
    <font>
      <sz val="8"/>
      <color indexed="16"/>
      <name val="Arial"/>
      <family val="2"/>
    </font>
    <font>
      <b/>
      <sz val="8"/>
      <color indexed="16"/>
      <name val="Arial"/>
      <family val="2"/>
    </font>
    <font>
      <sz val="8"/>
      <color indexed="16"/>
      <name val="Wingdings"/>
      <charset val="2"/>
    </font>
    <font>
      <sz val="8"/>
      <color theme="1"/>
      <name val="Arial"/>
      <family val="2"/>
    </font>
    <font>
      <b/>
      <sz val="8"/>
      <color theme="1"/>
      <name val="Wingdings"/>
      <charset val="2"/>
    </font>
    <font>
      <sz val="8"/>
      <color rgb="FFFFFFFF"/>
      <name val="Arial"/>
      <family val="2"/>
    </font>
    <font>
      <sz val="8"/>
      <color rgb="FF000000"/>
      <name val="Arial"/>
      <family val="2"/>
    </font>
    <font>
      <sz val="8"/>
      <color theme="1"/>
      <name val="Wingdings"/>
      <charset val="2"/>
    </font>
    <font>
      <b/>
      <sz val="8"/>
      <color indexed="53"/>
      <name val="Wingdings"/>
      <charset val="2"/>
    </font>
    <font>
      <b/>
      <sz val="8"/>
      <color rgb="FFEB6531"/>
      <name val="Wingdings"/>
      <charset val="2"/>
    </font>
    <font>
      <b/>
      <sz val="24"/>
      <color rgb="FF002060"/>
      <name val="Courier New"/>
      <family val="3"/>
    </font>
    <font>
      <sz val="7"/>
      <name val="Courier New"/>
      <family val="3"/>
    </font>
    <font>
      <sz val="10"/>
      <name val="Arial"/>
      <family val="2"/>
    </font>
    <font>
      <b/>
      <sz val="16"/>
      <color theme="0"/>
      <name val="Courier New"/>
      <family val="3"/>
    </font>
    <font>
      <sz val="11"/>
      <color rgb="FF000000"/>
      <name val="Courier New"/>
      <family val="3"/>
    </font>
    <font>
      <b/>
      <sz val="8"/>
      <color theme="1"/>
      <name val="Courier New"/>
      <family val="3"/>
    </font>
    <font>
      <b/>
      <sz val="8"/>
      <color theme="0"/>
      <name val="Arial"/>
      <family val="2"/>
    </font>
    <font>
      <sz val="8"/>
      <color theme="0"/>
      <name val="Wingdings"/>
      <charset val="2"/>
    </font>
  </fonts>
  <fills count="16">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D3197"/>
        <bgColor indexed="64"/>
      </patternFill>
    </fill>
    <fill>
      <patternFill patternType="solid">
        <fgColor theme="0"/>
        <bgColor indexed="64"/>
      </patternFill>
    </fill>
    <fill>
      <patternFill patternType="solid">
        <fgColor indexed="52"/>
        <bgColor indexed="64"/>
      </patternFill>
    </fill>
    <fill>
      <patternFill patternType="solid">
        <fgColor rgb="FF008AAA"/>
        <bgColor indexed="64"/>
      </patternFill>
    </fill>
    <fill>
      <patternFill patternType="solid">
        <fgColor rgb="FFCCE1E6"/>
        <bgColor indexed="64"/>
      </patternFill>
    </fill>
    <fill>
      <patternFill patternType="solid">
        <fgColor rgb="FF006A82"/>
        <bgColor indexed="64"/>
      </patternFill>
    </fill>
    <fill>
      <patternFill patternType="solid">
        <fgColor rgb="FFB1D1D9"/>
        <bgColor indexed="64"/>
      </patternFill>
    </fill>
    <fill>
      <patternFill patternType="solid">
        <fgColor theme="6"/>
        <bgColor indexed="64"/>
      </patternFill>
    </fill>
    <fill>
      <patternFill patternType="solid">
        <fgColor theme="4"/>
        <bgColor indexed="64"/>
      </patternFill>
    </fill>
    <fill>
      <patternFill patternType="solid">
        <fgColor theme="7"/>
        <bgColor indexed="64"/>
      </patternFill>
    </fill>
    <fill>
      <patternFill patternType="solid">
        <fgColor theme="8"/>
        <bgColor indexed="64"/>
      </patternFill>
    </fill>
  </fills>
  <borders count="60">
    <border>
      <left/>
      <right/>
      <top/>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style="thin">
        <color theme="0"/>
      </bottom>
      <diagonal/>
    </border>
    <border>
      <left/>
      <right/>
      <top/>
      <bottom style="thin">
        <color theme="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s>
  <cellStyleXfs count="4">
    <xf numFmtId="0" fontId="0" fillId="0" borderId="0"/>
    <xf numFmtId="9" fontId="1" fillId="0" borderId="0" applyFont="0" applyFill="0" applyBorder="0" applyAlignment="0" applyProtection="0"/>
    <xf numFmtId="0" fontId="17" fillId="0" borderId="0"/>
    <xf numFmtId="0" fontId="35" fillId="0" borderId="0"/>
  </cellStyleXfs>
  <cellXfs count="289">
    <xf numFmtId="0" fontId="0" fillId="0" borderId="0" xfId="0"/>
    <xf numFmtId="0" fontId="2"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7" fillId="2" borderId="0" xfId="0" applyFont="1" applyFill="1" applyBorder="1" applyAlignment="1">
      <alignment vertical="center"/>
    </xf>
    <xf numFmtId="0" fontId="4" fillId="2" borderId="0" xfId="0" applyFont="1" applyFill="1" applyBorder="1" applyAlignment="1">
      <alignment vertical="center"/>
    </xf>
    <xf numFmtId="0" fontId="4" fillId="2" borderId="1" xfId="0" applyFont="1" applyFill="1" applyBorder="1" applyAlignment="1">
      <alignment vertical="center"/>
    </xf>
    <xf numFmtId="0" fontId="4" fillId="2" borderId="2" xfId="0" applyFont="1" applyFill="1" applyBorder="1" applyAlignment="1">
      <alignment vertical="center"/>
    </xf>
    <xf numFmtId="0" fontId="4" fillId="2" borderId="3" xfId="0" applyFont="1" applyFill="1" applyBorder="1" applyAlignment="1">
      <alignment vertical="center"/>
    </xf>
    <xf numFmtId="0" fontId="4" fillId="2" borderId="4" xfId="0" applyFont="1" applyFill="1" applyBorder="1" applyAlignment="1">
      <alignment vertical="center"/>
    </xf>
    <xf numFmtId="0" fontId="7" fillId="2" borderId="5" xfId="0" applyFont="1" applyFill="1" applyBorder="1" applyAlignment="1">
      <alignment vertical="center"/>
    </xf>
    <xf numFmtId="0" fontId="7" fillId="2" borderId="4" xfId="0" applyFont="1" applyFill="1" applyBorder="1" applyAlignment="1">
      <alignment vertical="center"/>
    </xf>
    <xf numFmtId="0" fontId="7" fillId="2" borderId="1" xfId="0" applyFont="1" applyFill="1" applyBorder="1" applyAlignme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5" fillId="3" borderId="1" xfId="0" applyFont="1" applyFill="1" applyBorder="1" applyAlignment="1">
      <alignment vertical="center"/>
    </xf>
    <xf numFmtId="0" fontId="5" fillId="3" borderId="2" xfId="0" applyFont="1" applyFill="1" applyBorder="1" applyAlignment="1">
      <alignment vertical="center"/>
    </xf>
    <xf numFmtId="0" fontId="5" fillId="3" borderId="3" xfId="0" applyFont="1" applyFill="1" applyBorder="1" applyAlignment="1">
      <alignment vertical="center"/>
    </xf>
    <xf numFmtId="0" fontId="5" fillId="3" borderId="4" xfId="0" applyFont="1" applyFill="1" applyBorder="1" applyAlignment="1">
      <alignment vertical="center"/>
    </xf>
    <xf numFmtId="0" fontId="5" fillId="3" borderId="0" xfId="0" applyFont="1" applyFill="1" applyBorder="1" applyAlignment="1">
      <alignment vertical="center"/>
    </xf>
    <xf numFmtId="0" fontId="5" fillId="3" borderId="5" xfId="0" applyFont="1" applyFill="1" applyBorder="1" applyAlignment="1">
      <alignment vertical="center"/>
    </xf>
    <xf numFmtId="0" fontId="9" fillId="3" borderId="0" xfId="0" applyFont="1" applyFill="1" applyBorder="1" applyAlignment="1">
      <alignment vertical="center"/>
    </xf>
    <xf numFmtId="0" fontId="5" fillId="3" borderId="6" xfId="0" applyFont="1" applyFill="1" applyBorder="1" applyAlignment="1">
      <alignment vertical="center"/>
    </xf>
    <xf numFmtId="0" fontId="5" fillId="3" borderId="7" xfId="0" applyFont="1" applyFill="1" applyBorder="1" applyAlignment="1">
      <alignment vertical="center"/>
    </xf>
    <xf numFmtId="0" fontId="5" fillId="3" borderId="8" xfId="0" applyFont="1" applyFill="1" applyBorder="1" applyAlignment="1">
      <alignment vertical="center"/>
    </xf>
    <xf numFmtId="0" fontId="7" fillId="5" borderId="1" xfId="0" applyFont="1" applyFill="1" applyBorder="1" applyAlignment="1">
      <alignment vertical="center"/>
    </xf>
    <xf numFmtId="0" fontId="7" fillId="5" borderId="2" xfId="0" applyFont="1" applyFill="1" applyBorder="1" applyAlignment="1">
      <alignment vertical="center"/>
    </xf>
    <xf numFmtId="0" fontId="7" fillId="5" borderId="3" xfId="0" applyFont="1" applyFill="1" applyBorder="1" applyAlignment="1">
      <alignment vertical="center"/>
    </xf>
    <xf numFmtId="0" fontId="7" fillId="5" borderId="4" xfId="0" applyFont="1" applyFill="1" applyBorder="1" applyAlignment="1">
      <alignment vertical="center"/>
    </xf>
    <xf numFmtId="0" fontId="7" fillId="5" borderId="0" xfId="0" applyFont="1" applyFill="1" applyBorder="1" applyAlignment="1">
      <alignment vertical="center"/>
    </xf>
    <xf numFmtId="0" fontId="7" fillId="5" borderId="5" xfId="0" applyFont="1" applyFill="1" applyBorder="1" applyAlignment="1">
      <alignment vertical="center"/>
    </xf>
    <xf numFmtId="0" fontId="5" fillId="6" borderId="1" xfId="0" applyFont="1" applyFill="1" applyBorder="1" applyAlignment="1">
      <alignment vertical="center"/>
    </xf>
    <xf numFmtId="0" fontId="5" fillId="6" borderId="2" xfId="0" applyFont="1" applyFill="1" applyBorder="1" applyAlignment="1">
      <alignment vertical="center"/>
    </xf>
    <xf numFmtId="0" fontId="5" fillId="6" borderId="3" xfId="0" applyFont="1" applyFill="1" applyBorder="1" applyAlignment="1">
      <alignment vertical="center"/>
    </xf>
    <xf numFmtId="0" fontId="5" fillId="6" borderId="4" xfId="0" applyFont="1" applyFill="1" applyBorder="1" applyAlignment="1">
      <alignment vertical="center"/>
    </xf>
    <xf numFmtId="0" fontId="5" fillId="6" borderId="0" xfId="0" applyFont="1" applyFill="1" applyBorder="1" applyAlignment="1">
      <alignment vertical="center"/>
    </xf>
    <xf numFmtId="0" fontId="5" fillId="6" borderId="5" xfId="0" applyFont="1" applyFill="1" applyBorder="1" applyAlignment="1">
      <alignment vertical="center"/>
    </xf>
    <xf numFmtId="0" fontId="9" fillId="6" borderId="0" xfId="0" applyFont="1" applyFill="1" applyBorder="1" applyAlignment="1">
      <alignment vertical="center"/>
    </xf>
    <xf numFmtId="0" fontId="5" fillId="6" borderId="6" xfId="0" applyFont="1" applyFill="1" applyBorder="1" applyAlignment="1">
      <alignment vertical="center"/>
    </xf>
    <xf numFmtId="0" fontId="5" fillId="6" borderId="7" xfId="0" applyFont="1" applyFill="1" applyBorder="1" applyAlignment="1">
      <alignment vertical="center"/>
    </xf>
    <xf numFmtId="0" fontId="5" fillId="6" borderId="8" xfId="0" applyFont="1" applyFill="1" applyBorder="1" applyAlignment="1">
      <alignment vertical="center"/>
    </xf>
    <xf numFmtId="0" fontId="12" fillId="0" borderId="0" xfId="0" applyFont="1" applyFill="1" applyBorder="1" applyAlignment="1">
      <alignment vertical="center" wrapText="1"/>
    </xf>
    <xf numFmtId="0" fontId="15" fillId="4" borderId="4" xfId="0" applyFont="1" applyFill="1" applyBorder="1" applyAlignment="1">
      <alignment vertical="center"/>
    </xf>
    <xf numFmtId="0" fontId="15" fillId="4" borderId="0" xfId="0" applyFont="1" applyFill="1" applyBorder="1" applyAlignment="1">
      <alignment vertical="center"/>
    </xf>
    <xf numFmtId="0" fontId="15" fillId="4" borderId="5" xfId="0" applyFont="1" applyFill="1" applyBorder="1" applyAlignment="1">
      <alignment vertical="center"/>
    </xf>
    <xf numFmtId="0" fontId="14" fillId="4" borderId="2" xfId="0" applyFont="1" applyFill="1" applyBorder="1" applyAlignment="1">
      <alignment vertical="center"/>
    </xf>
    <xf numFmtId="0" fontId="14" fillId="4" borderId="0" xfId="0" applyFont="1" applyFill="1" applyBorder="1" applyAlignment="1">
      <alignment vertical="center"/>
    </xf>
    <xf numFmtId="0" fontId="14" fillId="4" borderId="7" xfId="0" applyFont="1" applyFill="1" applyBorder="1" applyAlignment="1">
      <alignment vertical="center"/>
    </xf>
    <xf numFmtId="0" fontId="10" fillId="2" borderId="4" xfId="0" applyFont="1" applyFill="1" applyBorder="1" applyAlignment="1">
      <alignment vertical="center"/>
    </xf>
    <xf numFmtId="0" fontId="10" fillId="2" borderId="0" xfId="0" applyFont="1" applyFill="1" applyBorder="1" applyAlignment="1">
      <alignment vertical="center"/>
    </xf>
    <xf numFmtId="0" fontId="10" fillId="2" borderId="5" xfId="0" applyFont="1" applyFill="1" applyBorder="1" applyAlignment="1">
      <alignment vertical="center"/>
    </xf>
    <xf numFmtId="0" fontId="34" fillId="0" borderId="0" xfId="0" applyFont="1"/>
    <xf numFmtId="0" fontId="5" fillId="0" borderId="0" xfId="0" applyFont="1" applyBorder="1" applyAlignment="1">
      <alignment vertical="center"/>
    </xf>
    <xf numFmtId="0" fontId="6" fillId="0" borderId="0" xfId="0" applyFont="1" applyBorder="1" applyAlignment="1">
      <alignment vertical="center"/>
    </xf>
    <xf numFmtId="0" fontId="5" fillId="0" borderId="0" xfId="0" applyFont="1" applyFill="1" applyBorder="1" applyAlignment="1">
      <alignment vertical="center"/>
    </xf>
    <xf numFmtId="0" fontId="6" fillId="0" borderId="0" xfId="0" applyFont="1" applyFill="1" applyBorder="1" applyAlignment="1">
      <alignment vertical="center"/>
    </xf>
    <xf numFmtId="0" fontId="5" fillId="0" borderId="0" xfId="0" applyFont="1" applyFill="1" applyAlignment="1">
      <alignment vertical="center"/>
    </xf>
    <xf numFmtId="0" fontId="10" fillId="0" borderId="0" xfId="0" applyFont="1" applyFill="1" applyBorder="1" applyAlignment="1">
      <alignment vertical="center"/>
    </xf>
    <xf numFmtId="0" fontId="33" fillId="0" borderId="0" xfId="0" applyFont="1" applyFill="1" applyBorder="1" applyAlignment="1">
      <alignment vertical="center"/>
    </xf>
    <xf numFmtId="0" fontId="14" fillId="0" borderId="0" xfId="0" applyFont="1" applyFill="1" applyBorder="1" applyAlignment="1">
      <alignment horizontal="center" vertical="center"/>
    </xf>
    <xf numFmtId="0" fontId="18" fillId="0" borderId="0" xfId="2" applyFont="1"/>
    <xf numFmtId="0" fontId="19" fillId="0" borderId="0" xfId="2" applyFont="1" applyAlignment="1"/>
    <xf numFmtId="0" fontId="18" fillId="0" borderId="0" xfId="2" applyFont="1" applyAlignment="1">
      <alignment horizontal="left" vertical="center"/>
    </xf>
    <xf numFmtId="0" fontId="20" fillId="0" borderId="0" xfId="2" applyFont="1" applyAlignment="1">
      <alignment horizontal="center" vertical="center"/>
    </xf>
    <xf numFmtId="0" fontId="18" fillId="0" borderId="0" xfId="2" applyFont="1" applyAlignment="1">
      <alignment horizontal="center" vertical="center"/>
    </xf>
    <xf numFmtId="0" fontId="18" fillId="0" borderId="0" xfId="2" applyFont="1" applyAlignment="1">
      <alignment vertical="center"/>
    </xf>
    <xf numFmtId="0" fontId="21" fillId="0" borderId="0" xfId="2" applyFont="1" applyAlignment="1">
      <alignment horizontal="right" vertical="center"/>
    </xf>
    <xf numFmtId="0" fontId="18" fillId="0" borderId="0" xfId="2" applyFont="1" applyAlignment="1">
      <alignment horizontal="center"/>
    </xf>
    <xf numFmtId="0" fontId="19" fillId="0" borderId="0" xfId="2" applyFont="1" applyFill="1" applyAlignment="1">
      <alignment horizontal="center" vertical="center"/>
    </xf>
    <xf numFmtId="0" fontId="19" fillId="0" borderId="0" xfId="2" applyFont="1" applyFill="1" applyAlignment="1">
      <alignment vertical="center"/>
    </xf>
    <xf numFmtId="14" fontId="18" fillId="0" borderId="0" xfId="2" applyNumberFormat="1" applyFont="1" applyFill="1" applyAlignment="1">
      <alignment horizontal="left" vertical="center"/>
    </xf>
    <xf numFmtId="0" fontId="18" fillId="0" borderId="0" xfId="2" applyFont="1" applyFill="1" applyAlignment="1">
      <alignment horizontal="center" vertical="center"/>
    </xf>
    <xf numFmtId="0" fontId="22" fillId="0" borderId="0" xfId="2" applyFont="1" applyAlignment="1">
      <alignment horizontal="right" vertical="center"/>
    </xf>
    <xf numFmtId="0" fontId="23" fillId="7" borderId="9" xfId="2" applyFont="1" applyFill="1" applyBorder="1"/>
    <xf numFmtId="0" fontId="24" fillId="7" borderId="9" xfId="2" applyFont="1" applyFill="1" applyBorder="1" applyAlignment="1">
      <alignment horizontal="center"/>
    </xf>
    <xf numFmtId="0" fontId="23" fillId="7" borderId="9" xfId="2" applyFont="1" applyFill="1" applyBorder="1" applyAlignment="1">
      <alignment horizontal="center"/>
    </xf>
    <xf numFmtId="0" fontId="24" fillId="7" borderId="10" xfId="2" applyFont="1" applyFill="1" applyBorder="1" applyAlignment="1">
      <alignment horizontal="center" vertical="center"/>
    </xf>
    <xf numFmtId="0" fontId="17" fillId="0" borderId="0" xfId="2"/>
    <xf numFmtId="0" fontId="24" fillId="7" borderId="14" xfId="2" applyFont="1" applyFill="1" applyBorder="1" applyAlignment="1">
      <alignment horizontal="left"/>
    </xf>
    <xf numFmtId="0" fontId="24" fillId="7" borderId="14" xfId="2" applyFont="1" applyFill="1" applyBorder="1" applyAlignment="1">
      <alignment horizontal="center"/>
    </xf>
    <xf numFmtId="0" fontId="24" fillId="7" borderId="15" xfId="2" applyFont="1" applyFill="1" applyBorder="1" applyAlignment="1">
      <alignment horizontal="center" vertical="center"/>
    </xf>
    <xf numFmtId="0" fontId="24" fillId="7" borderId="17" xfId="2" applyFont="1" applyFill="1" applyBorder="1" applyAlignment="1">
      <alignment horizontal="left"/>
    </xf>
    <xf numFmtId="0" fontId="24" fillId="7" borderId="17" xfId="2" applyFont="1" applyFill="1" applyBorder="1" applyAlignment="1">
      <alignment horizontal="center"/>
    </xf>
    <xf numFmtId="0" fontId="24" fillId="7" borderId="18" xfId="2" applyFont="1" applyFill="1" applyBorder="1" applyAlignment="1">
      <alignment horizontal="center" vertical="center"/>
    </xf>
    <xf numFmtId="0" fontId="24" fillId="7" borderId="19" xfId="2" applyFont="1" applyFill="1" applyBorder="1" applyAlignment="1">
      <alignment horizontal="center" vertical="center"/>
    </xf>
    <xf numFmtId="0" fontId="24" fillId="7" borderId="20" xfId="2" applyFont="1" applyFill="1" applyBorder="1" applyAlignment="1">
      <alignment horizontal="left"/>
    </xf>
    <xf numFmtId="0" fontId="24" fillId="7" borderId="21" xfId="2" applyFont="1" applyFill="1" applyBorder="1" applyAlignment="1">
      <alignment horizontal="center"/>
    </xf>
    <xf numFmtId="0" fontId="24" fillId="7" borderId="22" xfId="2" applyFont="1" applyFill="1" applyBorder="1" applyAlignment="1">
      <alignment horizontal="center"/>
    </xf>
    <xf numFmtId="0" fontId="25" fillId="7" borderId="21" xfId="2" applyFont="1" applyFill="1" applyBorder="1" applyAlignment="1">
      <alignment horizontal="left"/>
    </xf>
    <xf numFmtId="49" fontId="26" fillId="0" borderId="23" xfId="2" applyNumberFormat="1" applyFont="1" applyBorder="1"/>
    <xf numFmtId="49" fontId="26" fillId="0" borderId="23" xfId="2" applyNumberFormat="1" applyFont="1" applyBorder="1" applyAlignment="1">
      <alignment horizontal="center"/>
    </xf>
    <xf numFmtId="4" fontId="27" fillId="0" borderId="23" xfId="2" applyNumberFormat="1" applyFont="1" applyBorder="1" applyAlignment="1">
      <alignment horizontal="center"/>
    </xf>
    <xf numFmtId="49" fontId="26" fillId="0" borderId="24" xfId="2" applyNumberFormat="1" applyFont="1" applyBorder="1" applyAlignment="1">
      <alignment horizontal="center"/>
    </xf>
    <xf numFmtId="3" fontId="26" fillId="0" borderId="25" xfId="2" quotePrefix="1" applyNumberFormat="1" applyFont="1" applyBorder="1" applyAlignment="1">
      <alignment horizontal="center"/>
    </xf>
    <xf numFmtId="3" fontId="28" fillId="8" borderId="24" xfId="2" applyNumberFormat="1" applyFont="1" applyFill="1" applyBorder="1" applyAlignment="1">
      <alignment horizontal="center"/>
    </xf>
    <xf numFmtId="3" fontId="29" fillId="9" borderId="26" xfId="2" applyNumberFormat="1" applyFont="1" applyFill="1" applyBorder="1" applyAlignment="1">
      <alignment horizontal="center"/>
    </xf>
    <xf numFmtId="3" fontId="30" fillId="0" borderId="24" xfId="2" applyNumberFormat="1" applyFont="1" applyBorder="1" applyAlignment="1">
      <alignment horizontal="center"/>
    </xf>
    <xf numFmtId="3" fontId="28" fillId="8" borderId="26" xfId="2" applyNumberFormat="1" applyFont="1" applyFill="1" applyBorder="1" applyAlignment="1">
      <alignment horizontal="center"/>
    </xf>
    <xf numFmtId="3" fontId="28" fillId="10" borderId="26" xfId="2" applyNumberFormat="1" applyFont="1" applyFill="1" applyBorder="1" applyAlignment="1">
      <alignment horizontal="center"/>
    </xf>
    <xf numFmtId="3" fontId="26" fillId="0" borderId="24" xfId="2" applyNumberFormat="1" applyFont="1" applyBorder="1" applyAlignment="1">
      <alignment horizontal="center"/>
    </xf>
    <xf numFmtId="3" fontId="26" fillId="0" borderId="26" xfId="2" applyNumberFormat="1" applyFont="1" applyBorder="1" applyAlignment="1">
      <alignment horizontal="center"/>
    </xf>
    <xf numFmtId="49" fontId="26" fillId="0" borderId="25" xfId="2" applyNumberFormat="1" applyFont="1" applyBorder="1" applyAlignment="1">
      <alignment horizontal="center"/>
    </xf>
    <xf numFmtId="49" fontId="26" fillId="0" borderId="16" xfId="2" applyNumberFormat="1" applyFont="1" applyBorder="1"/>
    <xf numFmtId="49" fontId="26" fillId="0" borderId="16" xfId="2" applyNumberFormat="1" applyFont="1" applyBorder="1" applyAlignment="1">
      <alignment horizontal="center"/>
    </xf>
    <xf numFmtId="4" fontId="27" fillId="0" borderId="16" xfId="2" applyNumberFormat="1" applyFont="1" applyBorder="1" applyAlignment="1">
      <alignment horizontal="center"/>
    </xf>
    <xf numFmtId="49" fontId="26" fillId="0" borderId="27" xfId="2" applyNumberFormat="1" applyFont="1" applyBorder="1" applyAlignment="1">
      <alignment horizontal="center"/>
    </xf>
    <xf numFmtId="3" fontId="26" fillId="0" borderId="28" xfId="2" quotePrefix="1" applyNumberFormat="1" applyFont="1" applyBorder="1" applyAlignment="1">
      <alignment horizontal="center"/>
    </xf>
    <xf numFmtId="3" fontId="29" fillId="9" borderId="27" xfId="2" applyNumberFormat="1" applyFont="1" applyFill="1" applyBorder="1" applyAlignment="1">
      <alignment horizontal="center"/>
    </xf>
    <xf numFmtId="3" fontId="29" fillId="11" borderId="29" xfId="2" applyNumberFormat="1" applyFont="1" applyFill="1" applyBorder="1" applyAlignment="1">
      <alignment horizontal="center"/>
    </xf>
    <xf numFmtId="3" fontId="30" fillId="0" borderId="27" xfId="2" applyNumberFormat="1" applyFont="1" applyBorder="1" applyAlignment="1">
      <alignment horizontal="center"/>
    </xf>
    <xf numFmtId="3" fontId="29" fillId="9" borderId="29" xfId="2" applyNumberFormat="1" applyFont="1" applyFill="1" applyBorder="1" applyAlignment="1">
      <alignment horizontal="center"/>
    </xf>
    <xf numFmtId="3" fontId="26" fillId="0" borderId="27" xfId="2" applyNumberFormat="1" applyFont="1" applyBorder="1" applyAlignment="1">
      <alignment horizontal="center"/>
    </xf>
    <xf numFmtId="3" fontId="26" fillId="0" borderId="29" xfId="2" applyNumberFormat="1" applyFont="1" applyBorder="1" applyAlignment="1">
      <alignment horizontal="center"/>
    </xf>
    <xf numFmtId="49" fontId="26" fillId="0" borderId="28" xfId="2" applyNumberFormat="1" applyFont="1" applyBorder="1" applyAlignment="1">
      <alignment horizontal="center"/>
    </xf>
    <xf numFmtId="3" fontId="28" fillId="10" borderId="29" xfId="2" applyNumberFormat="1" applyFont="1" applyFill="1" applyBorder="1" applyAlignment="1">
      <alignment horizontal="center"/>
    </xf>
    <xf numFmtId="3" fontId="28" fillId="8" borderId="29" xfId="2" applyNumberFormat="1" applyFont="1" applyFill="1" applyBorder="1" applyAlignment="1">
      <alignment horizontal="center"/>
    </xf>
    <xf numFmtId="3" fontId="29" fillId="11" borderId="27" xfId="2" applyNumberFormat="1" applyFont="1" applyFill="1" applyBorder="1" applyAlignment="1">
      <alignment horizontal="center"/>
    </xf>
    <xf numFmtId="3" fontId="28" fillId="10" borderId="27" xfId="2" applyNumberFormat="1" applyFont="1" applyFill="1" applyBorder="1" applyAlignment="1">
      <alignment horizontal="center"/>
    </xf>
    <xf numFmtId="3" fontId="28" fillId="8" borderId="27" xfId="2" applyNumberFormat="1" applyFont="1" applyFill="1" applyBorder="1" applyAlignment="1">
      <alignment horizontal="center"/>
    </xf>
    <xf numFmtId="49" fontId="26" fillId="0" borderId="30" xfId="2" applyNumberFormat="1" applyFont="1" applyBorder="1"/>
    <xf numFmtId="49" fontId="26" fillId="0" borderId="30" xfId="2" applyNumberFormat="1" applyFont="1" applyBorder="1" applyAlignment="1">
      <alignment horizontal="center"/>
    </xf>
    <xf numFmtId="4" fontId="27" fillId="0" borderId="30" xfId="2" applyNumberFormat="1" applyFont="1" applyBorder="1" applyAlignment="1">
      <alignment horizontal="center"/>
    </xf>
    <xf numFmtId="49" fontId="26" fillId="0" borderId="21" xfId="2" applyNumberFormat="1" applyFont="1" applyBorder="1" applyAlignment="1">
      <alignment horizontal="center"/>
    </xf>
    <xf numFmtId="3" fontId="26" fillId="0" borderId="31" xfId="2" quotePrefix="1" applyNumberFormat="1" applyFont="1" applyBorder="1" applyAlignment="1">
      <alignment horizontal="center"/>
    </xf>
    <xf numFmtId="3" fontId="26" fillId="0" borderId="21" xfId="2" applyNumberFormat="1" applyFont="1" applyBorder="1" applyAlignment="1">
      <alignment horizontal="center"/>
    </xf>
    <xf numFmtId="3" fontId="26" fillId="0" borderId="22" xfId="2" applyNumberFormat="1" applyFont="1" applyBorder="1" applyAlignment="1">
      <alignment horizontal="center"/>
    </xf>
    <xf numFmtId="49" fontId="26" fillId="0" borderId="31" xfId="2" applyNumberFormat="1" applyFont="1" applyBorder="1" applyAlignment="1">
      <alignment horizontal="center"/>
    </xf>
    <xf numFmtId="0" fontId="31" fillId="0" borderId="0" xfId="2" applyFont="1" applyAlignment="1">
      <alignment horizontal="center"/>
    </xf>
    <xf numFmtId="0" fontId="19" fillId="0" borderId="0" xfId="2" applyFont="1" applyAlignment="1">
      <alignment horizontal="left" vertical="center"/>
    </xf>
    <xf numFmtId="0" fontId="31" fillId="0" borderId="0" xfId="2" applyFont="1" applyAlignment="1">
      <alignment horizontal="center" vertical="center"/>
    </xf>
    <xf numFmtId="14" fontId="19" fillId="0" borderId="0" xfId="2" applyNumberFormat="1" applyFont="1" applyFill="1" applyAlignment="1">
      <alignment horizontal="left" vertical="center"/>
    </xf>
    <xf numFmtId="0" fontId="24" fillId="7" borderId="18" xfId="2" applyFont="1" applyFill="1" applyBorder="1" applyAlignment="1">
      <alignment horizontal="left" vertical="center"/>
    </xf>
    <xf numFmtId="0" fontId="26" fillId="0" borderId="23" xfId="2" applyFont="1" applyBorder="1"/>
    <xf numFmtId="0" fontId="26" fillId="0" borderId="23" xfId="2" applyFont="1" applyBorder="1" applyAlignment="1">
      <alignment horizontal="center"/>
    </xf>
    <xf numFmtId="0" fontId="32" fillId="0" borderId="23" xfId="2" applyFont="1" applyBorder="1" applyAlignment="1">
      <alignment horizontal="center"/>
    </xf>
    <xf numFmtId="0" fontId="26" fillId="0" borderId="25" xfId="2" quotePrefix="1" applyFont="1" applyBorder="1" applyAlignment="1">
      <alignment horizontal="center"/>
    </xf>
    <xf numFmtId="0" fontId="29" fillId="11" borderId="24" xfId="2" applyFont="1" applyFill="1" applyBorder="1" applyAlignment="1">
      <alignment horizontal="center"/>
    </xf>
    <xf numFmtId="0" fontId="29" fillId="9" borderId="26" xfId="2" applyFont="1" applyFill="1" applyBorder="1" applyAlignment="1">
      <alignment horizontal="center"/>
    </xf>
    <xf numFmtId="0" fontId="30" fillId="0" borderId="24" xfId="2" applyFont="1" applyBorder="1" applyAlignment="1">
      <alignment horizontal="center"/>
    </xf>
    <xf numFmtId="0" fontId="29" fillId="11" borderId="26" xfId="2" applyFont="1" applyFill="1" applyBorder="1" applyAlignment="1">
      <alignment horizontal="center"/>
    </xf>
    <xf numFmtId="0" fontId="28" fillId="8" borderId="26" xfId="2" applyFont="1" applyFill="1" applyBorder="1" applyAlignment="1">
      <alignment horizontal="center"/>
    </xf>
    <xf numFmtId="0" fontId="26" fillId="0" borderId="24" xfId="2" applyFont="1" applyBorder="1" applyAlignment="1">
      <alignment horizontal="center"/>
    </xf>
    <xf numFmtId="0" fontId="26" fillId="0" borderId="26" xfId="2" applyFont="1" applyBorder="1" applyAlignment="1">
      <alignment horizontal="center"/>
    </xf>
    <xf numFmtId="0" fontId="26" fillId="0" borderId="13" xfId="2" applyFont="1" applyBorder="1"/>
    <xf numFmtId="0" fontId="26" fillId="0" borderId="16" xfId="2" applyFont="1" applyBorder="1"/>
    <xf numFmtId="0" fontId="26" fillId="0" borderId="16" xfId="2" applyFont="1" applyBorder="1" applyAlignment="1">
      <alignment horizontal="center"/>
    </xf>
    <xf numFmtId="0" fontId="32" fillId="0" borderId="16" xfId="2" applyFont="1" applyBorder="1" applyAlignment="1">
      <alignment horizontal="center"/>
    </xf>
    <xf numFmtId="0" fontId="26" fillId="0" borderId="28" xfId="2" quotePrefix="1" applyFont="1" applyBorder="1" applyAlignment="1">
      <alignment horizontal="center"/>
    </xf>
    <xf numFmtId="0" fontId="29" fillId="9" borderId="27" xfId="2" applyFont="1" applyFill="1" applyBorder="1" applyAlignment="1">
      <alignment horizontal="center"/>
    </xf>
    <xf numFmtId="0" fontId="29" fillId="9" borderId="29" xfId="2" applyFont="1" applyFill="1" applyBorder="1" applyAlignment="1">
      <alignment horizontal="center"/>
    </xf>
    <xf numFmtId="0" fontId="26" fillId="0" borderId="27" xfId="2" applyFont="1" applyBorder="1" applyAlignment="1">
      <alignment horizontal="center"/>
    </xf>
    <xf numFmtId="0" fontId="26" fillId="0" borderId="29" xfId="2" applyFont="1" applyBorder="1" applyAlignment="1">
      <alignment horizontal="center"/>
    </xf>
    <xf numFmtId="0" fontId="26" fillId="0" borderId="32" xfId="2" applyFont="1" applyBorder="1"/>
    <xf numFmtId="0" fontId="28" fillId="10" borderId="29" xfId="2" applyFont="1" applyFill="1" applyBorder="1" applyAlignment="1">
      <alignment horizontal="center"/>
    </xf>
    <xf numFmtId="0" fontId="30" fillId="0" borderId="27" xfId="2" applyFont="1" applyBorder="1" applyAlignment="1">
      <alignment horizontal="center"/>
    </xf>
    <xf numFmtId="0" fontId="28" fillId="8" borderId="29" xfId="2" applyFont="1" applyFill="1" applyBorder="1" applyAlignment="1">
      <alignment horizontal="center"/>
    </xf>
    <xf numFmtId="0" fontId="29" fillId="11" borderId="29" xfId="2" applyFont="1" applyFill="1" applyBorder="1" applyAlignment="1">
      <alignment horizontal="center"/>
    </xf>
    <xf numFmtId="0" fontId="29" fillId="11" borderId="27" xfId="2" applyFont="1" applyFill="1" applyBorder="1" applyAlignment="1">
      <alignment horizontal="center"/>
    </xf>
    <xf numFmtId="0" fontId="28" fillId="8" borderId="27" xfId="2" applyFont="1" applyFill="1" applyBorder="1" applyAlignment="1">
      <alignment horizontal="center"/>
    </xf>
    <xf numFmtId="0" fontId="28" fillId="10" borderId="27" xfId="2" applyFont="1" applyFill="1" applyBorder="1" applyAlignment="1">
      <alignment horizontal="center"/>
    </xf>
    <xf numFmtId="0" fontId="26" fillId="0" borderId="30" xfId="2" applyFont="1" applyBorder="1"/>
    <xf numFmtId="0" fontId="26" fillId="0" borderId="30" xfId="2" applyFont="1" applyBorder="1" applyAlignment="1">
      <alignment horizontal="center"/>
    </xf>
    <xf numFmtId="0" fontId="32" fillId="0" borderId="30" xfId="2" applyFont="1" applyBorder="1" applyAlignment="1">
      <alignment horizontal="center"/>
    </xf>
    <xf numFmtId="0" fontId="26" fillId="0" borderId="31" xfId="2" quotePrefix="1" applyFont="1" applyBorder="1" applyAlignment="1">
      <alignment horizontal="center"/>
    </xf>
    <xf numFmtId="0" fontId="26" fillId="0" borderId="21" xfId="2" applyFont="1" applyBorder="1" applyAlignment="1">
      <alignment horizontal="center"/>
    </xf>
    <xf numFmtId="0" fontId="28" fillId="10" borderId="22" xfId="2" applyFont="1" applyFill="1" applyBorder="1" applyAlignment="1">
      <alignment horizontal="center"/>
    </xf>
    <xf numFmtId="0" fontId="30" fillId="0" borderId="21" xfId="2" applyFont="1" applyBorder="1" applyAlignment="1">
      <alignment horizontal="center"/>
    </xf>
    <xf numFmtId="0" fontId="28" fillId="8" borderId="22" xfId="2" applyFont="1" applyFill="1" applyBorder="1" applyAlignment="1">
      <alignment horizontal="center"/>
    </xf>
    <xf numFmtId="0" fontId="26" fillId="0" borderId="22" xfId="2" applyFont="1" applyBorder="1" applyAlignment="1">
      <alignment horizontal="center"/>
    </xf>
    <xf numFmtId="0" fontId="26" fillId="0" borderId="33" xfId="2" applyFont="1" applyBorder="1"/>
    <xf numFmtId="0" fontId="0" fillId="0" borderId="0" xfId="0" applyAlignment="1">
      <alignment horizontal="center" vertical="center"/>
    </xf>
    <xf numFmtId="0" fontId="39" fillId="12" borderId="38" xfId="2" applyFont="1" applyFill="1" applyBorder="1" applyAlignment="1">
      <alignment horizontal="center" vertical="center"/>
    </xf>
    <xf numFmtId="0" fontId="39" fillId="12" borderId="43" xfId="2" applyFont="1" applyFill="1" applyBorder="1" applyAlignment="1">
      <alignment horizontal="center" vertical="center"/>
    </xf>
    <xf numFmtId="0" fontId="40" fillId="12" borderId="42" xfId="2" applyFont="1" applyFill="1" applyBorder="1" applyAlignment="1">
      <alignment horizontal="center" vertical="center"/>
    </xf>
    <xf numFmtId="0" fontId="39" fillId="12" borderId="34" xfId="2" applyFont="1" applyFill="1" applyBorder="1" applyAlignment="1">
      <alignment horizontal="center" vertical="center"/>
    </xf>
    <xf numFmtId="0" fontId="5" fillId="0" borderId="44" xfId="0" applyFont="1" applyBorder="1" applyAlignment="1">
      <alignment vertical="center"/>
    </xf>
    <xf numFmtId="0" fontId="5" fillId="0" borderId="45" xfId="0" applyFont="1" applyBorder="1" applyAlignment="1">
      <alignment vertical="center"/>
    </xf>
    <xf numFmtId="0" fontId="5" fillId="0" borderId="46" xfId="0" applyFont="1" applyFill="1" applyBorder="1" applyAlignment="1">
      <alignment vertical="center"/>
    </xf>
    <xf numFmtId="0" fontId="5" fillId="0" borderId="47" xfId="0" applyFont="1" applyBorder="1" applyAlignment="1">
      <alignment vertical="center"/>
    </xf>
    <xf numFmtId="0" fontId="10" fillId="0" borderId="48" xfId="0" applyFont="1" applyFill="1" applyBorder="1" applyAlignment="1">
      <alignment vertical="center"/>
    </xf>
    <xf numFmtId="0" fontId="5" fillId="0" borderId="49" xfId="0" applyFont="1" applyBorder="1" applyAlignment="1">
      <alignment vertical="center"/>
    </xf>
    <xf numFmtId="0" fontId="6" fillId="0" borderId="50" xfId="0" applyFont="1" applyBorder="1" applyAlignment="1">
      <alignment vertical="center"/>
    </xf>
    <xf numFmtId="0" fontId="5" fillId="0" borderId="50" xfId="0" applyFont="1" applyBorder="1" applyAlignment="1">
      <alignment vertical="center"/>
    </xf>
    <xf numFmtId="0" fontId="6" fillId="0" borderId="50" xfId="0" applyFont="1" applyFill="1" applyBorder="1" applyAlignment="1">
      <alignment vertical="center"/>
    </xf>
    <xf numFmtId="0" fontId="10" fillId="0" borderId="50" xfId="0" applyFont="1" applyFill="1" applyBorder="1" applyAlignment="1">
      <alignment vertical="center"/>
    </xf>
    <xf numFmtId="0" fontId="10" fillId="0" borderId="51" xfId="0" applyFont="1" applyFill="1" applyBorder="1" applyAlignment="1">
      <alignment vertical="center"/>
    </xf>
    <xf numFmtId="0" fontId="5" fillId="0" borderId="52" xfId="0" applyFont="1" applyBorder="1" applyAlignment="1">
      <alignment vertical="center"/>
    </xf>
    <xf numFmtId="0" fontId="6" fillId="0" borderId="53" xfId="0" applyFont="1" applyBorder="1" applyAlignment="1">
      <alignment vertical="center"/>
    </xf>
    <xf numFmtId="0" fontId="5" fillId="0" borderId="53" xfId="0" applyFont="1" applyBorder="1" applyAlignment="1">
      <alignment vertical="center"/>
    </xf>
    <xf numFmtId="0" fontId="8" fillId="0" borderId="53" xfId="0" applyFont="1" applyBorder="1" applyAlignment="1">
      <alignment vertical="center"/>
    </xf>
    <xf numFmtId="0" fontId="8" fillId="0" borderId="53" xfId="0" applyFont="1" applyFill="1" applyBorder="1" applyAlignment="1">
      <alignment vertical="center"/>
    </xf>
    <xf numFmtId="0" fontId="10" fillId="0" borderId="53" xfId="0" applyFont="1" applyFill="1" applyBorder="1" applyAlignment="1">
      <alignment vertical="center"/>
    </xf>
    <xf numFmtId="0" fontId="33" fillId="0" borderId="54" xfId="0" applyFont="1" applyFill="1" applyBorder="1" applyAlignment="1">
      <alignment vertical="center"/>
    </xf>
    <xf numFmtId="0" fontId="5" fillId="0" borderId="55" xfId="0" applyFont="1" applyBorder="1" applyAlignment="1">
      <alignment vertical="center"/>
    </xf>
    <xf numFmtId="0" fontId="33" fillId="0" borderId="56" xfId="0" applyFont="1" applyFill="1" applyBorder="1" applyAlignment="1">
      <alignment vertical="center"/>
    </xf>
    <xf numFmtId="0" fontId="5" fillId="0" borderId="57" xfId="0" applyFont="1" applyBorder="1" applyAlignment="1">
      <alignment vertical="center"/>
    </xf>
    <xf numFmtId="0" fontId="5" fillId="0" borderId="58" xfId="0" applyFont="1" applyBorder="1" applyAlignment="1">
      <alignment vertical="center"/>
    </xf>
    <xf numFmtId="0" fontId="5" fillId="0" borderId="58" xfId="0" applyFont="1" applyFill="1" applyBorder="1" applyAlignment="1">
      <alignment vertical="center"/>
    </xf>
    <xf numFmtId="0" fontId="10" fillId="0" borderId="58" xfId="0" applyFont="1" applyFill="1" applyBorder="1" applyAlignment="1">
      <alignment vertical="center"/>
    </xf>
    <xf numFmtId="0" fontId="33" fillId="0" borderId="59" xfId="0" applyFont="1" applyFill="1" applyBorder="1" applyAlignment="1">
      <alignment vertical="center"/>
    </xf>
    <xf numFmtId="0" fontId="36" fillId="2" borderId="1" xfId="0" applyFont="1" applyFill="1" applyBorder="1" applyAlignment="1">
      <alignment horizontal="center" vertical="center"/>
    </xf>
    <xf numFmtId="0" fontId="36" fillId="2" borderId="2" xfId="0" applyFont="1" applyFill="1" applyBorder="1" applyAlignment="1">
      <alignment horizontal="center" vertical="center"/>
    </xf>
    <xf numFmtId="0" fontId="36" fillId="2" borderId="3" xfId="0" applyFont="1" applyFill="1" applyBorder="1" applyAlignment="1">
      <alignment horizontal="center" vertical="center"/>
    </xf>
    <xf numFmtId="0" fontId="36" fillId="2" borderId="4" xfId="0" applyFont="1" applyFill="1" applyBorder="1" applyAlignment="1">
      <alignment horizontal="center" vertical="center"/>
    </xf>
    <xf numFmtId="0" fontId="36" fillId="2" borderId="0" xfId="0" applyFont="1" applyFill="1" applyBorder="1" applyAlignment="1">
      <alignment horizontal="center" vertical="center"/>
    </xf>
    <xf numFmtId="0" fontId="36" fillId="2" borderId="5"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0" xfId="0" applyFont="1" applyFill="1" applyBorder="1" applyAlignment="1">
      <alignment horizontal="center" vertical="center"/>
    </xf>
    <xf numFmtId="0" fontId="38" fillId="4" borderId="0"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14" fillId="4" borderId="4" xfId="0" applyFont="1" applyFill="1" applyBorder="1" applyAlignment="1">
      <alignment horizontal="center" vertical="center"/>
    </xf>
    <xf numFmtId="0" fontId="14" fillId="4" borderId="0" xfId="0" applyFont="1" applyFill="1" applyBorder="1" applyAlignment="1">
      <alignment horizontal="center" vertical="center"/>
    </xf>
    <xf numFmtId="0" fontId="14" fillId="4" borderId="5" xfId="0" applyFont="1" applyFill="1" applyBorder="1" applyAlignment="1">
      <alignment horizontal="center" vertical="center"/>
    </xf>
    <xf numFmtId="0" fontId="14" fillId="4" borderId="6" xfId="0" applyFont="1" applyFill="1" applyBorder="1" applyAlignment="1">
      <alignment horizontal="center" vertical="center"/>
    </xf>
    <xf numFmtId="0" fontId="14" fillId="4" borderId="7" xfId="0" applyFont="1" applyFill="1" applyBorder="1" applyAlignment="1">
      <alignment horizontal="center" vertical="center"/>
    </xf>
    <xf numFmtId="0" fontId="14" fillId="4" borderId="8" xfId="0" applyFont="1" applyFill="1" applyBorder="1" applyAlignment="1">
      <alignment horizontal="center" vertical="center"/>
    </xf>
    <xf numFmtId="9" fontId="11" fillId="4" borderId="0" xfId="1" applyFont="1" applyFill="1" applyAlignment="1">
      <alignment horizontal="center" vertical="center"/>
    </xf>
    <xf numFmtId="0" fontId="16" fillId="4" borderId="1" xfId="0" applyFont="1" applyFill="1" applyBorder="1" applyAlignment="1">
      <alignment horizontal="right" vertical="center"/>
    </xf>
    <xf numFmtId="0" fontId="16" fillId="4" borderId="2" xfId="0" applyFont="1" applyFill="1" applyBorder="1" applyAlignment="1">
      <alignment horizontal="right" vertical="center"/>
    </xf>
    <xf numFmtId="0" fontId="16" fillId="4" borderId="4" xfId="0" applyFont="1" applyFill="1" applyBorder="1" applyAlignment="1">
      <alignment horizontal="right" vertical="center"/>
    </xf>
    <xf numFmtId="0" fontId="16" fillId="4" borderId="0" xfId="0" applyFont="1" applyFill="1" applyBorder="1" applyAlignment="1">
      <alignment horizontal="right" vertical="center"/>
    </xf>
    <xf numFmtId="0" fontId="16" fillId="4" borderId="6" xfId="0" applyFont="1" applyFill="1" applyBorder="1" applyAlignment="1">
      <alignment horizontal="right" vertical="center"/>
    </xf>
    <xf numFmtId="0" fontId="16" fillId="4" borderId="7" xfId="0" applyFont="1" applyFill="1" applyBorder="1" applyAlignment="1">
      <alignment horizontal="right" vertical="center"/>
    </xf>
    <xf numFmtId="0" fontId="16" fillId="4" borderId="2" xfId="0" applyFont="1" applyFill="1" applyBorder="1" applyAlignment="1">
      <alignment horizontal="left" vertical="center"/>
    </xf>
    <xf numFmtId="0" fontId="16" fillId="4" borderId="3" xfId="0" applyFont="1" applyFill="1" applyBorder="1" applyAlignment="1">
      <alignment horizontal="left" vertical="center"/>
    </xf>
    <xf numFmtId="0" fontId="16" fillId="4" borderId="0" xfId="0" applyFont="1" applyFill="1" applyBorder="1" applyAlignment="1">
      <alignment horizontal="left" vertical="center"/>
    </xf>
    <xf numFmtId="0" fontId="16" fillId="4" borderId="5" xfId="0" applyFont="1" applyFill="1" applyBorder="1" applyAlignment="1">
      <alignment horizontal="left" vertical="center"/>
    </xf>
    <xf numFmtId="0" fontId="16" fillId="4" borderId="7" xfId="0" applyFont="1" applyFill="1" applyBorder="1" applyAlignment="1">
      <alignment horizontal="left" vertical="center"/>
    </xf>
    <xf numFmtId="0" fontId="16" fillId="4" borderId="8" xfId="0" applyFont="1" applyFill="1" applyBorder="1" applyAlignment="1">
      <alignment horizontal="left" vertical="center"/>
    </xf>
    <xf numFmtId="0" fontId="11" fillId="4" borderId="0" xfId="0" applyFont="1" applyFill="1" applyAlignment="1">
      <alignment horizontal="center" vertical="center"/>
    </xf>
    <xf numFmtId="0" fontId="3" fillId="2" borderId="4"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14" fillId="4" borderId="1" xfId="0" applyFont="1" applyFill="1" applyBorder="1" applyAlignment="1">
      <alignment horizontal="center" vertical="center"/>
    </xf>
    <xf numFmtId="0" fontId="14" fillId="4" borderId="2" xfId="0" applyFont="1" applyFill="1" applyBorder="1" applyAlignment="1">
      <alignment horizontal="center" vertical="center"/>
    </xf>
    <xf numFmtId="0" fontId="14" fillId="4" borderId="3"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10" fillId="2" borderId="4" xfId="0" applyFont="1" applyFill="1" applyBorder="1" applyAlignment="1">
      <alignment horizontal="center" vertical="center"/>
    </xf>
    <xf numFmtId="0" fontId="10" fillId="2" borderId="0"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6"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8" xfId="0" applyFont="1" applyFill="1" applyBorder="1" applyAlignment="1">
      <alignment horizontal="center" vertical="center"/>
    </xf>
    <xf numFmtId="0" fontId="24" fillId="7" borderId="11" xfId="2" applyFont="1" applyFill="1" applyBorder="1" applyAlignment="1">
      <alignment horizontal="center"/>
    </xf>
    <xf numFmtId="0" fontId="24" fillId="7" borderId="12" xfId="2" applyFont="1" applyFill="1" applyBorder="1" applyAlignment="1">
      <alignment horizontal="center"/>
    </xf>
    <xf numFmtId="0" fontId="24" fillId="7" borderId="13" xfId="2" applyFont="1" applyFill="1" applyBorder="1" applyAlignment="1">
      <alignment horizontal="center"/>
    </xf>
    <xf numFmtId="0" fontId="24" fillId="7" borderId="16" xfId="2" applyFont="1" applyFill="1" applyBorder="1" applyAlignment="1">
      <alignment horizontal="center"/>
    </xf>
    <xf numFmtId="0" fontId="39" fillId="12" borderId="35" xfId="2" applyFont="1" applyFill="1" applyBorder="1" applyAlignment="1">
      <alignment horizontal="center" vertical="center" wrapText="1"/>
    </xf>
    <xf numFmtId="0" fontId="39" fillId="12" borderId="36" xfId="2" applyFont="1" applyFill="1" applyBorder="1" applyAlignment="1">
      <alignment horizontal="center" vertical="center" wrapText="1"/>
    </xf>
    <xf numFmtId="0" fontId="39" fillId="12" borderId="37" xfId="2" applyFont="1" applyFill="1" applyBorder="1" applyAlignment="1">
      <alignment horizontal="center" vertical="center" wrapText="1"/>
    </xf>
    <xf numFmtId="0" fontId="39" fillId="14" borderId="35" xfId="2" applyFont="1" applyFill="1" applyBorder="1" applyAlignment="1">
      <alignment horizontal="center" vertical="center" wrapText="1"/>
    </xf>
    <xf numFmtId="0" fontId="39" fillId="14" borderId="36" xfId="2" applyFont="1" applyFill="1" applyBorder="1" applyAlignment="1">
      <alignment horizontal="center" vertical="center" wrapText="1"/>
    </xf>
    <xf numFmtId="0" fontId="39" fillId="14" borderId="37" xfId="2" applyFont="1" applyFill="1" applyBorder="1" applyAlignment="1">
      <alignment horizontal="center" vertical="center" wrapText="1"/>
    </xf>
    <xf numFmtId="0" fontId="39" fillId="13" borderId="39" xfId="2" applyFont="1" applyFill="1" applyBorder="1" applyAlignment="1">
      <alignment horizontal="center" vertical="center"/>
    </xf>
    <xf numFmtId="0" fontId="39" fillId="13" borderId="40" xfId="2" applyFont="1" applyFill="1" applyBorder="1" applyAlignment="1">
      <alignment horizontal="center" vertical="center"/>
    </xf>
    <xf numFmtId="0" fontId="39" fillId="13" borderId="41" xfId="2" applyFont="1" applyFill="1" applyBorder="1" applyAlignment="1">
      <alignment horizontal="center" vertical="center"/>
    </xf>
    <xf numFmtId="0" fontId="39" fillId="15" borderId="39" xfId="2" applyFont="1" applyFill="1" applyBorder="1" applyAlignment="1">
      <alignment horizontal="center" vertical="center"/>
    </xf>
    <xf numFmtId="0" fontId="39" fillId="15" borderId="41" xfId="2" applyFont="1" applyFill="1" applyBorder="1" applyAlignment="1">
      <alignment horizontal="center" vertical="center"/>
    </xf>
    <xf numFmtId="0" fontId="39" fillId="15" borderId="40" xfId="2" applyFont="1" applyFill="1" applyBorder="1" applyAlignment="1">
      <alignment horizontal="center" vertical="center"/>
    </xf>
  </cellXfs>
  <cellStyles count="4">
    <cellStyle name="Normal" xfId="0" builtinId="0"/>
    <cellStyle name="Normal 2" xfId="2"/>
    <cellStyle name="Normal 3" xfId="3"/>
    <cellStyle name="Pourcentage" xfId="1" builtinId="5"/>
  </cellStyles>
  <dxfs count="0"/>
  <tableStyles count="0" defaultTableStyle="TableStyleMedium2" defaultPivotStyle="PivotStyleLight16"/>
  <colors>
    <mruColors>
      <color rgb="FF0C1C49"/>
      <color rgb="FF00B6ED"/>
      <color rgb="FF004F9F"/>
      <color rgb="FFC19135"/>
      <color rgb="FFE6325E"/>
      <color rgb="FFF07D00"/>
      <color rgb="FF39B2B6"/>
      <color rgb="FFFD3197"/>
      <color rgb="FFE90376"/>
      <color rgb="FF0088B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fmlaLink="$X$8" horiz="1" max="12" min="1" page="12" val="6"/>
</file>

<file path=xl/ctrlProps/ctrlProp4.xml><?xml version="1.0" encoding="utf-8"?>
<formControlPr xmlns="http://schemas.microsoft.com/office/spreadsheetml/2009/9/main" objectType="Scroll" dx="16" fmlaLink="$AW$8" horiz="1" max="5" min="1" page="10" val="5"/>
</file>

<file path=xl/ctrlProps/ctrlProp5.xml><?xml version="1.0" encoding="utf-8"?>
<formControlPr xmlns="http://schemas.microsoft.com/office/spreadsheetml/2009/9/main" objectType="Scroll" dx="16" fmlaLink="$AA$12" horiz="1" max="100" page="10" val="0"/>
</file>

<file path=xl/ctrlProps/ctrlProp6.xml><?xml version="1.0" encoding="utf-8"?>
<formControlPr xmlns="http://schemas.microsoft.com/office/spreadsheetml/2009/9/main" objectType="Scroll" dx="16" fmlaLink="$AZ$12" horiz="1" max="100" page="10" val="50"/>
</file>

<file path=xl/ctrlProps/ctrlProp7.xml><?xml version="1.0" encoding="utf-8"?>
<formControlPr xmlns="http://schemas.microsoft.com/office/spreadsheetml/2009/9/main" objectType="Scroll" dx="16" fmlaLink="$BY$12" horiz="1" max="100" page="10" val="13"/>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17</xdr:row>
          <xdr:rowOff>57150</xdr:rowOff>
        </xdr:from>
        <xdr:to>
          <xdr:col>24</xdr:col>
          <xdr:colOff>47625</xdr:colOff>
          <xdr:row>20</xdr:row>
          <xdr:rowOff>266700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ourier New"/>
                  <a:cs typeface="Courier New"/>
                </a:rPr>
                <a:t>UPDATE RANKINGS MORNINGSTAR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24</xdr:row>
          <xdr:rowOff>9525</xdr:rowOff>
        </xdr:from>
        <xdr:to>
          <xdr:col>24</xdr:col>
          <xdr:colOff>47625</xdr:colOff>
          <xdr:row>27</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100" b="0" i="0" u="none" strike="noStrike" baseline="0">
                  <a:solidFill>
                    <a:srgbClr val="000000"/>
                  </a:solidFill>
                  <a:latin typeface="Courier New"/>
                  <a:cs typeface="Courier New"/>
                </a:rPr>
                <a:t>UPDATE RANKINGS LIPPER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28575</xdr:rowOff>
        </xdr:from>
        <xdr:to>
          <xdr:col>22</xdr:col>
          <xdr:colOff>63103</xdr:colOff>
          <xdr:row>7</xdr:row>
          <xdr:rowOff>38100</xdr:rowOff>
        </xdr:to>
        <xdr:sp macro="" textlink="">
          <xdr:nvSpPr>
            <xdr:cNvPr id="2051" name="Scroll Bar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5</xdr:row>
          <xdr:rowOff>28575</xdr:rowOff>
        </xdr:from>
        <xdr:to>
          <xdr:col>48</xdr:col>
          <xdr:colOff>48815</xdr:colOff>
          <xdr:row>7</xdr:row>
          <xdr:rowOff>38100</xdr:rowOff>
        </xdr:to>
        <xdr:sp macro="" textlink="">
          <xdr:nvSpPr>
            <xdr:cNvPr id="2054" name="Scroll Bar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0</xdr:colOff>
          <xdr:row>6</xdr:row>
          <xdr:rowOff>19050</xdr:rowOff>
        </xdr:from>
        <xdr:to>
          <xdr:col>48</xdr:col>
          <xdr:colOff>9525</xdr:colOff>
          <xdr:row>10</xdr:row>
          <xdr:rowOff>47625</xdr:rowOff>
        </xdr:to>
        <xdr:sp macro="" textlink="">
          <xdr:nvSpPr>
            <xdr:cNvPr id="1026" name="Scroll Bar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28575</xdr:colOff>
          <xdr:row>6</xdr:row>
          <xdr:rowOff>19050</xdr:rowOff>
        </xdr:from>
        <xdr:to>
          <xdr:col>72</xdr:col>
          <xdr:colOff>47625</xdr:colOff>
          <xdr:row>10</xdr:row>
          <xdr:rowOff>47625</xdr:rowOff>
        </xdr:to>
        <xdr:sp macro="" textlink="">
          <xdr:nvSpPr>
            <xdr:cNvPr id="1027" name="Scroll Bar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28575</xdr:colOff>
          <xdr:row>6</xdr:row>
          <xdr:rowOff>19050</xdr:rowOff>
        </xdr:from>
        <xdr:to>
          <xdr:col>97</xdr:col>
          <xdr:colOff>47625</xdr:colOff>
          <xdr:row>10</xdr:row>
          <xdr:rowOff>47625</xdr:rowOff>
        </xdr:to>
        <xdr:sp macro="" textlink="">
          <xdr:nvSpPr>
            <xdr:cNvPr id="1029" name="Scroll Bar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twoCellAnchor>
    <xdr:from>
      <xdr:col>26</xdr:col>
      <xdr:colOff>9524</xdr:colOff>
      <xdr:row>33</xdr:row>
      <xdr:rowOff>7433</xdr:rowOff>
    </xdr:from>
    <xdr:to>
      <xdr:col>126</xdr:col>
      <xdr:colOff>65171</xdr:colOff>
      <xdr:row>34</xdr:row>
      <xdr:rowOff>10026</xdr:rowOff>
    </xdr:to>
    <xdr:sp macro="" textlink="">
      <xdr:nvSpPr>
        <xdr:cNvPr id="7" name="ruler"/>
        <xdr:cNvSpPr/>
      </xdr:nvSpPr>
      <xdr:spPr>
        <a:xfrm>
          <a:off x="74695" y="2188157"/>
          <a:ext cx="6572752" cy="67764"/>
        </a:xfrm>
        <a:prstGeom prst="rect">
          <a:avLst/>
        </a:prstGeom>
        <a:gradFill flip="none" rotWithShape="1">
          <a:gsLst>
            <a:gs pos="0">
              <a:srgbClr val="002060"/>
            </a:gs>
            <a:gs pos="100000">
              <a:srgbClr val="00B0F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26</xdr:col>
          <xdr:colOff>0</xdr:colOff>
          <xdr:row>17</xdr:row>
          <xdr:rowOff>9525</xdr:rowOff>
        </xdr:from>
        <xdr:to>
          <xdr:col>62</xdr:col>
          <xdr:colOff>0</xdr:colOff>
          <xdr:row>19</xdr:row>
          <xdr:rowOff>9525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ourier New"/>
                  <a:cs typeface="Courier New"/>
                </a:rPr>
                <a:t>UPDATE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0</xdr:colOff>
          <xdr:row>17</xdr:row>
          <xdr:rowOff>9525</xdr:rowOff>
        </xdr:from>
        <xdr:to>
          <xdr:col>99</xdr:col>
          <xdr:colOff>0</xdr:colOff>
          <xdr:row>19</xdr:row>
          <xdr:rowOff>9525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ourier New"/>
                  <a:cs typeface="Courier New"/>
                </a:rPr>
                <a:t>CONVERT TO IMAGE</a:t>
              </a:r>
            </a:p>
          </xdr:txBody>
        </xdr:sp>
        <xdr:clientData fPrintsWithSheet="0"/>
      </xdr:twoCellAnchor>
    </mc:Choice>
    <mc:Fallback/>
  </mc:AlternateContent>
  <xdr:twoCellAnchor>
    <xdr:from>
      <xdr:col>101</xdr:col>
      <xdr:colOff>19704</xdr:colOff>
      <xdr:row>7</xdr:row>
      <xdr:rowOff>39414</xdr:rowOff>
    </xdr:from>
    <xdr:to>
      <xdr:col>102</xdr:col>
      <xdr:colOff>19705</xdr:colOff>
      <xdr:row>9</xdr:row>
      <xdr:rowOff>39414</xdr:rowOff>
    </xdr:to>
    <xdr:sp macro="" textlink="">
      <xdr:nvSpPr>
        <xdr:cNvPr id="2" name="delimiter_0"/>
        <xdr:cNvSpPr/>
      </xdr:nvSpPr>
      <xdr:spPr>
        <a:xfrm>
          <a:off x="6821675" y="510061"/>
          <a:ext cx="67236" cy="13447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33</xdr:row>
      <xdr:rowOff>0</xdr:rowOff>
    </xdr:from>
    <xdr:to>
      <xdr:col>47</xdr:col>
      <xdr:colOff>1</xdr:colOff>
      <xdr:row>35</xdr:row>
      <xdr:rowOff>0</xdr:rowOff>
    </xdr:to>
    <xdr:sp macro="" textlink="">
      <xdr:nvSpPr>
        <xdr:cNvPr id="18" name="delimiter_1"/>
        <xdr:cNvSpPr/>
      </xdr:nvSpPr>
      <xdr:spPr>
        <a:xfrm>
          <a:off x="1333500" y="2228850"/>
          <a:ext cx="66676" cy="1333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66</xdr:col>
      <xdr:colOff>0</xdr:colOff>
      <xdr:row>33</xdr:row>
      <xdr:rowOff>0</xdr:rowOff>
    </xdr:from>
    <xdr:to>
      <xdr:col>67</xdr:col>
      <xdr:colOff>1</xdr:colOff>
      <xdr:row>35</xdr:row>
      <xdr:rowOff>0</xdr:rowOff>
    </xdr:to>
    <xdr:sp macro="" textlink="">
      <xdr:nvSpPr>
        <xdr:cNvPr id="19" name="delimiter_2"/>
        <xdr:cNvSpPr/>
      </xdr:nvSpPr>
      <xdr:spPr>
        <a:xfrm>
          <a:off x="2667000" y="2228850"/>
          <a:ext cx="66676" cy="1333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86</xdr:col>
      <xdr:colOff>0</xdr:colOff>
      <xdr:row>33</xdr:row>
      <xdr:rowOff>0</xdr:rowOff>
    </xdr:from>
    <xdr:to>
      <xdr:col>87</xdr:col>
      <xdr:colOff>1</xdr:colOff>
      <xdr:row>35</xdr:row>
      <xdr:rowOff>0</xdr:rowOff>
    </xdr:to>
    <xdr:sp macro="" textlink="">
      <xdr:nvSpPr>
        <xdr:cNvPr id="20" name="delimiter_3"/>
        <xdr:cNvSpPr/>
      </xdr:nvSpPr>
      <xdr:spPr>
        <a:xfrm>
          <a:off x="4000500" y="2228850"/>
          <a:ext cx="66676" cy="1333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106</xdr:col>
      <xdr:colOff>0</xdr:colOff>
      <xdr:row>33</xdr:row>
      <xdr:rowOff>0</xdr:rowOff>
    </xdr:from>
    <xdr:to>
      <xdr:col>107</xdr:col>
      <xdr:colOff>1</xdr:colOff>
      <xdr:row>35</xdr:row>
      <xdr:rowOff>0</xdr:rowOff>
    </xdr:to>
    <xdr:sp macro="" textlink="">
      <xdr:nvSpPr>
        <xdr:cNvPr id="21" name="delimiter_4"/>
        <xdr:cNvSpPr/>
      </xdr:nvSpPr>
      <xdr:spPr>
        <a:xfrm>
          <a:off x="5334000" y="2228850"/>
          <a:ext cx="66676" cy="1333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xdr:col>
      <xdr:colOff>28574</xdr:colOff>
      <xdr:row>34</xdr:row>
      <xdr:rowOff>3313</xdr:rowOff>
    </xdr:from>
    <xdr:to>
      <xdr:col>33</xdr:col>
      <xdr:colOff>-1</xdr:colOff>
      <xdr:row>38</xdr:row>
      <xdr:rowOff>61705</xdr:rowOff>
    </xdr:to>
    <xdr:sp macro="" textlink="lvl_max">
      <xdr:nvSpPr>
        <xdr:cNvPr id="3" name="txt_0"/>
        <xdr:cNvSpPr txBox="1"/>
      </xdr:nvSpPr>
      <xdr:spPr>
        <a:xfrm>
          <a:off x="1440515" y="2289313"/>
          <a:ext cx="789455" cy="32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95CDB9-A695-428D-982D-814E92D6AE45}" type="TxLink">
            <a:rPr lang="en-US" sz="2100" b="1" i="0" u="none" strike="noStrike">
              <a:solidFill>
                <a:srgbClr val="0088B8"/>
              </a:solidFill>
              <a:latin typeface="Courier New"/>
              <a:cs typeface="Courier New"/>
            </a:rPr>
            <a:pPr algn="ctr"/>
            <a:t>50%</a:t>
          </a:fld>
          <a:endParaRPr lang="fr-FR" sz="2100" b="1">
            <a:solidFill>
              <a:srgbClr val="0088B8"/>
            </a:solidFill>
          </a:endParaRPr>
        </a:p>
      </xdr:txBody>
    </xdr:sp>
    <xdr:clientData/>
  </xdr:twoCellAnchor>
  <xdr:twoCellAnchor>
    <xdr:from>
      <xdr:col>101</xdr:col>
      <xdr:colOff>67234</xdr:colOff>
      <xdr:row>34</xdr:row>
      <xdr:rowOff>3313</xdr:rowOff>
    </xdr:from>
    <xdr:to>
      <xdr:col>113</xdr:col>
      <xdr:colOff>46804</xdr:colOff>
      <xdr:row>38</xdr:row>
      <xdr:rowOff>61705</xdr:rowOff>
    </xdr:to>
    <xdr:sp macro="" textlink="lvl_4">
      <xdr:nvSpPr>
        <xdr:cNvPr id="23" name="txt_4"/>
        <xdr:cNvSpPr txBox="1"/>
      </xdr:nvSpPr>
      <xdr:spPr>
        <a:xfrm>
          <a:off x="6869205" y="2289313"/>
          <a:ext cx="786393" cy="32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ECE63E-901B-4D29-93AB-865FFE1015B8}" type="TxLink">
            <a:rPr lang="en-US" sz="2100" b="1" i="0" u="none" strike="noStrike">
              <a:solidFill>
                <a:srgbClr val="0088B8"/>
              </a:solidFill>
              <a:latin typeface="Courier New"/>
              <a:cs typeface="Courier New"/>
            </a:rPr>
            <a:pPr algn="ctr"/>
            <a:t>10%</a:t>
          </a:fld>
          <a:endParaRPr lang="fr-FR" sz="2100" b="1">
            <a:solidFill>
              <a:srgbClr val="0088B8"/>
            </a:solidFill>
          </a:endParaRPr>
        </a:p>
      </xdr:txBody>
    </xdr:sp>
    <xdr:clientData/>
  </xdr:twoCellAnchor>
  <xdr:twoCellAnchor>
    <xdr:from>
      <xdr:col>82</xdr:col>
      <xdr:colOff>4763</xdr:colOff>
      <xdr:row>34</xdr:row>
      <xdr:rowOff>3313</xdr:rowOff>
    </xdr:from>
    <xdr:to>
      <xdr:col>93</xdr:col>
      <xdr:colOff>51568</xdr:colOff>
      <xdr:row>38</xdr:row>
      <xdr:rowOff>61705</xdr:rowOff>
    </xdr:to>
    <xdr:sp macro="" textlink="lvl_3">
      <xdr:nvSpPr>
        <xdr:cNvPr id="24" name="txt_3"/>
        <xdr:cNvSpPr txBox="1"/>
      </xdr:nvSpPr>
      <xdr:spPr>
        <a:xfrm>
          <a:off x="5529263" y="2289313"/>
          <a:ext cx="786393" cy="32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A12D4E-8C45-496E-9BA8-347A6F87916B}" type="TxLink">
            <a:rPr lang="en-US" sz="2100" b="1" i="0" u="none" strike="noStrike">
              <a:solidFill>
                <a:srgbClr val="0088B8"/>
              </a:solidFill>
              <a:latin typeface="Courier New"/>
              <a:cs typeface="Courier New"/>
            </a:rPr>
            <a:pPr algn="ctr"/>
            <a:t>20%</a:t>
          </a:fld>
          <a:endParaRPr lang="fr-FR" sz="2100" b="1">
            <a:solidFill>
              <a:srgbClr val="0088B8"/>
            </a:solidFill>
          </a:endParaRPr>
        </a:p>
      </xdr:txBody>
    </xdr:sp>
    <xdr:clientData/>
  </xdr:twoCellAnchor>
  <xdr:twoCellAnchor>
    <xdr:from>
      <xdr:col>62</xdr:col>
      <xdr:colOff>9525</xdr:colOff>
      <xdr:row>34</xdr:row>
      <xdr:rowOff>3313</xdr:rowOff>
    </xdr:from>
    <xdr:to>
      <xdr:col>73</xdr:col>
      <xdr:colOff>56330</xdr:colOff>
      <xdr:row>38</xdr:row>
      <xdr:rowOff>61705</xdr:rowOff>
    </xdr:to>
    <xdr:sp macro="" textlink="lvl_2">
      <xdr:nvSpPr>
        <xdr:cNvPr id="25" name="txt_2"/>
        <xdr:cNvSpPr txBox="1"/>
      </xdr:nvSpPr>
      <xdr:spPr>
        <a:xfrm>
          <a:off x="4189319" y="2289313"/>
          <a:ext cx="786393" cy="32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F7BE50-5F14-4C84-9FDB-36F21E0EE3B6}" type="TxLink">
            <a:rPr lang="en-US" sz="2100" b="1" i="0" u="none" strike="noStrike">
              <a:solidFill>
                <a:srgbClr val="0088B8"/>
              </a:solidFill>
              <a:latin typeface="Courier New"/>
              <a:cs typeface="Courier New"/>
            </a:rPr>
            <a:pPr algn="ctr"/>
            <a:t>30%</a:t>
          </a:fld>
          <a:endParaRPr lang="fr-FR" sz="2100" b="1">
            <a:solidFill>
              <a:srgbClr val="0088B8"/>
            </a:solidFill>
          </a:endParaRPr>
        </a:p>
      </xdr:txBody>
    </xdr:sp>
    <xdr:clientData/>
  </xdr:twoCellAnchor>
  <xdr:twoCellAnchor>
    <xdr:from>
      <xdr:col>42</xdr:col>
      <xdr:colOff>14287</xdr:colOff>
      <xdr:row>34</xdr:row>
      <xdr:rowOff>3313</xdr:rowOff>
    </xdr:from>
    <xdr:to>
      <xdr:col>53</xdr:col>
      <xdr:colOff>61092</xdr:colOff>
      <xdr:row>38</xdr:row>
      <xdr:rowOff>61705</xdr:rowOff>
    </xdr:to>
    <xdr:sp macro="" textlink="lvl_1">
      <xdr:nvSpPr>
        <xdr:cNvPr id="26" name="txt_1"/>
        <xdr:cNvSpPr txBox="1"/>
      </xdr:nvSpPr>
      <xdr:spPr>
        <a:xfrm>
          <a:off x="2849375" y="2289313"/>
          <a:ext cx="786393" cy="327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FC622-F7CA-4FB4-BEAF-DF3DD7100C11}" type="TxLink">
            <a:rPr lang="en-US" sz="2100" b="1" i="0" u="none" strike="noStrike">
              <a:solidFill>
                <a:srgbClr val="0088B8"/>
              </a:solidFill>
              <a:latin typeface="Courier New"/>
              <a:cs typeface="Courier New"/>
            </a:rPr>
            <a:pPr algn="ctr"/>
            <a:t>40%</a:t>
          </a:fld>
          <a:endParaRPr lang="fr-FR" sz="2100" b="1">
            <a:solidFill>
              <a:srgbClr val="0088B8"/>
            </a:solidFill>
          </a:endParaRPr>
        </a:p>
      </xdr:txBody>
    </xdr:sp>
    <xdr:clientData/>
  </xdr:twoCellAnchor>
  <xdr:twoCellAnchor>
    <xdr:from>
      <xdr:col>0</xdr:col>
      <xdr:colOff>19050</xdr:colOff>
      <xdr:row>30</xdr:row>
      <xdr:rowOff>19050</xdr:rowOff>
    </xdr:from>
    <xdr:to>
      <xdr:col>24</xdr:col>
      <xdr:colOff>19350</xdr:colOff>
      <xdr:row>36</xdr:row>
      <xdr:rowOff>48867</xdr:rowOff>
    </xdr:to>
    <xdr:sp macro="" textlink="caption">
      <xdr:nvSpPr>
        <xdr:cNvPr id="33" name="txt_0"/>
        <xdr:cNvSpPr txBox="1"/>
      </xdr:nvSpPr>
      <xdr:spPr>
        <a:xfrm>
          <a:off x="19050" y="2060121"/>
          <a:ext cx="1633157" cy="438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91CFDC-0619-4D61-90CE-65A87F1F1885}" type="TxLink">
            <a:rPr lang="en-US" sz="2400" b="1" i="1" u="none" strike="noStrike">
              <a:solidFill>
                <a:srgbClr val="002060"/>
              </a:solidFill>
              <a:latin typeface="Calibri"/>
              <a:cs typeface="Courier New"/>
            </a:rPr>
            <a:pPr algn="r"/>
            <a:t>YTD</a:t>
          </a:fld>
          <a:endParaRPr lang="fr-FR" sz="2400" b="1">
            <a:solidFill>
              <a:srgbClr val="0088B8"/>
            </a:solidFill>
          </a:endParaRPr>
        </a:p>
      </xdr:txBody>
    </xdr:sp>
    <xdr:clientData/>
  </xdr:twoCellAnchor>
  <xdr:twoCellAnchor>
    <xdr:from>
      <xdr:col>103</xdr:col>
      <xdr:colOff>1757</xdr:colOff>
      <xdr:row>5</xdr:row>
      <xdr:rowOff>64191</xdr:rowOff>
    </xdr:from>
    <xdr:to>
      <xdr:col>105</xdr:col>
      <xdr:colOff>63973</xdr:colOff>
      <xdr:row>11</xdr:row>
      <xdr:rowOff>8283</xdr:rowOff>
    </xdr:to>
    <xdr:sp macro="" textlink="">
      <xdr:nvSpPr>
        <xdr:cNvPr id="41" name="mark_Pink"/>
        <xdr:cNvSpPr/>
      </xdr:nvSpPr>
      <xdr:spPr>
        <a:xfrm rot="10800000">
          <a:off x="6801142" y="393903"/>
          <a:ext cx="194100" cy="339745"/>
        </a:xfrm>
        <a:prstGeom prst="triangle">
          <a:avLst/>
        </a:prstGeom>
        <a:solidFill>
          <a:srgbClr val="FD31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131</xdr:col>
      <xdr:colOff>46504</xdr:colOff>
      <xdr:row>24</xdr:row>
      <xdr:rowOff>559</xdr:rowOff>
    </xdr:from>
    <xdr:to>
      <xdr:col>139</xdr:col>
      <xdr:colOff>5042</xdr:colOff>
      <xdr:row>42</xdr:row>
      <xdr:rowOff>44819</xdr:rowOff>
    </xdr:to>
    <xdr:sp macro="" textlink="">
      <xdr:nvSpPr>
        <xdr:cNvPr id="8" name="Flèche droite 7"/>
        <xdr:cNvSpPr/>
      </xdr:nvSpPr>
      <xdr:spPr>
        <a:xfrm rot="10800000">
          <a:off x="9533404" y="1600759"/>
          <a:ext cx="749113" cy="1244410"/>
        </a:xfrm>
        <a:prstGeom prst="rightArrow">
          <a:avLst>
            <a:gd name="adj1" fmla="val 53810"/>
            <a:gd name="adj2" fmla="val 65238"/>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fr-FR" sz="1200" b="1"/>
            <a:t>Dynamic</a:t>
          </a:r>
        </a:p>
      </xdr:txBody>
    </xdr:sp>
    <xdr:clientData/>
  </xdr:twoCellAnchor>
  <xdr:twoCellAnchor>
    <xdr:from>
      <xdr:col>131</xdr:col>
      <xdr:colOff>56029</xdr:colOff>
      <xdr:row>42</xdr:row>
      <xdr:rowOff>44825</xdr:rowOff>
    </xdr:from>
    <xdr:to>
      <xdr:col>139</xdr:col>
      <xdr:colOff>11205</xdr:colOff>
      <xdr:row>61</xdr:row>
      <xdr:rowOff>22409</xdr:rowOff>
    </xdr:to>
    <xdr:sp macro="" textlink="">
      <xdr:nvSpPr>
        <xdr:cNvPr id="88" name="Flèche droite 87"/>
        <xdr:cNvSpPr/>
      </xdr:nvSpPr>
      <xdr:spPr>
        <a:xfrm rot="10800000">
          <a:off x="9542929" y="2845175"/>
          <a:ext cx="745751" cy="1244409"/>
        </a:xfrm>
        <a:prstGeom prst="rightArrow">
          <a:avLst>
            <a:gd name="adj1" fmla="val 53810"/>
            <a:gd name="adj2" fmla="val 65238"/>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fr-FR" sz="1200" b="1"/>
            <a:t>Image</a:t>
          </a:r>
        </a:p>
      </xdr:txBody>
    </xdr:sp>
    <xdr:clientData/>
  </xdr:twoCellAnchor>
  <xdr:twoCellAnchor>
    <xdr:from>
      <xdr:col>107</xdr:col>
      <xdr:colOff>0</xdr:colOff>
      <xdr:row>6</xdr:row>
      <xdr:rowOff>0</xdr:rowOff>
    </xdr:from>
    <xdr:to>
      <xdr:col>109</xdr:col>
      <xdr:colOff>62216</xdr:colOff>
      <xdr:row>11</xdr:row>
      <xdr:rowOff>10034</xdr:rowOff>
    </xdr:to>
    <xdr:sp macro="" textlink="">
      <xdr:nvSpPr>
        <xdr:cNvPr id="22" name="mark_Grey"/>
        <xdr:cNvSpPr/>
      </xdr:nvSpPr>
      <xdr:spPr>
        <a:xfrm rot="10800000">
          <a:off x="7063154" y="395654"/>
          <a:ext cx="194100" cy="339745"/>
        </a:xfrm>
        <a:prstGeom prst="triangl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111</xdr:col>
      <xdr:colOff>0</xdr:colOff>
      <xdr:row>6</xdr:row>
      <xdr:rowOff>0</xdr:rowOff>
    </xdr:from>
    <xdr:to>
      <xdr:col>113</xdr:col>
      <xdr:colOff>62215</xdr:colOff>
      <xdr:row>11</xdr:row>
      <xdr:rowOff>10034</xdr:rowOff>
    </xdr:to>
    <xdr:sp macro="" textlink="">
      <xdr:nvSpPr>
        <xdr:cNvPr id="27" name="mark_Aqua"/>
        <xdr:cNvSpPr/>
      </xdr:nvSpPr>
      <xdr:spPr>
        <a:xfrm rot="10800000">
          <a:off x="7326923" y="395654"/>
          <a:ext cx="194100" cy="339745"/>
        </a:xfrm>
        <a:prstGeom prst="triangle">
          <a:avLst/>
        </a:prstGeom>
        <a:solidFill>
          <a:srgbClr val="39B2B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115</xdr:col>
      <xdr:colOff>0</xdr:colOff>
      <xdr:row>6</xdr:row>
      <xdr:rowOff>0</xdr:rowOff>
    </xdr:from>
    <xdr:to>
      <xdr:col>117</xdr:col>
      <xdr:colOff>62215</xdr:colOff>
      <xdr:row>11</xdr:row>
      <xdr:rowOff>10034</xdr:rowOff>
    </xdr:to>
    <xdr:sp macro="" textlink="">
      <xdr:nvSpPr>
        <xdr:cNvPr id="28" name="mark_Orange"/>
        <xdr:cNvSpPr/>
      </xdr:nvSpPr>
      <xdr:spPr>
        <a:xfrm rot="10800000">
          <a:off x="7590692" y="395654"/>
          <a:ext cx="194100" cy="339745"/>
        </a:xfrm>
        <a:prstGeom prst="triangle">
          <a:avLst/>
        </a:prstGeom>
        <a:solidFill>
          <a:srgbClr val="F07D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119</xdr:col>
      <xdr:colOff>0</xdr:colOff>
      <xdr:row>6</xdr:row>
      <xdr:rowOff>0</xdr:rowOff>
    </xdr:from>
    <xdr:to>
      <xdr:col>121</xdr:col>
      <xdr:colOff>62216</xdr:colOff>
      <xdr:row>11</xdr:row>
      <xdr:rowOff>10034</xdr:rowOff>
    </xdr:to>
    <xdr:sp macro="" textlink="">
      <xdr:nvSpPr>
        <xdr:cNvPr id="29" name="mark_Magenta"/>
        <xdr:cNvSpPr/>
      </xdr:nvSpPr>
      <xdr:spPr>
        <a:xfrm rot="10800000">
          <a:off x="7854462" y="395654"/>
          <a:ext cx="194100" cy="339745"/>
        </a:xfrm>
        <a:prstGeom prst="triangle">
          <a:avLst/>
        </a:prstGeom>
        <a:solidFill>
          <a:srgbClr val="E6325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105</xdr:col>
      <xdr:colOff>0</xdr:colOff>
      <xdr:row>6</xdr:row>
      <xdr:rowOff>0</xdr:rowOff>
    </xdr:from>
    <xdr:to>
      <xdr:col>107</xdr:col>
      <xdr:colOff>62215</xdr:colOff>
      <xdr:row>11</xdr:row>
      <xdr:rowOff>10034</xdr:rowOff>
    </xdr:to>
    <xdr:sp macro="" textlink="">
      <xdr:nvSpPr>
        <xdr:cNvPr id="32" name="mark_Cyan"/>
        <xdr:cNvSpPr/>
      </xdr:nvSpPr>
      <xdr:spPr>
        <a:xfrm rot="10800000">
          <a:off x="7010400" y="400050"/>
          <a:ext cx="195565" cy="343409"/>
        </a:xfrm>
        <a:prstGeom prst="triangle">
          <a:avLst/>
        </a:prstGeom>
        <a:solidFill>
          <a:srgbClr val="00B6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108</xdr:col>
      <xdr:colOff>65942</xdr:colOff>
      <xdr:row>6</xdr:row>
      <xdr:rowOff>0</xdr:rowOff>
    </xdr:from>
    <xdr:to>
      <xdr:col>111</xdr:col>
      <xdr:colOff>62215</xdr:colOff>
      <xdr:row>11</xdr:row>
      <xdr:rowOff>10034</xdr:rowOff>
    </xdr:to>
    <xdr:sp macro="" textlink="">
      <xdr:nvSpPr>
        <xdr:cNvPr id="35" name="mark_Navy"/>
        <xdr:cNvSpPr/>
      </xdr:nvSpPr>
      <xdr:spPr>
        <a:xfrm rot="10800000">
          <a:off x="7195038" y="395654"/>
          <a:ext cx="194100" cy="339745"/>
        </a:xfrm>
        <a:prstGeom prst="triangle">
          <a:avLst/>
        </a:prstGeom>
        <a:solidFill>
          <a:srgbClr val="0C1C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113</xdr:col>
      <xdr:colOff>0</xdr:colOff>
      <xdr:row>6</xdr:row>
      <xdr:rowOff>0</xdr:rowOff>
    </xdr:from>
    <xdr:to>
      <xdr:col>115</xdr:col>
      <xdr:colOff>62216</xdr:colOff>
      <xdr:row>11</xdr:row>
      <xdr:rowOff>10034</xdr:rowOff>
    </xdr:to>
    <xdr:sp macro="" textlink="">
      <xdr:nvSpPr>
        <xdr:cNvPr id="36" name="mark_Brown"/>
        <xdr:cNvSpPr/>
      </xdr:nvSpPr>
      <xdr:spPr>
        <a:xfrm rot="10800000">
          <a:off x="7458808" y="395654"/>
          <a:ext cx="194100" cy="339745"/>
        </a:xfrm>
        <a:prstGeom prst="triangle">
          <a:avLst/>
        </a:prstGeom>
        <a:solidFill>
          <a:srgbClr val="C1913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117</xdr:col>
      <xdr:colOff>0</xdr:colOff>
      <xdr:row>6</xdr:row>
      <xdr:rowOff>0</xdr:rowOff>
    </xdr:from>
    <xdr:to>
      <xdr:col>119</xdr:col>
      <xdr:colOff>62215</xdr:colOff>
      <xdr:row>11</xdr:row>
      <xdr:rowOff>10034</xdr:rowOff>
    </xdr:to>
    <xdr:sp macro="" textlink="">
      <xdr:nvSpPr>
        <xdr:cNvPr id="37" name="mark_Blue"/>
        <xdr:cNvSpPr/>
      </xdr:nvSpPr>
      <xdr:spPr>
        <a:xfrm rot="10800000">
          <a:off x="7722577" y="395654"/>
          <a:ext cx="194100" cy="339745"/>
        </a:xfrm>
        <a:prstGeom prst="triangle">
          <a:avLst/>
        </a:prstGeom>
        <a:solidFill>
          <a:srgbClr val="004F9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57150</xdr:colOff>
      <xdr:row>1</xdr:row>
      <xdr:rowOff>0</xdr:rowOff>
    </xdr:from>
    <xdr:to>
      <xdr:col>123</xdr:col>
      <xdr:colOff>9525</xdr:colOff>
      <xdr:row>15</xdr:row>
      <xdr:rowOff>57150</xdr:rowOff>
    </xdr:to>
    <xdr:sp macro="" textlink="">
      <xdr:nvSpPr>
        <xdr:cNvPr id="4" name="Rectangle 3"/>
        <xdr:cNvSpPr/>
      </xdr:nvSpPr>
      <xdr:spPr>
        <a:xfrm>
          <a:off x="6667500" y="66675"/>
          <a:ext cx="1552575" cy="990600"/>
        </a:xfrm>
        <a:prstGeom prst="rect">
          <a:avLst/>
        </a:prstGeom>
        <a:solidFill>
          <a:schemeClr val="bg1">
            <a:alpha val="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127</xdr:col>
      <xdr:colOff>57151</xdr:colOff>
      <xdr:row>1</xdr:row>
      <xdr:rowOff>0</xdr:rowOff>
    </xdr:from>
    <xdr:to>
      <xdr:col>133</xdr:col>
      <xdr:colOff>9526</xdr:colOff>
      <xdr:row>12</xdr:row>
      <xdr:rowOff>0</xdr:rowOff>
    </xdr:to>
    <xdr:sp macro="" textlink="">
      <xdr:nvSpPr>
        <xdr:cNvPr id="31" name="Rectangle 30"/>
        <xdr:cNvSpPr/>
      </xdr:nvSpPr>
      <xdr:spPr>
        <a:xfrm>
          <a:off x="8534401" y="66675"/>
          <a:ext cx="1466850" cy="733425"/>
        </a:xfrm>
        <a:prstGeom prst="rect">
          <a:avLst/>
        </a:prstGeom>
        <a:solidFill>
          <a:schemeClr val="bg1">
            <a:alpha val="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1838325</xdr:colOff>
      <xdr:row>1</xdr:row>
      <xdr:rowOff>219075</xdr:rowOff>
    </xdr:to>
    <xdr:pic>
      <xdr:nvPicPr>
        <xdr:cNvPr id="2" name="Picture 32" descr="ll_head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383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xdr:colOff>
      <xdr:row>0</xdr:row>
      <xdr:rowOff>9525</xdr:rowOff>
    </xdr:from>
    <xdr:to>
      <xdr:col>0</xdr:col>
      <xdr:colOff>2095500</xdr:colOff>
      <xdr:row>1</xdr:row>
      <xdr:rowOff>228600</xdr:rowOff>
    </xdr:to>
    <xdr:pic>
      <xdr:nvPicPr>
        <xdr:cNvPr id="2" name="Picture 30" descr="home_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9525"/>
          <a:ext cx="20764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76200</xdr:colOff>
      <xdr:row>0</xdr:row>
      <xdr:rowOff>76200</xdr:rowOff>
    </xdr:from>
    <xdr:to>
      <xdr:col>18</xdr:col>
      <xdr:colOff>266700</xdr:colOff>
      <xdr:row>1</xdr:row>
      <xdr:rowOff>161925</xdr:rowOff>
    </xdr:to>
    <xdr:sp macro="" textlink="">
      <xdr:nvSpPr>
        <xdr:cNvPr id="3" name="Text Box 32"/>
        <xdr:cNvSpPr txBox="1">
          <a:spLocks noChangeArrowheads="1"/>
        </xdr:cNvSpPr>
      </xdr:nvSpPr>
      <xdr:spPr bwMode="auto">
        <a:xfrm>
          <a:off x="7419975" y="76200"/>
          <a:ext cx="6200775" cy="323850"/>
        </a:xfrm>
        <a:prstGeom prst="rect">
          <a:avLst/>
        </a:prstGeom>
        <a:noFill/>
        <a:ln w="9525">
          <a:solidFill>
            <a:srgbClr xmlns:mc="http://schemas.openxmlformats.org/markup-compatibility/2006" xmlns:a14="http://schemas.microsoft.com/office/drawing/2010/main" val="993300" mc:Ignorable="a14" a14:legacySpreadsheetColorIndex="60"/>
          </a:solidFill>
          <a:miter lim="800000"/>
          <a:headEnd/>
          <a:tailEnd/>
        </a:ln>
        <a:extLst>
          <a:ext uri="{909E8E84-426E-40DD-AFC4-6F175D3DCCD1}">
            <a14:hiddenFill xmlns:a14="http://schemas.microsoft.com/office/drawing/2010/main">
              <a:solidFill>
                <a:srgbClr xmlns:mc="http://schemas.openxmlformats.org/markup-compatibility/2006" val="993300" mc:Ignorable="a14" a14:legacySpreadsheetColorIndex="60"/>
              </a:solidFill>
            </a14:hiddenFill>
          </a:ext>
        </a:extLst>
      </xdr:spPr>
      <xdr:txBody>
        <a:bodyPr vertOverflow="clip" wrap="square" lIns="27432" tIns="22860" rIns="0" bIns="0" anchor="t" upright="1"/>
        <a:lstStyle/>
        <a:p>
          <a:pPr algn="l" rtl="0">
            <a:defRPr sz="1000"/>
          </a:pPr>
          <a:r>
            <a:rPr lang="fr-FR" sz="800" b="0" i="1" u="none" strike="noStrike" baseline="0">
              <a:solidFill>
                <a:srgbClr val="FF0000"/>
              </a:solidFill>
              <a:latin typeface="Arial"/>
              <a:cs typeface="Arial"/>
            </a:rPr>
            <a:t>Please note Amundi is not allowed to use Morningstar's rankings and ratings for external communication purpose for all funds. The list of authorized funds can be found in 'Morningstar ratings' section of Marketing Library</a:t>
          </a:r>
        </a:p>
      </xdr:txBody>
    </xdr:sp>
    <xdr:clientData/>
  </xdr:twoCellAnchor>
</xdr:wsDr>
</file>

<file path=xl/theme/theme1.xml><?xml version="1.0" encoding="utf-8"?>
<a:theme xmlns:a="http://schemas.openxmlformats.org/drawingml/2006/main" name="Thème Office">
  <a:themeElements>
    <a:clrScheme name="Girls1">
      <a:dk1>
        <a:srgbClr val="003C64"/>
      </a:dk1>
      <a:lt1>
        <a:srgbClr val="FFFFFF"/>
      </a:lt1>
      <a:dk2>
        <a:srgbClr val="646464"/>
      </a:dk2>
      <a:lt2>
        <a:srgbClr val="E7E6E6"/>
      </a:lt2>
      <a:accent1>
        <a:srgbClr val="00A0E3"/>
      </a:accent1>
      <a:accent2>
        <a:srgbClr val="004F9F"/>
      </a:accent2>
      <a:accent3>
        <a:srgbClr val="38B2B6"/>
      </a:accent3>
      <a:accent4>
        <a:srgbClr val="E6325E"/>
      </a:accent4>
      <a:accent5>
        <a:srgbClr val="F07D00"/>
      </a:accent5>
      <a:accent6>
        <a:srgbClr val="C19134"/>
      </a:accent6>
      <a:hlink>
        <a:srgbClr val="00C2F0"/>
      </a:hlink>
      <a:folHlink>
        <a:srgbClr val="45719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BY92"/>
  <sheetViews>
    <sheetView tabSelected="1" zoomScale="160" zoomScaleNormal="160" workbookViewId="0">
      <selection activeCell="BL18" sqref="BL18"/>
    </sheetView>
  </sheetViews>
  <sheetFormatPr baseColWidth="10" defaultColWidth="1" defaultRowHeight="5.25" customHeight="1" x14ac:dyDescent="0.25"/>
  <cols>
    <col min="1" max="1" width="0.7109375" style="2" customWidth="1"/>
    <col min="2" max="2" width="1.140625" style="2" customWidth="1"/>
    <col min="3" max="25" width="1" style="2" customWidth="1"/>
    <col min="26" max="27" width="0.5703125" style="2" customWidth="1"/>
    <col min="28" max="50" width="1" style="2" customWidth="1"/>
    <col min="51" max="16384" width="1" style="2"/>
  </cols>
  <sheetData>
    <row r="1" spans="2:52" ht="9.75" customHeight="1" x14ac:dyDescent="0.25"/>
    <row r="2" spans="2:52" ht="4.5" customHeight="1" x14ac:dyDescent="0.25">
      <c r="B2" s="202" t="s">
        <v>7610</v>
      </c>
      <c r="C2" s="203"/>
      <c r="D2" s="203"/>
      <c r="E2" s="203"/>
      <c r="F2" s="203"/>
      <c r="G2" s="203"/>
      <c r="H2" s="203"/>
      <c r="I2" s="203"/>
      <c r="J2" s="203"/>
      <c r="K2" s="203"/>
      <c r="L2" s="203"/>
      <c r="M2" s="203"/>
      <c r="N2" s="203"/>
      <c r="O2" s="203"/>
      <c r="P2" s="203"/>
      <c r="Q2" s="203"/>
      <c r="R2" s="203"/>
      <c r="S2" s="203"/>
      <c r="T2" s="203"/>
      <c r="U2" s="203"/>
      <c r="V2" s="203"/>
      <c r="W2" s="203"/>
      <c r="X2" s="204"/>
      <c r="Y2" s="1"/>
      <c r="AA2" s="202" t="s">
        <v>7611</v>
      </c>
      <c r="AB2" s="203"/>
      <c r="AC2" s="203"/>
      <c r="AD2" s="203"/>
      <c r="AE2" s="203"/>
      <c r="AF2" s="203"/>
      <c r="AG2" s="203"/>
      <c r="AH2" s="203"/>
      <c r="AI2" s="203"/>
      <c r="AJ2" s="203"/>
      <c r="AK2" s="203"/>
      <c r="AL2" s="203"/>
      <c r="AM2" s="203"/>
      <c r="AN2" s="203"/>
      <c r="AO2" s="203"/>
      <c r="AP2" s="203"/>
      <c r="AQ2" s="203"/>
      <c r="AR2" s="203"/>
      <c r="AS2" s="203"/>
      <c r="AT2" s="203"/>
      <c r="AU2" s="203"/>
      <c r="AV2" s="203"/>
      <c r="AW2" s="204"/>
    </row>
    <row r="3" spans="2:52" ht="4.5" customHeight="1" x14ac:dyDescent="0.25">
      <c r="B3" s="205"/>
      <c r="C3" s="206"/>
      <c r="D3" s="206"/>
      <c r="E3" s="206"/>
      <c r="F3" s="206"/>
      <c r="G3" s="206"/>
      <c r="H3" s="206"/>
      <c r="I3" s="206"/>
      <c r="J3" s="206"/>
      <c r="K3" s="206"/>
      <c r="L3" s="206"/>
      <c r="M3" s="206"/>
      <c r="N3" s="206"/>
      <c r="O3" s="206"/>
      <c r="P3" s="206"/>
      <c r="Q3" s="206"/>
      <c r="R3" s="206"/>
      <c r="S3" s="206"/>
      <c r="T3" s="206"/>
      <c r="U3" s="206"/>
      <c r="V3" s="206"/>
      <c r="W3" s="206"/>
      <c r="X3" s="207"/>
      <c r="Y3" s="1"/>
      <c r="AA3" s="205"/>
      <c r="AB3" s="206"/>
      <c r="AC3" s="206"/>
      <c r="AD3" s="206"/>
      <c r="AE3" s="206"/>
      <c r="AF3" s="206"/>
      <c r="AG3" s="206"/>
      <c r="AH3" s="206"/>
      <c r="AI3" s="206"/>
      <c r="AJ3" s="206"/>
      <c r="AK3" s="206"/>
      <c r="AL3" s="206"/>
      <c r="AM3" s="206"/>
      <c r="AN3" s="206"/>
      <c r="AO3" s="206"/>
      <c r="AP3" s="206"/>
      <c r="AQ3" s="206"/>
      <c r="AR3" s="206"/>
      <c r="AS3" s="206"/>
      <c r="AT3" s="206"/>
      <c r="AU3" s="206"/>
      <c r="AV3" s="206"/>
      <c r="AW3" s="207"/>
    </row>
    <row r="4" spans="2:52" ht="4.5" customHeight="1" x14ac:dyDescent="0.25">
      <c r="B4" s="205"/>
      <c r="C4" s="206"/>
      <c r="D4" s="206"/>
      <c r="E4" s="206"/>
      <c r="F4" s="206"/>
      <c r="G4" s="206"/>
      <c r="H4" s="206"/>
      <c r="I4" s="206"/>
      <c r="J4" s="206"/>
      <c r="K4" s="206"/>
      <c r="L4" s="206"/>
      <c r="M4" s="206"/>
      <c r="N4" s="206"/>
      <c r="O4" s="206"/>
      <c r="P4" s="206"/>
      <c r="Q4" s="206"/>
      <c r="R4" s="206"/>
      <c r="S4" s="206"/>
      <c r="T4" s="206"/>
      <c r="U4" s="206"/>
      <c r="V4" s="206"/>
      <c r="W4" s="206"/>
      <c r="X4" s="207"/>
      <c r="Y4" s="1"/>
      <c r="AA4" s="205"/>
      <c r="AB4" s="206"/>
      <c r="AC4" s="206"/>
      <c r="AD4" s="206"/>
      <c r="AE4" s="206"/>
      <c r="AF4" s="206"/>
      <c r="AG4" s="206"/>
      <c r="AH4" s="206"/>
      <c r="AI4" s="206"/>
      <c r="AJ4" s="206"/>
      <c r="AK4" s="206"/>
      <c r="AL4" s="206"/>
      <c r="AM4" s="206"/>
      <c r="AN4" s="206"/>
      <c r="AO4" s="206"/>
      <c r="AP4" s="206"/>
      <c r="AQ4" s="206"/>
      <c r="AR4" s="206"/>
      <c r="AS4" s="206"/>
      <c r="AT4" s="206"/>
      <c r="AU4" s="206"/>
      <c r="AV4" s="206"/>
      <c r="AW4" s="207"/>
    </row>
    <row r="5" spans="2:52" ht="4.5" customHeight="1" x14ac:dyDescent="0.25">
      <c r="B5" s="205"/>
      <c r="C5" s="206"/>
      <c r="D5" s="206"/>
      <c r="E5" s="206"/>
      <c r="F5" s="206"/>
      <c r="G5" s="206"/>
      <c r="H5" s="206"/>
      <c r="I5" s="206"/>
      <c r="J5" s="206"/>
      <c r="K5" s="206"/>
      <c r="L5" s="206"/>
      <c r="M5" s="206"/>
      <c r="N5" s="206"/>
      <c r="O5" s="206"/>
      <c r="P5" s="206"/>
      <c r="Q5" s="206"/>
      <c r="R5" s="206"/>
      <c r="S5" s="206"/>
      <c r="T5" s="206"/>
      <c r="U5" s="206"/>
      <c r="V5" s="206"/>
      <c r="W5" s="206"/>
      <c r="X5" s="207"/>
      <c r="Y5" s="1"/>
      <c r="AA5" s="205"/>
      <c r="AB5" s="206"/>
      <c r="AC5" s="206"/>
      <c r="AD5" s="206"/>
      <c r="AE5" s="206"/>
      <c r="AF5" s="206"/>
      <c r="AG5" s="206"/>
      <c r="AH5" s="206"/>
      <c r="AI5" s="206"/>
      <c r="AJ5" s="206"/>
      <c r="AK5" s="206"/>
      <c r="AL5" s="206"/>
      <c r="AM5" s="206"/>
      <c r="AN5" s="206"/>
      <c r="AO5" s="206"/>
      <c r="AP5" s="206"/>
      <c r="AQ5" s="206"/>
      <c r="AR5" s="206"/>
      <c r="AS5" s="206"/>
      <c r="AT5" s="206"/>
      <c r="AU5" s="206"/>
      <c r="AV5" s="206"/>
      <c r="AW5" s="207"/>
    </row>
    <row r="6" spans="2:52" ht="4.5" customHeight="1" x14ac:dyDescent="0.25">
      <c r="B6" s="50"/>
      <c r="C6" s="51"/>
      <c r="D6" s="51"/>
      <c r="E6" s="51"/>
      <c r="F6" s="51"/>
      <c r="G6" s="51"/>
      <c r="H6" s="51"/>
      <c r="I6" s="51"/>
      <c r="J6" s="51"/>
      <c r="K6" s="51"/>
      <c r="L6" s="51"/>
      <c r="M6" s="51"/>
      <c r="N6" s="51"/>
      <c r="O6" s="51"/>
      <c r="P6" s="51"/>
      <c r="Q6" s="51"/>
      <c r="R6" s="51"/>
      <c r="S6" s="51"/>
      <c r="T6" s="51"/>
      <c r="U6" s="51"/>
      <c r="V6" s="51"/>
      <c r="W6" s="51"/>
      <c r="X6" s="52"/>
      <c r="Y6" s="1"/>
      <c r="AA6" s="50"/>
      <c r="AB6" s="51"/>
      <c r="AC6" s="51"/>
      <c r="AD6" s="51"/>
      <c r="AE6" s="51"/>
      <c r="AF6" s="51"/>
      <c r="AG6" s="51"/>
      <c r="AH6" s="51"/>
      <c r="AI6" s="51"/>
      <c r="AJ6" s="51"/>
      <c r="AK6" s="51"/>
      <c r="AL6" s="51"/>
      <c r="AM6" s="51"/>
      <c r="AN6" s="51"/>
      <c r="AO6" s="51"/>
      <c r="AP6" s="51"/>
      <c r="AQ6" s="51"/>
      <c r="AR6" s="51"/>
      <c r="AS6" s="51"/>
      <c r="AT6" s="51"/>
      <c r="AU6" s="51"/>
      <c r="AV6" s="51"/>
      <c r="AW6" s="52"/>
    </row>
    <row r="7" spans="2:52" ht="4.5" customHeight="1" x14ac:dyDescent="0.25">
      <c r="B7" s="50"/>
      <c r="C7" s="51"/>
      <c r="D7" s="51"/>
      <c r="E7" s="51"/>
      <c r="F7" s="51"/>
      <c r="G7" s="51"/>
      <c r="H7" s="51"/>
      <c r="I7" s="51"/>
      <c r="J7" s="51"/>
      <c r="K7" s="51"/>
      <c r="L7" s="51"/>
      <c r="M7" s="51"/>
      <c r="N7" s="51"/>
      <c r="O7" s="51"/>
      <c r="P7" s="51"/>
      <c r="Q7" s="51"/>
      <c r="R7" s="51"/>
      <c r="S7" s="51"/>
      <c r="T7" s="51"/>
      <c r="U7" s="51"/>
      <c r="V7" s="51"/>
      <c r="W7" s="51"/>
      <c r="X7" s="52"/>
      <c r="Y7" s="1"/>
      <c r="AA7" s="50"/>
      <c r="AB7" s="51"/>
      <c r="AC7" s="51"/>
      <c r="AD7" s="51"/>
      <c r="AE7" s="51"/>
      <c r="AF7" s="51"/>
      <c r="AG7" s="51"/>
      <c r="AH7" s="51"/>
      <c r="AI7" s="51"/>
      <c r="AJ7" s="51"/>
      <c r="AK7" s="51"/>
      <c r="AL7" s="51"/>
      <c r="AM7" s="51"/>
      <c r="AN7" s="51"/>
      <c r="AO7" s="51"/>
      <c r="AP7" s="51"/>
      <c r="AQ7" s="51"/>
      <c r="AR7" s="51"/>
      <c r="AS7" s="51"/>
      <c r="AT7" s="51"/>
      <c r="AU7" s="51"/>
      <c r="AV7" s="51"/>
      <c r="AW7" s="52"/>
    </row>
    <row r="8" spans="2:52" ht="5.25" customHeight="1" x14ac:dyDescent="0.25">
      <c r="B8" s="50"/>
      <c r="C8" s="51"/>
      <c r="D8" s="51"/>
      <c r="E8" s="51"/>
      <c r="F8" s="51"/>
      <c r="G8" s="51"/>
      <c r="H8" s="51"/>
      <c r="I8" s="51"/>
      <c r="J8" s="51"/>
      <c r="K8" s="51"/>
      <c r="L8" s="51"/>
      <c r="M8" s="51"/>
      <c r="N8" s="51"/>
      <c r="O8" s="51"/>
      <c r="P8" s="51"/>
      <c r="Q8" s="51"/>
      <c r="R8" s="51"/>
      <c r="S8" s="51"/>
      <c r="T8" s="51"/>
      <c r="U8" s="51"/>
      <c r="V8" s="51"/>
      <c r="W8" s="51"/>
      <c r="X8" s="52">
        <v>6</v>
      </c>
      <c r="AA8" s="50"/>
      <c r="AB8" s="51"/>
      <c r="AC8" s="51"/>
      <c r="AD8" s="51"/>
      <c r="AE8" s="51"/>
      <c r="AF8" s="51"/>
      <c r="AG8" s="51"/>
      <c r="AH8" s="51"/>
      <c r="AI8" s="51"/>
      <c r="AJ8" s="51"/>
      <c r="AK8" s="51"/>
      <c r="AL8" s="51"/>
      <c r="AM8" s="51"/>
      <c r="AN8" s="51"/>
      <c r="AO8" s="51"/>
      <c r="AP8" s="51"/>
      <c r="AQ8" s="51"/>
      <c r="AR8" s="51"/>
      <c r="AS8" s="51"/>
      <c r="AT8" s="51"/>
      <c r="AU8" s="51"/>
      <c r="AV8" s="51"/>
      <c r="AW8" s="52">
        <v>5</v>
      </c>
    </row>
    <row r="9" spans="2:52" ht="4.5" customHeight="1" x14ac:dyDescent="0.25">
      <c r="B9" s="220" t="str">
        <f>VLOOKUP(X8,Lists!B:C,2,FALSE)</f>
        <v>June</v>
      </c>
      <c r="C9" s="221"/>
      <c r="D9" s="221"/>
      <c r="E9" s="221"/>
      <c r="F9" s="221"/>
      <c r="G9" s="221"/>
      <c r="H9" s="221"/>
      <c r="I9" s="221"/>
      <c r="J9" s="221"/>
      <c r="K9" s="221"/>
      <c r="L9" s="221"/>
      <c r="M9" s="221"/>
      <c r="N9" s="221"/>
      <c r="O9" s="221"/>
      <c r="P9" s="221"/>
      <c r="Q9" s="221"/>
      <c r="R9" s="221"/>
      <c r="S9" s="221"/>
      <c r="T9" s="221"/>
      <c r="U9" s="221"/>
      <c r="V9" s="221"/>
      <c r="W9" s="221"/>
      <c r="X9" s="222"/>
      <c r="AA9" s="220">
        <f ca="1">VLOOKUP(AW8,Lists!D:E,2,FALSE)</f>
        <v>2017</v>
      </c>
      <c r="AB9" s="221"/>
      <c r="AC9" s="221"/>
      <c r="AD9" s="221"/>
      <c r="AE9" s="221"/>
      <c r="AF9" s="221"/>
      <c r="AG9" s="221"/>
      <c r="AH9" s="221"/>
      <c r="AI9" s="221"/>
      <c r="AJ9" s="221"/>
      <c r="AK9" s="221"/>
      <c r="AL9" s="221"/>
      <c r="AM9" s="221"/>
      <c r="AN9" s="221"/>
      <c r="AO9" s="221"/>
      <c r="AP9" s="221"/>
      <c r="AQ9" s="221"/>
      <c r="AR9" s="221"/>
      <c r="AS9" s="221"/>
      <c r="AT9" s="221"/>
      <c r="AU9" s="221"/>
      <c r="AV9" s="221"/>
      <c r="AW9" s="222"/>
    </row>
    <row r="10" spans="2:52" ht="4.5" customHeight="1" x14ac:dyDescent="0.25">
      <c r="B10" s="220"/>
      <c r="C10" s="221"/>
      <c r="D10" s="221"/>
      <c r="E10" s="221"/>
      <c r="F10" s="221"/>
      <c r="G10" s="221"/>
      <c r="H10" s="221"/>
      <c r="I10" s="221"/>
      <c r="J10" s="221"/>
      <c r="K10" s="221"/>
      <c r="L10" s="221"/>
      <c r="M10" s="221"/>
      <c r="N10" s="221"/>
      <c r="O10" s="221"/>
      <c r="P10" s="221"/>
      <c r="Q10" s="221"/>
      <c r="R10" s="221"/>
      <c r="S10" s="221"/>
      <c r="T10" s="221"/>
      <c r="U10" s="221"/>
      <c r="V10" s="221"/>
      <c r="W10" s="221"/>
      <c r="X10" s="222"/>
      <c r="AA10" s="220"/>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2"/>
    </row>
    <row r="11" spans="2:52" ht="4.5" customHeight="1" x14ac:dyDescent="0.25">
      <c r="B11" s="220"/>
      <c r="C11" s="221"/>
      <c r="D11" s="221"/>
      <c r="E11" s="221"/>
      <c r="F11" s="221"/>
      <c r="G11" s="221"/>
      <c r="H11" s="221"/>
      <c r="I11" s="221"/>
      <c r="J11" s="221"/>
      <c r="K11" s="221"/>
      <c r="L11" s="221"/>
      <c r="M11" s="221"/>
      <c r="N11" s="221"/>
      <c r="O11" s="221"/>
      <c r="P11" s="221"/>
      <c r="Q11" s="221"/>
      <c r="R11" s="221"/>
      <c r="S11" s="221"/>
      <c r="T11" s="221"/>
      <c r="U11" s="221"/>
      <c r="V11" s="221"/>
      <c r="W11" s="221"/>
      <c r="X11" s="222"/>
      <c r="AA11" s="220"/>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2"/>
    </row>
    <row r="12" spans="2:52" ht="4.5" customHeight="1" x14ac:dyDescent="0.25">
      <c r="B12" s="220"/>
      <c r="C12" s="221"/>
      <c r="D12" s="221"/>
      <c r="E12" s="221"/>
      <c r="F12" s="221"/>
      <c r="G12" s="221"/>
      <c r="H12" s="221"/>
      <c r="I12" s="221"/>
      <c r="J12" s="221"/>
      <c r="K12" s="221"/>
      <c r="L12" s="221"/>
      <c r="M12" s="221"/>
      <c r="N12" s="221"/>
      <c r="O12" s="221"/>
      <c r="P12" s="221"/>
      <c r="Q12" s="221"/>
      <c r="R12" s="221"/>
      <c r="S12" s="221"/>
      <c r="T12" s="221"/>
      <c r="U12" s="221"/>
      <c r="V12" s="221"/>
      <c r="W12" s="221"/>
      <c r="X12" s="222"/>
      <c r="AA12" s="220">
        <v>1</v>
      </c>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2"/>
      <c r="AZ12" s="2">
        <v>0</v>
      </c>
    </row>
    <row r="13" spans="2:52" ht="4.5" customHeight="1" x14ac:dyDescent="0.25">
      <c r="B13" s="220"/>
      <c r="C13" s="221"/>
      <c r="D13" s="221"/>
      <c r="E13" s="221"/>
      <c r="F13" s="221"/>
      <c r="G13" s="221"/>
      <c r="H13" s="221"/>
      <c r="I13" s="221"/>
      <c r="J13" s="221"/>
      <c r="K13" s="221"/>
      <c r="L13" s="221"/>
      <c r="M13" s="221"/>
      <c r="N13" s="221"/>
      <c r="O13" s="221"/>
      <c r="P13" s="221"/>
      <c r="Q13" s="221"/>
      <c r="R13" s="221"/>
      <c r="S13" s="221"/>
      <c r="T13" s="221"/>
      <c r="U13" s="221"/>
      <c r="V13" s="221"/>
      <c r="W13" s="221"/>
      <c r="X13" s="222"/>
      <c r="AA13" s="220"/>
      <c r="AB13" s="221"/>
      <c r="AC13" s="221"/>
      <c r="AD13" s="221"/>
      <c r="AE13" s="221"/>
      <c r="AF13" s="221"/>
      <c r="AG13" s="221"/>
      <c r="AH13" s="221"/>
      <c r="AI13" s="221"/>
      <c r="AJ13" s="221"/>
      <c r="AK13" s="221"/>
      <c r="AL13" s="221"/>
      <c r="AM13" s="221"/>
      <c r="AN13" s="221"/>
      <c r="AO13" s="221"/>
      <c r="AP13" s="221"/>
      <c r="AQ13" s="221"/>
      <c r="AR13" s="221"/>
      <c r="AS13" s="221"/>
      <c r="AT13" s="221"/>
      <c r="AU13" s="221"/>
      <c r="AV13" s="221"/>
      <c r="AW13" s="222"/>
    </row>
    <row r="14" spans="2:52" ht="4.5" customHeight="1" x14ac:dyDescent="0.25">
      <c r="B14" s="220"/>
      <c r="C14" s="221"/>
      <c r="D14" s="221"/>
      <c r="E14" s="221"/>
      <c r="F14" s="221"/>
      <c r="G14" s="221"/>
      <c r="H14" s="221"/>
      <c r="I14" s="221"/>
      <c r="J14" s="221"/>
      <c r="K14" s="221"/>
      <c r="L14" s="221"/>
      <c r="M14" s="221"/>
      <c r="N14" s="221"/>
      <c r="O14" s="221"/>
      <c r="P14" s="221"/>
      <c r="Q14" s="221"/>
      <c r="R14" s="221"/>
      <c r="S14" s="221"/>
      <c r="T14" s="221"/>
      <c r="U14" s="221"/>
      <c r="V14" s="221"/>
      <c r="W14" s="221"/>
      <c r="X14" s="222"/>
      <c r="AA14" s="220"/>
      <c r="AB14" s="221"/>
      <c r="AC14" s="221"/>
      <c r="AD14" s="221"/>
      <c r="AE14" s="221"/>
      <c r="AF14" s="221"/>
      <c r="AG14" s="221"/>
      <c r="AH14" s="221"/>
      <c r="AI14" s="221"/>
      <c r="AJ14" s="221"/>
      <c r="AK14" s="221"/>
      <c r="AL14" s="221"/>
      <c r="AM14" s="221"/>
      <c r="AN14" s="221"/>
      <c r="AO14" s="221"/>
      <c r="AP14" s="221"/>
      <c r="AQ14" s="221"/>
      <c r="AR14" s="221"/>
      <c r="AS14" s="221"/>
      <c r="AT14" s="221"/>
      <c r="AU14" s="221"/>
      <c r="AV14" s="221"/>
      <c r="AW14" s="222"/>
    </row>
    <row r="15" spans="2:52" ht="4.5" customHeight="1" x14ac:dyDescent="0.25">
      <c r="B15" s="220"/>
      <c r="C15" s="221"/>
      <c r="D15" s="221"/>
      <c r="E15" s="221"/>
      <c r="F15" s="221"/>
      <c r="G15" s="221"/>
      <c r="H15" s="221"/>
      <c r="I15" s="221"/>
      <c r="J15" s="221"/>
      <c r="K15" s="221"/>
      <c r="L15" s="221"/>
      <c r="M15" s="221"/>
      <c r="N15" s="221"/>
      <c r="O15" s="221"/>
      <c r="P15" s="221"/>
      <c r="Q15" s="221"/>
      <c r="R15" s="221"/>
      <c r="S15" s="221"/>
      <c r="T15" s="221"/>
      <c r="U15" s="221"/>
      <c r="V15" s="221"/>
      <c r="W15" s="221"/>
      <c r="X15" s="222"/>
      <c r="AA15" s="220"/>
      <c r="AB15" s="221"/>
      <c r="AC15" s="221"/>
      <c r="AD15" s="221"/>
      <c r="AE15" s="221"/>
      <c r="AF15" s="221"/>
      <c r="AG15" s="221"/>
      <c r="AH15" s="221"/>
      <c r="AI15" s="221"/>
      <c r="AJ15" s="221"/>
      <c r="AK15" s="221"/>
      <c r="AL15" s="221"/>
      <c r="AM15" s="221"/>
      <c r="AN15" s="221"/>
      <c r="AO15" s="221"/>
      <c r="AP15" s="221"/>
      <c r="AQ15" s="221"/>
      <c r="AR15" s="221"/>
      <c r="AS15" s="221"/>
      <c r="AT15" s="221"/>
      <c r="AU15" s="221"/>
      <c r="AV15" s="221"/>
      <c r="AW15" s="222"/>
    </row>
    <row r="16" spans="2:52" ht="4.5" customHeight="1" x14ac:dyDescent="0.25">
      <c r="B16" s="223"/>
      <c r="C16" s="224"/>
      <c r="D16" s="224"/>
      <c r="E16" s="224"/>
      <c r="F16" s="224"/>
      <c r="G16" s="224"/>
      <c r="H16" s="224"/>
      <c r="I16" s="224"/>
      <c r="J16" s="224"/>
      <c r="K16" s="224"/>
      <c r="L16" s="224"/>
      <c r="M16" s="224"/>
      <c r="N16" s="224"/>
      <c r="O16" s="224"/>
      <c r="P16" s="224"/>
      <c r="Q16" s="224"/>
      <c r="R16" s="224"/>
      <c r="S16" s="224"/>
      <c r="T16" s="224"/>
      <c r="U16" s="224"/>
      <c r="V16" s="224"/>
      <c r="W16" s="224"/>
      <c r="X16" s="225"/>
      <c r="AA16" s="223"/>
      <c r="AB16" s="224"/>
      <c r="AC16" s="224"/>
      <c r="AD16" s="224"/>
      <c r="AE16" s="224"/>
      <c r="AF16" s="224"/>
      <c r="AG16" s="224"/>
      <c r="AH16" s="224"/>
      <c r="AI16" s="224"/>
      <c r="AJ16" s="224"/>
      <c r="AK16" s="224"/>
      <c r="AL16" s="224"/>
      <c r="AM16" s="224"/>
      <c r="AN16" s="224"/>
      <c r="AO16" s="224"/>
      <c r="AP16" s="224"/>
      <c r="AQ16" s="224"/>
      <c r="AR16" s="224"/>
      <c r="AS16" s="224"/>
      <c r="AT16" s="224"/>
      <c r="AU16" s="224"/>
      <c r="AV16" s="224"/>
      <c r="AW16" s="225"/>
    </row>
    <row r="17" spans="2:77" ht="4.5" customHeight="1" thickBot="1" x14ac:dyDescent="0.3">
      <c r="B17" s="58"/>
      <c r="C17" s="61"/>
      <c r="D17" s="61"/>
      <c r="E17" s="61"/>
      <c r="F17" s="61"/>
      <c r="G17" s="61"/>
      <c r="H17" s="61"/>
      <c r="I17" s="61"/>
      <c r="J17" s="61"/>
      <c r="K17" s="61"/>
      <c r="L17" s="61"/>
      <c r="M17" s="61"/>
      <c r="N17" s="61"/>
      <c r="O17" s="61"/>
      <c r="P17" s="61"/>
      <c r="Q17" s="61"/>
      <c r="R17" s="61"/>
      <c r="S17" s="61"/>
      <c r="T17" s="61"/>
      <c r="U17" s="61"/>
      <c r="V17" s="61"/>
      <c r="W17" s="61"/>
      <c r="X17" s="61"/>
      <c r="Y17" s="61"/>
      <c r="Z17" s="58"/>
      <c r="AA17" s="58"/>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58"/>
    </row>
    <row r="18" spans="2:77" ht="4.5" customHeight="1" x14ac:dyDescent="0.25">
      <c r="B18" s="177"/>
      <c r="C18" s="178"/>
      <c r="D18" s="178"/>
      <c r="E18" s="178"/>
      <c r="F18" s="178"/>
      <c r="G18" s="178"/>
      <c r="H18" s="178"/>
      <c r="I18" s="178"/>
      <c r="J18" s="178"/>
      <c r="K18" s="178"/>
      <c r="L18" s="178"/>
      <c r="M18" s="178"/>
      <c r="N18" s="178"/>
      <c r="O18" s="178"/>
      <c r="P18" s="178"/>
      <c r="Q18" s="178"/>
      <c r="R18" s="178"/>
      <c r="S18" s="178"/>
      <c r="T18" s="178"/>
      <c r="U18" s="178"/>
      <c r="V18" s="178"/>
      <c r="W18" s="178"/>
      <c r="X18" s="178"/>
      <c r="Y18" s="178"/>
      <c r="Z18" s="178"/>
      <c r="AA18" s="178"/>
      <c r="AB18" s="178"/>
      <c r="AC18" s="178"/>
      <c r="AD18" s="178"/>
      <c r="AE18" s="178"/>
      <c r="AF18" s="178"/>
      <c r="AG18" s="178"/>
      <c r="AH18" s="178"/>
      <c r="AI18" s="178"/>
      <c r="AJ18" s="178"/>
      <c r="AK18" s="178"/>
      <c r="AL18" s="178"/>
      <c r="AM18" s="178"/>
      <c r="AN18" s="178"/>
      <c r="AO18" s="178"/>
      <c r="AP18" s="178"/>
      <c r="AQ18" s="178"/>
      <c r="AR18" s="178"/>
      <c r="AS18" s="178"/>
      <c r="AT18" s="178"/>
      <c r="AU18" s="178"/>
      <c r="AV18" s="178"/>
      <c r="AW18" s="178"/>
      <c r="AX18" s="178"/>
      <c r="AY18" s="179"/>
      <c r="AZ18" s="56"/>
      <c r="BA18" s="56"/>
      <c r="BB18" s="56"/>
      <c r="BC18" s="56"/>
      <c r="BD18" s="56"/>
      <c r="BE18" s="56"/>
      <c r="BF18" s="56"/>
      <c r="BG18" s="56"/>
      <c r="BH18" s="56"/>
      <c r="BI18" s="56"/>
      <c r="BJ18" s="56"/>
      <c r="BK18" s="56"/>
      <c r="BL18" s="56"/>
      <c r="BM18" s="56"/>
      <c r="BN18" s="56"/>
      <c r="BO18" s="56"/>
      <c r="BP18" s="56"/>
      <c r="BQ18" s="56"/>
      <c r="BR18" s="56"/>
      <c r="BS18" s="56"/>
      <c r="BT18" s="56"/>
      <c r="BU18" s="56"/>
      <c r="BV18" s="56"/>
      <c r="BW18" s="56"/>
      <c r="BX18" s="56"/>
      <c r="BY18" s="56"/>
    </row>
    <row r="19" spans="2:77" ht="5.25" customHeight="1" x14ac:dyDescent="0.25">
      <c r="B19" s="180"/>
      <c r="C19" s="54"/>
      <c r="D19" s="54"/>
      <c r="E19" s="54"/>
      <c r="F19" s="54"/>
      <c r="G19" s="54"/>
      <c r="H19" s="54"/>
      <c r="I19" s="54"/>
      <c r="J19" s="54"/>
      <c r="K19" s="54"/>
      <c r="L19" s="54"/>
      <c r="M19" s="54"/>
      <c r="N19" s="54"/>
      <c r="O19" s="54"/>
      <c r="P19" s="54"/>
      <c r="Q19" s="54"/>
      <c r="R19" s="54"/>
      <c r="S19" s="54"/>
      <c r="T19" s="54"/>
      <c r="U19" s="54"/>
      <c r="V19" s="54"/>
      <c r="W19" s="54"/>
      <c r="X19" s="54"/>
      <c r="Y19" s="54"/>
      <c r="Z19" s="54"/>
      <c r="AA19" s="54"/>
      <c r="AB19" s="208" t="s">
        <v>7626</v>
      </c>
      <c r="AC19" s="209"/>
      <c r="AD19" s="209"/>
      <c r="AE19" s="209"/>
      <c r="AF19" s="209"/>
      <c r="AG19" s="209"/>
      <c r="AH19" s="209"/>
      <c r="AI19" s="209"/>
      <c r="AJ19" s="209"/>
      <c r="AK19" s="209"/>
      <c r="AL19" s="209"/>
      <c r="AM19" s="209"/>
      <c r="AN19" s="209"/>
      <c r="AO19" s="209"/>
      <c r="AP19" s="209"/>
      <c r="AQ19" s="209"/>
      <c r="AR19" s="209"/>
      <c r="AS19" s="209"/>
      <c r="AT19" s="209"/>
      <c r="AU19" s="209"/>
      <c r="AV19" s="209"/>
      <c r="AW19" s="209"/>
      <c r="AX19" s="209"/>
      <c r="AY19" s="181"/>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W19" s="59"/>
      <c r="BX19" s="56"/>
      <c r="BY19" s="56"/>
    </row>
    <row r="20" spans="2:77" ht="5.25" customHeight="1" x14ac:dyDescent="0.25">
      <c r="B20" s="180"/>
      <c r="C20" s="54"/>
      <c r="D20" s="54"/>
      <c r="E20" s="54"/>
      <c r="F20" s="54"/>
      <c r="G20" s="54"/>
      <c r="H20" s="54"/>
      <c r="I20" s="54"/>
      <c r="J20" s="54"/>
      <c r="K20" s="54"/>
      <c r="L20" s="54"/>
      <c r="M20" s="54"/>
      <c r="N20" s="54"/>
      <c r="O20" s="54"/>
      <c r="P20" s="54"/>
      <c r="Q20" s="54"/>
      <c r="R20" s="54"/>
      <c r="S20" s="54"/>
      <c r="T20" s="54"/>
      <c r="U20" s="54"/>
      <c r="V20" s="54"/>
      <c r="W20" s="54"/>
      <c r="X20" s="55"/>
      <c r="Y20" s="55"/>
      <c r="Z20" s="55"/>
      <c r="AA20" s="55"/>
      <c r="AB20" s="208"/>
      <c r="AC20" s="209"/>
      <c r="AD20" s="209"/>
      <c r="AE20" s="209"/>
      <c r="AF20" s="209"/>
      <c r="AG20" s="209"/>
      <c r="AH20" s="209"/>
      <c r="AI20" s="209"/>
      <c r="AJ20" s="209"/>
      <c r="AK20" s="209"/>
      <c r="AL20" s="209"/>
      <c r="AM20" s="209"/>
      <c r="AN20" s="209"/>
      <c r="AO20" s="209"/>
      <c r="AP20" s="209"/>
      <c r="AQ20" s="209"/>
      <c r="AR20" s="209"/>
      <c r="AS20" s="209"/>
      <c r="AT20" s="209"/>
      <c r="AU20" s="209"/>
      <c r="AV20" s="209"/>
      <c r="AW20" s="209"/>
      <c r="AX20" s="209"/>
      <c r="AY20" s="181"/>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6"/>
      <c r="BY20" s="56"/>
    </row>
    <row r="21" spans="2:77" ht="21" customHeight="1" x14ac:dyDescent="0.25">
      <c r="B21" s="180"/>
      <c r="C21" s="55"/>
      <c r="D21" s="55"/>
      <c r="E21" s="55"/>
      <c r="F21" s="55"/>
      <c r="G21" s="55"/>
      <c r="H21" s="55"/>
      <c r="I21" s="55"/>
      <c r="J21" s="55"/>
      <c r="K21" s="55"/>
      <c r="L21" s="55"/>
      <c r="M21" s="55"/>
      <c r="N21" s="55"/>
      <c r="O21" s="54"/>
      <c r="P21" s="54"/>
      <c r="Q21" s="54"/>
      <c r="R21" s="54"/>
      <c r="S21" s="54"/>
      <c r="T21" s="54"/>
      <c r="U21" s="54"/>
      <c r="V21" s="54"/>
      <c r="W21" s="54"/>
      <c r="X21" s="55"/>
      <c r="Y21" s="55"/>
      <c r="Z21" s="55"/>
      <c r="AA21" s="55"/>
      <c r="AB21" s="210" t="s">
        <v>15561</v>
      </c>
      <c r="AC21" s="210"/>
      <c r="AD21" s="210"/>
      <c r="AE21" s="210"/>
      <c r="AF21" s="210"/>
      <c r="AG21" s="210"/>
      <c r="AH21" s="210"/>
      <c r="AI21" s="210"/>
      <c r="AJ21" s="210"/>
      <c r="AK21" s="210"/>
      <c r="AL21" s="210"/>
      <c r="AM21" s="210"/>
      <c r="AN21" s="210"/>
      <c r="AO21" s="210"/>
      <c r="AP21" s="210"/>
      <c r="AQ21" s="210"/>
      <c r="AR21" s="210"/>
      <c r="AS21" s="210"/>
      <c r="AT21" s="210"/>
      <c r="AU21" s="210"/>
      <c r="AV21" s="210"/>
      <c r="AW21" s="210"/>
      <c r="AX21" s="210"/>
      <c r="AY21" s="181"/>
      <c r="AZ21" s="59"/>
      <c r="BA21" s="59"/>
      <c r="BB21" s="59"/>
      <c r="BC21" s="59"/>
      <c r="BD21" s="59"/>
      <c r="BE21" s="59"/>
      <c r="BF21" s="59"/>
      <c r="BG21" s="59"/>
      <c r="BH21" s="59"/>
      <c r="BI21" s="59"/>
      <c r="BJ21" s="59"/>
      <c r="BK21" s="59"/>
      <c r="BL21" s="59"/>
      <c r="BM21" s="59"/>
      <c r="BN21" s="59"/>
      <c r="BO21" s="59"/>
      <c r="BP21" s="59"/>
      <c r="BQ21" s="59"/>
      <c r="BR21" s="59"/>
      <c r="BS21" s="59"/>
      <c r="BT21" s="59"/>
      <c r="BU21" s="59"/>
      <c r="BV21" s="59"/>
      <c r="BW21" s="59"/>
      <c r="BX21" s="56"/>
      <c r="BY21" s="56"/>
    </row>
    <row r="22" spans="2:77" ht="5.25" customHeight="1" thickBot="1" x14ac:dyDescent="0.3">
      <c r="B22" s="182"/>
      <c r="C22" s="183"/>
      <c r="D22" s="183"/>
      <c r="E22" s="183"/>
      <c r="F22" s="183"/>
      <c r="G22" s="183"/>
      <c r="H22" s="183"/>
      <c r="I22" s="183"/>
      <c r="J22" s="183"/>
      <c r="K22" s="183"/>
      <c r="L22" s="183"/>
      <c r="M22" s="183"/>
      <c r="N22" s="183"/>
      <c r="O22" s="184"/>
      <c r="P22" s="184"/>
      <c r="Q22" s="184"/>
      <c r="R22" s="184"/>
      <c r="S22" s="184"/>
      <c r="T22" s="184"/>
      <c r="U22" s="184"/>
      <c r="V22" s="184"/>
      <c r="W22" s="184"/>
      <c r="X22" s="183"/>
      <c r="Y22" s="183"/>
      <c r="Z22" s="185"/>
      <c r="AA22" s="185"/>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7"/>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6"/>
      <c r="BY22" s="56"/>
    </row>
    <row r="23" spans="2:77" ht="5.25" customHeight="1" thickBot="1" x14ac:dyDescent="0.3">
      <c r="B23" s="54"/>
      <c r="C23" s="55"/>
      <c r="D23" s="55"/>
      <c r="E23" s="55"/>
      <c r="F23" s="55"/>
      <c r="G23" s="55"/>
      <c r="H23" s="55"/>
      <c r="I23" s="55"/>
      <c r="J23" s="55"/>
      <c r="K23" s="55"/>
      <c r="L23" s="55"/>
      <c r="M23" s="55"/>
      <c r="N23" s="55"/>
      <c r="O23" s="54"/>
      <c r="P23" s="54"/>
      <c r="Q23" s="54"/>
      <c r="R23" s="54"/>
      <c r="S23" s="54"/>
      <c r="T23" s="54"/>
      <c r="U23" s="54"/>
      <c r="V23" s="54"/>
      <c r="W23" s="54"/>
      <c r="X23" s="55"/>
      <c r="Y23" s="55"/>
      <c r="Z23" s="57"/>
      <c r="AA23" s="57"/>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59"/>
      <c r="BT23" s="59"/>
      <c r="BU23" s="59"/>
      <c r="BV23" s="59"/>
      <c r="BW23" s="59"/>
      <c r="BX23" s="56"/>
      <c r="BY23" s="56"/>
    </row>
    <row r="24" spans="2:77" ht="5.25" customHeight="1" x14ac:dyDescent="0.25">
      <c r="B24" s="188"/>
      <c r="C24" s="189"/>
      <c r="D24" s="189"/>
      <c r="E24" s="189"/>
      <c r="F24" s="189"/>
      <c r="G24" s="189"/>
      <c r="H24" s="189"/>
      <c r="I24" s="189"/>
      <c r="J24" s="189"/>
      <c r="K24" s="189"/>
      <c r="L24" s="189"/>
      <c r="M24" s="189"/>
      <c r="N24" s="189"/>
      <c r="O24" s="190"/>
      <c r="P24" s="190"/>
      <c r="Q24" s="190"/>
      <c r="R24" s="190"/>
      <c r="S24" s="190"/>
      <c r="T24" s="190"/>
      <c r="U24" s="190"/>
      <c r="V24" s="190"/>
      <c r="W24" s="190"/>
      <c r="X24" s="191"/>
      <c r="Y24" s="191"/>
      <c r="Z24" s="192"/>
      <c r="AA24" s="192"/>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4"/>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56"/>
      <c r="BY24" s="56"/>
    </row>
    <row r="25" spans="2:77" ht="5.25" customHeight="1" x14ac:dyDescent="0.25">
      <c r="B25" s="195"/>
      <c r="C25" s="54"/>
      <c r="D25" s="54"/>
      <c r="E25" s="54"/>
      <c r="F25" s="54"/>
      <c r="G25" s="54"/>
      <c r="H25" s="54"/>
      <c r="I25" s="54"/>
      <c r="J25" s="54"/>
      <c r="K25" s="54"/>
      <c r="L25" s="54"/>
      <c r="M25" s="54"/>
      <c r="N25" s="54"/>
      <c r="O25" s="54"/>
      <c r="P25" s="54"/>
      <c r="Q25" s="54"/>
      <c r="R25" s="54"/>
      <c r="S25" s="54"/>
      <c r="T25" s="54"/>
      <c r="U25" s="54"/>
      <c r="V25" s="54"/>
      <c r="W25" s="54"/>
      <c r="X25" s="54"/>
      <c r="Y25" s="54"/>
      <c r="Z25" s="56"/>
      <c r="AA25" s="56"/>
      <c r="AB25" s="208" t="s">
        <v>7626</v>
      </c>
      <c r="AC25" s="209"/>
      <c r="AD25" s="209"/>
      <c r="AE25" s="209"/>
      <c r="AF25" s="209"/>
      <c r="AG25" s="209"/>
      <c r="AH25" s="209"/>
      <c r="AI25" s="209"/>
      <c r="AJ25" s="209"/>
      <c r="AK25" s="209"/>
      <c r="AL25" s="209"/>
      <c r="AM25" s="209"/>
      <c r="AN25" s="209"/>
      <c r="AO25" s="209"/>
      <c r="AP25" s="209"/>
      <c r="AQ25" s="209"/>
      <c r="AR25" s="209"/>
      <c r="AS25" s="209"/>
      <c r="AT25" s="209"/>
      <c r="AU25" s="209"/>
      <c r="AV25" s="209"/>
      <c r="AW25" s="209"/>
      <c r="AX25" s="209"/>
      <c r="AY25" s="196"/>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56"/>
      <c r="BY25" s="56"/>
    </row>
    <row r="26" spans="2:77" ht="5.25" customHeight="1" x14ac:dyDescent="0.25">
      <c r="B26" s="195"/>
      <c r="C26" s="54"/>
      <c r="D26" s="54"/>
      <c r="E26" s="54"/>
      <c r="F26" s="54"/>
      <c r="G26" s="54"/>
      <c r="H26" s="54"/>
      <c r="I26" s="54"/>
      <c r="J26" s="54"/>
      <c r="K26" s="54"/>
      <c r="L26" s="54"/>
      <c r="M26" s="54"/>
      <c r="N26" s="54"/>
      <c r="O26" s="54"/>
      <c r="P26" s="54"/>
      <c r="Q26" s="54"/>
      <c r="R26" s="54"/>
      <c r="S26" s="54"/>
      <c r="T26" s="54"/>
      <c r="U26" s="54"/>
      <c r="V26" s="54"/>
      <c r="W26" s="54"/>
      <c r="X26" s="54"/>
      <c r="Y26" s="54"/>
      <c r="Z26" s="56"/>
      <c r="AA26" s="56"/>
      <c r="AB26" s="208"/>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196"/>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56"/>
      <c r="BY26" s="56"/>
    </row>
    <row r="27" spans="2:77" ht="21" customHeight="1" x14ac:dyDescent="0.25">
      <c r="B27" s="195"/>
      <c r="C27" s="54"/>
      <c r="D27" s="54"/>
      <c r="E27" s="54"/>
      <c r="F27" s="54"/>
      <c r="G27" s="54"/>
      <c r="H27" s="54"/>
      <c r="I27" s="54"/>
      <c r="J27" s="54"/>
      <c r="K27" s="54"/>
      <c r="L27" s="54"/>
      <c r="M27" s="54"/>
      <c r="N27" s="54"/>
      <c r="O27" s="54"/>
      <c r="P27" s="54"/>
      <c r="Q27" s="54"/>
      <c r="R27" s="54"/>
      <c r="S27" s="54"/>
      <c r="T27" s="54"/>
      <c r="U27" s="54"/>
      <c r="V27" s="54"/>
      <c r="W27" s="54"/>
      <c r="X27" s="54"/>
      <c r="Y27" s="54"/>
      <c r="Z27" s="56"/>
      <c r="AA27" s="56"/>
      <c r="AB27" s="210" t="s">
        <v>6928</v>
      </c>
      <c r="AC27" s="210"/>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196"/>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56"/>
      <c r="BY27" s="56"/>
    </row>
    <row r="28" spans="2:77" ht="5.25" customHeight="1" thickBot="1" x14ac:dyDescent="0.3">
      <c r="B28" s="197"/>
      <c r="C28" s="198"/>
      <c r="D28" s="198"/>
      <c r="E28" s="198"/>
      <c r="F28" s="198"/>
      <c r="G28" s="198"/>
      <c r="H28" s="198"/>
      <c r="I28" s="198"/>
      <c r="J28" s="198"/>
      <c r="K28" s="198"/>
      <c r="L28" s="198"/>
      <c r="M28" s="198"/>
      <c r="N28" s="198"/>
      <c r="O28" s="198"/>
      <c r="P28" s="198"/>
      <c r="Q28" s="198"/>
      <c r="R28" s="198"/>
      <c r="S28" s="198"/>
      <c r="T28" s="198"/>
      <c r="U28" s="198"/>
      <c r="V28" s="198"/>
      <c r="W28" s="198"/>
      <c r="X28" s="198"/>
      <c r="Y28" s="198"/>
      <c r="Z28" s="199"/>
      <c r="AA28" s="199"/>
      <c r="AB28" s="200"/>
      <c r="AC28" s="200"/>
      <c r="AD28" s="200"/>
      <c r="AE28" s="200"/>
      <c r="AF28" s="200"/>
      <c r="AG28" s="200"/>
      <c r="AH28" s="200"/>
      <c r="AI28" s="200"/>
      <c r="AJ28" s="200"/>
      <c r="AK28" s="200"/>
      <c r="AL28" s="200"/>
      <c r="AM28" s="200"/>
      <c r="AN28" s="200"/>
      <c r="AO28" s="200"/>
      <c r="AP28" s="200"/>
      <c r="AQ28" s="200"/>
      <c r="AR28" s="200"/>
      <c r="AS28" s="200"/>
      <c r="AT28" s="200"/>
      <c r="AU28" s="200"/>
      <c r="AV28" s="200"/>
      <c r="AW28" s="200"/>
      <c r="AX28" s="200"/>
      <c r="AY28" s="201"/>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56"/>
      <c r="BY28" s="56"/>
    </row>
    <row r="29" spans="2:77" ht="5.25" customHeight="1" x14ac:dyDescent="0.25">
      <c r="Z29" s="58"/>
      <c r="AA29" s="58"/>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6"/>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row>
    <row r="30" spans="2:77" ht="5.25" customHeight="1" x14ac:dyDescent="0.25">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6"/>
      <c r="AZ30" s="56"/>
      <c r="BA30" s="56"/>
      <c r="BB30" s="56"/>
      <c r="BC30" s="56"/>
      <c r="BD30" s="56"/>
      <c r="BE30" s="56"/>
      <c r="BF30" s="56"/>
      <c r="BG30" s="56"/>
      <c r="BH30" s="56"/>
      <c r="BI30" s="56"/>
      <c r="BJ30" s="56"/>
      <c r="BK30" s="56"/>
      <c r="BL30" s="56"/>
      <c r="BM30" s="56"/>
      <c r="BN30" s="56"/>
      <c r="BO30" s="56"/>
      <c r="BP30" s="56"/>
      <c r="BQ30" s="56"/>
      <c r="BR30" s="56"/>
      <c r="BS30" s="56"/>
      <c r="BT30" s="56"/>
      <c r="BU30" s="56"/>
      <c r="BV30" s="56"/>
      <c r="BW30" s="56"/>
      <c r="BX30" s="56"/>
      <c r="BY30" s="56"/>
    </row>
    <row r="31" spans="2:77" ht="5.25" customHeight="1" x14ac:dyDescent="0.25">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8"/>
      <c r="AZ31" s="58"/>
    </row>
    <row r="32" spans="2:77" ht="5.25" customHeight="1" x14ac:dyDescent="0.25">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87" spans="31:53" ht="5.25" customHeight="1" x14ac:dyDescent="0.25">
      <c r="AE87" s="211"/>
      <c r="AF87" s="212"/>
      <c r="AG87" s="212"/>
      <c r="AH87" s="212"/>
      <c r="AI87" s="212"/>
      <c r="AJ87" s="212"/>
      <c r="AK87" s="212"/>
      <c r="AL87" s="212"/>
      <c r="AM87" s="212"/>
      <c r="AN87" s="212"/>
      <c r="AO87" s="212"/>
      <c r="AP87" s="212"/>
      <c r="AQ87" s="212"/>
      <c r="AR87" s="212"/>
      <c r="AS87" s="212"/>
      <c r="AT87" s="212"/>
      <c r="AU87" s="212"/>
      <c r="AV87" s="212"/>
      <c r="AW87" s="212"/>
      <c r="AX87" s="212"/>
      <c r="AY87" s="212"/>
      <c r="AZ87" s="212"/>
      <c r="BA87" s="213"/>
    </row>
    <row r="88" spans="31:53" ht="5.25" customHeight="1" x14ac:dyDescent="0.25">
      <c r="AE88" s="214"/>
      <c r="AF88" s="215"/>
      <c r="AG88" s="215"/>
      <c r="AH88" s="215"/>
      <c r="AI88" s="215"/>
      <c r="AJ88" s="215"/>
      <c r="AK88" s="215"/>
      <c r="AL88" s="215"/>
      <c r="AM88" s="215"/>
      <c r="AN88" s="215"/>
      <c r="AO88" s="215"/>
      <c r="AP88" s="215"/>
      <c r="AQ88" s="215"/>
      <c r="AR88" s="215"/>
      <c r="AS88" s="215"/>
      <c r="AT88" s="215"/>
      <c r="AU88" s="215"/>
      <c r="AV88" s="215"/>
      <c r="AW88" s="215"/>
      <c r="AX88" s="215"/>
      <c r="AY88" s="215"/>
      <c r="AZ88" s="215"/>
      <c r="BA88" s="216"/>
    </row>
    <row r="89" spans="31:53" ht="5.25" customHeight="1" x14ac:dyDescent="0.25">
      <c r="AE89" s="214"/>
      <c r="AF89" s="215"/>
      <c r="AG89" s="215"/>
      <c r="AH89" s="215"/>
      <c r="AI89" s="215"/>
      <c r="AJ89" s="215"/>
      <c r="AK89" s="215"/>
      <c r="AL89" s="215"/>
      <c r="AM89" s="215"/>
      <c r="AN89" s="215"/>
      <c r="AO89" s="215"/>
      <c r="AP89" s="215"/>
      <c r="AQ89" s="215"/>
      <c r="AR89" s="215"/>
      <c r="AS89" s="215"/>
      <c r="AT89" s="215"/>
      <c r="AU89" s="215"/>
      <c r="AV89" s="215"/>
      <c r="AW89" s="215"/>
      <c r="AX89" s="215"/>
      <c r="AY89" s="215"/>
      <c r="AZ89" s="215"/>
      <c r="BA89" s="216"/>
    </row>
    <row r="90" spans="31:53" ht="5.25" customHeight="1" x14ac:dyDescent="0.25">
      <c r="AE90" s="214"/>
      <c r="AF90" s="215"/>
      <c r="AG90" s="215"/>
      <c r="AH90" s="215"/>
      <c r="AI90" s="215"/>
      <c r="AJ90" s="215"/>
      <c r="AK90" s="215"/>
      <c r="AL90" s="215"/>
      <c r="AM90" s="215"/>
      <c r="AN90" s="215"/>
      <c r="AO90" s="215"/>
      <c r="AP90" s="215"/>
      <c r="AQ90" s="215"/>
      <c r="AR90" s="215"/>
      <c r="AS90" s="215"/>
      <c r="AT90" s="215"/>
      <c r="AU90" s="215"/>
      <c r="AV90" s="215"/>
      <c r="AW90" s="215"/>
      <c r="AX90" s="215"/>
      <c r="AY90" s="215"/>
      <c r="AZ90" s="215"/>
      <c r="BA90" s="216"/>
    </row>
    <row r="91" spans="31:53" ht="5.25" customHeight="1" x14ac:dyDescent="0.25">
      <c r="AE91" s="214"/>
      <c r="AF91" s="215"/>
      <c r="AG91" s="215"/>
      <c r="AH91" s="215"/>
      <c r="AI91" s="215"/>
      <c r="AJ91" s="215"/>
      <c r="AK91" s="215"/>
      <c r="AL91" s="215"/>
      <c r="AM91" s="215"/>
      <c r="AN91" s="215"/>
      <c r="AO91" s="215"/>
      <c r="AP91" s="215"/>
      <c r="AQ91" s="215"/>
      <c r="AR91" s="215"/>
      <c r="AS91" s="215"/>
      <c r="AT91" s="215"/>
      <c r="AU91" s="215"/>
      <c r="AV91" s="215"/>
      <c r="AW91" s="215"/>
      <c r="AX91" s="215"/>
      <c r="AY91" s="215"/>
      <c r="AZ91" s="215"/>
      <c r="BA91" s="216"/>
    </row>
    <row r="92" spans="31:53" ht="5.25" customHeight="1" x14ac:dyDescent="0.25">
      <c r="AE92" s="217"/>
      <c r="AF92" s="218"/>
      <c r="AG92" s="218"/>
      <c r="AH92" s="218"/>
      <c r="AI92" s="218"/>
      <c r="AJ92" s="218"/>
      <c r="AK92" s="218"/>
      <c r="AL92" s="218"/>
      <c r="AM92" s="218"/>
      <c r="AN92" s="218"/>
      <c r="AO92" s="218"/>
      <c r="AP92" s="218"/>
      <c r="AQ92" s="218"/>
      <c r="AR92" s="218"/>
      <c r="AS92" s="218"/>
      <c r="AT92" s="218"/>
      <c r="AU92" s="218"/>
      <c r="AV92" s="218"/>
      <c r="AW92" s="218"/>
      <c r="AX92" s="218"/>
      <c r="AY92" s="218"/>
      <c r="AZ92" s="218"/>
      <c r="BA92" s="219"/>
    </row>
  </sheetData>
  <mergeCells count="9">
    <mergeCell ref="AB27:AX27"/>
    <mergeCell ref="AE87:BA92"/>
    <mergeCell ref="AA9:AW16"/>
    <mergeCell ref="B9:X16"/>
    <mergeCell ref="B2:X5"/>
    <mergeCell ref="AA2:AW5"/>
    <mergeCell ref="AB19:AX20"/>
    <mergeCell ref="AB25:AX26"/>
    <mergeCell ref="AB21:AX21"/>
  </mergeCells>
  <dataValidations count="2">
    <dataValidation type="list" allowBlank="1" showInputMessage="1" showErrorMessage="1" sqref="AB21:AX21">
      <formula1>morningstar_picker</formula1>
    </dataValidation>
    <dataValidation type="list" allowBlank="1" showInputMessage="1" showErrorMessage="1" sqref="AB27:AX27">
      <formula1>lipper_picker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mport_morningstar">
                <anchor moveWithCells="1" sizeWithCells="1">
                  <from>
                    <xdr:col>2</xdr:col>
                    <xdr:colOff>9525</xdr:colOff>
                    <xdr:row>17</xdr:row>
                    <xdr:rowOff>57150</xdr:rowOff>
                  </from>
                  <to>
                    <xdr:col>24</xdr:col>
                    <xdr:colOff>47625</xdr:colOff>
                    <xdr:row>20</xdr:row>
                    <xdr:rowOff>266700</xdr:rowOff>
                  </to>
                </anchor>
              </controlPr>
            </control>
          </mc:Choice>
        </mc:AlternateContent>
        <mc:AlternateContent xmlns:mc="http://schemas.openxmlformats.org/markup-compatibility/2006">
          <mc:Choice Requires="x14">
            <control shapeId="2050" r:id="rId5" name="Button 2">
              <controlPr defaultSize="0" print="0" autoFill="0" autoPict="0" macro="[0]!import_lipper">
                <anchor moveWithCells="1" sizeWithCells="1">
                  <from>
                    <xdr:col>2</xdr:col>
                    <xdr:colOff>9525</xdr:colOff>
                    <xdr:row>24</xdr:row>
                    <xdr:rowOff>9525</xdr:rowOff>
                  </from>
                  <to>
                    <xdr:col>24</xdr:col>
                    <xdr:colOff>47625</xdr:colOff>
                    <xdr:row>27</xdr:row>
                    <xdr:rowOff>0</xdr:rowOff>
                  </to>
                </anchor>
              </controlPr>
            </control>
          </mc:Choice>
        </mc:AlternateContent>
        <mc:AlternateContent xmlns:mc="http://schemas.openxmlformats.org/markup-compatibility/2006">
          <mc:Choice Requires="x14">
            <control shapeId="2051" r:id="rId6" name="Scroll Bar 3">
              <controlPr defaultSize="0" autoPict="0">
                <anchor moveWithCells="1">
                  <from>
                    <xdr:col>1</xdr:col>
                    <xdr:colOff>28575</xdr:colOff>
                    <xdr:row>5</xdr:row>
                    <xdr:rowOff>28575</xdr:rowOff>
                  </from>
                  <to>
                    <xdr:col>22</xdr:col>
                    <xdr:colOff>66675</xdr:colOff>
                    <xdr:row>7</xdr:row>
                    <xdr:rowOff>38100</xdr:rowOff>
                  </to>
                </anchor>
              </controlPr>
            </control>
          </mc:Choice>
        </mc:AlternateContent>
        <mc:AlternateContent xmlns:mc="http://schemas.openxmlformats.org/markup-compatibility/2006">
          <mc:Choice Requires="x14">
            <control shapeId="2054" r:id="rId7" name="Scroll Bar 6">
              <controlPr defaultSize="0" autoPict="0">
                <anchor moveWithCells="1">
                  <from>
                    <xdr:col>27</xdr:col>
                    <xdr:colOff>0</xdr:colOff>
                    <xdr:row>5</xdr:row>
                    <xdr:rowOff>28575</xdr:rowOff>
                  </from>
                  <to>
                    <xdr:col>48</xdr:col>
                    <xdr:colOff>47625</xdr:colOff>
                    <xdr:row>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2:EC60"/>
  <sheetViews>
    <sheetView zoomScaleNormal="100" workbookViewId="0">
      <selection activeCell="AP93" sqref="AP93"/>
    </sheetView>
  </sheetViews>
  <sheetFormatPr baseColWidth="10" defaultColWidth="1" defaultRowHeight="5.25" customHeight="1" x14ac:dyDescent="0.25"/>
  <cols>
    <col min="1" max="25" width="1" style="2"/>
    <col min="26" max="26" width="1.140625" style="2" customWidth="1"/>
    <col min="27" max="128" width="1" style="2"/>
    <col min="129" max="129" width="6.5703125" style="2" customWidth="1"/>
    <col min="130" max="130" width="1" style="2" customWidth="1"/>
    <col min="131" max="131" width="6.5703125" style="2" customWidth="1"/>
    <col min="132" max="132" width="1" style="2" customWidth="1"/>
    <col min="133" max="133" width="6.5703125" style="2" customWidth="1"/>
    <col min="134" max="140" width="0.7109375" style="2" customWidth="1"/>
    <col min="141" max="16384" width="1" style="2"/>
  </cols>
  <sheetData>
    <row r="2" spans="3:133" ht="5.25" customHeight="1" x14ac:dyDescent="0.25">
      <c r="C2" s="255" t="s">
        <v>6</v>
      </c>
      <c r="D2" s="256"/>
      <c r="E2" s="256"/>
      <c r="F2" s="256"/>
      <c r="G2" s="256"/>
      <c r="H2" s="256"/>
      <c r="I2" s="256"/>
      <c r="J2" s="256"/>
      <c r="K2" s="256"/>
      <c r="L2" s="256"/>
      <c r="M2" s="256"/>
      <c r="N2" s="256"/>
      <c r="O2" s="256"/>
      <c r="P2" s="256"/>
      <c r="Q2" s="256"/>
      <c r="R2" s="256"/>
      <c r="S2" s="256"/>
      <c r="T2" s="256"/>
      <c r="U2" s="256"/>
      <c r="V2" s="256"/>
      <c r="W2" s="256"/>
      <c r="X2" s="256"/>
      <c r="Y2" s="257"/>
      <c r="AA2" s="255" t="s">
        <v>1</v>
      </c>
      <c r="AB2" s="256"/>
      <c r="AC2" s="256"/>
      <c r="AD2" s="256"/>
      <c r="AE2" s="256"/>
      <c r="AF2" s="256"/>
      <c r="AG2" s="256"/>
      <c r="AH2" s="256"/>
      <c r="AI2" s="256"/>
      <c r="AJ2" s="256"/>
      <c r="AK2" s="256"/>
      <c r="AL2" s="256"/>
      <c r="AM2" s="256"/>
      <c r="AN2" s="256"/>
      <c r="AO2" s="256"/>
      <c r="AP2" s="256"/>
      <c r="AQ2" s="256"/>
      <c r="AR2" s="256"/>
      <c r="AS2" s="256"/>
      <c r="AT2" s="256"/>
      <c r="AU2" s="256"/>
      <c r="AV2" s="256"/>
      <c r="AW2" s="257"/>
      <c r="AX2" s="1"/>
      <c r="AZ2" s="255" t="s">
        <v>0</v>
      </c>
      <c r="BA2" s="256"/>
      <c r="BB2" s="256"/>
      <c r="BC2" s="256"/>
      <c r="BD2" s="256"/>
      <c r="BE2" s="256"/>
      <c r="BF2" s="256"/>
      <c r="BG2" s="256"/>
      <c r="BH2" s="256"/>
      <c r="BI2" s="256"/>
      <c r="BJ2" s="256"/>
      <c r="BK2" s="256"/>
      <c r="BL2" s="256"/>
      <c r="BM2" s="256"/>
      <c r="BN2" s="256"/>
      <c r="BO2" s="256"/>
      <c r="BP2" s="256"/>
      <c r="BQ2" s="256"/>
      <c r="BR2" s="256"/>
      <c r="BS2" s="256"/>
      <c r="BT2" s="256"/>
      <c r="BU2" s="256"/>
      <c r="BV2" s="257"/>
      <c r="BY2" s="264" t="s">
        <v>2</v>
      </c>
      <c r="BZ2" s="265"/>
      <c r="CA2" s="265"/>
      <c r="CB2" s="265"/>
      <c r="CC2" s="265"/>
      <c r="CD2" s="265"/>
      <c r="CE2" s="265"/>
      <c r="CF2" s="265"/>
      <c r="CG2" s="265"/>
      <c r="CH2" s="265"/>
      <c r="CI2" s="265"/>
      <c r="CJ2" s="265"/>
      <c r="CK2" s="265"/>
      <c r="CL2" s="265"/>
      <c r="CM2" s="265"/>
      <c r="CN2" s="265"/>
      <c r="CO2" s="265"/>
      <c r="CP2" s="265"/>
      <c r="CQ2" s="265"/>
      <c r="CR2" s="265"/>
      <c r="CS2" s="265"/>
      <c r="CT2" s="265"/>
      <c r="CU2" s="266"/>
      <c r="CW2" s="252" t="s">
        <v>3</v>
      </c>
      <c r="CX2" s="253"/>
      <c r="CY2" s="253"/>
      <c r="CZ2" s="253"/>
      <c r="DA2" s="253"/>
      <c r="DB2" s="253"/>
      <c r="DC2" s="253"/>
      <c r="DD2" s="253"/>
      <c r="DE2" s="253"/>
      <c r="DF2" s="253"/>
      <c r="DG2" s="253"/>
      <c r="DH2" s="253"/>
      <c r="DI2" s="253"/>
      <c r="DJ2" s="253"/>
      <c r="DK2" s="253"/>
      <c r="DL2" s="253"/>
      <c r="DM2" s="253"/>
      <c r="DN2" s="253"/>
      <c r="DO2" s="253"/>
      <c r="DP2" s="253"/>
      <c r="DQ2" s="253"/>
      <c r="DR2" s="253"/>
      <c r="DS2" s="254"/>
      <c r="DY2" s="239" t="str">
        <f>floor&amp;"%"</f>
        <v>0%</v>
      </c>
      <c r="EA2" s="239" t="str">
        <f>lvl_max</f>
        <v>50%</v>
      </c>
      <c r="EC2" s="226">
        <f>lvl_max-(increment*3/100)</f>
        <v>0.2</v>
      </c>
    </row>
    <row r="3" spans="3:133" ht="5.25" customHeight="1" x14ac:dyDescent="0.25">
      <c r="C3" s="258"/>
      <c r="D3" s="259"/>
      <c r="E3" s="259"/>
      <c r="F3" s="259"/>
      <c r="G3" s="259"/>
      <c r="H3" s="259"/>
      <c r="I3" s="259"/>
      <c r="J3" s="259"/>
      <c r="K3" s="259"/>
      <c r="L3" s="259"/>
      <c r="M3" s="259"/>
      <c r="N3" s="259"/>
      <c r="O3" s="259"/>
      <c r="P3" s="259"/>
      <c r="Q3" s="259"/>
      <c r="R3" s="259"/>
      <c r="S3" s="259"/>
      <c r="T3" s="259"/>
      <c r="U3" s="259"/>
      <c r="V3" s="259"/>
      <c r="W3" s="259"/>
      <c r="X3" s="259"/>
      <c r="Y3" s="260"/>
      <c r="AA3" s="258"/>
      <c r="AB3" s="259"/>
      <c r="AC3" s="259"/>
      <c r="AD3" s="259"/>
      <c r="AE3" s="259"/>
      <c r="AF3" s="259"/>
      <c r="AG3" s="259"/>
      <c r="AH3" s="259"/>
      <c r="AI3" s="259"/>
      <c r="AJ3" s="259"/>
      <c r="AK3" s="259"/>
      <c r="AL3" s="259"/>
      <c r="AM3" s="259"/>
      <c r="AN3" s="259"/>
      <c r="AO3" s="259"/>
      <c r="AP3" s="259"/>
      <c r="AQ3" s="259"/>
      <c r="AR3" s="259"/>
      <c r="AS3" s="259"/>
      <c r="AT3" s="259"/>
      <c r="AU3" s="259"/>
      <c r="AV3" s="259"/>
      <c r="AW3" s="260"/>
      <c r="AX3" s="1"/>
      <c r="AZ3" s="258"/>
      <c r="BA3" s="259"/>
      <c r="BB3" s="259"/>
      <c r="BC3" s="259"/>
      <c r="BD3" s="259"/>
      <c r="BE3" s="259"/>
      <c r="BF3" s="259"/>
      <c r="BG3" s="259"/>
      <c r="BH3" s="259"/>
      <c r="BI3" s="259"/>
      <c r="BJ3" s="259"/>
      <c r="BK3" s="259"/>
      <c r="BL3" s="259"/>
      <c r="BM3" s="259"/>
      <c r="BN3" s="259"/>
      <c r="BO3" s="259"/>
      <c r="BP3" s="259"/>
      <c r="BQ3" s="259"/>
      <c r="BR3" s="259"/>
      <c r="BS3" s="259"/>
      <c r="BT3" s="259"/>
      <c r="BU3" s="259"/>
      <c r="BV3" s="260"/>
      <c r="BY3" s="267"/>
      <c r="BZ3" s="268"/>
      <c r="CA3" s="268"/>
      <c r="CB3" s="268"/>
      <c r="CC3" s="268"/>
      <c r="CD3" s="268"/>
      <c r="CE3" s="268"/>
      <c r="CF3" s="268"/>
      <c r="CG3" s="268"/>
      <c r="CH3" s="268"/>
      <c r="CI3" s="268"/>
      <c r="CJ3" s="268"/>
      <c r="CK3" s="268"/>
      <c r="CL3" s="268"/>
      <c r="CM3" s="268"/>
      <c r="CN3" s="268"/>
      <c r="CO3" s="268"/>
      <c r="CP3" s="268"/>
      <c r="CQ3" s="268"/>
      <c r="CR3" s="268"/>
      <c r="CS3" s="268"/>
      <c r="CT3" s="268"/>
      <c r="CU3" s="269"/>
      <c r="CW3" s="220"/>
      <c r="CX3" s="221"/>
      <c r="CY3" s="221"/>
      <c r="CZ3" s="221"/>
      <c r="DA3" s="221"/>
      <c r="DB3" s="221"/>
      <c r="DC3" s="221"/>
      <c r="DD3" s="221"/>
      <c r="DE3" s="221"/>
      <c r="DF3" s="221"/>
      <c r="DG3" s="221"/>
      <c r="DH3" s="221"/>
      <c r="DI3" s="221"/>
      <c r="DJ3" s="221"/>
      <c r="DK3" s="221"/>
      <c r="DL3" s="221"/>
      <c r="DM3" s="221"/>
      <c r="DN3" s="221"/>
      <c r="DO3" s="221"/>
      <c r="DP3" s="221"/>
      <c r="DQ3" s="221"/>
      <c r="DR3" s="221"/>
      <c r="DS3" s="222"/>
      <c r="DY3" s="239"/>
      <c r="EA3" s="239"/>
      <c r="EC3" s="226"/>
    </row>
    <row r="4" spans="3:133" ht="5.25" customHeight="1" x14ac:dyDescent="0.25">
      <c r="C4" s="258"/>
      <c r="D4" s="259"/>
      <c r="E4" s="259"/>
      <c r="F4" s="259"/>
      <c r="G4" s="259"/>
      <c r="H4" s="259"/>
      <c r="I4" s="259"/>
      <c r="J4" s="259"/>
      <c r="K4" s="259"/>
      <c r="L4" s="259"/>
      <c r="M4" s="259"/>
      <c r="N4" s="259"/>
      <c r="O4" s="259"/>
      <c r="P4" s="259"/>
      <c r="Q4" s="259"/>
      <c r="R4" s="259"/>
      <c r="S4" s="259"/>
      <c r="T4" s="259"/>
      <c r="U4" s="259"/>
      <c r="V4" s="259"/>
      <c r="W4" s="259"/>
      <c r="X4" s="259"/>
      <c r="Y4" s="260"/>
      <c r="AA4" s="258"/>
      <c r="AB4" s="259"/>
      <c r="AC4" s="259"/>
      <c r="AD4" s="259"/>
      <c r="AE4" s="259"/>
      <c r="AF4" s="259"/>
      <c r="AG4" s="259"/>
      <c r="AH4" s="259"/>
      <c r="AI4" s="259"/>
      <c r="AJ4" s="259"/>
      <c r="AK4" s="259"/>
      <c r="AL4" s="259"/>
      <c r="AM4" s="259"/>
      <c r="AN4" s="259"/>
      <c r="AO4" s="259"/>
      <c r="AP4" s="259"/>
      <c r="AQ4" s="259"/>
      <c r="AR4" s="259"/>
      <c r="AS4" s="259"/>
      <c r="AT4" s="259"/>
      <c r="AU4" s="259"/>
      <c r="AV4" s="259"/>
      <c r="AW4" s="260"/>
      <c r="AX4" s="1"/>
      <c r="AZ4" s="258"/>
      <c r="BA4" s="259"/>
      <c r="BB4" s="259"/>
      <c r="BC4" s="259"/>
      <c r="BD4" s="259"/>
      <c r="BE4" s="259"/>
      <c r="BF4" s="259"/>
      <c r="BG4" s="259"/>
      <c r="BH4" s="259"/>
      <c r="BI4" s="259"/>
      <c r="BJ4" s="259"/>
      <c r="BK4" s="259"/>
      <c r="BL4" s="259"/>
      <c r="BM4" s="259"/>
      <c r="BN4" s="259"/>
      <c r="BO4" s="259"/>
      <c r="BP4" s="259"/>
      <c r="BQ4" s="259"/>
      <c r="BR4" s="259"/>
      <c r="BS4" s="259"/>
      <c r="BT4" s="259"/>
      <c r="BU4" s="259"/>
      <c r="BV4" s="260"/>
      <c r="BY4" s="267"/>
      <c r="BZ4" s="268"/>
      <c r="CA4" s="268"/>
      <c r="CB4" s="268"/>
      <c r="CC4" s="268"/>
      <c r="CD4" s="268"/>
      <c r="CE4" s="268"/>
      <c r="CF4" s="268"/>
      <c r="CG4" s="268"/>
      <c r="CH4" s="268"/>
      <c r="CI4" s="268"/>
      <c r="CJ4" s="268"/>
      <c r="CK4" s="268"/>
      <c r="CL4" s="268"/>
      <c r="CM4" s="268"/>
      <c r="CN4" s="268"/>
      <c r="CO4" s="268"/>
      <c r="CP4" s="268"/>
      <c r="CQ4" s="268"/>
      <c r="CR4" s="268"/>
      <c r="CS4" s="268"/>
      <c r="CT4" s="268"/>
      <c r="CU4" s="269"/>
      <c r="CW4" s="220"/>
      <c r="CX4" s="221"/>
      <c r="CY4" s="221"/>
      <c r="CZ4" s="221"/>
      <c r="DA4" s="221"/>
      <c r="DB4" s="221"/>
      <c r="DC4" s="221"/>
      <c r="DD4" s="221"/>
      <c r="DE4" s="221"/>
      <c r="DF4" s="221"/>
      <c r="DG4" s="221"/>
      <c r="DH4" s="221"/>
      <c r="DI4" s="221"/>
      <c r="DJ4" s="221"/>
      <c r="DK4" s="221"/>
      <c r="DL4" s="221"/>
      <c r="DM4" s="221"/>
      <c r="DN4" s="221"/>
      <c r="DO4" s="221"/>
      <c r="DP4" s="221"/>
      <c r="DQ4" s="221"/>
      <c r="DR4" s="221"/>
      <c r="DS4" s="222"/>
      <c r="DY4" s="239"/>
      <c r="EA4" s="239"/>
      <c r="EC4" s="226"/>
    </row>
    <row r="5" spans="3:133" ht="5.25" customHeight="1" x14ac:dyDescent="0.25">
      <c r="C5" s="258"/>
      <c r="D5" s="259"/>
      <c r="E5" s="259"/>
      <c r="F5" s="259"/>
      <c r="G5" s="259"/>
      <c r="H5" s="259"/>
      <c r="I5" s="259"/>
      <c r="J5" s="259"/>
      <c r="K5" s="259"/>
      <c r="L5" s="259"/>
      <c r="M5" s="259"/>
      <c r="N5" s="259"/>
      <c r="O5" s="259"/>
      <c r="P5" s="259"/>
      <c r="Q5" s="259"/>
      <c r="R5" s="259"/>
      <c r="S5" s="259"/>
      <c r="T5" s="259"/>
      <c r="U5" s="259"/>
      <c r="V5" s="259"/>
      <c r="W5" s="259"/>
      <c r="X5" s="259"/>
      <c r="Y5" s="260"/>
      <c r="AA5" s="258"/>
      <c r="AB5" s="259"/>
      <c r="AC5" s="259"/>
      <c r="AD5" s="259"/>
      <c r="AE5" s="259"/>
      <c r="AF5" s="259"/>
      <c r="AG5" s="259"/>
      <c r="AH5" s="259"/>
      <c r="AI5" s="259"/>
      <c r="AJ5" s="259"/>
      <c r="AK5" s="259"/>
      <c r="AL5" s="259"/>
      <c r="AM5" s="259"/>
      <c r="AN5" s="259"/>
      <c r="AO5" s="259"/>
      <c r="AP5" s="259"/>
      <c r="AQ5" s="259"/>
      <c r="AR5" s="259"/>
      <c r="AS5" s="259"/>
      <c r="AT5" s="259"/>
      <c r="AU5" s="259"/>
      <c r="AV5" s="259"/>
      <c r="AW5" s="260"/>
      <c r="AX5" s="1"/>
      <c r="AZ5" s="258"/>
      <c r="BA5" s="259"/>
      <c r="BB5" s="259"/>
      <c r="BC5" s="259"/>
      <c r="BD5" s="259"/>
      <c r="BE5" s="259"/>
      <c r="BF5" s="259"/>
      <c r="BG5" s="259"/>
      <c r="BH5" s="259"/>
      <c r="BI5" s="259"/>
      <c r="BJ5" s="259"/>
      <c r="BK5" s="259"/>
      <c r="BL5" s="259"/>
      <c r="BM5" s="259"/>
      <c r="BN5" s="259"/>
      <c r="BO5" s="259"/>
      <c r="BP5" s="259"/>
      <c r="BQ5" s="259"/>
      <c r="BR5" s="259"/>
      <c r="BS5" s="259"/>
      <c r="BT5" s="259"/>
      <c r="BU5" s="259"/>
      <c r="BV5" s="260"/>
      <c r="BY5" s="267"/>
      <c r="BZ5" s="268"/>
      <c r="CA5" s="268"/>
      <c r="CB5" s="268"/>
      <c r="CC5" s="268"/>
      <c r="CD5" s="268"/>
      <c r="CE5" s="268"/>
      <c r="CF5" s="268"/>
      <c r="CG5" s="268"/>
      <c r="CH5" s="268"/>
      <c r="CI5" s="268"/>
      <c r="CJ5" s="268"/>
      <c r="CK5" s="268"/>
      <c r="CL5" s="268"/>
      <c r="CM5" s="268"/>
      <c r="CN5" s="268"/>
      <c r="CO5" s="268"/>
      <c r="CP5" s="268"/>
      <c r="CQ5" s="268"/>
      <c r="CR5" s="268"/>
      <c r="CS5" s="268"/>
      <c r="CT5" s="268"/>
      <c r="CU5" s="269"/>
      <c r="CW5" s="220"/>
      <c r="CX5" s="221"/>
      <c r="CY5" s="221"/>
      <c r="CZ5" s="221"/>
      <c r="DA5" s="221"/>
      <c r="DB5" s="221"/>
      <c r="DC5" s="221"/>
      <c r="DD5" s="221"/>
      <c r="DE5" s="221"/>
      <c r="DF5" s="221"/>
      <c r="DG5" s="221"/>
      <c r="DH5" s="221"/>
      <c r="DI5" s="221"/>
      <c r="DJ5" s="221"/>
      <c r="DK5" s="221"/>
      <c r="DL5" s="221"/>
      <c r="DM5" s="221"/>
      <c r="DN5" s="221"/>
      <c r="DO5" s="221"/>
      <c r="DP5" s="221"/>
      <c r="DQ5" s="221"/>
      <c r="DR5" s="221"/>
      <c r="DS5" s="222"/>
    </row>
    <row r="6" spans="3:133" ht="5.25" customHeight="1" x14ac:dyDescent="0.25">
      <c r="C6" s="261"/>
      <c r="D6" s="262"/>
      <c r="E6" s="262"/>
      <c r="F6" s="262"/>
      <c r="G6" s="262"/>
      <c r="H6" s="262"/>
      <c r="I6" s="262"/>
      <c r="J6" s="262"/>
      <c r="K6" s="262"/>
      <c r="L6" s="262"/>
      <c r="M6" s="262"/>
      <c r="N6" s="262"/>
      <c r="O6" s="262"/>
      <c r="P6" s="262"/>
      <c r="Q6" s="262"/>
      <c r="R6" s="262"/>
      <c r="S6" s="262"/>
      <c r="T6" s="262"/>
      <c r="U6" s="262"/>
      <c r="V6" s="262"/>
      <c r="W6" s="262"/>
      <c r="X6" s="262"/>
      <c r="Y6" s="263"/>
      <c r="AA6" s="261"/>
      <c r="AB6" s="262"/>
      <c r="AC6" s="262"/>
      <c r="AD6" s="262"/>
      <c r="AE6" s="262"/>
      <c r="AF6" s="262"/>
      <c r="AG6" s="262"/>
      <c r="AH6" s="262"/>
      <c r="AI6" s="262"/>
      <c r="AJ6" s="262"/>
      <c r="AK6" s="262"/>
      <c r="AL6" s="262"/>
      <c r="AM6" s="262"/>
      <c r="AN6" s="262"/>
      <c r="AO6" s="262"/>
      <c r="AP6" s="262"/>
      <c r="AQ6" s="262"/>
      <c r="AR6" s="262"/>
      <c r="AS6" s="262"/>
      <c r="AT6" s="262"/>
      <c r="AU6" s="262"/>
      <c r="AV6" s="262"/>
      <c r="AW6" s="263"/>
      <c r="AX6" s="1"/>
      <c r="AZ6" s="261"/>
      <c r="BA6" s="262"/>
      <c r="BB6" s="262"/>
      <c r="BC6" s="262"/>
      <c r="BD6" s="262"/>
      <c r="BE6" s="262"/>
      <c r="BF6" s="262"/>
      <c r="BG6" s="262"/>
      <c r="BH6" s="262"/>
      <c r="BI6" s="262"/>
      <c r="BJ6" s="262"/>
      <c r="BK6" s="262"/>
      <c r="BL6" s="262"/>
      <c r="BM6" s="262"/>
      <c r="BN6" s="262"/>
      <c r="BO6" s="262"/>
      <c r="BP6" s="262"/>
      <c r="BQ6" s="262"/>
      <c r="BR6" s="262"/>
      <c r="BS6" s="262"/>
      <c r="BT6" s="262"/>
      <c r="BU6" s="262"/>
      <c r="BV6" s="263"/>
      <c r="BY6" s="270"/>
      <c r="BZ6" s="271"/>
      <c r="CA6" s="271"/>
      <c r="CB6" s="271"/>
      <c r="CC6" s="271"/>
      <c r="CD6" s="271"/>
      <c r="CE6" s="271"/>
      <c r="CF6" s="271"/>
      <c r="CG6" s="271"/>
      <c r="CH6" s="271"/>
      <c r="CI6" s="271"/>
      <c r="CJ6" s="271"/>
      <c r="CK6" s="271"/>
      <c r="CL6" s="271"/>
      <c r="CM6" s="271"/>
      <c r="CN6" s="271"/>
      <c r="CO6" s="271"/>
      <c r="CP6" s="271"/>
      <c r="CQ6" s="271"/>
      <c r="CR6" s="271"/>
      <c r="CS6" s="271"/>
      <c r="CT6" s="271"/>
      <c r="CU6" s="272"/>
      <c r="CW6" s="220"/>
      <c r="CX6" s="221"/>
      <c r="CY6" s="221"/>
      <c r="CZ6" s="221"/>
      <c r="DA6" s="221"/>
      <c r="DB6" s="221"/>
      <c r="DC6" s="221"/>
      <c r="DD6" s="221"/>
      <c r="DE6" s="221"/>
      <c r="DF6" s="221"/>
      <c r="DG6" s="221"/>
      <c r="DH6" s="221"/>
      <c r="DI6" s="221"/>
      <c r="DJ6" s="221"/>
      <c r="DK6" s="221"/>
      <c r="DL6" s="221"/>
      <c r="DM6" s="221"/>
      <c r="DN6" s="221"/>
      <c r="DO6" s="221"/>
      <c r="DP6" s="221"/>
      <c r="DQ6" s="221"/>
      <c r="DR6" s="221"/>
      <c r="DS6" s="222"/>
      <c r="DY6" s="239" t="str">
        <f>actual&amp;"%"</f>
        <v>13%</v>
      </c>
      <c r="EA6" s="226">
        <f>lvl_max-(increment/100)</f>
        <v>0.4</v>
      </c>
      <c r="EC6" s="226">
        <f>lvl_max-(increment*4/100)</f>
        <v>9.9999999999999978E-2</v>
      </c>
    </row>
    <row r="7" spans="3:133" ht="5.25" customHeight="1" x14ac:dyDescent="0.25">
      <c r="C7" s="211" t="s">
        <v>5</v>
      </c>
      <c r="D7" s="212"/>
      <c r="E7" s="212"/>
      <c r="F7" s="212"/>
      <c r="G7" s="212"/>
      <c r="H7" s="212"/>
      <c r="I7" s="212"/>
      <c r="J7" s="212"/>
      <c r="K7" s="212"/>
      <c r="L7" s="212"/>
      <c r="M7" s="212"/>
      <c r="N7" s="212"/>
      <c r="O7" s="212"/>
      <c r="P7" s="212"/>
      <c r="Q7" s="212"/>
      <c r="R7" s="212"/>
      <c r="S7" s="212"/>
      <c r="T7" s="212"/>
      <c r="U7" s="212"/>
      <c r="V7" s="212"/>
      <c r="W7" s="212"/>
      <c r="X7" s="212"/>
      <c r="Y7" s="213"/>
      <c r="AA7" s="8"/>
      <c r="AB7" s="9"/>
      <c r="AC7" s="9"/>
      <c r="AD7" s="9"/>
      <c r="AE7" s="9"/>
      <c r="AF7" s="9"/>
      <c r="AG7" s="9"/>
      <c r="AH7" s="9"/>
      <c r="AI7" s="9"/>
      <c r="AJ7" s="9"/>
      <c r="AK7" s="9"/>
      <c r="AL7" s="9"/>
      <c r="AM7" s="9"/>
      <c r="AN7" s="9"/>
      <c r="AO7" s="9"/>
      <c r="AP7" s="9"/>
      <c r="AQ7" s="9"/>
      <c r="AR7" s="9"/>
      <c r="AS7" s="9"/>
      <c r="AT7" s="9"/>
      <c r="AU7" s="9"/>
      <c r="AV7" s="9"/>
      <c r="AW7" s="10"/>
      <c r="AX7" s="1"/>
      <c r="AZ7" s="14"/>
      <c r="BA7" s="15"/>
      <c r="BB7" s="15"/>
      <c r="BC7" s="15"/>
      <c r="BD7" s="15"/>
      <c r="BE7" s="15"/>
      <c r="BF7" s="15"/>
      <c r="BG7" s="15"/>
      <c r="BH7" s="15"/>
      <c r="BI7" s="15"/>
      <c r="BJ7" s="15"/>
      <c r="BK7" s="15"/>
      <c r="BL7" s="15"/>
      <c r="BM7" s="15"/>
      <c r="BN7" s="15"/>
      <c r="BO7" s="15"/>
      <c r="BP7" s="15"/>
      <c r="BQ7" s="15"/>
      <c r="BR7" s="15"/>
      <c r="BS7" s="15"/>
      <c r="BT7" s="15"/>
      <c r="BU7" s="15"/>
      <c r="BV7" s="16"/>
      <c r="BY7" s="27"/>
      <c r="BZ7" s="28"/>
      <c r="CA7" s="28"/>
      <c r="CB7" s="28"/>
      <c r="CC7" s="28"/>
      <c r="CD7" s="28"/>
      <c r="CE7" s="28"/>
      <c r="CF7" s="28"/>
      <c r="CG7" s="28"/>
      <c r="CH7" s="28"/>
      <c r="CI7" s="28"/>
      <c r="CJ7" s="28"/>
      <c r="CK7" s="28"/>
      <c r="CL7" s="28"/>
      <c r="CM7" s="28"/>
      <c r="CN7" s="28"/>
      <c r="CO7" s="28"/>
      <c r="CP7" s="28"/>
      <c r="CQ7" s="28"/>
      <c r="CR7" s="28"/>
      <c r="CS7" s="28"/>
      <c r="CT7" s="28"/>
      <c r="CU7" s="29"/>
      <c r="CW7" s="44"/>
      <c r="CX7" s="45"/>
      <c r="CY7" s="45"/>
      <c r="CZ7" s="45"/>
      <c r="DA7" s="45"/>
      <c r="DB7" s="45"/>
      <c r="DC7" s="45"/>
      <c r="DD7" s="45"/>
      <c r="DE7" s="45"/>
      <c r="DF7" s="45"/>
      <c r="DG7" s="45"/>
      <c r="DH7" s="45"/>
      <c r="DI7" s="45"/>
      <c r="DJ7" s="45"/>
      <c r="DK7" s="45"/>
      <c r="DL7" s="45"/>
      <c r="DM7" s="45"/>
      <c r="DN7" s="45"/>
      <c r="DO7" s="45"/>
      <c r="DP7" s="45"/>
      <c r="DQ7" s="45"/>
      <c r="DR7" s="45"/>
      <c r="DS7" s="46"/>
      <c r="DY7" s="239"/>
      <c r="EA7" s="226"/>
      <c r="EC7" s="226"/>
    </row>
    <row r="8" spans="3:133" ht="5.25" customHeight="1" x14ac:dyDescent="0.25">
      <c r="C8" s="214"/>
      <c r="D8" s="215"/>
      <c r="E8" s="215"/>
      <c r="F8" s="215"/>
      <c r="G8" s="215"/>
      <c r="H8" s="215"/>
      <c r="I8" s="215"/>
      <c r="J8" s="215"/>
      <c r="K8" s="215"/>
      <c r="L8" s="215"/>
      <c r="M8" s="215"/>
      <c r="N8" s="215"/>
      <c r="O8" s="215"/>
      <c r="P8" s="215"/>
      <c r="Q8" s="215"/>
      <c r="R8" s="215"/>
      <c r="S8" s="215"/>
      <c r="T8" s="215"/>
      <c r="U8" s="215"/>
      <c r="V8" s="215"/>
      <c r="W8" s="215"/>
      <c r="X8" s="215"/>
      <c r="Y8" s="216"/>
      <c r="AA8" s="11"/>
      <c r="AB8" s="7"/>
      <c r="AC8" s="7"/>
      <c r="AD8" s="7"/>
      <c r="AE8" s="7"/>
      <c r="AF8" s="7"/>
      <c r="AG8" s="7"/>
      <c r="AH8" s="7"/>
      <c r="AI8" s="7"/>
      <c r="AJ8" s="7"/>
      <c r="AK8" s="7"/>
      <c r="AL8" s="7"/>
      <c r="AM8" s="7"/>
      <c r="AN8" s="7"/>
      <c r="AO8" s="7"/>
      <c r="AP8" s="7"/>
      <c r="AQ8" s="7"/>
      <c r="AR8" s="7"/>
      <c r="AS8" s="7"/>
      <c r="AT8" s="6"/>
      <c r="AU8" s="6"/>
      <c r="AV8" s="6"/>
      <c r="AW8" s="12"/>
      <c r="AZ8" s="13"/>
      <c r="BA8" s="6"/>
      <c r="BB8" s="6"/>
      <c r="BC8" s="6"/>
      <c r="BD8" s="6"/>
      <c r="BE8" s="6"/>
      <c r="BF8" s="6"/>
      <c r="BG8" s="6"/>
      <c r="BH8" s="6"/>
      <c r="BI8" s="6"/>
      <c r="BJ8" s="6"/>
      <c r="BK8" s="6"/>
      <c r="BL8" s="6"/>
      <c r="BM8" s="6"/>
      <c r="BN8" s="6"/>
      <c r="BO8" s="6"/>
      <c r="BP8" s="6"/>
      <c r="BQ8" s="6"/>
      <c r="BR8" s="6"/>
      <c r="BS8" s="6"/>
      <c r="BT8" s="6"/>
      <c r="BU8" s="6"/>
      <c r="BV8" s="12"/>
      <c r="BY8" s="30"/>
      <c r="BZ8" s="31"/>
      <c r="CA8" s="31"/>
      <c r="CB8" s="31"/>
      <c r="CC8" s="31"/>
      <c r="CD8" s="31"/>
      <c r="CE8" s="31"/>
      <c r="CF8" s="31"/>
      <c r="CG8" s="31"/>
      <c r="CH8" s="31"/>
      <c r="CI8" s="31"/>
      <c r="CJ8" s="31"/>
      <c r="CK8" s="31"/>
      <c r="CL8" s="31"/>
      <c r="CM8" s="31"/>
      <c r="CN8" s="31"/>
      <c r="CO8" s="31"/>
      <c r="CP8" s="31"/>
      <c r="CQ8" s="31"/>
      <c r="CR8" s="31"/>
      <c r="CS8" s="31"/>
      <c r="CT8" s="31"/>
      <c r="CU8" s="32"/>
      <c r="CW8" s="44"/>
      <c r="CX8" s="45"/>
      <c r="CY8" s="45"/>
      <c r="CZ8" s="45"/>
      <c r="DA8" s="45"/>
      <c r="DB8" s="45"/>
      <c r="DC8" s="45"/>
      <c r="DD8" s="45"/>
      <c r="DE8" s="45"/>
      <c r="DF8" s="45"/>
      <c r="DG8" s="45"/>
      <c r="DH8" s="45"/>
      <c r="DI8" s="45"/>
      <c r="DJ8" s="45"/>
      <c r="DK8" s="45"/>
      <c r="DL8" s="45"/>
      <c r="DM8" s="45"/>
      <c r="DN8" s="45"/>
      <c r="DO8" s="45"/>
      <c r="DP8" s="45"/>
      <c r="DQ8" s="45"/>
      <c r="DR8" s="45"/>
      <c r="DS8" s="46"/>
      <c r="DY8" s="239"/>
      <c r="EA8" s="226"/>
      <c r="EC8" s="226"/>
    </row>
    <row r="9" spans="3:133" ht="5.25" customHeight="1" x14ac:dyDescent="0.25">
      <c r="C9" s="214"/>
      <c r="D9" s="215"/>
      <c r="E9" s="215"/>
      <c r="F9" s="215"/>
      <c r="G9" s="215"/>
      <c r="H9" s="215"/>
      <c r="I9" s="215"/>
      <c r="J9" s="215"/>
      <c r="K9" s="215"/>
      <c r="L9" s="215"/>
      <c r="M9" s="215"/>
      <c r="N9" s="215"/>
      <c r="O9" s="215"/>
      <c r="P9" s="215"/>
      <c r="Q9" s="215"/>
      <c r="R9" s="215"/>
      <c r="S9" s="215"/>
      <c r="T9" s="215"/>
      <c r="U9" s="215"/>
      <c r="V9" s="215"/>
      <c r="W9" s="215"/>
      <c r="X9" s="215"/>
      <c r="Y9" s="216"/>
      <c r="AA9" s="11"/>
      <c r="AB9" s="7"/>
      <c r="AC9" s="7"/>
      <c r="AD9" s="7"/>
      <c r="AE9" s="7"/>
      <c r="AF9" s="7"/>
      <c r="AG9" s="7"/>
      <c r="AH9" s="7"/>
      <c r="AI9" s="7"/>
      <c r="AJ9" s="7"/>
      <c r="AK9" s="7"/>
      <c r="AL9" s="7"/>
      <c r="AM9" s="7"/>
      <c r="AN9" s="7"/>
      <c r="AO9" s="7"/>
      <c r="AP9" s="7"/>
      <c r="AQ9" s="7"/>
      <c r="AR9" s="7"/>
      <c r="AS9" s="7"/>
      <c r="AT9" s="6"/>
      <c r="AU9" s="6"/>
      <c r="AV9" s="6"/>
      <c r="AW9" s="12"/>
      <c r="AZ9" s="13"/>
      <c r="BA9" s="6"/>
      <c r="BB9" s="6"/>
      <c r="BC9" s="6"/>
      <c r="BD9" s="6"/>
      <c r="BE9" s="6"/>
      <c r="BF9" s="6"/>
      <c r="BG9" s="6"/>
      <c r="BH9" s="6"/>
      <c r="BI9" s="6"/>
      <c r="BJ9" s="6"/>
      <c r="BK9" s="6"/>
      <c r="BL9" s="6"/>
      <c r="BM9" s="6"/>
      <c r="BN9" s="6"/>
      <c r="BO9" s="6"/>
      <c r="BP9" s="6"/>
      <c r="BQ9" s="6"/>
      <c r="BR9" s="6"/>
      <c r="BS9" s="6"/>
      <c r="BT9" s="6"/>
      <c r="BU9" s="6"/>
      <c r="BV9" s="12"/>
      <c r="BY9" s="30"/>
      <c r="BZ9" s="31"/>
      <c r="CA9" s="31"/>
      <c r="CB9" s="31"/>
      <c r="CC9" s="31"/>
      <c r="CD9" s="31"/>
      <c r="CE9" s="31"/>
      <c r="CF9" s="31"/>
      <c r="CG9" s="31"/>
      <c r="CH9" s="31"/>
      <c r="CI9" s="31"/>
      <c r="CJ9" s="31"/>
      <c r="CK9" s="31"/>
      <c r="CL9" s="31"/>
      <c r="CM9" s="31"/>
      <c r="CN9" s="31"/>
      <c r="CO9" s="31"/>
      <c r="CP9" s="31"/>
      <c r="CQ9" s="31"/>
      <c r="CR9" s="31"/>
      <c r="CS9" s="31"/>
      <c r="CT9" s="31"/>
      <c r="CU9" s="32"/>
      <c r="CW9" s="44"/>
      <c r="CX9" s="45"/>
      <c r="CY9" s="45"/>
      <c r="CZ9" s="45"/>
      <c r="DA9" s="45"/>
      <c r="DB9" s="45"/>
      <c r="DC9" s="45"/>
      <c r="DD9" s="45"/>
      <c r="DE9" s="45"/>
      <c r="DF9" s="45"/>
      <c r="DG9" s="45"/>
      <c r="DH9" s="45"/>
      <c r="DI9" s="45"/>
      <c r="DJ9" s="45"/>
      <c r="DK9" s="45"/>
      <c r="DL9" s="45"/>
      <c r="DM9" s="45"/>
      <c r="DN9" s="45"/>
      <c r="DO9" s="45"/>
      <c r="DP9" s="45"/>
      <c r="DQ9" s="45"/>
      <c r="DR9" s="45"/>
      <c r="DS9" s="46"/>
    </row>
    <row r="10" spans="3:133" ht="5.25" customHeight="1" x14ac:dyDescent="0.25">
      <c r="C10" s="214"/>
      <c r="D10" s="215"/>
      <c r="E10" s="215"/>
      <c r="F10" s="215"/>
      <c r="G10" s="215"/>
      <c r="H10" s="215"/>
      <c r="I10" s="215"/>
      <c r="J10" s="215"/>
      <c r="K10" s="215"/>
      <c r="L10" s="215"/>
      <c r="M10" s="215"/>
      <c r="N10" s="215"/>
      <c r="O10" s="215"/>
      <c r="P10" s="215"/>
      <c r="Q10" s="215"/>
      <c r="R10" s="215"/>
      <c r="S10" s="215"/>
      <c r="T10" s="215"/>
      <c r="U10" s="215"/>
      <c r="V10" s="215"/>
      <c r="W10" s="215"/>
      <c r="X10" s="215"/>
      <c r="Y10" s="216"/>
      <c r="AA10" s="13"/>
      <c r="AB10" s="6"/>
      <c r="AC10" s="6"/>
      <c r="AD10" s="6"/>
      <c r="AE10" s="6"/>
      <c r="AF10" s="6"/>
      <c r="AG10" s="6"/>
      <c r="AH10" s="6"/>
      <c r="AI10" s="6"/>
      <c r="AJ10" s="6"/>
      <c r="AK10" s="6"/>
      <c r="AL10" s="6"/>
      <c r="AM10" s="6"/>
      <c r="AN10" s="6"/>
      <c r="AO10" s="6"/>
      <c r="AP10" s="6"/>
      <c r="AQ10" s="6"/>
      <c r="AR10" s="6"/>
      <c r="AS10" s="6"/>
      <c r="AT10" s="6"/>
      <c r="AU10" s="6"/>
      <c r="AV10" s="6"/>
      <c r="AW10" s="12"/>
      <c r="AZ10" s="13"/>
      <c r="BA10" s="6"/>
      <c r="BB10" s="6"/>
      <c r="BC10" s="6"/>
      <c r="BD10" s="6"/>
      <c r="BE10" s="6"/>
      <c r="BF10" s="6"/>
      <c r="BG10" s="6"/>
      <c r="BH10" s="6"/>
      <c r="BI10" s="6"/>
      <c r="BJ10" s="6"/>
      <c r="BK10" s="6"/>
      <c r="BL10" s="6"/>
      <c r="BM10" s="6"/>
      <c r="BN10" s="6"/>
      <c r="BO10" s="6"/>
      <c r="BP10" s="6"/>
      <c r="BQ10" s="6"/>
      <c r="BR10" s="6"/>
      <c r="BS10" s="6"/>
      <c r="BT10" s="6"/>
      <c r="BU10" s="6"/>
      <c r="BV10" s="12"/>
      <c r="BY10" s="30"/>
      <c r="BZ10" s="31"/>
      <c r="CA10" s="31"/>
      <c r="CB10" s="31"/>
      <c r="CC10" s="31"/>
      <c r="CD10" s="31"/>
      <c r="CE10" s="31"/>
      <c r="CF10" s="31"/>
      <c r="CG10" s="31"/>
      <c r="CH10" s="31"/>
      <c r="CI10" s="31"/>
      <c r="CJ10" s="31"/>
      <c r="CK10" s="31"/>
      <c r="CL10" s="31"/>
      <c r="CM10" s="31"/>
      <c r="CN10" s="31"/>
      <c r="CO10" s="31"/>
      <c r="CP10" s="31"/>
      <c r="CQ10" s="31"/>
      <c r="CR10" s="31"/>
      <c r="CS10" s="31"/>
      <c r="CT10" s="31"/>
      <c r="CU10" s="32"/>
      <c r="CW10" s="44"/>
      <c r="CX10" s="45"/>
      <c r="CY10" s="45"/>
      <c r="CZ10" s="45"/>
      <c r="DA10" s="45"/>
      <c r="DB10" s="45"/>
      <c r="DC10" s="45"/>
      <c r="DD10" s="45"/>
      <c r="DE10" s="45"/>
      <c r="DF10" s="45"/>
      <c r="DG10" s="45"/>
      <c r="DH10" s="45"/>
      <c r="DI10" s="45"/>
      <c r="DJ10" s="45"/>
      <c r="DK10" s="45"/>
      <c r="DL10" s="45"/>
      <c r="DM10" s="45"/>
      <c r="DN10" s="45"/>
      <c r="DO10" s="45"/>
      <c r="DP10" s="45"/>
      <c r="DQ10" s="45"/>
      <c r="DR10" s="45"/>
      <c r="DS10" s="46"/>
      <c r="DY10" s="239" t="str">
        <f>ceil&amp;"%"</f>
        <v>50%</v>
      </c>
      <c r="EA10" s="226">
        <f>lvl_max-(increment*2/100)</f>
        <v>0.3</v>
      </c>
      <c r="EC10" s="226">
        <f>lvl_max-(increment*5/100)</f>
        <v>0</v>
      </c>
    </row>
    <row r="11" spans="3:133" ht="5.25" customHeight="1" x14ac:dyDescent="0.25">
      <c r="C11" s="214"/>
      <c r="D11" s="215"/>
      <c r="E11" s="215"/>
      <c r="F11" s="215"/>
      <c r="G11" s="215"/>
      <c r="H11" s="215"/>
      <c r="I11" s="215"/>
      <c r="J11" s="215"/>
      <c r="K11" s="215"/>
      <c r="L11" s="215"/>
      <c r="M11" s="215"/>
      <c r="N11" s="215"/>
      <c r="O11" s="215"/>
      <c r="P11" s="215"/>
      <c r="Q11" s="215"/>
      <c r="R11" s="215"/>
      <c r="S11" s="215"/>
      <c r="T11" s="215"/>
      <c r="U11" s="215"/>
      <c r="V11" s="215"/>
      <c r="W11" s="215"/>
      <c r="X11" s="215"/>
      <c r="Y11" s="216"/>
      <c r="AA11" s="13"/>
      <c r="AB11" s="6"/>
      <c r="AC11" s="6"/>
      <c r="AD11" s="6"/>
      <c r="AE11" s="6"/>
      <c r="AF11" s="6"/>
      <c r="AG11" s="6"/>
      <c r="AH11" s="6"/>
      <c r="AI11" s="6"/>
      <c r="AJ11" s="6"/>
      <c r="AK11" s="6"/>
      <c r="AL11" s="6"/>
      <c r="AM11" s="6"/>
      <c r="AN11" s="6"/>
      <c r="AO11" s="6"/>
      <c r="AP11" s="6"/>
      <c r="AQ11" s="6"/>
      <c r="AR11" s="6"/>
      <c r="AS11" s="6"/>
      <c r="AT11" s="6"/>
      <c r="AU11" s="6"/>
      <c r="AV11" s="6"/>
      <c r="AW11" s="12"/>
      <c r="AZ11" s="13"/>
      <c r="BA11" s="6"/>
      <c r="BB11" s="6"/>
      <c r="BC11" s="6"/>
      <c r="BD11" s="6"/>
      <c r="BE11" s="6"/>
      <c r="BF11" s="6"/>
      <c r="BG11" s="6"/>
      <c r="BH11" s="6"/>
      <c r="BI11" s="6"/>
      <c r="BJ11" s="6"/>
      <c r="BK11" s="6"/>
      <c r="BL11" s="6"/>
      <c r="BM11" s="6"/>
      <c r="BN11" s="6"/>
      <c r="BO11" s="6"/>
      <c r="BP11" s="6"/>
      <c r="BQ11" s="6"/>
      <c r="BR11" s="6"/>
      <c r="BS11" s="6"/>
      <c r="BT11" s="6"/>
      <c r="BU11" s="6"/>
      <c r="BV11" s="12"/>
      <c r="BY11" s="30"/>
      <c r="BZ11" s="31"/>
      <c r="CA11" s="31"/>
      <c r="CB11" s="31"/>
      <c r="CC11" s="31"/>
      <c r="CD11" s="31"/>
      <c r="CE11" s="31"/>
      <c r="CF11" s="31"/>
      <c r="CG11" s="31"/>
      <c r="CH11" s="31"/>
      <c r="CI11" s="31"/>
      <c r="CJ11" s="31"/>
      <c r="CK11" s="31"/>
      <c r="CL11" s="31"/>
      <c r="CM11" s="31"/>
      <c r="CN11" s="31"/>
      <c r="CO11" s="31"/>
      <c r="CP11" s="31"/>
      <c r="CQ11" s="31"/>
      <c r="CR11" s="31"/>
      <c r="CS11" s="31"/>
      <c r="CT11" s="31"/>
      <c r="CU11" s="32"/>
      <c r="CW11" s="44"/>
      <c r="CX11" s="45"/>
      <c r="CY11" s="45"/>
      <c r="CZ11" s="45"/>
      <c r="DA11" s="45"/>
      <c r="DB11" s="45"/>
      <c r="DC11" s="45"/>
      <c r="DD11" s="45"/>
      <c r="DE11" s="45"/>
      <c r="DF11" s="45"/>
      <c r="DG11" s="45"/>
      <c r="DH11" s="45"/>
      <c r="DI11" s="45"/>
      <c r="DJ11" s="45"/>
      <c r="DK11" s="45"/>
      <c r="DL11" s="45"/>
      <c r="DM11" s="45"/>
      <c r="DN11" s="45"/>
      <c r="DO11" s="45"/>
      <c r="DP11" s="45"/>
      <c r="DQ11" s="45"/>
      <c r="DR11" s="45"/>
      <c r="DS11" s="46"/>
      <c r="DY11" s="239"/>
      <c r="EA11" s="226"/>
      <c r="EC11" s="226"/>
    </row>
    <row r="12" spans="3:133" ht="5.25" customHeight="1" x14ac:dyDescent="0.25">
      <c r="C12" s="217"/>
      <c r="D12" s="218"/>
      <c r="E12" s="218"/>
      <c r="F12" s="218"/>
      <c r="G12" s="218"/>
      <c r="H12" s="218"/>
      <c r="I12" s="218"/>
      <c r="J12" s="218"/>
      <c r="K12" s="218"/>
      <c r="L12" s="218"/>
      <c r="M12" s="218"/>
      <c r="N12" s="218"/>
      <c r="O12" s="218"/>
      <c r="P12" s="218"/>
      <c r="Q12" s="218"/>
      <c r="R12" s="218"/>
      <c r="S12" s="218"/>
      <c r="T12" s="218"/>
      <c r="U12" s="218"/>
      <c r="V12" s="218"/>
      <c r="W12" s="218"/>
      <c r="X12" s="218"/>
      <c r="Y12" s="219"/>
      <c r="AA12" s="240">
        <v>0</v>
      </c>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2"/>
      <c r="AZ12" s="240">
        <v>50</v>
      </c>
      <c r="BA12" s="241"/>
      <c r="BB12" s="241"/>
      <c r="BC12" s="241"/>
      <c r="BD12" s="241"/>
      <c r="BE12" s="241"/>
      <c r="BF12" s="241"/>
      <c r="BG12" s="241"/>
      <c r="BH12" s="241"/>
      <c r="BI12" s="241"/>
      <c r="BJ12" s="241"/>
      <c r="BK12" s="241"/>
      <c r="BL12" s="241"/>
      <c r="BM12" s="241"/>
      <c r="BN12" s="241"/>
      <c r="BO12" s="241"/>
      <c r="BP12" s="241"/>
      <c r="BQ12" s="241"/>
      <c r="BR12" s="241"/>
      <c r="BS12" s="241"/>
      <c r="BT12" s="241"/>
      <c r="BU12" s="241"/>
      <c r="BV12" s="242"/>
      <c r="BY12" s="246">
        <v>13</v>
      </c>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8"/>
      <c r="CW12" s="227" t="s">
        <v>4</v>
      </c>
      <c r="CX12" s="228"/>
      <c r="CY12" s="228"/>
      <c r="CZ12" s="228"/>
      <c r="DA12" s="228"/>
      <c r="DB12" s="228"/>
      <c r="DC12" s="228"/>
      <c r="DD12" s="228"/>
      <c r="DE12" s="228"/>
      <c r="DF12" s="228"/>
      <c r="DG12" s="228"/>
      <c r="DH12" s="47"/>
      <c r="DI12" s="233">
        <f>ceil/5</f>
        <v>10</v>
      </c>
      <c r="DJ12" s="233"/>
      <c r="DK12" s="233"/>
      <c r="DL12" s="233"/>
      <c r="DM12" s="233"/>
      <c r="DN12" s="233"/>
      <c r="DO12" s="233"/>
      <c r="DP12" s="233"/>
      <c r="DQ12" s="233"/>
      <c r="DR12" s="233"/>
      <c r="DS12" s="234"/>
      <c r="DY12" s="239"/>
      <c r="EA12" s="226"/>
      <c r="EC12" s="226"/>
    </row>
    <row r="13" spans="3:133" ht="5.25" customHeight="1" x14ac:dyDescent="0.25">
      <c r="C13" s="43"/>
      <c r="D13" s="43"/>
      <c r="E13" s="43"/>
      <c r="F13" s="43"/>
      <c r="G13" s="43"/>
      <c r="H13" s="43"/>
      <c r="I13" s="43"/>
      <c r="J13" s="43"/>
      <c r="K13" s="43"/>
      <c r="L13" s="43"/>
      <c r="M13" s="43"/>
      <c r="N13" s="43"/>
      <c r="O13" s="43"/>
      <c r="P13" s="43"/>
      <c r="Q13" s="43"/>
      <c r="R13" s="43"/>
      <c r="S13" s="43"/>
      <c r="T13" s="43"/>
      <c r="U13" s="43"/>
      <c r="V13" s="43"/>
      <c r="W13" s="43"/>
      <c r="X13" s="43"/>
      <c r="Y13" s="43"/>
      <c r="AA13" s="240"/>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2"/>
      <c r="AZ13" s="240"/>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2"/>
      <c r="BY13" s="246"/>
      <c r="BZ13" s="247"/>
      <c r="CA13" s="247"/>
      <c r="CB13" s="247"/>
      <c r="CC13" s="247"/>
      <c r="CD13" s="247"/>
      <c r="CE13" s="247"/>
      <c r="CF13" s="247"/>
      <c r="CG13" s="247"/>
      <c r="CH13" s="247"/>
      <c r="CI13" s="247"/>
      <c r="CJ13" s="247"/>
      <c r="CK13" s="247"/>
      <c r="CL13" s="247"/>
      <c r="CM13" s="247"/>
      <c r="CN13" s="247"/>
      <c r="CO13" s="247"/>
      <c r="CP13" s="247"/>
      <c r="CQ13" s="247"/>
      <c r="CR13" s="247"/>
      <c r="CS13" s="247"/>
      <c r="CT13" s="247"/>
      <c r="CU13" s="248"/>
      <c r="CW13" s="229"/>
      <c r="CX13" s="230"/>
      <c r="CY13" s="230"/>
      <c r="CZ13" s="230"/>
      <c r="DA13" s="230"/>
      <c r="DB13" s="230"/>
      <c r="DC13" s="230"/>
      <c r="DD13" s="230"/>
      <c r="DE13" s="230"/>
      <c r="DF13" s="230"/>
      <c r="DG13" s="230"/>
      <c r="DH13" s="48"/>
      <c r="DI13" s="235"/>
      <c r="DJ13" s="235"/>
      <c r="DK13" s="235"/>
      <c r="DL13" s="235"/>
      <c r="DM13" s="235"/>
      <c r="DN13" s="235"/>
      <c r="DO13" s="235"/>
      <c r="DP13" s="235"/>
      <c r="DQ13" s="235"/>
      <c r="DR13" s="235"/>
      <c r="DS13" s="236"/>
    </row>
    <row r="14" spans="3:133" ht="5.25" customHeight="1" x14ac:dyDescent="0.25">
      <c r="C14" s="255" t="s">
        <v>7</v>
      </c>
      <c r="D14" s="256"/>
      <c r="E14" s="256"/>
      <c r="F14" s="256"/>
      <c r="G14" s="256"/>
      <c r="H14" s="256"/>
      <c r="I14" s="256"/>
      <c r="J14" s="256"/>
      <c r="K14" s="256"/>
      <c r="L14" s="256"/>
      <c r="M14" s="256"/>
      <c r="N14" s="256"/>
      <c r="O14" s="256"/>
      <c r="P14" s="256"/>
      <c r="Q14" s="256"/>
      <c r="R14" s="256"/>
      <c r="S14" s="256"/>
      <c r="T14" s="256"/>
      <c r="U14" s="256"/>
      <c r="V14" s="256"/>
      <c r="W14" s="256"/>
      <c r="X14" s="256"/>
      <c r="Y14" s="257"/>
      <c r="AA14" s="240"/>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242"/>
      <c r="AZ14" s="240"/>
      <c r="BA14" s="241"/>
      <c r="BB14" s="241"/>
      <c r="BC14" s="241"/>
      <c r="BD14" s="241"/>
      <c r="BE14" s="241"/>
      <c r="BF14" s="241"/>
      <c r="BG14" s="241"/>
      <c r="BH14" s="241"/>
      <c r="BI14" s="241"/>
      <c r="BJ14" s="241"/>
      <c r="BK14" s="241"/>
      <c r="BL14" s="241"/>
      <c r="BM14" s="241"/>
      <c r="BN14" s="241"/>
      <c r="BO14" s="241"/>
      <c r="BP14" s="241"/>
      <c r="BQ14" s="241"/>
      <c r="BR14" s="241"/>
      <c r="BS14" s="241"/>
      <c r="BT14" s="241"/>
      <c r="BU14" s="241"/>
      <c r="BV14" s="242"/>
      <c r="BY14" s="246"/>
      <c r="BZ14" s="247"/>
      <c r="CA14" s="247"/>
      <c r="CB14" s="247"/>
      <c r="CC14" s="247"/>
      <c r="CD14" s="247"/>
      <c r="CE14" s="247"/>
      <c r="CF14" s="247"/>
      <c r="CG14" s="247"/>
      <c r="CH14" s="247"/>
      <c r="CI14" s="247"/>
      <c r="CJ14" s="247"/>
      <c r="CK14" s="247"/>
      <c r="CL14" s="247"/>
      <c r="CM14" s="247"/>
      <c r="CN14" s="247"/>
      <c r="CO14" s="247"/>
      <c r="CP14" s="247"/>
      <c r="CQ14" s="247"/>
      <c r="CR14" s="247"/>
      <c r="CS14" s="247"/>
      <c r="CT14" s="247"/>
      <c r="CU14" s="248"/>
      <c r="CW14" s="229"/>
      <c r="CX14" s="230"/>
      <c r="CY14" s="230"/>
      <c r="CZ14" s="230"/>
      <c r="DA14" s="230"/>
      <c r="DB14" s="230"/>
      <c r="DC14" s="230"/>
      <c r="DD14" s="230"/>
      <c r="DE14" s="230"/>
      <c r="DF14" s="230"/>
      <c r="DG14" s="230"/>
      <c r="DH14" s="48"/>
      <c r="DI14" s="235"/>
      <c r="DJ14" s="235"/>
      <c r="DK14" s="235"/>
      <c r="DL14" s="235"/>
      <c r="DM14" s="235"/>
      <c r="DN14" s="235"/>
      <c r="DO14" s="235"/>
      <c r="DP14" s="235"/>
      <c r="DQ14" s="235"/>
      <c r="DR14" s="235"/>
      <c r="DS14" s="236"/>
    </row>
    <row r="15" spans="3:133" ht="5.25" customHeight="1" x14ac:dyDescent="0.25">
      <c r="C15" s="258"/>
      <c r="D15" s="259"/>
      <c r="E15" s="259"/>
      <c r="F15" s="259"/>
      <c r="G15" s="259"/>
      <c r="H15" s="259"/>
      <c r="I15" s="259"/>
      <c r="J15" s="259"/>
      <c r="K15" s="259"/>
      <c r="L15" s="259"/>
      <c r="M15" s="259"/>
      <c r="N15" s="259"/>
      <c r="O15" s="259"/>
      <c r="P15" s="259"/>
      <c r="Q15" s="259"/>
      <c r="R15" s="259"/>
      <c r="S15" s="259"/>
      <c r="T15" s="259"/>
      <c r="U15" s="259"/>
      <c r="V15" s="259"/>
      <c r="W15" s="259"/>
      <c r="X15" s="259"/>
      <c r="Y15" s="260"/>
      <c r="AA15" s="240"/>
      <c r="AB15" s="241"/>
      <c r="AC15" s="241"/>
      <c r="AD15" s="241"/>
      <c r="AE15" s="241"/>
      <c r="AF15" s="241"/>
      <c r="AG15" s="241"/>
      <c r="AH15" s="241"/>
      <c r="AI15" s="241"/>
      <c r="AJ15" s="241"/>
      <c r="AK15" s="241"/>
      <c r="AL15" s="241"/>
      <c r="AM15" s="241"/>
      <c r="AN15" s="241"/>
      <c r="AO15" s="241"/>
      <c r="AP15" s="241"/>
      <c r="AQ15" s="241"/>
      <c r="AR15" s="241"/>
      <c r="AS15" s="241"/>
      <c r="AT15" s="241"/>
      <c r="AU15" s="241"/>
      <c r="AV15" s="241"/>
      <c r="AW15" s="242"/>
      <c r="AZ15" s="240"/>
      <c r="BA15" s="241"/>
      <c r="BB15" s="241"/>
      <c r="BC15" s="241"/>
      <c r="BD15" s="241"/>
      <c r="BE15" s="241"/>
      <c r="BF15" s="241"/>
      <c r="BG15" s="241"/>
      <c r="BH15" s="241"/>
      <c r="BI15" s="241"/>
      <c r="BJ15" s="241"/>
      <c r="BK15" s="241"/>
      <c r="BL15" s="241"/>
      <c r="BM15" s="241"/>
      <c r="BN15" s="241"/>
      <c r="BO15" s="241"/>
      <c r="BP15" s="241"/>
      <c r="BQ15" s="241"/>
      <c r="BR15" s="241"/>
      <c r="BS15" s="241"/>
      <c r="BT15" s="241"/>
      <c r="BU15" s="241"/>
      <c r="BV15" s="242"/>
      <c r="BY15" s="246"/>
      <c r="BZ15" s="247"/>
      <c r="CA15" s="247"/>
      <c r="CB15" s="247"/>
      <c r="CC15" s="247"/>
      <c r="CD15" s="247"/>
      <c r="CE15" s="247"/>
      <c r="CF15" s="247"/>
      <c r="CG15" s="247"/>
      <c r="CH15" s="247"/>
      <c r="CI15" s="247"/>
      <c r="CJ15" s="247"/>
      <c r="CK15" s="247"/>
      <c r="CL15" s="247"/>
      <c r="CM15" s="247"/>
      <c r="CN15" s="247"/>
      <c r="CO15" s="247"/>
      <c r="CP15" s="247"/>
      <c r="CQ15" s="247"/>
      <c r="CR15" s="247"/>
      <c r="CS15" s="247"/>
      <c r="CT15" s="247"/>
      <c r="CU15" s="248"/>
      <c r="CW15" s="229"/>
      <c r="CX15" s="230"/>
      <c r="CY15" s="230"/>
      <c r="CZ15" s="230"/>
      <c r="DA15" s="230"/>
      <c r="DB15" s="230"/>
      <c r="DC15" s="230"/>
      <c r="DD15" s="230"/>
      <c r="DE15" s="230"/>
      <c r="DF15" s="230"/>
      <c r="DG15" s="230"/>
      <c r="DH15" s="48"/>
      <c r="DI15" s="235"/>
      <c r="DJ15" s="235"/>
      <c r="DK15" s="235"/>
      <c r="DL15" s="235"/>
      <c r="DM15" s="235"/>
      <c r="DN15" s="235"/>
      <c r="DO15" s="235"/>
      <c r="DP15" s="235"/>
      <c r="DQ15" s="235"/>
      <c r="DR15" s="235"/>
      <c r="DS15" s="236"/>
    </row>
    <row r="16" spans="3:133" ht="5.25" customHeight="1" x14ac:dyDescent="0.25">
      <c r="C16" s="258"/>
      <c r="D16" s="259"/>
      <c r="E16" s="259"/>
      <c r="F16" s="259"/>
      <c r="G16" s="259"/>
      <c r="H16" s="259"/>
      <c r="I16" s="259"/>
      <c r="J16" s="259"/>
      <c r="K16" s="259"/>
      <c r="L16" s="259"/>
      <c r="M16" s="259"/>
      <c r="N16" s="259"/>
      <c r="O16" s="259"/>
      <c r="P16" s="259"/>
      <c r="Q16" s="259"/>
      <c r="R16" s="259"/>
      <c r="S16" s="259"/>
      <c r="T16" s="259"/>
      <c r="U16" s="259"/>
      <c r="V16" s="259"/>
      <c r="W16" s="259"/>
      <c r="X16" s="259"/>
      <c r="Y16" s="260"/>
      <c r="AA16" s="243"/>
      <c r="AB16" s="244"/>
      <c r="AC16" s="244"/>
      <c r="AD16" s="244"/>
      <c r="AE16" s="244"/>
      <c r="AF16" s="244"/>
      <c r="AG16" s="244"/>
      <c r="AH16" s="244"/>
      <c r="AI16" s="244"/>
      <c r="AJ16" s="244"/>
      <c r="AK16" s="244"/>
      <c r="AL16" s="244"/>
      <c r="AM16" s="244"/>
      <c r="AN16" s="244"/>
      <c r="AO16" s="244"/>
      <c r="AP16" s="244"/>
      <c r="AQ16" s="244"/>
      <c r="AR16" s="244"/>
      <c r="AS16" s="244"/>
      <c r="AT16" s="244"/>
      <c r="AU16" s="244"/>
      <c r="AV16" s="244"/>
      <c r="AW16" s="245"/>
      <c r="AZ16" s="243"/>
      <c r="BA16" s="244"/>
      <c r="BB16" s="244"/>
      <c r="BC16" s="244"/>
      <c r="BD16" s="244"/>
      <c r="BE16" s="244"/>
      <c r="BF16" s="244"/>
      <c r="BG16" s="244"/>
      <c r="BH16" s="244"/>
      <c r="BI16" s="244"/>
      <c r="BJ16" s="244"/>
      <c r="BK16" s="244"/>
      <c r="BL16" s="244"/>
      <c r="BM16" s="244"/>
      <c r="BN16" s="244"/>
      <c r="BO16" s="244"/>
      <c r="BP16" s="244"/>
      <c r="BQ16" s="244"/>
      <c r="BR16" s="244"/>
      <c r="BS16" s="244"/>
      <c r="BT16" s="244"/>
      <c r="BU16" s="244"/>
      <c r="BV16" s="245"/>
      <c r="BY16" s="249"/>
      <c r="BZ16" s="250"/>
      <c r="CA16" s="250"/>
      <c r="CB16" s="250"/>
      <c r="CC16" s="250"/>
      <c r="CD16" s="250"/>
      <c r="CE16" s="250"/>
      <c r="CF16" s="250"/>
      <c r="CG16" s="250"/>
      <c r="CH16" s="250"/>
      <c r="CI16" s="250"/>
      <c r="CJ16" s="250"/>
      <c r="CK16" s="250"/>
      <c r="CL16" s="250"/>
      <c r="CM16" s="250"/>
      <c r="CN16" s="250"/>
      <c r="CO16" s="250"/>
      <c r="CP16" s="250"/>
      <c r="CQ16" s="250"/>
      <c r="CR16" s="250"/>
      <c r="CS16" s="250"/>
      <c r="CT16" s="250"/>
      <c r="CU16" s="251"/>
      <c r="CW16" s="231"/>
      <c r="CX16" s="232"/>
      <c r="CY16" s="232"/>
      <c r="CZ16" s="232"/>
      <c r="DA16" s="232"/>
      <c r="DB16" s="232"/>
      <c r="DC16" s="232"/>
      <c r="DD16" s="232"/>
      <c r="DE16" s="232"/>
      <c r="DF16" s="232"/>
      <c r="DG16" s="232"/>
      <c r="DH16" s="49"/>
      <c r="DI16" s="237"/>
      <c r="DJ16" s="237"/>
      <c r="DK16" s="237"/>
      <c r="DL16" s="237"/>
      <c r="DM16" s="237"/>
      <c r="DN16" s="237"/>
      <c r="DO16" s="237"/>
      <c r="DP16" s="237"/>
      <c r="DQ16" s="237"/>
      <c r="DR16" s="237"/>
      <c r="DS16" s="238"/>
    </row>
    <row r="17" spans="2:131" ht="5.25" customHeight="1" x14ac:dyDescent="0.25">
      <c r="C17" s="258"/>
      <c r="D17" s="259"/>
      <c r="E17" s="259"/>
      <c r="F17" s="259"/>
      <c r="G17" s="259"/>
      <c r="H17" s="259"/>
      <c r="I17" s="259"/>
      <c r="J17" s="259"/>
      <c r="K17" s="259"/>
      <c r="L17" s="259"/>
      <c r="M17" s="259"/>
      <c r="N17" s="259"/>
      <c r="O17" s="259"/>
      <c r="P17" s="259"/>
      <c r="Q17" s="259"/>
      <c r="R17" s="259"/>
      <c r="S17" s="259"/>
      <c r="T17" s="259"/>
      <c r="U17" s="259"/>
      <c r="V17" s="259"/>
      <c r="W17" s="259"/>
      <c r="X17" s="259"/>
      <c r="Y17" s="260"/>
    </row>
    <row r="18" spans="2:131" ht="5.25" customHeight="1" x14ac:dyDescent="0.25">
      <c r="C18" s="261"/>
      <c r="D18" s="262"/>
      <c r="E18" s="262"/>
      <c r="F18" s="262"/>
      <c r="G18" s="262"/>
      <c r="H18" s="262"/>
      <c r="I18" s="262"/>
      <c r="J18" s="262"/>
      <c r="K18" s="262"/>
      <c r="L18" s="262"/>
      <c r="M18" s="262"/>
      <c r="N18" s="262"/>
      <c r="O18" s="262"/>
      <c r="P18" s="262"/>
      <c r="Q18" s="262"/>
      <c r="R18" s="262"/>
      <c r="S18" s="262"/>
      <c r="T18" s="262"/>
      <c r="U18" s="262"/>
      <c r="V18" s="262"/>
      <c r="W18" s="262"/>
      <c r="X18" s="262"/>
      <c r="Y18" s="263"/>
    </row>
    <row r="19" spans="2:131" ht="33" customHeight="1" x14ac:dyDescent="0.25">
      <c r="C19" s="211" t="s">
        <v>17</v>
      </c>
      <c r="D19" s="212"/>
      <c r="E19" s="212"/>
      <c r="F19" s="212"/>
      <c r="G19" s="212"/>
      <c r="H19" s="212"/>
      <c r="I19" s="212"/>
      <c r="J19" s="212"/>
      <c r="K19" s="212"/>
      <c r="L19" s="212"/>
      <c r="M19" s="212"/>
      <c r="N19" s="212"/>
      <c r="O19" s="212"/>
      <c r="P19" s="212"/>
      <c r="Q19" s="212"/>
      <c r="R19" s="212"/>
      <c r="S19" s="212"/>
      <c r="T19" s="212"/>
      <c r="U19" s="212"/>
      <c r="V19" s="212"/>
      <c r="W19" s="212"/>
      <c r="X19" s="212"/>
      <c r="Y19" s="213"/>
      <c r="AV19" s="3"/>
      <c r="AW19" s="3"/>
      <c r="AX19" s="3"/>
      <c r="AY19" s="3"/>
      <c r="AZ19" s="3"/>
      <c r="BA19" s="3"/>
      <c r="BB19" s="3"/>
      <c r="BC19" s="3"/>
      <c r="BD19" s="3"/>
      <c r="BE19" s="3"/>
      <c r="BF19" s="3"/>
      <c r="BG19" s="3"/>
    </row>
    <row r="20" spans="2:131" ht="5.25" customHeight="1" x14ac:dyDescent="0.25">
      <c r="C20" s="43"/>
      <c r="D20" s="43"/>
      <c r="E20" s="43"/>
      <c r="F20" s="43"/>
      <c r="G20" s="43"/>
      <c r="H20" s="43"/>
      <c r="I20" s="43"/>
      <c r="J20" s="43"/>
      <c r="K20" s="43"/>
      <c r="L20" s="43"/>
      <c r="M20" s="43"/>
      <c r="N20" s="43"/>
      <c r="O20" s="43"/>
      <c r="P20" s="43"/>
      <c r="Q20" s="43"/>
      <c r="R20" s="43"/>
      <c r="S20" s="43"/>
      <c r="T20" s="43"/>
      <c r="U20" s="43"/>
      <c r="V20" s="43"/>
      <c r="W20" s="43"/>
      <c r="X20" s="43"/>
      <c r="Y20" s="56"/>
      <c r="Z20" s="57"/>
      <c r="AA20" s="57"/>
      <c r="AB20" s="3"/>
      <c r="AC20" s="3"/>
      <c r="AD20" s="3"/>
      <c r="AE20" s="3"/>
      <c r="AF20" s="3"/>
      <c r="AG20" s="3"/>
      <c r="AH20" s="3"/>
      <c r="AI20" s="3"/>
      <c r="AJ20" s="3"/>
      <c r="AK20" s="3"/>
      <c r="AU20" s="3"/>
      <c r="AV20" s="3"/>
      <c r="AW20" s="3"/>
      <c r="AX20" s="3"/>
      <c r="AY20" s="3"/>
      <c r="AZ20" s="3"/>
      <c r="BA20" s="3"/>
      <c r="BB20" s="3"/>
      <c r="BC20" s="3"/>
      <c r="BD20" s="3"/>
      <c r="BE20" s="3"/>
      <c r="BF20" s="3"/>
    </row>
    <row r="21" spans="2:131" ht="5.25" hidden="1" customHeight="1" x14ac:dyDescent="0.25">
      <c r="C21" s="43"/>
      <c r="D21" s="43"/>
      <c r="E21" s="43"/>
      <c r="F21" s="43"/>
      <c r="G21" s="43"/>
      <c r="H21" s="43"/>
      <c r="I21" s="43"/>
      <c r="J21" s="43"/>
      <c r="K21" s="43"/>
      <c r="L21" s="43"/>
      <c r="M21" s="43"/>
      <c r="N21" s="43"/>
      <c r="O21" s="43"/>
      <c r="P21" s="43"/>
      <c r="Q21" s="43"/>
      <c r="R21" s="43"/>
      <c r="S21" s="43"/>
      <c r="T21" s="43"/>
      <c r="U21" s="43"/>
      <c r="V21" s="43"/>
      <c r="W21" s="43"/>
      <c r="X21" s="43"/>
      <c r="Y21" s="43"/>
      <c r="Z21" s="56"/>
      <c r="AA21" s="57"/>
      <c r="AB21" s="57"/>
      <c r="AC21" s="3"/>
      <c r="AD21" s="3"/>
      <c r="AE21" s="3"/>
      <c r="AF21" s="3"/>
      <c r="AG21" s="3"/>
      <c r="AH21" s="3"/>
      <c r="AI21" s="3"/>
      <c r="AJ21" s="3"/>
      <c r="AK21" s="3"/>
      <c r="AL21" s="3"/>
      <c r="AV21" s="3"/>
      <c r="AW21" s="3"/>
      <c r="AX21" s="3"/>
      <c r="AY21" s="3"/>
      <c r="AZ21" s="3"/>
      <c r="BA21" s="3"/>
      <c r="BB21" s="3"/>
      <c r="BC21" s="3"/>
      <c r="BD21" s="3"/>
      <c r="BE21" s="3"/>
      <c r="BF21" s="3"/>
      <c r="BG21" s="3"/>
    </row>
    <row r="22" spans="2:131" ht="5.25" hidden="1" customHeight="1" x14ac:dyDescent="0.25">
      <c r="C22" s="43"/>
      <c r="D22" s="43"/>
      <c r="E22" s="43"/>
      <c r="F22" s="43"/>
      <c r="G22" s="43"/>
      <c r="H22" s="43"/>
      <c r="I22" s="43"/>
      <c r="J22" s="43"/>
      <c r="K22" s="43"/>
      <c r="L22" s="43"/>
      <c r="M22" s="43"/>
      <c r="N22" s="43"/>
      <c r="O22" s="43"/>
      <c r="P22" s="43"/>
      <c r="Q22" s="43"/>
      <c r="R22" s="43"/>
      <c r="S22" s="43"/>
      <c r="T22" s="43"/>
      <c r="U22" s="43"/>
      <c r="V22" s="43"/>
      <c r="W22" s="43"/>
      <c r="X22" s="43"/>
      <c r="Y22" s="43"/>
      <c r="Z22" s="56"/>
      <c r="AA22" s="57"/>
      <c r="AB22" s="57"/>
      <c r="AC22" s="3"/>
      <c r="AD22" s="3"/>
      <c r="AE22" s="3"/>
      <c r="AF22" s="3"/>
      <c r="AG22" s="3"/>
      <c r="AH22" s="3"/>
      <c r="AI22" s="3"/>
      <c r="AJ22" s="3"/>
      <c r="AK22" s="3"/>
      <c r="AL22" s="3"/>
      <c r="AV22" s="4"/>
      <c r="AW22" s="4"/>
      <c r="AX22" s="4"/>
      <c r="AY22" s="4"/>
      <c r="AZ22" s="4"/>
      <c r="BA22" s="4"/>
      <c r="BB22" s="4"/>
      <c r="BC22" s="4"/>
      <c r="BD22" s="4"/>
      <c r="BE22" s="4"/>
      <c r="BF22" s="4"/>
      <c r="BG22" s="4"/>
    </row>
    <row r="23" spans="2:131" ht="5.25" hidden="1" customHeight="1" x14ac:dyDescent="0.25">
      <c r="C23" s="43"/>
      <c r="D23" s="43"/>
      <c r="E23" s="43"/>
      <c r="F23" s="43"/>
      <c r="G23" s="43"/>
      <c r="H23" s="43"/>
      <c r="I23" s="43"/>
      <c r="J23" s="43"/>
      <c r="K23" s="43"/>
      <c r="L23" s="43"/>
      <c r="M23" s="43"/>
      <c r="N23" s="43"/>
      <c r="O23" s="43"/>
      <c r="P23" s="43"/>
      <c r="Q23" s="43"/>
      <c r="R23" s="43"/>
      <c r="S23" s="43"/>
      <c r="T23" s="43"/>
      <c r="U23" s="43"/>
      <c r="V23" s="43"/>
      <c r="W23" s="43"/>
      <c r="X23" s="43"/>
      <c r="Y23" s="43"/>
      <c r="Z23" s="56"/>
      <c r="AA23" s="56"/>
      <c r="AB23" s="56"/>
      <c r="AV23" s="3">
        <v>50</v>
      </c>
      <c r="AW23" s="3"/>
      <c r="AX23" s="3"/>
      <c r="AY23" s="3"/>
      <c r="AZ23" s="3"/>
      <c r="BA23" s="3"/>
      <c r="BB23" s="3"/>
      <c r="BC23" s="3"/>
      <c r="BD23" s="3"/>
      <c r="BE23" s="3"/>
      <c r="BF23" s="3"/>
      <c r="BG23" s="3"/>
    </row>
    <row r="24" spans="2:131" ht="5.25" hidden="1" customHeight="1" x14ac:dyDescent="0.25">
      <c r="C24" s="43"/>
      <c r="D24" s="43"/>
      <c r="E24" s="43"/>
      <c r="F24" s="43"/>
      <c r="G24" s="43"/>
      <c r="H24" s="43"/>
      <c r="I24" s="43"/>
      <c r="J24" s="43"/>
      <c r="K24" s="43"/>
      <c r="L24" s="43"/>
      <c r="M24" s="43"/>
      <c r="N24" s="43"/>
      <c r="O24" s="43"/>
      <c r="P24" s="43"/>
      <c r="Q24" s="43"/>
      <c r="R24" s="43"/>
      <c r="S24" s="43"/>
      <c r="T24" s="43"/>
      <c r="U24" s="43"/>
      <c r="V24" s="43"/>
      <c r="W24" s="43"/>
      <c r="X24" s="43"/>
      <c r="Y24" s="43"/>
      <c r="Z24" s="56"/>
      <c r="AA24" s="56"/>
      <c r="AB24" s="56"/>
      <c r="AV24" s="3"/>
      <c r="AW24" s="3"/>
      <c r="AX24" s="3"/>
      <c r="AY24" s="3"/>
      <c r="AZ24" s="3"/>
      <c r="BA24" s="3"/>
      <c r="BB24" s="3"/>
      <c r="BC24" s="3"/>
      <c r="BD24" s="3"/>
      <c r="BE24" s="3"/>
      <c r="BF24" s="3"/>
      <c r="BG24" s="3"/>
    </row>
    <row r="25" spans="2:131" s="5" customFormat="1" ht="5.25" customHeight="1" x14ac:dyDescent="0.25"/>
    <row r="26" spans="2:131" ht="5.25" customHeight="1" x14ac:dyDescent="0.25">
      <c r="B26" s="33"/>
      <c r="C26" s="34"/>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5"/>
    </row>
    <row r="27" spans="2:131" ht="5.25" customHeight="1" x14ac:dyDescent="0.25">
      <c r="B27" s="36"/>
      <c r="C27" s="37"/>
      <c r="D27" s="37"/>
      <c r="E27" s="37"/>
      <c r="F27" s="37"/>
      <c r="G27" s="37"/>
      <c r="H27" s="37"/>
      <c r="I27" s="37"/>
      <c r="J27" s="37"/>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37"/>
      <c r="CX27" s="37"/>
      <c r="CY27" s="37"/>
      <c r="CZ27" s="37"/>
      <c r="DA27" s="37"/>
      <c r="DB27" s="37"/>
      <c r="DC27" s="37"/>
      <c r="DD27" s="37"/>
      <c r="DE27" s="37"/>
      <c r="DF27" s="37"/>
      <c r="DG27" s="37"/>
      <c r="DH27" s="37"/>
      <c r="DI27" s="37"/>
      <c r="DJ27" s="37"/>
      <c r="DK27" s="37"/>
      <c r="DL27" s="37"/>
      <c r="DM27" s="37"/>
      <c r="DN27" s="37"/>
      <c r="DO27" s="37"/>
      <c r="DP27" s="37"/>
      <c r="DQ27" s="37"/>
      <c r="DR27" s="37"/>
      <c r="DS27" s="37"/>
      <c r="DT27" s="37"/>
      <c r="DU27" s="37"/>
      <c r="DV27" s="37"/>
      <c r="DW27" s="37"/>
      <c r="DX27" s="37"/>
      <c r="DY27" s="37"/>
      <c r="DZ27" s="37"/>
      <c r="EA27" s="38"/>
    </row>
    <row r="28" spans="2:131" ht="5.25" customHeight="1" x14ac:dyDescent="0.25">
      <c r="B28" s="36"/>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37"/>
      <c r="DB28" s="37"/>
      <c r="DC28" s="37"/>
      <c r="DD28" s="37"/>
      <c r="DE28" s="37"/>
      <c r="DF28" s="37"/>
      <c r="DG28" s="37"/>
      <c r="DH28" s="37"/>
      <c r="DI28" s="37"/>
      <c r="DJ28" s="37"/>
      <c r="DK28" s="37"/>
      <c r="DL28" s="37"/>
      <c r="DM28" s="37"/>
      <c r="DN28" s="37"/>
      <c r="DO28" s="37"/>
      <c r="DP28" s="37"/>
      <c r="DQ28" s="37"/>
      <c r="DR28" s="37"/>
      <c r="DS28" s="37"/>
      <c r="DT28" s="37"/>
      <c r="DU28" s="37"/>
      <c r="DV28" s="37"/>
      <c r="DW28" s="37"/>
      <c r="DX28" s="37"/>
      <c r="DY28" s="37"/>
      <c r="DZ28" s="37"/>
      <c r="EA28" s="38"/>
    </row>
    <row r="29" spans="2:131" ht="5.25" customHeight="1" x14ac:dyDescent="0.25">
      <c r="B29" s="36"/>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c r="BT29" s="37"/>
      <c r="BU29" s="37"/>
      <c r="BV29" s="37"/>
      <c r="BW29" s="37"/>
      <c r="BX29" s="37"/>
      <c r="BY29" s="37"/>
      <c r="BZ29" s="37"/>
      <c r="CA29" s="37"/>
      <c r="CB29" s="37"/>
      <c r="CC29" s="37"/>
      <c r="CD29" s="37"/>
      <c r="CE29" s="37"/>
      <c r="CF29" s="37"/>
      <c r="CG29" s="37"/>
      <c r="CH29" s="37"/>
      <c r="CI29" s="37"/>
      <c r="CJ29" s="37"/>
      <c r="CK29" s="37"/>
      <c r="CL29" s="37"/>
      <c r="CM29" s="37"/>
      <c r="CN29" s="37"/>
      <c r="CO29" s="37"/>
      <c r="CP29" s="37"/>
      <c r="CQ29" s="37"/>
      <c r="CR29" s="37"/>
      <c r="CS29" s="37"/>
      <c r="CT29" s="37"/>
      <c r="CU29" s="37"/>
      <c r="CV29" s="37"/>
      <c r="CW29" s="37"/>
      <c r="CX29" s="37"/>
      <c r="CY29" s="37"/>
      <c r="CZ29" s="37"/>
      <c r="DA29" s="37"/>
      <c r="DB29" s="37"/>
      <c r="DC29" s="37"/>
      <c r="DD29" s="37"/>
      <c r="DE29" s="37"/>
      <c r="DF29" s="37"/>
      <c r="DG29" s="37"/>
      <c r="DH29" s="37"/>
      <c r="DI29" s="37"/>
      <c r="DJ29" s="37"/>
      <c r="DK29" s="37"/>
      <c r="DL29" s="37"/>
      <c r="DM29" s="37"/>
      <c r="DN29" s="37"/>
      <c r="DO29" s="37"/>
      <c r="DP29" s="37"/>
      <c r="DQ29" s="37"/>
      <c r="DR29" s="37"/>
      <c r="DS29" s="37"/>
      <c r="DT29" s="37"/>
      <c r="DU29" s="37"/>
      <c r="DV29" s="37"/>
      <c r="DW29" s="37"/>
      <c r="DX29" s="37"/>
      <c r="DY29" s="37"/>
      <c r="DZ29" s="37"/>
      <c r="EA29" s="38"/>
    </row>
    <row r="30" spans="2:131" ht="5.25" customHeight="1" x14ac:dyDescent="0.25">
      <c r="B30" s="36"/>
      <c r="C30" s="37"/>
      <c r="D30" s="37"/>
      <c r="E30" s="37"/>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c r="BU30" s="37"/>
      <c r="BV30" s="37"/>
      <c r="BW30" s="37"/>
      <c r="BX30" s="37"/>
      <c r="BY30" s="37"/>
      <c r="BZ30" s="37"/>
      <c r="CA30" s="37"/>
      <c r="CB30" s="37"/>
      <c r="CC30" s="37"/>
      <c r="CD30" s="37"/>
      <c r="CE30" s="37"/>
      <c r="CF30" s="37"/>
      <c r="CG30" s="37"/>
      <c r="CH30" s="37"/>
      <c r="CI30" s="37"/>
      <c r="CJ30" s="37"/>
      <c r="CK30" s="37"/>
      <c r="CL30" s="37"/>
      <c r="CM30" s="37"/>
      <c r="CN30" s="37"/>
      <c r="CO30" s="37"/>
      <c r="CP30" s="37"/>
      <c r="CQ30" s="37"/>
      <c r="CR30" s="37"/>
      <c r="CS30" s="37"/>
      <c r="CT30" s="37"/>
      <c r="CU30" s="37"/>
      <c r="CV30" s="37"/>
      <c r="CW30" s="37"/>
      <c r="CX30" s="37"/>
      <c r="CY30" s="37"/>
      <c r="CZ30" s="37"/>
      <c r="DA30" s="37"/>
      <c r="DB30" s="37"/>
      <c r="DC30" s="37"/>
      <c r="DD30" s="37"/>
      <c r="DE30" s="37"/>
      <c r="DF30" s="37"/>
      <c r="DG30" s="37"/>
      <c r="DH30" s="37"/>
      <c r="DI30" s="37"/>
      <c r="DJ30" s="37"/>
      <c r="DK30" s="37"/>
      <c r="DL30" s="37"/>
      <c r="DM30" s="37"/>
      <c r="DN30" s="37"/>
      <c r="DO30" s="37"/>
      <c r="DP30" s="37"/>
      <c r="DQ30" s="37"/>
      <c r="DR30" s="37"/>
      <c r="DS30" s="37"/>
      <c r="DT30" s="37"/>
      <c r="DU30" s="37"/>
      <c r="DV30" s="37"/>
      <c r="DW30" s="37"/>
      <c r="DX30" s="37"/>
      <c r="DY30" s="37"/>
      <c r="DZ30" s="37"/>
      <c r="EA30" s="38"/>
    </row>
    <row r="31" spans="2:131" ht="5.25" customHeight="1" x14ac:dyDescent="0.25">
      <c r="B31" s="36"/>
      <c r="C31" s="37"/>
      <c r="D31" s="37"/>
      <c r="E31" s="37"/>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c r="AG31" s="37"/>
      <c r="AH31" s="37"/>
      <c r="AI31" s="37"/>
      <c r="AJ31" s="37"/>
      <c r="AK31" s="37"/>
      <c r="AL31" s="37"/>
      <c r="AM31" s="37"/>
      <c r="AN31" s="37"/>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c r="BU31" s="37"/>
      <c r="BV31" s="37"/>
      <c r="BW31" s="37"/>
      <c r="BX31" s="37"/>
      <c r="BY31" s="37"/>
      <c r="BZ31" s="37"/>
      <c r="CA31" s="37"/>
      <c r="CB31" s="37"/>
      <c r="CC31" s="37"/>
      <c r="CD31" s="37"/>
      <c r="CE31" s="37"/>
      <c r="CF31" s="37"/>
      <c r="CG31" s="37"/>
      <c r="CH31" s="37"/>
      <c r="CI31" s="37"/>
      <c r="CJ31" s="37"/>
      <c r="CK31" s="37"/>
      <c r="CL31" s="37"/>
      <c r="CM31" s="37"/>
      <c r="CN31" s="37"/>
      <c r="CO31" s="37"/>
      <c r="CP31" s="37"/>
      <c r="CQ31" s="37"/>
      <c r="CR31" s="37"/>
      <c r="CS31" s="37"/>
      <c r="CT31" s="37"/>
      <c r="CU31" s="37"/>
      <c r="CV31" s="37"/>
      <c r="CW31" s="37"/>
      <c r="CX31" s="37"/>
      <c r="CY31" s="37"/>
      <c r="CZ31" s="37"/>
      <c r="DA31" s="37"/>
      <c r="DB31" s="37"/>
      <c r="DC31" s="37"/>
      <c r="DD31" s="37"/>
      <c r="DE31" s="37"/>
      <c r="DF31" s="37"/>
      <c r="DG31" s="37"/>
      <c r="DH31" s="37"/>
      <c r="DI31" s="37"/>
      <c r="DJ31" s="37"/>
      <c r="DK31" s="37"/>
      <c r="DL31" s="37"/>
      <c r="DM31" s="37"/>
      <c r="DN31" s="37"/>
      <c r="DO31" s="37"/>
      <c r="DP31" s="37"/>
      <c r="DQ31" s="37"/>
      <c r="DR31" s="37"/>
      <c r="DS31" s="37"/>
      <c r="DT31" s="37"/>
      <c r="DU31" s="37"/>
      <c r="DV31" s="37"/>
      <c r="DW31" s="37"/>
      <c r="DX31" s="37"/>
      <c r="DY31" s="37"/>
      <c r="DZ31" s="37"/>
      <c r="EA31" s="38"/>
    </row>
    <row r="32" spans="2:131" ht="5.25" customHeight="1" x14ac:dyDescent="0.25">
      <c r="B32" s="36"/>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c r="CE32" s="37"/>
      <c r="CF32" s="37"/>
      <c r="CG32" s="37"/>
      <c r="CH32" s="37"/>
      <c r="CI32" s="37"/>
      <c r="CJ32" s="37"/>
      <c r="CK32" s="37"/>
      <c r="CL32" s="37"/>
      <c r="CM32" s="37"/>
      <c r="CN32" s="37"/>
      <c r="CO32" s="37"/>
      <c r="CP32" s="37"/>
      <c r="CQ32" s="37"/>
      <c r="CR32" s="37"/>
      <c r="CS32" s="37"/>
      <c r="CT32" s="37"/>
      <c r="CU32" s="37"/>
      <c r="CV32" s="37"/>
      <c r="CW32" s="37"/>
      <c r="CX32" s="37"/>
      <c r="CY32" s="37"/>
      <c r="CZ32" s="37"/>
      <c r="DA32" s="37"/>
      <c r="DB32" s="37"/>
      <c r="DC32" s="37"/>
      <c r="DD32" s="37"/>
      <c r="DE32" s="37"/>
      <c r="DF32" s="37"/>
      <c r="DG32" s="37"/>
      <c r="DH32" s="37"/>
      <c r="DI32" s="37"/>
      <c r="DJ32" s="37"/>
      <c r="DK32" s="37"/>
      <c r="DL32" s="37"/>
      <c r="DM32" s="37"/>
      <c r="DN32" s="37"/>
      <c r="DO32" s="37"/>
      <c r="DP32" s="37"/>
      <c r="DQ32" s="37"/>
      <c r="DR32" s="37"/>
      <c r="DS32" s="37"/>
      <c r="DT32" s="37"/>
      <c r="DU32" s="37"/>
      <c r="DV32" s="37"/>
      <c r="DW32" s="37"/>
      <c r="DX32" s="37"/>
      <c r="DY32" s="37"/>
      <c r="DZ32" s="37"/>
      <c r="EA32" s="38"/>
    </row>
    <row r="33" spans="2:131" ht="5.25" customHeight="1" x14ac:dyDescent="0.25">
      <c r="B33" s="36"/>
      <c r="C33" s="37"/>
      <c r="D33" s="37"/>
      <c r="E33" s="37"/>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37"/>
      <c r="CN33" s="37"/>
      <c r="CO33" s="37"/>
      <c r="CP33" s="37"/>
      <c r="CQ33" s="37"/>
      <c r="CR33" s="37"/>
      <c r="CS33" s="37"/>
      <c r="CT33" s="37"/>
      <c r="CU33" s="37"/>
      <c r="CV33" s="37"/>
      <c r="CW33" s="37"/>
      <c r="CX33" s="37"/>
      <c r="CY33" s="37"/>
      <c r="CZ33" s="37"/>
      <c r="DA33" s="37"/>
      <c r="DB33" s="37"/>
      <c r="DC33" s="37"/>
      <c r="DD33" s="37"/>
      <c r="DE33" s="37"/>
      <c r="DF33" s="37"/>
      <c r="DG33" s="37"/>
      <c r="DH33" s="37"/>
      <c r="DI33" s="37"/>
      <c r="DJ33" s="37"/>
      <c r="DK33" s="37"/>
      <c r="DL33" s="37"/>
      <c r="DM33" s="37"/>
      <c r="DN33" s="37"/>
      <c r="DO33" s="37"/>
      <c r="DP33" s="37"/>
      <c r="DQ33" s="37"/>
      <c r="DR33" s="37"/>
      <c r="DS33" s="37"/>
      <c r="DT33" s="37"/>
      <c r="DU33" s="37"/>
      <c r="DV33" s="37"/>
      <c r="DW33" s="37"/>
      <c r="DX33" s="37"/>
      <c r="DY33" s="37"/>
      <c r="DZ33" s="37"/>
      <c r="EA33" s="38"/>
    </row>
    <row r="34" spans="2:131" ht="5.25" customHeight="1" x14ac:dyDescent="0.25">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9">
        <v>0</v>
      </c>
      <c r="AB34" s="39">
        <v>1</v>
      </c>
      <c r="AC34" s="39">
        <v>2</v>
      </c>
      <c r="AD34" s="39">
        <v>3</v>
      </c>
      <c r="AE34" s="39">
        <v>4</v>
      </c>
      <c r="AF34" s="39">
        <v>5</v>
      </c>
      <c r="AG34" s="39">
        <v>6</v>
      </c>
      <c r="AH34" s="39">
        <v>7</v>
      </c>
      <c r="AI34" s="39">
        <v>8</v>
      </c>
      <c r="AJ34" s="39">
        <v>9</v>
      </c>
      <c r="AK34" s="39">
        <v>10</v>
      </c>
      <c r="AL34" s="39">
        <v>11</v>
      </c>
      <c r="AM34" s="39">
        <v>12</v>
      </c>
      <c r="AN34" s="39">
        <v>13</v>
      </c>
      <c r="AO34" s="39">
        <v>14</v>
      </c>
      <c r="AP34" s="39">
        <v>15</v>
      </c>
      <c r="AQ34" s="39">
        <v>16</v>
      </c>
      <c r="AR34" s="39">
        <v>17</v>
      </c>
      <c r="AS34" s="39">
        <v>18</v>
      </c>
      <c r="AT34" s="39">
        <v>19</v>
      </c>
      <c r="AU34" s="39">
        <v>20</v>
      </c>
      <c r="AV34" s="39">
        <v>21</v>
      </c>
      <c r="AW34" s="39">
        <v>22</v>
      </c>
      <c r="AX34" s="39">
        <v>23</v>
      </c>
      <c r="AY34" s="39">
        <v>24</v>
      </c>
      <c r="AZ34" s="39">
        <v>25</v>
      </c>
      <c r="BA34" s="39">
        <v>26</v>
      </c>
      <c r="BB34" s="39">
        <v>27</v>
      </c>
      <c r="BC34" s="39">
        <v>28</v>
      </c>
      <c r="BD34" s="39">
        <v>29</v>
      </c>
      <c r="BE34" s="39">
        <v>30</v>
      </c>
      <c r="BF34" s="39">
        <v>31</v>
      </c>
      <c r="BG34" s="39">
        <v>32</v>
      </c>
      <c r="BH34" s="39">
        <v>33</v>
      </c>
      <c r="BI34" s="39">
        <v>34</v>
      </c>
      <c r="BJ34" s="39">
        <v>35</v>
      </c>
      <c r="BK34" s="39">
        <v>36</v>
      </c>
      <c r="BL34" s="39">
        <v>37</v>
      </c>
      <c r="BM34" s="39">
        <v>38</v>
      </c>
      <c r="BN34" s="39">
        <v>39</v>
      </c>
      <c r="BO34" s="39">
        <v>40</v>
      </c>
      <c r="BP34" s="39">
        <v>41</v>
      </c>
      <c r="BQ34" s="39">
        <v>42</v>
      </c>
      <c r="BR34" s="39">
        <v>43</v>
      </c>
      <c r="BS34" s="39">
        <v>44</v>
      </c>
      <c r="BT34" s="39">
        <v>45</v>
      </c>
      <c r="BU34" s="39">
        <v>46</v>
      </c>
      <c r="BV34" s="39">
        <v>47</v>
      </c>
      <c r="BW34" s="39">
        <v>48</v>
      </c>
      <c r="BX34" s="39">
        <v>49</v>
      </c>
      <c r="BY34" s="39">
        <v>50</v>
      </c>
      <c r="BZ34" s="39">
        <v>51</v>
      </c>
      <c r="CA34" s="39">
        <v>52</v>
      </c>
      <c r="CB34" s="39">
        <v>53</v>
      </c>
      <c r="CC34" s="39">
        <v>54</v>
      </c>
      <c r="CD34" s="39">
        <v>55</v>
      </c>
      <c r="CE34" s="39">
        <v>56</v>
      </c>
      <c r="CF34" s="39">
        <v>57</v>
      </c>
      <c r="CG34" s="39">
        <v>58</v>
      </c>
      <c r="CH34" s="39">
        <v>59</v>
      </c>
      <c r="CI34" s="39">
        <v>60</v>
      </c>
      <c r="CJ34" s="39">
        <v>61</v>
      </c>
      <c r="CK34" s="39">
        <v>62</v>
      </c>
      <c r="CL34" s="39">
        <v>63</v>
      </c>
      <c r="CM34" s="39">
        <v>64</v>
      </c>
      <c r="CN34" s="39">
        <v>65</v>
      </c>
      <c r="CO34" s="39">
        <v>66</v>
      </c>
      <c r="CP34" s="39">
        <v>67</v>
      </c>
      <c r="CQ34" s="39">
        <v>68</v>
      </c>
      <c r="CR34" s="39">
        <v>69</v>
      </c>
      <c r="CS34" s="39">
        <v>70</v>
      </c>
      <c r="CT34" s="39">
        <v>71</v>
      </c>
      <c r="CU34" s="39">
        <v>72</v>
      </c>
      <c r="CV34" s="39">
        <v>73</v>
      </c>
      <c r="CW34" s="39">
        <v>74</v>
      </c>
      <c r="CX34" s="39">
        <v>75</v>
      </c>
      <c r="CY34" s="39">
        <v>76</v>
      </c>
      <c r="CZ34" s="39">
        <v>77</v>
      </c>
      <c r="DA34" s="39">
        <v>78</v>
      </c>
      <c r="DB34" s="39">
        <v>79</v>
      </c>
      <c r="DC34" s="39">
        <v>80</v>
      </c>
      <c r="DD34" s="39">
        <v>81</v>
      </c>
      <c r="DE34" s="39">
        <v>82</v>
      </c>
      <c r="DF34" s="39">
        <v>83</v>
      </c>
      <c r="DG34" s="39">
        <v>84</v>
      </c>
      <c r="DH34" s="39">
        <v>85</v>
      </c>
      <c r="DI34" s="39">
        <v>86</v>
      </c>
      <c r="DJ34" s="39">
        <v>87</v>
      </c>
      <c r="DK34" s="39">
        <v>88</v>
      </c>
      <c r="DL34" s="39">
        <v>89</v>
      </c>
      <c r="DM34" s="39">
        <v>90</v>
      </c>
      <c r="DN34" s="39">
        <v>91</v>
      </c>
      <c r="DO34" s="39">
        <v>92</v>
      </c>
      <c r="DP34" s="39">
        <v>93</v>
      </c>
      <c r="DQ34" s="39">
        <v>94</v>
      </c>
      <c r="DR34" s="39">
        <v>95</v>
      </c>
      <c r="DS34" s="39">
        <v>96</v>
      </c>
      <c r="DT34" s="39">
        <v>97</v>
      </c>
      <c r="DU34" s="39">
        <v>98</v>
      </c>
      <c r="DV34" s="39">
        <v>99</v>
      </c>
      <c r="DW34" s="39">
        <v>100</v>
      </c>
      <c r="DX34" s="37"/>
      <c r="DY34" s="37"/>
      <c r="DZ34" s="37"/>
      <c r="EA34" s="38"/>
    </row>
    <row r="35" spans="2:131" ht="5.25" customHeight="1" x14ac:dyDescent="0.25">
      <c r="B35" s="36"/>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c r="CL35" s="37"/>
      <c r="CM35" s="37"/>
      <c r="CN35" s="37"/>
      <c r="CO35" s="37"/>
      <c r="CP35" s="37"/>
      <c r="CQ35" s="37"/>
      <c r="CR35" s="37"/>
      <c r="CS35" s="37"/>
      <c r="CT35" s="37"/>
      <c r="CU35" s="37"/>
      <c r="CV35" s="37"/>
      <c r="CW35" s="37"/>
      <c r="CX35" s="37"/>
      <c r="CY35" s="37"/>
      <c r="CZ35" s="37"/>
      <c r="DA35" s="37"/>
      <c r="DB35" s="37"/>
      <c r="DC35" s="37"/>
      <c r="DD35" s="37"/>
      <c r="DE35" s="37"/>
      <c r="DF35" s="37"/>
      <c r="DG35" s="37"/>
      <c r="DH35" s="37"/>
      <c r="DI35" s="37"/>
      <c r="DJ35" s="37"/>
      <c r="DK35" s="37"/>
      <c r="DL35" s="37"/>
      <c r="DM35" s="37"/>
      <c r="DN35" s="37"/>
      <c r="DO35" s="37"/>
      <c r="DP35" s="37"/>
      <c r="DQ35" s="37"/>
      <c r="DR35" s="37"/>
      <c r="DS35" s="37"/>
      <c r="DT35" s="37"/>
      <c r="DU35" s="37"/>
      <c r="DV35" s="37"/>
      <c r="DW35" s="37"/>
      <c r="DX35" s="37"/>
      <c r="DY35" s="37"/>
      <c r="DZ35" s="37"/>
      <c r="EA35" s="38"/>
    </row>
    <row r="36" spans="2:131" ht="5.25" customHeight="1" x14ac:dyDescent="0.25">
      <c r="B36" s="36"/>
      <c r="C36" s="37"/>
      <c r="D36" s="37"/>
      <c r="E36" s="37"/>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c r="CE36" s="37"/>
      <c r="CF36" s="37"/>
      <c r="CG36" s="37"/>
      <c r="CH36" s="37"/>
      <c r="CI36" s="37"/>
      <c r="CJ36" s="37"/>
      <c r="CK36" s="37"/>
      <c r="CL36" s="37"/>
      <c r="CM36" s="37"/>
      <c r="CN36" s="37"/>
      <c r="CO36" s="37"/>
      <c r="CP36" s="37"/>
      <c r="CQ36" s="37"/>
      <c r="CR36" s="37"/>
      <c r="CS36" s="37"/>
      <c r="CT36" s="37"/>
      <c r="CU36" s="37"/>
      <c r="CV36" s="37"/>
      <c r="CW36" s="37"/>
      <c r="CX36" s="37"/>
      <c r="CY36" s="37"/>
      <c r="CZ36" s="37"/>
      <c r="DA36" s="37"/>
      <c r="DB36" s="37"/>
      <c r="DC36" s="37"/>
      <c r="DD36" s="37"/>
      <c r="DE36" s="37"/>
      <c r="DF36" s="37"/>
      <c r="DG36" s="37"/>
      <c r="DH36" s="37"/>
      <c r="DI36" s="37"/>
      <c r="DJ36" s="37"/>
      <c r="DK36" s="37"/>
      <c r="DL36" s="37"/>
      <c r="DM36" s="37"/>
      <c r="DN36" s="37"/>
      <c r="DO36" s="37"/>
      <c r="DP36" s="37"/>
      <c r="DQ36" s="37"/>
      <c r="DR36" s="37"/>
      <c r="DS36" s="37"/>
      <c r="DT36" s="37"/>
      <c r="DU36" s="37"/>
      <c r="DV36" s="37"/>
      <c r="DW36" s="37"/>
      <c r="DX36" s="37"/>
      <c r="DY36" s="37"/>
      <c r="DZ36" s="37"/>
      <c r="EA36" s="38"/>
    </row>
    <row r="37" spans="2:131" ht="5.25" customHeight="1" x14ac:dyDescent="0.25">
      <c r="B37" s="36"/>
      <c r="C37" s="37"/>
      <c r="D37" s="37"/>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c r="BU37" s="37"/>
      <c r="BV37" s="37"/>
      <c r="BW37" s="37"/>
      <c r="BX37" s="37"/>
      <c r="BY37" s="37"/>
      <c r="BZ37" s="37"/>
      <c r="CA37" s="37"/>
      <c r="CB37" s="37"/>
      <c r="CC37" s="37"/>
      <c r="CD37" s="37"/>
      <c r="CE37" s="37"/>
      <c r="CF37" s="37"/>
      <c r="CG37" s="37"/>
      <c r="CH37" s="37"/>
      <c r="CI37" s="37"/>
      <c r="CJ37" s="37"/>
      <c r="CK37" s="37"/>
      <c r="CL37" s="37"/>
      <c r="CM37" s="37"/>
      <c r="CN37" s="37"/>
      <c r="CO37" s="37"/>
      <c r="CP37" s="37"/>
      <c r="CQ37" s="37"/>
      <c r="CR37" s="37"/>
      <c r="CS37" s="37"/>
      <c r="CT37" s="37"/>
      <c r="CU37" s="37"/>
      <c r="CV37" s="37"/>
      <c r="CW37" s="37"/>
      <c r="CX37" s="37"/>
      <c r="CY37" s="37"/>
      <c r="CZ37" s="37"/>
      <c r="DA37" s="37"/>
      <c r="DB37" s="37"/>
      <c r="DC37" s="37"/>
      <c r="DD37" s="37"/>
      <c r="DE37" s="37"/>
      <c r="DF37" s="37"/>
      <c r="DG37" s="37"/>
      <c r="DH37" s="37"/>
      <c r="DI37" s="37"/>
      <c r="DJ37" s="37"/>
      <c r="DK37" s="37"/>
      <c r="DL37" s="37"/>
      <c r="DM37" s="37"/>
      <c r="DN37" s="37"/>
      <c r="DO37" s="37"/>
      <c r="DP37" s="37"/>
      <c r="DQ37" s="37"/>
      <c r="DR37" s="37"/>
      <c r="DS37" s="37"/>
      <c r="DT37" s="37"/>
      <c r="DU37" s="37"/>
      <c r="DV37" s="37"/>
      <c r="DW37" s="37"/>
      <c r="DX37" s="37"/>
      <c r="DY37" s="37"/>
      <c r="DZ37" s="37"/>
      <c r="EA37" s="38"/>
    </row>
    <row r="38" spans="2:131" ht="5.25" customHeight="1" x14ac:dyDescent="0.25">
      <c r="B38" s="36"/>
      <c r="C38" s="37"/>
      <c r="D38" s="37"/>
      <c r="E38" s="37"/>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37"/>
      <c r="CL38" s="37"/>
      <c r="CM38" s="37"/>
      <c r="CN38" s="37"/>
      <c r="CO38" s="37"/>
      <c r="CP38" s="37"/>
      <c r="CQ38" s="37"/>
      <c r="CR38" s="37"/>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c r="DW38" s="37"/>
      <c r="DX38" s="37"/>
      <c r="DY38" s="37"/>
      <c r="DZ38" s="37"/>
      <c r="EA38" s="38"/>
    </row>
    <row r="39" spans="2:131" ht="5.25" customHeight="1" x14ac:dyDescent="0.25">
      <c r="B39" s="36"/>
      <c r="C39" s="37"/>
      <c r="D39" s="37"/>
      <c r="E39" s="37"/>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c r="BT39" s="37"/>
      <c r="BU39" s="37"/>
      <c r="BV39" s="37"/>
      <c r="BW39" s="37"/>
      <c r="BX39" s="37"/>
      <c r="BY39" s="37"/>
      <c r="BZ39" s="37"/>
      <c r="CA39" s="37"/>
      <c r="CB39" s="37"/>
      <c r="CC39" s="37"/>
      <c r="CD39" s="37"/>
      <c r="CE39" s="37"/>
      <c r="CF39" s="37"/>
      <c r="CG39" s="37"/>
      <c r="CH39" s="37"/>
      <c r="CI39" s="37"/>
      <c r="CJ39" s="37"/>
      <c r="CK39" s="37"/>
      <c r="CL39" s="37"/>
      <c r="CM39" s="37"/>
      <c r="CN39" s="37"/>
      <c r="CO39" s="37"/>
      <c r="CP39" s="37"/>
      <c r="CQ39" s="37"/>
      <c r="CR39" s="37"/>
      <c r="CS39" s="37"/>
      <c r="CT39" s="37"/>
      <c r="CU39" s="37"/>
      <c r="CV39" s="37"/>
      <c r="CW39" s="37"/>
      <c r="CX39" s="37"/>
      <c r="CY39" s="37"/>
      <c r="CZ39" s="37"/>
      <c r="DA39" s="37"/>
      <c r="DB39" s="37"/>
      <c r="DC39" s="37"/>
      <c r="DD39" s="37"/>
      <c r="DE39" s="37"/>
      <c r="DF39" s="37"/>
      <c r="DG39" s="37"/>
      <c r="DH39" s="37"/>
      <c r="DI39" s="37"/>
      <c r="DJ39" s="37"/>
      <c r="DK39" s="37"/>
      <c r="DL39" s="37"/>
      <c r="DM39" s="37"/>
      <c r="DN39" s="37"/>
      <c r="DO39" s="37"/>
      <c r="DP39" s="37"/>
      <c r="DQ39" s="37"/>
      <c r="DR39" s="37"/>
      <c r="DS39" s="37"/>
      <c r="DT39" s="37"/>
      <c r="DU39" s="37"/>
      <c r="DV39" s="37"/>
      <c r="DW39" s="37"/>
      <c r="DX39" s="37"/>
      <c r="DY39" s="37"/>
      <c r="DZ39" s="37"/>
      <c r="EA39" s="38"/>
    </row>
    <row r="40" spans="2:131" ht="5.25" customHeight="1" x14ac:dyDescent="0.25">
      <c r="B40" s="36"/>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c r="BT40" s="37"/>
      <c r="BU40" s="37"/>
      <c r="BV40" s="37"/>
      <c r="BW40" s="37"/>
      <c r="BX40" s="37"/>
      <c r="BY40" s="37"/>
      <c r="BZ40" s="37"/>
      <c r="CA40" s="37"/>
      <c r="CB40" s="37"/>
      <c r="CC40" s="37"/>
      <c r="CD40" s="37"/>
      <c r="CE40" s="37"/>
      <c r="CF40" s="37"/>
      <c r="CG40" s="37"/>
      <c r="CH40" s="37"/>
      <c r="CI40" s="37"/>
      <c r="CJ40" s="37"/>
      <c r="CK40" s="37"/>
      <c r="CL40" s="37"/>
      <c r="CM40" s="37"/>
      <c r="CN40" s="37"/>
      <c r="CO40" s="37"/>
      <c r="CP40" s="37"/>
      <c r="CQ40" s="37"/>
      <c r="CR40" s="37"/>
      <c r="CS40" s="37"/>
      <c r="CT40" s="37"/>
      <c r="CU40" s="37"/>
      <c r="CV40" s="37"/>
      <c r="CW40" s="37"/>
      <c r="CX40" s="37"/>
      <c r="CY40" s="37"/>
      <c r="CZ40" s="37"/>
      <c r="DA40" s="37"/>
      <c r="DB40" s="37"/>
      <c r="DC40" s="37"/>
      <c r="DD40" s="37"/>
      <c r="DE40" s="37"/>
      <c r="DF40" s="37"/>
      <c r="DG40" s="37"/>
      <c r="DH40" s="37"/>
      <c r="DI40" s="37"/>
      <c r="DJ40" s="37"/>
      <c r="DK40" s="37"/>
      <c r="DL40" s="37"/>
      <c r="DM40" s="37"/>
      <c r="DN40" s="37"/>
      <c r="DO40" s="37"/>
      <c r="DP40" s="37"/>
      <c r="DQ40" s="37"/>
      <c r="DR40" s="37"/>
      <c r="DS40" s="37"/>
      <c r="DT40" s="37"/>
      <c r="DU40" s="37"/>
      <c r="DV40" s="37"/>
      <c r="DW40" s="37"/>
      <c r="DX40" s="37"/>
      <c r="DY40" s="37"/>
      <c r="DZ40" s="37"/>
      <c r="EA40" s="38"/>
    </row>
    <row r="41" spans="2:131" ht="5.25" customHeight="1" x14ac:dyDescent="0.25">
      <c r="B41" s="36"/>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c r="BU41" s="37"/>
      <c r="BV41" s="37"/>
      <c r="BW41" s="37"/>
      <c r="BX41" s="37"/>
      <c r="BY41" s="37"/>
      <c r="BZ41" s="37"/>
      <c r="CA41" s="37"/>
      <c r="CB41" s="37"/>
      <c r="CC41" s="37"/>
      <c r="CD41" s="37"/>
      <c r="CE41" s="37"/>
      <c r="CF41" s="37"/>
      <c r="CG41" s="37"/>
      <c r="CH41" s="37"/>
      <c r="CI41" s="37"/>
      <c r="CJ41" s="37"/>
      <c r="CK41" s="37"/>
      <c r="CL41" s="37"/>
      <c r="CM41" s="37"/>
      <c r="CN41" s="37"/>
      <c r="CO41" s="37"/>
      <c r="CP41" s="37"/>
      <c r="CQ41" s="37"/>
      <c r="CR41" s="37"/>
      <c r="CS41" s="37"/>
      <c r="CT41" s="37"/>
      <c r="CU41" s="37"/>
      <c r="CV41" s="37"/>
      <c r="CW41" s="37"/>
      <c r="CX41" s="37"/>
      <c r="CY41" s="37"/>
      <c r="CZ41" s="37"/>
      <c r="DA41" s="37"/>
      <c r="DB41" s="37"/>
      <c r="DC41" s="37"/>
      <c r="DD41" s="37"/>
      <c r="DE41" s="37"/>
      <c r="DF41" s="37"/>
      <c r="DG41" s="37"/>
      <c r="DH41" s="37"/>
      <c r="DI41" s="37"/>
      <c r="DJ41" s="37"/>
      <c r="DK41" s="37"/>
      <c r="DL41" s="37"/>
      <c r="DM41" s="37"/>
      <c r="DN41" s="37"/>
      <c r="DO41" s="37"/>
      <c r="DP41" s="37"/>
      <c r="DQ41" s="37"/>
      <c r="DR41" s="37"/>
      <c r="DS41" s="37"/>
      <c r="DT41" s="37"/>
      <c r="DU41" s="37"/>
      <c r="DV41" s="37"/>
      <c r="DW41" s="37"/>
      <c r="DX41" s="37"/>
      <c r="DY41" s="37"/>
      <c r="DZ41" s="37"/>
      <c r="EA41" s="38"/>
    </row>
    <row r="42" spans="2:131" ht="5.25" customHeight="1" x14ac:dyDescent="0.25">
      <c r="B42" s="40"/>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2"/>
    </row>
    <row r="44" spans="2:131" ht="5.25" customHeight="1" x14ac:dyDescent="0.25">
      <c r="B44" s="17"/>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8"/>
      <c r="DT44" s="18"/>
      <c r="DU44" s="18"/>
      <c r="DV44" s="18"/>
      <c r="DW44" s="18"/>
      <c r="DX44" s="18"/>
      <c r="DY44" s="18"/>
      <c r="DZ44" s="18"/>
      <c r="EA44" s="19"/>
    </row>
    <row r="45" spans="2:131" ht="5.25" customHeight="1" x14ac:dyDescent="0.25">
      <c r="B45" s="20"/>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2"/>
    </row>
    <row r="46" spans="2:131" ht="5.25" customHeight="1" x14ac:dyDescent="0.25">
      <c r="B46" s="20"/>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2"/>
    </row>
    <row r="47" spans="2:131" ht="5.25" customHeight="1" x14ac:dyDescent="0.25">
      <c r="B47" s="20"/>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2"/>
    </row>
    <row r="48" spans="2:131" ht="5.25" customHeight="1" x14ac:dyDescent="0.25">
      <c r="B48" s="20"/>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2"/>
    </row>
    <row r="49" spans="2:131" ht="5.25" customHeight="1" x14ac:dyDescent="0.25">
      <c r="B49" s="20"/>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2"/>
    </row>
    <row r="50" spans="2:131" ht="5.25" customHeight="1" x14ac:dyDescent="0.25">
      <c r="B50" s="20"/>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2"/>
    </row>
    <row r="51" spans="2:131" ht="5.25" customHeight="1" x14ac:dyDescent="0.25">
      <c r="B51" s="20"/>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2"/>
    </row>
    <row r="52" spans="2:131" ht="5.25" customHeight="1" x14ac:dyDescent="0.25">
      <c r="B52" s="20"/>
      <c r="C52" s="21"/>
      <c r="D52" s="21"/>
      <c r="E52" s="21"/>
      <c r="F52" s="21"/>
      <c r="G52" s="21"/>
      <c r="H52" s="21"/>
      <c r="I52" s="21"/>
      <c r="J52" s="21"/>
      <c r="K52" s="21"/>
      <c r="L52" s="21"/>
      <c r="M52" s="21"/>
      <c r="N52" s="21"/>
      <c r="O52" s="21"/>
      <c r="P52" s="21"/>
      <c r="Q52" s="21"/>
      <c r="R52" s="21"/>
      <c r="S52" s="21"/>
      <c r="T52" s="21"/>
      <c r="U52" s="21"/>
      <c r="V52" s="21"/>
      <c r="W52" s="21"/>
      <c r="X52" s="21"/>
      <c r="Y52" s="21"/>
      <c r="Z52" s="21"/>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23"/>
      <c r="CD52" s="23"/>
      <c r="CE52" s="23"/>
      <c r="CF52" s="23"/>
      <c r="CG52" s="23"/>
      <c r="CH52" s="23"/>
      <c r="CI52" s="23"/>
      <c r="CJ52" s="23"/>
      <c r="CK52" s="23"/>
      <c r="CL52" s="23"/>
      <c r="CM52" s="23"/>
      <c r="CN52" s="23"/>
      <c r="CO52" s="23"/>
      <c r="CP52" s="23"/>
      <c r="CQ52" s="23"/>
      <c r="CR52" s="23"/>
      <c r="CS52" s="23"/>
      <c r="CT52" s="23"/>
      <c r="CU52" s="23"/>
      <c r="CV52" s="23"/>
      <c r="CW52" s="23"/>
      <c r="CX52" s="23"/>
      <c r="CY52" s="23"/>
      <c r="CZ52" s="23"/>
      <c r="DA52" s="23"/>
      <c r="DB52" s="23"/>
      <c r="DC52" s="23"/>
      <c r="DD52" s="23"/>
      <c r="DE52" s="23"/>
      <c r="DF52" s="23"/>
      <c r="DG52" s="23"/>
      <c r="DH52" s="23"/>
      <c r="DI52" s="23"/>
      <c r="DJ52" s="23"/>
      <c r="DK52" s="23"/>
      <c r="DL52" s="23"/>
      <c r="DM52" s="23"/>
      <c r="DN52" s="23"/>
      <c r="DO52" s="23"/>
      <c r="DP52" s="23"/>
      <c r="DQ52" s="23"/>
      <c r="DR52" s="23"/>
      <c r="DS52" s="23"/>
      <c r="DT52" s="23"/>
      <c r="DU52" s="23"/>
      <c r="DV52" s="23"/>
      <c r="DW52" s="23"/>
      <c r="DX52" s="21"/>
      <c r="DY52" s="21"/>
      <c r="DZ52" s="21"/>
      <c r="EA52" s="22"/>
    </row>
    <row r="53" spans="2:131" ht="5.25" customHeight="1" x14ac:dyDescent="0.25">
      <c r="B53" s="20"/>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2"/>
    </row>
    <row r="54" spans="2:131" ht="5.25" customHeight="1" x14ac:dyDescent="0.25">
      <c r="B54" s="20"/>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2"/>
    </row>
    <row r="55" spans="2:131" ht="5.25" customHeight="1" x14ac:dyDescent="0.25">
      <c r="B55" s="20"/>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2"/>
    </row>
    <row r="56" spans="2:131" ht="5.25" customHeight="1" x14ac:dyDescent="0.25">
      <c r="B56" s="20"/>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2"/>
    </row>
    <row r="57" spans="2:131" ht="5.25" customHeight="1" x14ac:dyDescent="0.25">
      <c r="B57" s="20"/>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2"/>
    </row>
    <row r="58" spans="2:131" ht="5.25" customHeight="1" x14ac:dyDescent="0.25">
      <c r="B58" s="20"/>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2"/>
    </row>
    <row r="59" spans="2:131" ht="5.25" customHeight="1" x14ac:dyDescent="0.25">
      <c r="B59" s="20"/>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2"/>
    </row>
    <row r="60" spans="2:131" ht="5.25" customHeight="1" x14ac:dyDescent="0.25">
      <c r="B60" s="24"/>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6"/>
    </row>
  </sheetData>
  <mergeCells count="22">
    <mergeCell ref="C19:Y19"/>
    <mergeCell ref="AZ12:BV16"/>
    <mergeCell ref="BY12:CU16"/>
    <mergeCell ref="CW2:DS6"/>
    <mergeCell ref="AA2:AW6"/>
    <mergeCell ref="C7:Y12"/>
    <mergeCell ref="C14:Y18"/>
    <mergeCell ref="C2:Y6"/>
    <mergeCell ref="AZ2:BV6"/>
    <mergeCell ref="BY2:CU6"/>
    <mergeCell ref="AA12:AW16"/>
    <mergeCell ref="EC2:EC4"/>
    <mergeCell ref="EC6:EC8"/>
    <mergeCell ref="EC10:EC12"/>
    <mergeCell ref="CW12:DG16"/>
    <mergeCell ref="DI12:DS16"/>
    <mergeCell ref="DY2:DY4"/>
    <mergeCell ref="DY6:DY8"/>
    <mergeCell ref="DY10:DY12"/>
    <mergeCell ref="EA2:EA4"/>
    <mergeCell ref="EA6:EA8"/>
    <mergeCell ref="EA10:EA12"/>
  </mergeCells>
  <dataValidations count="1">
    <dataValidation type="list" allowBlank="1" showInputMessage="1" showErrorMessage="1" sqref="C19:C24 C20:X20 D21:Y24">
      <formula1>list_colors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croll Bar 2">
              <controlPr defaultSize="0" autoPict="0">
                <anchor moveWithCells="1">
                  <from>
                    <xdr:col>27</xdr:col>
                    <xdr:colOff>0</xdr:colOff>
                    <xdr:row>6</xdr:row>
                    <xdr:rowOff>19050</xdr:rowOff>
                  </from>
                  <to>
                    <xdr:col>48</xdr:col>
                    <xdr:colOff>9525</xdr:colOff>
                    <xdr:row>10</xdr:row>
                    <xdr:rowOff>47625</xdr:rowOff>
                  </to>
                </anchor>
              </controlPr>
            </control>
          </mc:Choice>
        </mc:AlternateContent>
        <mc:AlternateContent xmlns:mc="http://schemas.openxmlformats.org/markup-compatibility/2006">
          <mc:Choice Requires="x14">
            <control shapeId="1027" r:id="rId5" name="Scroll Bar 3">
              <controlPr defaultSize="0" autoPict="0">
                <anchor moveWithCells="1">
                  <from>
                    <xdr:col>52</xdr:col>
                    <xdr:colOff>28575</xdr:colOff>
                    <xdr:row>6</xdr:row>
                    <xdr:rowOff>19050</xdr:rowOff>
                  </from>
                  <to>
                    <xdr:col>72</xdr:col>
                    <xdr:colOff>47625</xdr:colOff>
                    <xdr:row>10</xdr:row>
                    <xdr:rowOff>47625</xdr:rowOff>
                  </to>
                </anchor>
              </controlPr>
            </control>
          </mc:Choice>
        </mc:AlternateContent>
        <mc:AlternateContent xmlns:mc="http://schemas.openxmlformats.org/markup-compatibility/2006">
          <mc:Choice Requires="x14">
            <control shapeId="1029" r:id="rId6" name="Scroll Bar 5">
              <controlPr defaultSize="0" autoPict="0">
                <anchor moveWithCells="1">
                  <from>
                    <xdr:col>77</xdr:col>
                    <xdr:colOff>28575</xdr:colOff>
                    <xdr:row>6</xdr:row>
                    <xdr:rowOff>19050</xdr:rowOff>
                  </from>
                  <to>
                    <xdr:col>97</xdr:col>
                    <xdr:colOff>47625</xdr:colOff>
                    <xdr:row>10</xdr:row>
                    <xdr:rowOff>47625</xdr:rowOff>
                  </to>
                </anchor>
              </controlPr>
            </control>
          </mc:Choice>
        </mc:AlternateContent>
        <mc:AlternateContent xmlns:mc="http://schemas.openxmlformats.org/markup-compatibility/2006">
          <mc:Choice Requires="x14">
            <control shapeId="1030" r:id="rId7" name="Button 6">
              <controlPr defaultSize="0" print="0" autoFill="0" autoPict="0" macro="[0]!move_arrow">
                <anchor moveWithCells="1" sizeWithCells="1">
                  <from>
                    <xdr:col>26</xdr:col>
                    <xdr:colOff>0</xdr:colOff>
                    <xdr:row>17</xdr:row>
                    <xdr:rowOff>9525</xdr:rowOff>
                  </from>
                  <to>
                    <xdr:col>62</xdr:col>
                    <xdr:colOff>0</xdr:colOff>
                    <xdr:row>19</xdr:row>
                    <xdr:rowOff>9525</xdr:rowOff>
                  </to>
                </anchor>
              </controlPr>
            </control>
          </mc:Choice>
        </mc:AlternateContent>
        <mc:AlternateContent xmlns:mc="http://schemas.openxmlformats.org/markup-compatibility/2006">
          <mc:Choice Requires="x14">
            <control shapeId="1031" r:id="rId8" name="Button 7">
              <controlPr defaultSize="0" print="0" autoFill="0" autoPict="0" macro="[0]!to_img">
                <anchor moveWithCells="1" sizeWithCells="1">
                  <from>
                    <xdr:col>63</xdr:col>
                    <xdr:colOff>0</xdr:colOff>
                    <xdr:row>17</xdr:row>
                    <xdr:rowOff>9525</xdr:rowOff>
                  </from>
                  <to>
                    <xdr:col>99</xdr:col>
                    <xdr:colOff>0</xdr:colOff>
                    <xdr:row>19</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E13"/>
  <sheetViews>
    <sheetView zoomScale="130" zoomScaleNormal="130" workbookViewId="0">
      <selection activeCell="B1" sqref="B1:E13"/>
    </sheetView>
  </sheetViews>
  <sheetFormatPr baseColWidth="10" defaultColWidth="9.5703125" defaultRowHeight="9" x14ac:dyDescent="0.15"/>
  <cols>
    <col min="1" max="1" width="9.5703125" style="53"/>
    <col min="2" max="2" width="2.140625" style="53" customWidth="1"/>
    <col min="3" max="3" width="7.42578125" style="53" bestFit="1" customWidth="1"/>
    <col min="4" max="4" width="2.28515625" style="53" customWidth="1"/>
    <col min="5" max="16384" width="9.5703125" style="53"/>
  </cols>
  <sheetData>
    <row r="1" spans="1:5" x14ac:dyDescent="0.15">
      <c r="A1" s="53" t="s">
        <v>8</v>
      </c>
      <c r="B1" s="53" t="s">
        <v>7625</v>
      </c>
      <c r="C1" s="53" t="s">
        <v>7612</v>
      </c>
      <c r="D1" s="53" t="s">
        <v>7625</v>
      </c>
      <c r="E1" s="53" t="s">
        <v>7613</v>
      </c>
    </row>
    <row r="2" spans="1:5" x14ac:dyDescent="0.15">
      <c r="A2" s="53" t="s">
        <v>17</v>
      </c>
      <c r="B2" s="53">
        <v>1</v>
      </c>
      <c r="C2" s="53" t="s">
        <v>7614</v>
      </c>
      <c r="D2" s="53">
        <v>5</v>
      </c>
      <c r="E2" s="53">
        <f ca="1">YEAR(TODAY())</f>
        <v>2017</v>
      </c>
    </row>
    <row r="3" spans="1:5" x14ac:dyDescent="0.15">
      <c r="A3" s="53" t="s">
        <v>10</v>
      </c>
      <c r="B3" s="53">
        <v>2</v>
      </c>
      <c r="C3" s="53" t="s">
        <v>7615</v>
      </c>
      <c r="D3" s="53">
        <v>4</v>
      </c>
      <c r="E3" s="53">
        <f ca="1">$E$2-1</f>
        <v>2016</v>
      </c>
    </row>
    <row r="4" spans="1:5" x14ac:dyDescent="0.15">
      <c r="A4" s="53" t="s">
        <v>11</v>
      </c>
      <c r="B4" s="53">
        <v>3</v>
      </c>
      <c r="C4" s="53" t="s">
        <v>7616</v>
      </c>
      <c r="D4" s="53">
        <v>3</v>
      </c>
      <c r="E4" s="53">
        <f ca="1">$E$2-2</f>
        <v>2015</v>
      </c>
    </row>
    <row r="5" spans="1:5" x14ac:dyDescent="0.15">
      <c r="A5" s="53" t="s">
        <v>12</v>
      </c>
      <c r="B5" s="53">
        <v>4</v>
      </c>
      <c r="C5" s="53" t="s">
        <v>7617</v>
      </c>
      <c r="D5" s="53">
        <v>2</v>
      </c>
      <c r="E5" s="53">
        <f ca="1">$E$2-3</f>
        <v>2014</v>
      </c>
    </row>
    <row r="6" spans="1:5" x14ac:dyDescent="0.15">
      <c r="A6" s="53" t="s">
        <v>13</v>
      </c>
      <c r="B6" s="53">
        <v>5</v>
      </c>
      <c r="C6" s="53" t="s">
        <v>7618</v>
      </c>
      <c r="D6" s="53">
        <v>1</v>
      </c>
      <c r="E6" s="53">
        <f ca="1">$E$2-4</f>
        <v>2013</v>
      </c>
    </row>
    <row r="7" spans="1:5" x14ac:dyDescent="0.15">
      <c r="A7" s="53" t="s">
        <v>14</v>
      </c>
      <c r="B7" s="53">
        <v>6</v>
      </c>
      <c r="C7" s="53" t="s">
        <v>7609</v>
      </c>
    </row>
    <row r="8" spans="1:5" x14ac:dyDescent="0.15">
      <c r="A8" s="53" t="s">
        <v>15</v>
      </c>
      <c r="B8" s="53">
        <v>7</v>
      </c>
      <c r="C8" s="53" t="s">
        <v>7619</v>
      </c>
    </row>
    <row r="9" spans="1:5" x14ac:dyDescent="0.15">
      <c r="A9" s="53" t="s">
        <v>16</v>
      </c>
      <c r="B9" s="53">
        <v>8</v>
      </c>
      <c r="C9" s="53" t="s">
        <v>7620</v>
      </c>
    </row>
    <row r="10" spans="1:5" x14ac:dyDescent="0.15">
      <c r="A10" s="53" t="s">
        <v>9</v>
      </c>
      <c r="B10" s="53">
        <v>9</v>
      </c>
      <c r="C10" s="53" t="s">
        <v>7621</v>
      </c>
    </row>
    <row r="11" spans="1:5" x14ac:dyDescent="0.15">
      <c r="B11" s="53">
        <v>10</v>
      </c>
      <c r="C11" s="53" t="s">
        <v>7622</v>
      </c>
    </row>
    <row r="12" spans="1:5" x14ac:dyDescent="0.15">
      <c r="B12" s="53">
        <v>11</v>
      </c>
      <c r="C12" s="53" t="s">
        <v>7623</v>
      </c>
    </row>
    <row r="13" spans="1:5" x14ac:dyDescent="0.15">
      <c r="B13" s="53">
        <v>12</v>
      </c>
      <c r="C13" s="53" t="s">
        <v>7624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AC957"/>
  <sheetViews>
    <sheetView showGridLines="0" workbookViewId="0">
      <pane xSplit="2" ySplit="5" topLeftCell="C6" activePane="bottomRight" state="frozen"/>
      <selection pane="topRight" activeCell="C1" sqref="C1"/>
      <selection pane="bottomLeft" activeCell="A5" sqref="A5"/>
      <selection pane="bottomRight" activeCell="A43" sqref="A43"/>
    </sheetView>
  </sheetViews>
  <sheetFormatPr baseColWidth="10" defaultRowHeight="11.25" x14ac:dyDescent="0.2"/>
  <cols>
    <col min="1" max="1" width="37.7109375" style="62" customWidth="1"/>
    <col min="2" max="2" width="8.28515625" style="69" hidden="1" customWidth="1"/>
    <col min="3" max="3" width="23.7109375" style="69" customWidth="1"/>
    <col min="4" max="4" width="10.7109375" style="129" customWidth="1"/>
    <col min="5" max="5" width="8.28515625" style="69" customWidth="1"/>
    <col min="6" max="6" width="2.28515625" style="69" customWidth="1"/>
    <col min="7" max="7" width="8.28515625" style="69" customWidth="1"/>
    <col min="8" max="8" width="2.28515625" style="69" customWidth="1"/>
    <col min="9" max="9" width="4.85546875" style="69" customWidth="1"/>
    <col min="10" max="10" width="8.28515625" style="69" customWidth="1"/>
    <col min="11" max="11" width="2.28515625" style="69" customWidth="1"/>
    <col min="12" max="12" width="4.85546875" style="69" customWidth="1"/>
    <col min="13" max="13" width="8.28515625" style="69" customWidth="1"/>
    <col min="14" max="14" width="2.28515625" style="69" customWidth="1"/>
    <col min="15" max="15" width="4.85546875" style="69" customWidth="1"/>
    <col min="16" max="16" width="8.28515625" style="69" customWidth="1"/>
    <col min="17" max="17" width="2.28515625" style="69" customWidth="1"/>
    <col min="18" max="18" width="4.85546875" style="69" customWidth="1"/>
    <col min="19" max="19" width="8.28515625" style="69" customWidth="1"/>
    <col min="20" max="20" width="2.28515625" style="69" customWidth="1"/>
    <col min="21" max="21" width="4.85546875" style="69" customWidth="1"/>
    <col min="22" max="22" width="8.28515625" style="69" customWidth="1"/>
    <col min="23" max="23" width="2.28515625" style="69" customWidth="1"/>
    <col min="24" max="24" width="5.140625" style="69" bestFit="1" customWidth="1"/>
    <col min="25" max="25" width="8.28515625" style="69" customWidth="1"/>
    <col min="26" max="26" width="2.28515625" style="69" customWidth="1"/>
    <col min="27" max="27" width="5.140625" style="69" bestFit="1" customWidth="1"/>
    <col min="28" max="28" width="12.7109375" style="69" hidden="1" customWidth="1"/>
    <col min="29" max="16384" width="11.42578125" style="62"/>
  </cols>
  <sheetData>
    <row r="1" spans="1:29" ht="18.95" customHeight="1" x14ac:dyDescent="0.2">
      <c r="C1" s="130" t="s">
        <v>6122</v>
      </c>
      <c r="D1" s="131"/>
      <c r="E1" s="66"/>
      <c r="F1" s="66"/>
      <c r="G1" s="66"/>
      <c r="H1" s="66"/>
      <c r="I1" s="66"/>
      <c r="J1" s="66"/>
      <c r="K1" s="66"/>
      <c r="L1" s="66"/>
      <c r="M1" s="66"/>
      <c r="N1" s="66"/>
      <c r="O1" s="66"/>
      <c r="P1" s="67"/>
      <c r="Q1" s="67"/>
      <c r="R1" s="67"/>
      <c r="S1" s="67"/>
      <c r="T1" s="67"/>
      <c r="U1" s="67"/>
      <c r="V1" s="67"/>
      <c r="W1" s="67"/>
      <c r="X1" s="66"/>
      <c r="Y1" s="66"/>
      <c r="Z1" s="66"/>
      <c r="AA1" s="68" t="s">
        <v>6123</v>
      </c>
    </row>
    <row r="2" spans="1:29" ht="18.95" customHeight="1" thickBot="1" x14ac:dyDescent="0.25">
      <c r="A2" s="70"/>
      <c r="B2" s="70"/>
      <c r="C2" s="132" t="s">
        <v>7627</v>
      </c>
      <c r="D2" s="70"/>
      <c r="E2" s="70"/>
      <c r="F2" s="70"/>
      <c r="G2" s="70"/>
      <c r="H2" s="70"/>
      <c r="I2" s="70"/>
      <c r="J2" s="70"/>
      <c r="K2" s="70"/>
      <c r="L2" s="70"/>
      <c r="M2" s="70"/>
      <c r="N2" s="70"/>
      <c r="O2" s="70"/>
      <c r="P2" s="67"/>
      <c r="Q2" s="67"/>
      <c r="R2" s="67"/>
      <c r="S2" s="67"/>
      <c r="T2" s="67"/>
      <c r="U2" s="67"/>
      <c r="V2" s="67"/>
      <c r="W2" s="67"/>
      <c r="X2" s="70"/>
      <c r="Y2" s="70"/>
      <c r="Z2" s="70"/>
      <c r="AA2" s="74" t="s">
        <v>20</v>
      </c>
    </row>
    <row r="3" spans="1:29" s="79" customFormat="1" ht="12.75" x14ac:dyDescent="0.2">
      <c r="A3" s="75"/>
      <c r="B3" s="76"/>
      <c r="C3" s="77"/>
      <c r="D3" s="78" t="s">
        <v>6124</v>
      </c>
      <c r="E3" s="273" t="s">
        <v>22</v>
      </c>
      <c r="F3" s="274"/>
      <c r="G3" s="274"/>
      <c r="H3" s="274"/>
      <c r="I3" s="274"/>
      <c r="J3" s="274"/>
      <c r="K3" s="274"/>
      <c r="L3" s="274"/>
      <c r="M3" s="274"/>
      <c r="N3" s="274"/>
      <c r="O3" s="274"/>
      <c r="P3" s="274"/>
      <c r="Q3" s="274"/>
      <c r="R3" s="274"/>
      <c r="S3" s="274"/>
      <c r="T3" s="274"/>
      <c r="U3" s="274"/>
      <c r="V3" s="274"/>
      <c r="W3" s="274"/>
      <c r="X3" s="274"/>
      <c r="Y3" s="274"/>
      <c r="Z3" s="274"/>
      <c r="AA3" s="275"/>
      <c r="AB3" s="76"/>
      <c r="AC3" s="62"/>
    </row>
    <row r="4" spans="1:29" s="79" customFormat="1" ht="12.75" x14ac:dyDescent="0.2">
      <c r="A4" s="80" t="s">
        <v>23</v>
      </c>
      <c r="B4" s="81" t="s">
        <v>6125</v>
      </c>
      <c r="C4" s="81" t="s">
        <v>6126</v>
      </c>
      <c r="D4" s="82" t="s">
        <v>6127</v>
      </c>
      <c r="E4" s="276" t="s">
        <v>5</v>
      </c>
      <c r="F4" s="276"/>
      <c r="G4" s="276" t="s">
        <v>28</v>
      </c>
      <c r="H4" s="276"/>
      <c r="I4" s="276"/>
      <c r="J4" s="276" t="s">
        <v>29</v>
      </c>
      <c r="K4" s="276"/>
      <c r="L4" s="276"/>
      <c r="M4" s="276" t="s">
        <v>30</v>
      </c>
      <c r="N4" s="276"/>
      <c r="O4" s="276"/>
      <c r="P4" s="276" t="s">
        <v>31</v>
      </c>
      <c r="Q4" s="276"/>
      <c r="R4" s="276"/>
      <c r="S4" s="276" t="s">
        <v>32</v>
      </c>
      <c r="T4" s="276"/>
      <c r="U4" s="276"/>
      <c r="V4" s="276" t="s">
        <v>33</v>
      </c>
      <c r="W4" s="276"/>
      <c r="X4" s="276"/>
      <c r="Y4" s="276" t="s">
        <v>34</v>
      </c>
      <c r="Z4" s="276"/>
      <c r="AA4" s="276"/>
      <c r="AB4" s="81" t="s">
        <v>35</v>
      </c>
    </row>
    <row r="5" spans="1:29" s="79" customFormat="1" ht="13.5" thickBot="1" x14ac:dyDescent="0.25">
      <c r="A5" s="83"/>
      <c r="B5" s="84"/>
      <c r="C5" s="84"/>
      <c r="D5" s="133" t="s">
        <v>6128</v>
      </c>
      <c r="E5" s="87" t="s">
        <v>38</v>
      </c>
      <c r="F5" s="88" t="s">
        <v>39</v>
      </c>
      <c r="G5" s="87" t="s">
        <v>38</v>
      </c>
      <c r="H5" s="89" t="s">
        <v>39</v>
      </c>
      <c r="I5" s="90" t="s">
        <v>40</v>
      </c>
      <c r="J5" s="87" t="s">
        <v>38</v>
      </c>
      <c r="K5" s="89" t="s">
        <v>39</v>
      </c>
      <c r="L5" s="90" t="s">
        <v>40</v>
      </c>
      <c r="M5" s="87" t="s">
        <v>38</v>
      </c>
      <c r="N5" s="89" t="s">
        <v>39</v>
      </c>
      <c r="O5" s="90" t="s">
        <v>40</v>
      </c>
      <c r="P5" s="87" t="s">
        <v>38</v>
      </c>
      <c r="Q5" s="89" t="s">
        <v>39</v>
      </c>
      <c r="R5" s="90" t="s">
        <v>40</v>
      </c>
      <c r="S5" s="87" t="s">
        <v>38</v>
      </c>
      <c r="T5" s="89" t="s">
        <v>39</v>
      </c>
      <c r="U5" s="90" t="s">
        <v>40</v>
      </c>
      <c r="V5" s="87" t="s">
        <v>38</v>
      </c>
      <c r="W5" s="89" t="s">
        <v>39</v>
      </c>
      <c r="X5" s="90" t="s">
        <v>40</v>
      </c>
      <c r="Y5" s="87" t="s">
        <v>38</v>
      </c>
      <c r="Z5" s="89" t="s">
        <v>39</v>
      </c>
      <c r="AA5" s="90" t="s">
        <v>40</v>
      </c>
      <c r="AB5" s="84"/>
    </row>
    <row r="6" spans="1:29" x14ac:dyDescent="0.2">
      <c r="A6" s="134" t="s">
        <v>6129</v>
      </c>
      <c r="B6" s="135" t="s">
        <v>6130</v>
      </c>
      <c r="C6" s="135" t="s">
        <v>6131</v>
      </c>
      <c r="D6" s="136" t="s">
        <v>6132</v>
      </c>
      <c r="E6" s="137" t="s">
        <v>20447</v>
      </c>
      <c r="F6" s="138">
        <v>3</v>
      </c>
      <c r="G6" s="137" t="s">
        <v>20448</v>
      </c>
      <c r="H6" s="139">
        <v>4</v>
      </c>
      <c r="I6" s="140" t="s">
        <v>44</v>
      </c>
      <c r="J6" s="137" t="s">
        <v>20449</v>
      </c>
      <c r="K6" s="141">
        <v>3</v>
      </c>
      <c r="L6" s="140" t="s">
        <v>46</v>
      </c>
      <c r="M6" s="137" t="s">
        <v>20447</v>
      </c>
      <c r="N6" s="141">
        <v>3</v>
      </c>
      <c r="O6" s="140" t="s">
        <v>46</v>
      </c>
      <c r="P6" s="137" t="s">
        <v>6133</v>
      </c>
      <c r="Q6" s="142">
        <v>2</v>
      </c>
      <c r="R6" s="143"/>
      <c r="S6" s="137" t="s">
        <v>20450</v>
      </c>
      <c r="T6" s="142">
        <v>2</v>
      </c>
      <c r="U6" s="143"/>
      <c r="V6" s="137" t="s">
        <v>47</v>
      </c>
      <c r="W6" s="144"/>
      <c r="X6" s="143"/>
      <c r="Y6" s="137" t="s">
        <v>47</v>
      </c>
      <c r="Z6" s="144"/>
      <c r="AA6" s="143"/>
      <c r="AB6" s="145" t="s">
        <v>48</v>
      </c>
    </row>
    <row r="7" spans="1:29" x14ac:dyDescent="0.2">
      <c r="A7" s="146" t="s">
        <v>6134</v>
      </c>
      <c r="B7" s="147" t="s">
        <v>6130</v>
      </c>
      <c r="C7" s="147" t="s">
        <v>6131</v>
      </c>
      <c r="D7" s="148"/>
      <c r="E7" s="149" t="s">
        <v>20451</v>
      </c>
      <c r="F7" s="150">
        <v>4</v>
      </c>
      <c r="G7" s="149" t="s">
        <v>20452</v>
      </c>
      <c r="H7" s="151">
        <v>4</v>
      </c>
      <c r="I7" s="152"/>
      <c r="J7" s="149" t="s">
        <v>20453</v>
      </c>
      <c r="K7" s="151">
        <v>4</v>
      </c>
      <c r="L7" s="152"/>
      <c r="M7" s="149" t="s">
        <v>20451</v>
      </c>
      <c r="N7" s="151">
        <v>4</v>
      </c>
      <c r="O7" s="152"/>
      <c r="P7" s="149" t="s">
        <v>47</v>
      </c>
      <c r="Q7" s="153"/>
      <c r="R7" s="152"/>
      <c r="S7" s="149" t="s">
        <v>47</v>
      </c>
      <c r="T7" s="153"/>
      <c r="U7" s="152"/>
      <c r="V7" s="149" t="s">
        <v>47</v>
      </c>
      <c r="W7" s="153"/>
      <c r="X7" s="152"/>
      <c r="Y7" s="149" t="s">
        <v>47</v>
      </c>
      <c r="Z7" s="153"/>
      <c r="AA7" s="152"/>
      <c r="AB7" s="154" t="s">
        <v>52</v>
      </c>
    </row>
    <row r="8" spans="1:29" x14ac:dyDescent="0.2">
      <c r="A8" s="146" t="s">
        <v>20454</v>
      </c>
      <c r="B8" s="147" t="s">
        <v>6130</v>
      </c>
      <c r="C8" s="147" t="s">
        <v>6131</v>
      </c>
      <c r="D8" s="148"/>
      <c r="E8" s="149" t="s">
        <v>47</v>
      </c>
      <c r="F8" s="152"/>
      <c r="G8" s="149" t="s">
        <v>20455</v>
      </c>
      <c r="H8" s="155">
        <v>1</v>
      </c>
      <c r="I8" s="156" t="s">
        <v>53</v>
      </c>
      <c r="J8" s="149" t="s">
        <v>47</v>
      </c>
      <c r="K8" s="153"/>
      <c r="L8" s="152"/>
      <c r="M8" s="149" t="s">
        <v>47</v>
      </c>
      <c r="N8" s="153"/>
      <c r="O8" s="152"/>
      <c r="P8" s="149" t="s">
        <v>47</v>
      </c>
      <c r="Q8" s="153"/>
      <c r="R8" s="152"/>
      <c r="S8" s="149" t="s">
        <v>47</v>
      </c>
      <c r="T8" s="153"/>
      <c r="U8" s="152"/>
      <c r="V8" s="149" t="s">
        <v>47</v>
      </c>
      <c r="W8" s="153"/>
      <c r="X8" s="152"/>
      <c r="Y8" s="149" t="s">
        <v>47</v>
      </c>
      <c r="Z8" s="153"/>
      <c r="AA8" s="152"/>
      <c r="AB8" s="154" t="s">
        <v>7637</v>
      </c>
    </row>
    <row r="9" spans="1:29" x14ac:dyDescent="0.2">
      <c r="A9" s="146" t="s">
        <v>6135</v>
      </c>
      <c r="B9" s="147" t="s">
        <v>6130</v>
      </c>
      <c r="C9" s="147" t="s">
        <v>6131</v>
      </c>
      <c r="D9" s="148" t="s">
        <v>6136</v>
      </c>
      <c r="E9" s="149" t="s">
        <v>20456</v>
      </c>
      <c r="F9" s="150">
        <v>4</v>
      </c>
      <c r="G9" s="149" t="s">
        <v>20457</v>
      </c>
      <c r="H9" s="151">
        <v>4</v>
      </c>
      <c r="I9" s="156" t="s">
        <v>55</v>
      </c>
      <c r="J9" s="149" t="s">
        <v>20458</v>
      </c>
      <c r="K9" s="151">
        <v>4</v>
      </c>
      <c r="L9" s="156" t="s">
        <v>55</v>
      </c>
      <c r="M9" s="149" t="s">
        <v>20456</v>
      </c>
      <c r="N9" s="151">
        <v>4</v>
      </c>
      <c r="O9" s="156" t="s">
        <v>55</v>
      </c>
      <c r="P9" s="149" t="s">
        <v>20459</v>
      </c>
      <c r="Q9" s="157">
        <v>2</v>
      </c>
      <c r="R9" s="152"/>
      <c r="S9" s="149" t="s">
        <v>20460</v>
      </c>
      <c r="T9" s="158">
        <v>3</v>
      </c>
      <c r="U9" s="156" t="s">
        <v>46</v>
      </c>
      <c r="V9" s="149" t="s">
        <v>47</v>
      </c>
      <c r="W9" s="153"/>
      <c r="X9" s="152"/>
      <c r="Y9" s="149" t="s">
        <v>47</v>
      </c>
      <c r="Z9" s="153"/>
      <c r="AA9" s="152"/>
      <c r="AB9" s="154" t="s">
        <v>56</v>
      </c>
    </row>
    <row r="10" spans="1:29" x14ac:dyDescent="0.2">
      <c r="A10" s="146" t="s">
        <v>6137</v>
      </c>
      <c r="B10" s="147" t="s">
        <v>6130</v>
      </c>
      <c r="C10" s="147" t="s">
        <v>6131</v>
      </c>
      <c r="D10" s="148"/>
      <c r="E10" s="149" t="s">
        <v>20461</v>
      </c>
      <c r="F10" s="159">
        <v>3</v>
      </c>
      <c r="G10" s="149" t="s">
        <v>20462</v>
      </c>
      <c r="H10" s="151">
        <v>4</v>
      </c>
      <c r="I10" s="156" t="s">
        <v>44</v>
      </c>
      <c r="J10" s="149" t="s">
        <v>20463</v>
      </c>
      <c r="K10" s="158">
        <v>3</v>
      </c>
      <c r="L10" s="156" t="s">
        <v>46</v>
      </c>
      <c r="M10" s="149" t="s">
        <v>20461</v>
      </c>
      <c r="N10" s="158">
        <v>3</v>
      </c>
      <c r="O10" s="156" t="s">
        <v>46</v>
      </c>
      <c r="P10" s="149" t="s">
        <v>20464</v>
      </c>
      <c r="Q10" s="157">
        <v>2</v>
      </c>
      <c r="R10" s="156" t="s">
        <v>46</v>
      </c>
      <c r="S10" s="149" t="s">
        <v>47</v>
      </c>
      <c r="T10" s="153"/>
      <c r="U10" s="152"/>
      <c r="V10" s="149" t="s">
        <v>47</v>
      </c>
      <c r="W10" s="153"/>
      <c r="X10" s="152"/>
      <c r="Y10" s="149" t="s">
        <v>47</v>
      </c>
      <c r="Z10" s="153"/>
      <c r="AA10" s="152"/>
      <c r="AB10" s="154" t="s">
        <v>58</v>
      </c>
    </row>
    <row r="11" spans="1:29" x14ac:dyDescent="0.2">
      <c r="A11" s="146" t="s">
        <v>6138</v>
      </c>
      <c r="B11" s="147" t="s">
        <v>6130</v>
      </c>
      <c r="C11" s="147" t="s">
        <v>6131</v>
      </c>
      <c r="D11" s="148"/>
      <c r="E11" s="149" t="s">
        <v>20465</v>
      </c>
      <c r="F11" s="160">
        <v>2</v>
      </c>
      <c r="G11" s="149" t="s">
        <v>20466</v>
      </c>
      <c r="H11" s="158">
        <v>3</v>
      </c>
      <c r="I11" s="156" t="s">
        <v>55</v>
      </c>
      <c r="J11" s="149" t="s">
        <v>20467</v>
      </c>
      <c r="K11" s="157">
        <v>2</v>
      </c>
      <c r="L11" s="152"/>
      <c r="M11" s="149" t="s">
        <v>20465</v>
      </c>
      <c r="N11" s="157">
        <v>2</v>
      </c>
      <c r="O11" s="152"/>
      <c r="P11" s="149" t="s">
        <v>20468</v>
      </c>
      <c r="Q11" s="157">
        <v>2</v>
      </c>
      <c r="R11" s="156" t="s">
        <v>46</v>
      </c>
      <c r="S11" s="149" t="s">
        <v>47</v>
      </c>
      <c r="T11" s="153"/>
      <c r="U11" s="152"/>
      <c r="V11" s="149" t="s">
        <v>47</v>
      </c>
      <c r="W11" s="153"/>
      <c r="X11" s="152"/>
      <c r="Y11" s="149" t="s">
        <v>47</v>
      </c>
      <c r="Z11" s="153"/>
      <c r="AA11" s="152"/>
      <c r="AB11" s="154" t="s">
        <v>60</v>
      </c>
    </row>
    <row r="12" spans="1:29" x14ac:dyDescent="0.2">
      <c r="A12" s="146" t="s">
        <v>6139</v>
      </c>
      <c r="B12" s="147" t="s">
        <v>6130</v>
      </c>
      <c r="C12" s="147" t="s">
        <v>6131</v>
      </c>
      <c r="D12" s="148"/>
      <c r="E12" s="149" t="s">
        <v>20469</v>
      </c>
      <c r="F12" s="159">
        <v>3</v>
      </c>
      <c r="G12" s="149" t="s">
        <v>20470</v>
      </c>
      <c r="H12" s="151">
        <v>4</v>
      </c>
      <c r="I12" s="156" t="s">
        <v>44</v>
      </c>
      <c r="J12" s="149" t="s">
        <v>20471</v>
      </c>
      <c r="K12" s="157">
        <v>2</v>
      </c>
      <c r="L12" s="152"/>
      <c r="M12" s="149" t="s">
        <v>20469</v>
      </c>
      <c r="N12" s="158">
        <v>3</v>
      </c>
      <c r="O12" s="156" t="s">
        <v>46</v>
      </c>
      <c r="P12" s="149" t="s">
        <v>20472</v>
      </c>
      <c r="Q12" s="157">
        <v>2</v>
      </c>
      <c r="R12" s="152"/>
      <c r="S12" s="149" t="s">
        <v>47</v>
      </c>
      <c r="T12" s="153"/>
      <c r="U12" s="152"/>
      <c r="V12" s="149" t="s">
        <v>47</v>
      </c>
      <c r="W12" s="153"/>
      <c r="X12" s="152"/>
      <c r="Y12" s="149" t="s">
        <v>47</v>
      </c>
      <c r="Z12" s="153"/>
      <c r="AA12" s="152"/>
      <c r="AB12" s="154" t="s">
        <v>62</v>
      </c>
    </row>
    <row r="13" spans="1:29" x14ac:dyDescent="0.2">
      <c r="A13" s="146" t="s">
        <v>6140</v>
      </c>
      <c r="B13" s="147" t="s">
        <v>6130</v>
      </c>
      <c r="C13" s="147" t="s">
        <v>6131</v>
      </c>
      <c r="D13" s="148"/>
      <c r="E13" s="149" t="s">
        <v>20473</v>
      </c>
      <c r="F13" s="159">
        <v>3</v>
      </c>
      <c r="G13" s="149" t="s">
        <v>20474</v>
      </c>
      <c r="H13" s="158">
        <v>3</v>
      </c>
      <c r="I13" s="156" t="s">
        <v>55</v>
      </c>
      <c r="J13" s="149" t="s">
        <v>20475</v>
      </c>
      <c r="K13" s="157">
        <v>2</v>
      </c>
      <c r="L13" s="152"/>
      <c r="M13" s="149" t="s">
        <v>20473</v>
      </c>
      <c r="N13" s="158">
        <v>3</v>
      </c>
      <c r="O13" s="156" t="s">
        <v>46</v>
      </c>
      <c r="P13" s="149" t="s">
        <v>20476</v>
      </c>
      <c r="Q13" s="158">
        <v>3</v>
      </c>
      <c r="R13" s="156" t="s">
        <v>46</v>
      </c>
      <c r="S13" s="149" t="s">
        <v>47</v>
      </c>
      <c r="T13" s="153"/>
      <c r="U13" s="152"/>
      <c r="V13" s="149" t="s">
        <v>47</v>
      </c>
      <c r="W13" s="153"/>
      <c r="X13" s="152"/>
      <c r="Y13" s="149" t="s">
        <v>47</v>
      </c>
      <c r="Z13" s="153"/>
      <c r="AA13" s="152"/>
      <c r="AB13" s="154" t="s">
        <v>64</v>
      </c>
    </row>
    <row r="14" spans="1:29" x14ac:dyDescent="0.2">
      <c r="A14" s="146" t="s">
        <v>6141</v>
      </c>
      <c r="B14" s="147" t="s">
        <v>6130</v>
      </c>
      <c r="C14" s="147" t="s">
        <v>6131</v>
      </c>
      <c r="D14" s="148"/>
      <c r="E14" s="149" t="s">
        <v>20477</v>
      </c>
      <c r="F14" s="150">
        <v>4</v>
      </c>
      <c r="G14" s="149" t="s">
        <v>20478</v>
      </c>
      <c r="H14" s="151">
        <v>4</v>
      </c>
      <c r="I14" s="156" t="s">
        <v>44</v>
      </c>
      <c r="J14" s="149" t="s">
        <v>20479</v>
      </c>
      <c r="K14" s="158">
        <v>3</v>
      </c>
      <c r="L14" s="156" t="s">
        <v>46</v>
      </c>
      <c r="M14" s="149" t="s">
        <v>20477</v>
      </c>
      <c r="N14" s="151">
        <v>4</v>
      </c>
      <c r="O14" s="156" t="s">
        <v>46</v>
      </c>
      <c r="P14" s="149" t="s">
        <v>20480</v>
      </c>
      <c r="Q14" s="158">
        <v>3</v>
      </c>
      <c r="R14" s="156" t="s">
        <v>46</v>
      </c>
      <c r="S14" s="149" t="s">
        <v>47</v>
      </c>
      <c r="T14" s="153"/>
      <c r="U14" s="152"/>
      <c r="V14" s="149" t="s">
        <v>47</v>
      </c>
      <c r="W14" s="153"/>
      <c r="X14" s="152"/>
      <c r="Y14" s="149" t="s">
        <v>47</v>
      </c>
      <c r="Z14" s="153"/>
      <c r="AA14" s="152"/>
      <c r="AB14" s="154" t="s">
        <v>67</v>
      </c>
    </row>
    <row r="15" spans="1:29" x14ac:dyDescent="0.2">
      <c r="A15" s="146" t="s">
        <v>6142</v>
      </c>
      <c r="B15" s="147" t="s">
        <v>6130</v>
      </c>
      <c r="C15" s="147" t="s">
        <v>6131</v>
      </c>
      <c r="D15" s="148"/>
      <c r="E15" s="149" t="s">
        <v>20481</v>
      </c>
      <c r="F15" s="159">
        <v>3</v>
      </c>
      <c r="G15" s="149" t="s">
        <v>20482</v>
      </c>
      <c r="H15" s="151">
        <v>4</v>
      </c>
      <c r="I15" s="156" t="s">
        <v>44</v>
      </c>
      <c r="J15" s="149" t="s">
        <v>20483</v>
      </c>
      <c r="K15" s="157">
        <v>2</v>
      </c>
      <c r="L15" s="156" t="s">
        <v>46</v>
      </c>
      <c r="M15" s="149" t="s">
        <v>20481</v>
      </c>
      <c r="N15" s="158">
        <v>3</v>
      </c>
      <c r="O15" s="156" t="s">
        <v>46</v>
      </c>
      <c r="P15" s="149" t="s">
        <v>20484</v>
      </c>
      <c r="Q15" s="151">
        <v>4</v>
      </c>
      <c r="R15" s="152"/>
      <c r="S15" s="149" t="s">
        <v>47</v>
      </c>
      <c r="T15" s="153"/>
      <c r="U15" s="152"/>
      <c r="V15" s="149" t="s">
        <v>47</v>
      </c>
      <c r="W15" s="153"/>
      <c r="X15" s="152"/>
      <c r="Y15" s="149" t="s">
        <v>47</v>
      </c>
      <c r="Z15" s="153"/>
      <c r="AA15" s="152"/>
      <c r="AB15" s="154" t="s">
        <v>69</v>
      </c>
    </row>
    <row r="16" spans="1:29" x14ac:dyDescent="0.2">
      <c r="A16" s="146" t="s">
        <v>6143</v>
      </c>
      <c r="B16" s="147" t="s">
        <v>6130</v>
      </c>
      <c r="C16" s="147" t="s">
        <v>6131</v>
      </c>
      <c r="D16" s="148"/>
      <c r="E16" s="149" t="s">
        <v>20485</v>
      </c>
      <c r="F16" s="159">
        <v>3</v>
      </c>
      <c r="G16" s="149" t="s">
        <v>20486</v>
      </c>
      <c r="H16" s="151">
        <v>4</v>
      </c>
      <c r="I16" s="156" t="s">
        <v>44</v>
      </c>
      <c r="J16" s="149" t="s">
        <v>20487</v>
      </c>
      <c r="K16" s="158">
        <v>3</v>
      </c>
      <c r="L16" s="156" t="s">
        <v>46</v>
      </c>
      <c r="M16" s="149" t="s">
        <v>20485</v>
      </c>
      <c r="N16" s="158">
        <v>3</v>
      </c>
      <c r="O16" s="156" t="s">
        <v>40</v>
      </c>
      <c r="P16" s="149" t="s">
        <v>47</v>
      </c>
      <c r="Q16" s="153"/>
      <c r="R16" s="152"/>
      <c r="S16" s="149" t="s">
        <v>47</v>
      </c>
      <c r="T16" s="153"/>
      <c r="U16" s="152"/>
      <c r="V16" s="149" t="s">
        <v>47</v>
      </c>
      <c r="W16" s="153"/>
      <c r="X16" s="152"/>
      <c r="Y16" s="149" t="s">
        <v>47</v>
      </c>
      <c r="Z16" s="153"/>
      <c r="AA16" s="152"/>
      <c r="AB16" s="154" t="s">
        <v>71</v>
      </c>
    </row>
    <row r="17" spans="1:28" x14ac:dyDescent="0.2">
      <c r="A17" s="146" t="s">
        <v>6144</v>
      </c>
      <c r="B17" s="147" t="s">
        <v>6130</v>
      </c>
      <c r="C17" s="147" t="s">
        <v>6145</v>
      </c>
      <c r="D17" s="148" t="s">
        <v>6132</v>
      </c>
      <c r="E17" s="149" t="s">
        <v>20488</v>
      </c>
      <c r="F17" s="159">
        <v>3</v>
      </c>
      <c r="G17" s="149" t="s">
        <v>20489</v>
      </c>
      <c r="H17" s="151">
        <v>4</v>
      </c>
      <c r="I17" s="156" t="s">
        <v>44</v>
      </c>
      <c r="J17" s="149" t="s">
        <v>20490</v>
      </c>
      <c r="K17" s="151">
        <v>4</v>
      </c>
      <c r="L17" s="156" t="s">
        <v>55</v>
      </c>
      <c r="M17" s="149" t="s">
        <v>20488</v>
      </c>
      <c r="N17" s="158">
        <v>3</v>
      </c>
      <c r="O17" s="156" t="s">
        <v>46</v>
      </c>
      <c r="P17" s="149" t="s">
        <v>20491</v>
      </c>
      <c r="Q17" s="158">
        <v>3</v>
      </c>
      <c r="R17" s="156" t="s">
        <v>46</v>
      </c>
      <c r="S17" s="149" t="s">
        <v>20492</v>
      </c>
      <c r="T17" s="155">
        <v>1</v>
      </c>
      <c r="U17" s="152"/>
      <c r="V17" s="149" t="s">
        <v>47</v>
      </c>
      <c r="W17" s="153"/>
      <c r="X17" s="152"/>
      <c r="Y17" s="149" t="s">
        <v>47</v>
      </c>
      <c r="Z17" s="153"/>
      <c r="AA17" s="152"/>
      <c r="AB17" s="154" t="s">
        <v>74</v>
      </c>
    </row>
    <row r="18" spans="1:28" x14ac:dyDescent="0.2">
      <c r="A18" s="146" t="s">
        <v>75</v>
      </c>
      <c r="B18" s="147" t="s">
        <v>6130</v>
      </c>
      <c r="C18" s="147" t="s">
        <v>6131</v>
      </c>
      <c r="D18" s="148"/>
      <c r="E18" s="149" t="s">
        <v>20493</v>
      </c>
      <c r="F18" s="150">
        <v>4</v>
      </c>
      <c r="G18" s="149" t="s">
        <v>20494</v>
      </c>
      <c r="H18" s="158">
        <v>3</v>
      </c>
      <c r="I18" s="156" t="s">
        <v>55</v>
      </c>
      <c r="J18" s="149" t="s">
        <v>20495</v>
      </c>
      <c r="K18" s="158">
        <v>3</v>
      </c>
      <c r="L18" s="156" t="s">
        <v>46</v>
      </c>
      <c r="M18" s="149" t="s">
        <v>20493</v>
      </c>
      <c r="N18" s="151">
        <v>4</v>
      </c>
      <c r="O18" s="156" t="s">
        <v>46</v>
      </c>
      <c r="P18" s="149" t="s">
        <v>20496</v>
      </c>
      <c r="Q18" s="158">
        <v>3</v>
      </c>
      <c r="R18" s="156" t="s">
        <v>46</v>
      </c>
      <c r="S18" s="149" t="s">
        <v>47</v>
      </c>
      <c r="T18" s="153"/>
      <c r="U18" s="152"/>
      <c r="V18" s="149" t="s">
        <v>47</v>
      </c>
      <c r="W18" s="153"/>
      <c r="X18" s="152"/>
      <c r="Y18" s="149" t="s">
        <v>47</v>
      </c>
      <c r="Z18" s="153"/>
      <c r="AA18" s="152"/>
      <c r="AB18" s="154" t="s">
        <v>76</v>
      </c>
    </row>
    <row r="19" spans="1:28" x14ac:dyDescent="0.2">
      <c r="A19" s="146" t="s">
        <v>6146</v>
      </c>
      <c r="B19" s="147" t="s">
        <v>6130</v>
      </c>
      <c r="C19" s="147" t="s">
        <v>6131</v>
      </c>
      <c r="D19" s="148"/>
      <c r="E19" s="149" t="s">
        <v>20286</v>
      </c>
      <c r="F19" s="159">
        <v>3</v>
      </c>
      <c r="G19" s="149" t="s">
        <v>20497</v>
      </c>
      <c r="H19" s="158">
        <v>3</v>
      </c>
      <c r="I19" s="156" t="s">
        <v>55</v>
      </c>
      <c r="J19" s="149" t="s">
        <v>20498</v>
      </c>
      <c r="K19" s="157">
        <v>2</v>
      </c>
      <c r="L19" s="152"/>
      <c r="M19" s="149" t="s">
        <v>20286</v>
      </c>
      <c r="N19" s="158">
        <v>3</v>
      </c>
      <c r="O19" s="152"/>
      <c r="P19" s="149" t="s">
        <v>20499</v>
      </c>
      <c r="Q19" s="158">
        <v>3</v>
      </c>
      <c r="R19" s="156" t="s">
        <v>46</v>
      </c>
      <c r="S19" s="149" t="s">
        <v>47</v>
      </c>
      <c r="T19" s="153"/>
      <c r="U19" s="152"/>
      <c r="V19" s="149" t="s">
        <v>47</v>
      </c>
      <c r="W19" s="153"/>
      <c r="X19" s="152"/>
      <c r="Y19" s="149" t="s">
        <v>47</v>
      </c>
      <c r="Z19" s="153"/>
      <c r="AA19" s="152"/>
      <c r="AB19" s="154" t="s">
        <v>78</v>
      </c>
    </row>
    <row r="20" spans="1:28" x14ac:dyDescent="0.2">
      <c r="A20" s="146" t="s">
        <v>6147</v>
      </c>
      <c r="B20" s="147" t="s">
        <v>6130</v>
      </c>
      <c r="C20" s="147" t="s">
        <v>6131</v>
      </c>
      <c r="D20" s="148"/>
      <c r="E20" s="149" t="s">
        <v>20500</v>
      </c>
      <c r="F20" s="150">
        <v>4</v>
      </c>
      <c r="G20" s="149" t="s">
        <v>20501</v>
      </c>
      <c r="H20" s="151">
        <v>4</v>
      </c>
      <c r="I20" s="156" t="s">
        <v>44</v>
      </c>
      <c r="J20" s="149" t="s">
        <v>20502</v>
      </c>
      <c r="K20" s="157">
        <v>2</v>
      </c>
      <c r="L20" s="152"/>
      <c r="M20" s="149" t="s">
        <v>20500</v>
      </c>
      <c r="N20" s="151">
        <v>4</v>
      </c>
      <c r="O20" s="156" t="s">
        <v>55</v>
      </c>
      <c r="P20" s="149" t="s">
        <v>20503</v>
      </c>
      <c r="Q20" s="158">
        <v>3</v>
      </c>
      <c r="R20" s="152"/>
      <c r="S20" s="149" t="s">
        <v>47</v>
      </c>
      <c r="T20" s="153"/>
      <c r="U20" s="152"/>
      <c r="V20" s="149" t="s">
        <v>47</v>
      </c>
      <c r="W20" s="153"/>
      <c r="X20" s="152"/>
      <c r="Y20" s="149" t="s">
        <v>47</v>
      </c>
      <c r="Z20" s="153"/>
      <c r="AA20" s="152"/>
      <c r="AB20" s="154" t="s">
        <v>80</v>
      </c>
    </row>
    <row r="21" spans="1:28" x14ac:dyDescent="0.2">
      <c r="A21" s="146" t="s">
        <v>6148</v>
      </c>
      <c r="B21" s="147" t="s">
        <v>6130</v>
      </c>
      <c r="C21" s="147" t="s">
        <v>6131</v>
      </c>
      <c r="D21" s="148"/>
      <c r="E21" s="149" t="s">
        <v>20504</v>
      </c>
      <c r="F21" s="159">
        <v>3</v>
      </c>
      <c r="G21" s="149" t="s">
        <v>20505</v>
      </c>
      <c r="H21" s="151">
        <v>4</v>
      </c>
      <c r="I21" s="156" t="s">
        <v>44</v>
      </c>
      <c r="J21" s="149" t="s">
        <v>20506</v>
      </c>
      <c r="K21" s="157">
        <v>2</v>
      </c>
      <c r="L21" s="152"/>
      <c r="M21" s="149" t="s">
        <v>20504</v>
      </c>
      <c r="N21" s="158">
        <v>3</v>
      </c>
      <c r="O21" s="156" t="s">
        <v>46</v>
      </c>
      <c r="P21" s="149" t="s">
        <v>20507</v>
      </c>
      <c r="Q21" s="151">
        <v>4</v>
      </c>
      <c r="R21" s="156" t="s">
        <v>46</v>
      </c>
      <c r="S21" s="149" t="s">
        <v>47</v>
      </c>
      <c r="T21" s="153"/>
      <c r="U21" s="152"/>
      <c r="V21" s="149" t="s">
        <v>47</v>
      </c>
      <c r="W21" s="153"/>
      <c r="X21" s="152"/>
      <c r="Y21" s="149" t="s">
        <v>47</v>
      </c>
      <c r="Z21" s="153"/>
      <c r="AA21" s="152"/>
      <c r="AB21" s="154" t="s">
        <v>82</v>
      </c>
    </row>
    <row r="22" spans="1:28" x14ac:dyDescent="0.2">
      <c r="A22" s="146" t="s">
        <v>6149</v>
      </c>
      <c r="B22" s="147" t="s">
        <v>6130</v>
      </c>
      <c r="C22" s="147" t="s">
        <v>6131</v>
      </c>
      <c r="D22" s="148"/>
      <c r="E22" s="149" t="s">
        <v>20508</v>
      </c>
      <c r="F22" s="150">
        <v>4</v>
      </c>
      <c r="G22" s="149" t="s">
        <v>20509</v>
      </c>
      <c r="H22" s="151">
        <v>4</v>
      </c>
      <c r="I22" s="156" t="s">
        <v>44</v>
      </c>
      <c r="J22" s="149" t="s">
        <v>20510</v>
      </c>
      <c r="K22" s="158">
        <v>3</v>
      </c>
      <c r="L22" s="156" t="s">
        <v>46</v>
      </c>
      <c r="M22" s="149" t="s">
        <v>20508</v>
      </c>
      <c r="N22" s="151">
        <v>4</v>
      </c>
      <c r="O22" s="152"/>
      <c r="P22" s="149" t="s">
        <v>47</v>
      </c>
      <c r="Q22" s="153"/>
      <c r="R22" s="152"/>
      <c r="S22" s="149" t="s">
        <v>47</v>
      </c>
      <c r="T22" s="153"/>
      <c r="U22" s="152"/>
      <c r="V22" s="149" t="s">
        <v>47</v>
      </c>
      <c r="W22" s="153"/>
      <c r="X22" s="152"/>
      <c r="Y22" s="149" t="s">
        <v>47</v>
      </c>
      <c r="Z22" s="153"/>
      <c r="AA22" s="152"/>
      <c r="AB22" s="154" t="s">
        <v>84</v>
      </c>
    </row>
    <row r="23" spans="1:28" x14ac:dyDescent="0.2">
      <c r="A23" s="146" t="s">
        <v>20511</v>
      </c>
      <c r="B23" s="147" t="s">
        <v>6130</v>
      </c>
      <c r="C23" s="147" t="s">
        <v>6131</v>
      </c>
      <c r="D23" s="148"/>
      <c r="E23" s="149" t="s">
        <v>8702</v>
      </c>
      <c r="F23" s="150">
        <v>4</v>
      </c>
      <c r="G23" s="149" t="s">
        <v>20512</v>
      </c>
      <c r="H23" s="151">
        <v>4</v>
      </c>
      <c r="I23" s="152"/>
      <c r="J23" s="149" t="s">
        <v>20513</v>
      </c>
      <c r="K23" s="151">
        <v>4</v>
      </c>
      <c r="L23" s="152"/>
      <c r="M23" s="149" t="s">
        <v>8702</v>
      </c>
      <c r="N23" s="151">
        <v>4</v>
      </c>
      <c r="O23" s="152"/>
      <c r="P23" s="149" t="s">
        <v>47</v>
      </c>
      <c r="Q23" s="153"/>
      <c r="R23" s="152"/>
      <c r="S23" s="149" t="s">
        <v>47</v>
      </c>
      <c r="T23" s="153"/>
      <c r="U23" s="152"/>
      <c r="V23" s="149" t="s">
        <v>47</v>
      </c>
      <c r="W23" s="153"/>
      <c r="X23" s="152"/>
      <c r="Y23" s="149" t="s">
        <v>47</v>
      </c>
      <c r="Z23" s="153"/>
      <c r="AA23" s="152"/>
      <c r="AB23" s="154" t="s">
        <v>20514</v>
      </c>
    </row>
    <row r="24" spans="1:28" x14ac:dyDescent="0.2">
      <c r="A24" s="146" t="s">
        <v>20515</v>
      </c>
      <c r="B24" s="147" t="s">
        <v>6130</v>
      </c>
      <c r="C24" s="147" t="s">
        <v>6131</v>
      </c>
      <c r="D24" s="148"/>
      <c r="E24" s="149" t="s">
        <v>47</v>
      </c>
      <c r="F24" s="152"/>
      <c r="G24" s="149" t="s">
        <v>20455</v>
      </c>
      <c r="H24" s="155">
        <v>1</v>
      </c>
      <c r="I24" s="156" t="s">
        <v>53</v>
      </c>
      <c r="J24" s="149" t="s">
        <v>47</v>
      </c>
      <c r="K24" s="153"/>
      <c r="L24" s="152"/>
      <c r="M24" s="149" t="s">
        <v>47</v>
      </c>
      <c r="N24" s="153"/>
      <c r="O24" s="152"/>
      <c r="P24" s="149" t="s">
        <v>47</v>
      </c>
      <c r="Q24" s="153"/>
      <c r="R24" s="152"/>
      <c r="S24" s="149" t="s">
        <v>47</v>
      </c>
      <c r="T24" s="153"/>
      <c r="U24" s="152"/>
      <c r="V24" s="149" t="s">
        <v>47</v>
      </c>
      <c r="W24" s="153"/>
      <c r="X24" s="152"/>
      <c r="Y24" s="149" t="s">
        <v>47</v>
      </c>
      <c r="Z24" s="153"/>
      <c r="AA24" s="152"/>
      <c r="AB24" s="154" t="s">
        <v>7692</v>
      </c>
    </row>
    <row r="25" spans="1:28" x14ac:dyDescent="0.2">
      <c r="A25" s="146" t="s">
        <v>6150</v>
      </c>
      <c r="B25" s="147" t="s">
        <v>6130</v>
      </c>
      <c r="C25" s="147" t="s">
        <v>6145</v>
      </c>
      <c r="D25" s="148" t="s">
        <v>6132</v>
      </c>
      <c r="E25" s="149" t="s">
        <v>6151</v>
      </c>
      <c r="F25" s="150">
        <v>4</v>
      </c>
      <c r="G25" s="149" t="s">
        <v>20516</v>
      </c>
      <c r="H25" s="151">
        <v>4</v>
      </c>
      <c r="I25" s="156" t="s">
        <v>44</v>
      </c>
      <c r="J25" s="149" t="s">
        <v>20517</v>
      </c>
      <c r="K25" s="151">
        <v>4</v>
      </c>
      <c r="L25" s="156" t="s">
        <v>46</v>
      </c>
      <c r="M25" s="149" t="s">
        <v>6151</v>
      </c>
      <c r="N25" s="151">
        <v>4</v>
      </c>
      <c r="O25" s="156" t="s">
        <v>55</v>
      </c>
      <c r="P25" s="149" t="s">
        <v>20518</v>
      </c>
      <c r="Q25" s="158">
        <v>3</v>
      </c>
      <c r="R25" s="156" t="s">
        <v>46</v>
      </c>
      <c r="S25" s="149" t="s">
        <v>20519</v>
      </c>
      <c r="T25" s="155">
        <v>1</v>
      </c>
      <c r="U25" s="152"/>
      <c r="V25" s="149" t="s">
        <v>47</v>
      </c>
      <c r="W25" s="153"/>
      <c r="X25" s="152"/>
      <c r="Y25" s="149" t="s">
        <v>47</v>
      </c>
      <c r="Z25" s="153"/>
      <c r="AA25" s="152"/>
      <c r="AB25" s="154" t="s">
        <v>86</v>
      </c>
    </row>
    <row r="26" spans="1:28" x14ac:dyDescent="0.2">
      <c r="A26" s="146" t="s">
        <v>6152</v>
      </c>
      <c r="B26" s="147" t="s">
        <v>6130</v>
      </c>
      <c r="C26" s="147" t="s">
        <v>6145</v>
      </c>
      <c r="D26" s="148"/>
      <c r="E26" s="149" t="s">
        <v>20520</v>
      </c>
      <c r="F26" s="150">
        <v>4</v>
      </c>
      <c r="G26" s="149" t="s">
        <v>20521</v>
      </c>
      <c r="H26" s="151">
        <v>4</v>
      </c>
      <c r="I26" s="156" t="s">
        <v>44</v>
      </c>
      <c r="J26" s="149" t="s">
        <v>20522</v>
      </c>
      <c r="K26" s="151">
        <v>4</v>
      </c>
      <c r="L26" s="156" t="s">
        <v>55</v>
      </c>
      <c r="M26" s="149" t="s">
        <v>20520</v>
      </c>
      <c r="N26" s="151">
        <v>4</v>
      </c>
      <c r="O26" s="156" t="s">
        <v>55</v>
      </c>
      <c r="P26" s="149" t="s">
        <v>20523</v>
      </c>
      <c r="Q26" s="158">
        <v>3</v>
      </c>
      <c r="R26" s="156" t="s">
        <v>46</v>
      </c>
      <c r="S26" s="149" t="s">
        <v>47</v>
      </c>
      <c r="T26" s="153"/>
      <c r="U26" s="152"/>
      <c r="V26" s="149" t="s">
        <v>47</v>
      </c>
      <c r="W26" s="153"/>
      <c r="X26" s="152"/>
      <c r="Y26" s="149" t="s">
        <v>47</v>
      </c>
      <c r="Z26" s="153"/>
      <c r="AA26" s="152"/>
      <c r="AB26" s="154" t="s">
        <v>88</v>
      </c>
    </row>
    <row r="27" spans="1:28" x14ac:dyDescent="0.2">
      <c r="A27" s="146" t="s">
        <v>6153</v>
      </c>
      <c r="B27" s="147" t="s">
        <v>6130</v>
      </c>
      <c r="C27" s="147" t="s">
        <v>6145</v>
      </c>
      <c r="D27" s="148"/>
      <c r="E27" s="149" t="s">
        <v>20524</v>
      </c>
      <c r="F27" s="159">
        <v>3</v>
      </c>
      <c r="G27" s="149" t="s">
        <v>20525</v>
      </c>
      <c r="H27" s="151">
        <v>4</v>
      </c>
      <c r="I27" s="156" t="s">
        <v>44</v>
      </c>
      <c r="J27" s="149" t="s">
        <v>20526</v>
      </c>
      <c r="K27" s="158">
        <v>3</v>
      </c>
      <c r="L27" s="156" t="s">
        <v>46</v>
      </c>
      <c r="M27" s="149" t="s">
        <v>20524</v>
      </c>
      <c r="N27" s="158">
        <v>3</v>
      </c>
      <c r="O27" s="156" t="s">
        <v>46</v>
      </c>
      <c r="P27" s="149" t="s">
        <v>20527</v>
      </c>
      <c r="Q27" s="158">
        <v>3</v>
      </c>
      <c r="R27" s="156" t="s">
        <v>46</v>
      </c>
      <c r="S27" s="149" t="s">
        <v>47</v>
      </c>
      <c r="T27" s="153"/>
      <c r="U27" s="152"/>
      <c r="V27" s="149" t="s">
        <v>47</v>
      </c>
      <c r="W27" s="153"/>
      <c r="X27" s="152"/>
      <c r="Y27" s="149" t="s">
        <v>47</v>
      </c>
      <c r="Z27" s="153"/>
      <c r="AA27" s="152"/>
      <c r="AB27" s="154" t="s">
        <v>91</v>
      </c>
    </row>
    <row r="28" spans="1:28" x14ac:dyDescent="0.2">
      <c r="A28" s="146" t="s">
        <v>92</v>
      </c>
      <c r="B28" s="147" t="s">
        <v>6130</v>
      </c>
      <c r="C28" s="147" t="s">
        <v>6154</v>
      </c>
      <c r="D28" s="148" t="s">
        <v>6132</v>
      </c>
      <c r="E28" s="149" t="s">
        <v>20528</v>
      </c>
      <c r="F28" s="160">
        <v>2</v>
      </c>
      <c r="G28" s="149" t="s">
        <v>20529</v>
      </c>
      <c r="H28" s="158">
        <v>3</v>
      </c>
      <c r="I28" s="156" t="s">
        <v>55</v>
      </c>
      <c r="J28" s="149" t="s">
        <v>20530</v>
      </c>
      <c r="K28" s="155">
        <v>1</v>
      </c>
      <c r="L28" s="152"/>
      <c r="M28" s="149" t="s">
        <v>20528</v>
      </c>
      <c r="N28" s="157">
        <v>2</v>
      </c>
      <c r="O28" s="152"/>
      <c r="P28" s="149" t="s">
        <v>20531</v>
      </c>
      <c r="Q28" s="158">
        <v>3</v>
      </c>
      <c r="R28" s="156" t="s">
        <v>46</v>
      </c>
      <c r="S28" s="149" t="s">
        <v>6155</v>
      </c>
      <c r="T28" s="157">
        <v>2</v>
      </c>
      <c r="U28" s="152"/>
      <c r="V28" s="149" t="s">
        <v>18286</v>
      </c>
      <c r="W28" s="158">
        <v>3</v>
      </c>
      <c r="X28" s="152"/>
      <c r="Y28" s="149" t="s">
        <v>20532</v>
      </c>
      <c r="Z28" s="157">
        <v>2</v>
      </c>
      <c r="AA28" s="152"/>
      <c r="AB28" s="154" t="s">
        <v>95</v>
      </c>
    </row>
    <row r="29" spans="1:28" x14ac:dyDescent="0.2">
      <c r="A29" s="146" t="s">
        <v>6156</v>
      </c>
      <c r="B29" s="147" t="s">
        <v>6130</v>
      </c>
      <c r="C29" s="147" t="s">
        <v>6157</v>
      </c>
      <c r="D29" s="148"/>
      <c r="E29" s="149" t="s">
        <v>20533</v>
      </c>
      <c r="F29" s="160">
        <v>2</v>
      </c>
      <c r="G29" s="149" t="s">
        <v>20534</v>
      </c>
      <c r="H29" s="158">
        <v>3</v>
      </c>
      <c r="I29" s="152"/>
      <c r="J29" s="149" t="s">
        <v>20535</v>
      </c>
      <c r="K29" s="158">
        <v>3</v>
      </c>
      <c r="L29" s="156" t="s">
        <v>46</v>
      </c>
      <c r="M29" s="149" t="s">
        <v>20533</v>
      </c>
      <c r="N29" s="157">
        <v>2</v>
      </c>
      <c r="O29" s="156" t="s">
        <v>46</v>
      </c>
      <c r="P29" s="149" t="s">
        <v>20536</v>
      </c>
      <c r="Q29" s="158">
        <v>3</v>
      </c>
      <c r="R29" s="152"/>
      <c r="S29" s="149" t="s">
        <v>20537</v>
      </c>
      <c r="T29" s="155">
        <v>1</v>
      </c>
      <c r="U29" s="152"/>
      <c r="V29" s="149" t="s">
        <v>20538</v>
      </c>
      <c r="W29" s="158">
        <v>3</v>
      </c>
      <c r="X29" s="152"/>
      <c r="Y29" s="149" t="s">
        <v>20539</v>
      </c>
      <c r="Z29" s="157">
        <v>2</v>
      </c>
      <c r="AA29" s="152"/>
      <c r="AB29" s="154" t="s">
        <v>100</v>
      </c>
    </row>
    <row r="30" spans="1:28" x14ac:dyDescent="0.2">
      <c r="A30" s="146" t="s">
        <v>6158</v>
      </c>
      <c r="B30" s="147" t="s">
        <v>6130</v>
      </c>
      <c r="C30" s="147" t="s">
        <v>6159</v>
      </c>
      <c r="D30" s="148" t="s">
        <v>6160</v>
      </c>
      <c r="E30" s="149" t="s">
        <v>20540</v>
      </c>
      <c r="F30" s="159">
        <v>3</v>
      </c>
      <c r="G30" s="149" t="s">
        <v>20541</v>
      </c>
      <c r="H30" s="158">
        <v>3</v>
      </c>
      <c r="I30" s="156" t="s">
        <v>46</v>
      </c>
      <c r="J30" s="149" t="s">
        <v>20542</v>
      </c>
      <c r="K30" s="158">
        <v>3</v>
      </c>
      <c r="L30" s="156" t="s">
        <v>46</v>
      </c>
      <c r="M30" s="149" t="s">
        <v>20540</v>
      </c>
      <c r="N30" s="158">
        <v>3</v>
      </c>
      <c r="O30" s="156" t="s">
        <v>46</v>
      </c>
      <c r="P30" s="149" t="s">
        <v>20543</v>
      </c>
      <c r="Q30" s="158">
        <v>3</v>
      </c>
      <c r="R30" s="152"/>
      <c r="S30" s="149" t="s">
        <v>20544</v>
      </c>
      <c r="T30" s="151">
        <v>4</v>
      </c>
      <c r="U30" s="152"/>
      <c r="V30" s="149" t="s">
        <v>20545</v>
      </c>
      <c r="W30" s="151">
        <v>4</v>
      </c>
      <c r="X30" s="152"/>
      <c r="Y30" s="149" t="s">
        <v>47</v>
      </c>
      <c r="Z30" s="153"/>
      <c r="AA30" s="152"/>
      <c r="AB30" s="154" t="s">
        <v>106</v>
      </c>
    </row>
    <row r="31" spans="1:28" x14ac:dyDescent="0.2">
      <c r="A31" s="146" t="s">
        <v>6161</v>
      </c>
      <c r="B31" s="147" t="s">
        <v>6130</v>
      </c>
      <c r="C31" s="147" t="s">
        <v>6154</v>
      </c>
      <c r="D31" s="148"/>
      <c r="E31" s="149" t="s">
        <v>20546</v>
      </c>
      <c r="F31" s="161">
        <v>1</v>
      </c>
      <c r="G31" s="149" t="s">
        <v>20547</v>
      </c>
      <c r="H31" s="151">
        <v>4</v>
      </c>
      <c r="I31" s="156" t="s">
        <v>46</v>
      </c>
      <c r="J31" s="149" t="s">
        <v>20548</v>
      </c>
      <c r="K31" s="158">
        <v>3</v>
      </c>
      <c r="L31" s="156" t="s">
        <v>46</v>
      </c>
      <c r="M31" s="149" t="s">
        <v>20546</v>
      </c>
      <c r="N31" s="155">
        <v>1</v>
      </c>
      <c r="O31" s="156" t="s">
        <v>40</v>
      </c>
      <c r="P31" s="149" t="s">
        <v>20549</v>
      </c>
      <c r="Q31" s="155">
        <v>1</v>
      </c>
      <c r="R31" s="152"/>
      <c r="S31" s="149" t="s">
        <v>47</v>
      </c>
      <c r="T31" s="153"/>
      <c r="U31" s="152"/>
      <c r="V31" s="149" t="s">
        <v>47</v>
      </c>
      <c r="W31" s="153"/>
      <c r="X31" s="152"/>
      <c r="Y31" s="149" t="s">
        <v>47</v>
      </c>
      <c r="Z31" s="153"/>
      <c r="AA31" s="152"/>
      <c r="AB31" s="154" t="s">
        <v>109</v>
      </c>
    </row>
    <row r="32" spans="1:28" x14ac:dyDescent="0.2">
      <c r="A32" s="146" t="s">
        <v>6162</v>
      </c>
      <c r="B32" s="147" t="s">
        <v>6130</v>
      </c>
      <c r="C32" s="147" t="s">
        <v>6131</v>
      </c>
      <c r="D32" s="148" t="s">
        <v>6163</v>
      </c>
      <c r="E32" s="149" t="s">
        <v>20550</v>
      </c>
      <c r="F32" s="161">
        <v>1</v>
      </c>
      <c r="G32" s="149" t="s">
        <v>20551</v>
      </c>
      <c r="H32" s="151">
        <v>4</v>
      </c>
      <c r="I32" s="156" t="s">
        <v>55</v>
      </c>
      <c r="J32" s="149" t="s">
        <v>20552</v>
      </c>
      <c r="K32" s="157">
        <v>2</v>
      </c>
      <c r="L32" s="156" t="s">
        <v>46</v>
      </c>
      <c r="M32" s="149" t="s">
        <v>20550</v>
      </c>
      <c r="N32" s="155">
        <v>1</v>
      </c>
      <c r="O32" s="152"/>
      <c r="P32" s="149" t="s">
        <v>20553</v>
      </c>
      <c r="Q32" s="155">
        <v>1</v>
      </c>
      <c r="R32" s="152"/>
      <c r="S32" s="149" t="s">
        <v>20554</v>
      </c>
      <c r="T32" s="155">
        <v>1</v>
      </c>
      <c r="U32" s="152"/>
      <c r="V32" s="149" t="s">
        <v>20555</v>
      </c>
      <c r="W32" s="155">
        <v>1</v>
      </c>
      <c r="X32" s="152"/>
      <c r="Y32" s="149" t="s">
        <v>47</v>
      </c>
      <c r="Z32" s="153"/>
      <c r="AA32" s="152"/>
      <c r="AB32" s="154" t="s">
        <v>116</v>
      </c>
    </row>
    <row r="33" spans="1:28" x14ac:dyDescent="0.2">
      <c r="A33" s="146" t="s">
        <v>6164</v>
      </c>
      <c r="B33" s="147" t="s">
        <v>6130</v>
      </c>
      <c r="C33" s="147" t="s">
        <v>6165</v>
      </c>
      <c r="D33" s="148"/>
      <c r="E33" s="149" t="s">
        <v>2075</v>
      </c>
      <c r="F33" s="160">
        <v>2</v>
      </c>
      <c r="G33" s="149" t="s">
        <v>2866</v>
      </c>
      <c r="H33" s="155">
        <v>1</v>
      </c>
      <c r="I33" s="156" t="s">
        <v>157</v>
      </c>
      <c r="J33" s="149" t="s">
        <v>20556</v>
      </c>
      <c r="K33" s="157">
        <v>2</v>
      </c>
      <c r="L33" s="152"/>
      <c r="M33" s="149" t="s">
        <v>2075</v>
      </c>
      <c r="N33" s="157">
        <v>2</v>
      </c>
      <c r="O33" s="152"/>
      <c r="P33" s="149" t="s">
        <v>47</v>
      </c>
      <c r="Q33" s="153"/>
      <c r="R33" s="152"/>
      <c r="S33" s="149" t="s">
        <v>47</v>
      </c>
      <c r="T33" s="153"/>
      <c r="U33" s="152"/>
      <c r="V33" s="149" t="s">
        <v>47</v>
      </c>
      <c r="W33" s="153"/>
      <c r="X33" s="152"/>
      <c r="Y33" s="149" t="s">
        <v>47</v>
      </c>
      <c r="Z33" s="153"/>
      <c r="AA33" s="152"/>
      <c r="AB33" s="154" t="s">
        <v>120</v>
      </c>
    </row>
    <row r="34" spans="1:28" x14ac:dyDescent="0.2">
      <c r="A34" s="146" t="s">
        <v>6166</v>
      </c>
      <c r="B34" s="147" t="s">
        <v>6130</v>
      </c>
      <c r="C34" s="147" t="s">
        <v>6167</v>
      </c>
      <c r="D34" s="148" t="s">
        <v>6163</v>
      </c>
      <c r="E34" s="149" t="s">
        <v>20557</v>
      </c>
      <c r="F34" s="161">
        <v>1</v>
      </c>
      <c r="G34" s="149" t="s">
        <v>20558</v>
      </c>
      <c r="H34" s="155">
        <v>1</v>
      </c>
      <c r="I34" s="152"/>
      <c r="J34" s="149" t="s">
        <v>20559</v>
      </c>
      <c r="K34" s="155">
        <v>1</v>
      </c>
      <c r="L34" s="152"/>
      <c r="M34" s="149" t="s">
        <v>20557</v>
      </c>
      <c r="N34" s="155">
        <v>1</v>
      </c>
      <c r="O34" s="156" t="s">
        <v>40</v>
      </c>
      <c r="P34" s="149" t="s">
        <v>20560</v>
      </c>
      <c r="Q34" s="155">
        <v>1</v>
      </c>
      <c r="R34" s="156" t="s">
        <v>40</v>
      </c>
      <c r="S34" s="149" t="s">
        <v>6168</v>
      </c>
      <c r="T34" s="157">
        <v>2</v>
      </c>
      <c r="U34" s="152"/>
      <c r="V34" s="149" t="s">
        <v>16843</v>
      </c>
      <c r="W34" s="157">
        <v>2</v>
      </c>
      <c r="X34" s="152"/>
      <c r="Y34" s="149" t="s">
        <v>18194</v>
      </c>
      <c r="Z34" s="157">
        <v>2</v>
      </c>
      <c r="AA34" s="152"/>
      <c r="AB34" s="154" t="s">
        <v>126</v>
      </c>
    </row>
    <row r="35" spans="1:28" x14ac:dyDescent="0.2">
      <c r="A35" s="146" t="s">
        <v>150</v>
      </c>
      <c r="B35" s="147" t="s">
        <v>6130</v>
      </c>
      <c r="C35" s="147" t="s">
        <v>6169</v>
      </c>
      <c r="D35" s="148" t="s">
        <v>6170</v>
      </c>
      <c r="E35" s="149" t="s">
        <v>20561</v>
      </c>
      <c r="F35" s="159">
        <v>3</v>
      </c>
      <c r="G35" s="149" t="s">
        <v>20562</v>
      </c>
      <c r="H35" s="158">
        <v>3</v>
      </c>
      <c r="I35" s="152"/>
      <c r="J35" s="149" t="s">
        <v>20563</v>
      </c>
      <c r="K35" s="158">
        <v>3</v>
      </c>
      <c r="L35" s="152"/>
      <c r="M35" s="149" t="s">
        <v>20561</v>
      </c>
      <c r="N35" s="158">
        <v>3</v>
      </c>
      <c r="O35" s="152"/>
      <c r="P35" s="149" t="s">
        <v>20564</v>
      </c>
      <c r="Q35" s="158">
        <v>3</v>
      </c>
      <c r="R35" s="152"/>
      <c r="S35" s="149" t="s">
        <v>20565</v>
      </c>
      <c r="T35" s="151">
        <v>4</v>
      </c>
      <c r="U35" s="152"/>
      <c r="V35" s="149" t="s">
        <v>20566</v>
      </c>
      <c r="W35" s="151">
        <v>4</v>
      </c>
      <c r="X35" s="152"/>
      <c r="Y35" s="149" t="s">
        <v>47</v>
      </c>
      <c r="Z35" s="153"/>
      <c r="AA35" s="152"/>
      <c r="AB35" s="154" t="s">
        <v>151</v>
      </c>
    </row>
    <row r="36" spans="1:28" x14ac:dyDescent="0.2">
      <c r="A36" s="146" t="s">
        <v>6171</v>
      </c>
      <c r="B36" s="147" t="s">
        <v>6130</v>
      </c>
      <c r="C36" s="147" t="s">
        <v>6172</v>
      </c>
      <c r="D36" s="148" t="s">
        <v>6160</v>
      </c>
      <c r="E36" s="149" t="s">
        <v>6173</v>
      </c>
      <c r="F36" s="161">
        <v>1</v>
      </c>
      <c r="G36" s="149" t="s">
        <v>20567</v>
      </c>
      <c r="H36" s="155">
        <v>1</v>
      </c>
      <c r="I36" s="152"/>
      <c r="J36" s="149" t="s">
        <v>20568</v>
      </c>
      <c r="K36" s="155">
        <v>1</v>
      </c>
      <c r="L36" s="152"/>
      <c r="M36" s="149" t="s">
        <v>6173</v>
      </c>
      <c r="N36" s="155">
        <v>1</v>
      </c>
      <c r="O36" s="156" t="s">
        <v>40</v>
      </c>
      <c r="P36" s="149" t="s">
        <v>20569</v>
      </c>
      <c r="Q36" s="157">
        <v>2</v>
      </c>
      <c r="R36" s="152"/>
      <c r="S36" s="149" t="s">
        <v>20570</v>
      </c>
      <c r="T36" s="158">
        <v>3</v>
      </c>
      <c r="U36" s="152"/>
      <c r="V36" s="149" t="s">
        <v>20571</v>
      </c>
      <c r="W36" s="158">
        <v>3</v>
      </c>
      <c r="X36" s="152"/>
      <c r="Y36" s="149" t="s">
        <v>47</v>
      </c>
      <c r="Z36" s="153"/>
      <c r="AA36" s="152"/>
      <c r="AB36" s="154" t="s">
        <v>158</v>
      </c>
    </row>
    <row r="37" spans="1:28" x14ac:dyDescent="0.2">
      <c r="A37" s="146" t="s">
        <v>6174</v>
      </c>
      <c r="B37" s="147" t="s">
        <v>6130</v>
      </c>
      <c r="C37" s="147" t="s">
        <v>6175</v>
      </c>
      <c r="D37" s="148"/>
      <c r="E37" s="149" t="s">
        <v>20572</v>
      </c>
      <c r="F37" s="160">
        <v>2</v>
      </c>
      <c r="G37" s="149" t="s">
        <v>20573</v>
      </c>
      <c r="H37" s="155">
        <v>1</v>
      </c>
      <c r="I37" s="152"/>
      <c r="J37" s="149" t="s">
        <v>20574</v>
      </c>
      <c r="K37" s="155">
        <v>1</v>
      </c>
      <c r="L37" s="156" t="s">
        <v>40</v>
      </c>
      <c r="M37" s="149" t="s">
        <v>20572</v>
      </c>
      <c r="N37" s="157">
        <v>2</v>
      </c>
      <c r="O37" s="152"/>
      <c r="P37" s="149" t="s">
        <v>20575</v>
      </c>
      <c r="Q37" s="155">
        <v>1</v>
      </c>
      <c r="R37" s="156" t="s">
        <v>40</v>
      </c>
      <c r="S37" s="149" t="s">
        <v>20576</v>
      </c>
      <c r="T37" s="155">
        <v>1</v>
      </c>
      <c r="U37" s="152"/>
      <c r="V37" s="149" t="s">
        <v>20577</v>
      </c>
      <c r="W37" s="157">
        <v>2</v>
      </c>
      <c r="X37" s="152"/>
      <c r="Y37" s="149" t="s">
        <v>47</v>
      </c>
      <c r="Z37" s="153"/>
      <c r="AA37" s="152"/>
      <c r="AB37" s="154" t="s">
        <v>163</v>
      </c>
    </row>
    <row r="38" spans="1:28" x14ac:dyDescent="0.2">
      <c r="A38" s="146" t="s">
        <v>6176</v>
      </c>
      <c r="B38" s="147" t="s">
        <v>6130</v>
      </c>
      <c r="C38" s="147" t="s">
        <v>6175</v>
      </c>
      <c r="D38" s="148"/>
      <c r="E38" s="149" t="s">
        <v>20578</v>
      </c>
      <c r="F38" s="160">
        <v>2</v>
      </c>
      <c r="G38" s="149" t="s">
        <v>20579</v>
      </c>
      <c r="H38" s="157">
        <v>2</v>
      </c>
      <c r="I38" s="152"/>
      <c r="J38" s="149" t="s">
        <v>6177</v>
      </c>
      <c r="K38" s="157">
        <v>2</v>
      </c>
      <c r="L38" s="152"/>
      <c r="M38" s="149" t="s">
        <v>20578</v>
      </c>
      <c r="N38" s="157">
        <v>2</v>
      </c>
      <c r="O38" s="152"/>
      <c r="P38" s="149" t="s">
        <v>20580</v>
      </c>
      <c r="Q38" s="157">
        <v>2</v>
      </c>
      <c r="R38" s="152"/>
      <c r="S38" s="149" t="s">
        <v>20581</v>
      </c>
      <c r="T38" s="157">
        <v>2</v>
      </c>
      <c r="U38" s="152"/>
      <c r="V38" s="149" t="s">
        <v>20582</v>
      </c>
      <c r="W38" s="157">
        <v>2</v>
      </c>
      <c r="X38" s="152"/>
      <c r="Y38" s="149" t="s">
        <v>20583</v>
      </c>
      <c r="Z38" s="155">
        <v>1</v>
      </c>
      <c r="AA38" s="152"/>
      <c r="AB38" s="154" t="s">
        <v>172</v>
      </c>
    </row>
    <row r="39" spans="1:28" x14ac:dyDescent="0.2">
      <c r="A39" s="146" t="s">
        <v>6178</v>
      </c>
      <c r="B39" s="147" t="s">
        <v>6130</v>
      </c>
      <c r="C39" s="147" t="s">
        <v>6169</v>
      </c>
      <c r="D39" s="148" t="s">
        <v>6160</v>
      </c>
      <c r="E39" s="149" t="s">
        <v>20584</v>
      </c>
      <c r="F39" s="159">
        <v>3</v>
      </c>
      <c r="G39" s="149" t="s">
        <v>20585</v>
      </c>
      <c r="H39" s="157">
        <v>2</v>
      </c>
      <c r="I39" s="156" t="s">
        <v>40</v>
      </c>
      <c r="J39" s="149" t="s">
        <v>20586</v>
      </c>
      <c r="K39" s="158">
        <v>3</v>
      </c>
      <c r="L39" s="152"/>
      <c r="M39" s="149" t="s">
        <v>20584</v>
      </c>
      <c r="N39" s="158">
        <v>3</v>
      </c>
      <c r="O39" s="152"/>
      <c r="P39" s="149" t="s">
        <v>20587</v>
      </c>
      <c r="Q39" s="158">
        <v>3</v>
      </c>
      <c r="R39" s="152"/>
      <c r="S39" s="149" t="s">
        <v>20588</v>
      </c>
      <c r="T39" s="158">
        <v>3</v>
      </c>
      <c r="U39" s="152"/>
      <c r="V39" s="149" t="s">
        <v>20589</v>
      </c>
      <c r="W39" s="151">
        <v>4</v>
      </c>
      <c r="X39" s="152"/>
      <c r="Y39" s="149" t="s">
        <v>6179</v>
      </c>
      <c r="Z39" s="158">
        <v>3</v>
      </c>
      <c r="AA39" s="152"/>
      <c r="AB39" s="154" t="s">
        <v>186</v>
      </c>
    </row>
    <row r="40" spans="1:28" x14ac:dyDescent="0.2">
      <c r="A40" s="146" t="s">
        <v>6180</v>
      </c>
      <c r="B40" s="147" t="s">
        <v>6130</v>
      </c>
      <c r="C40" s="147" t="s">
        <v>6181</v>
      </c>
      <c r="D40" s="148" t="s">
        <v>6132</v>
      </c>
      <c r="E40" s="149" t="s">
        <v>20590</v>
      </c>
      <c r="F40" s="160">
        <v>2</v>
      </c>
      <c r="G40" s="149" t="s">
        <v>20591</v>
      </c>
      <c r="H40" s="157">
        <v>2</v>
      </c>
      <c r="I40" s="152"/>
      <c r="J40" s="149" t="s">
        <v>20592</v>
      </c>
      <c r="K40" s="157">
        <v>2</v>
      </c>
      <c r="L40" s="152"/>
      <c r="M40" s="149" t="s">
        <v>20590</v>
      </c>
      <c r="N40" s="157">
        <v>2</v>
      </c>
      <c r="O40" s="156" t="s">
        <v>40</v>
      </c>
      <c r="P40" s="149" t="s">
        <v>20593</v>
      </c>
      <c r="Q40" s="158">
        <v>3</v>
      </c>
      <c r="R40" s="152"/>
      <c r="S40" s="149" t="s">
        <v>6182</v>
      </c>
      <c r="T40" s="158">
        <v>3</v>
      </c>
      <c r="U40" s="152"/>
      <c r="V40" s="149" t="s">
        <v>20594</v>
      </c>
      <c r="W40" s="158">
        <v>3</v>
      </c>
      <c r="X40" s="152"/>
      <c r="Y40" s="149" t="s">
        <v>47</v>
      </c>
      <c r="Z40" s="153"/>
      <c r="AA40" s="152"/>
      <c r="AB40" s="154" t="s">
        <v>198</v>
      </c>
    </row>
    <row r="41" spans="1:28" x14ac:dyDescent="0.2">
      <c r="A41" s="146" t="s">
        <v>6183</v>
      </c>
      <c r="B41" s="147" t="s">
        <v>6130</v>
      </c>
      <c r="C41" s="147" t="s">
        <v>6184</v>
      </c>
      <c r="D41" s="148"/>
      <c r="E41" s="149" t="s">
        <v>6185</v>
      </c>
      <c r="F41" s="160">
        <v>2</v>
      </c>
      <c r="G41" s="149" t="s">
        <v>6186</v>
      </c>
      <c r="H41" s="157">
        <v>2</v>
      </c>
      <c r="I41" s="152"/>
      <c r="J41" s="149" t="s">
        <v>6187</v>
      </c>
      <c r="K41" s="157">
        <v>2</v>
      </c>
      <c r="L41" s="152"/>
      <c r="M41" s="149" t="s">
        <v>6185</v>
      </c>
      <c r="N41" s="157">
        <v>2</v>
      </c>
      <c r="O41" s="152"/>
      <c r="P41" s="149" t="s">
        <v>6188</v>
      </c>
      <c r="Q41" s="158">
        <v>3</v>
      </c>
      <c r="R41" s="152"/>
      <c r="S41" s="149" t="s">
        <v>6189</v>
      </c>
      <c r="T41" s="151">
        <v>4</v>
      </c>
      <c r="U41" s="152"/>
      <c r="V41" s="149" t="s">
        <v>47</v>
      </c>
      <c r="W41" s="153"/>
      <c r="X41" s="152"/>
      <c r="Y41" s="149" t="s">
        <v>47</v>
      </c>
      <c r="Z41" s="153"/>
      <c r="AA41" s="152"/>
      <c r="AB41" s="154" t="s">
        <v>6190</v>
      </c>
    </row>
    <row r="42" spans="1:28" x14ac:dyDescent="0.2">
      <c r="A42" s="146" t="s">
        <v>20595</v>
      </c>
      <c r="B42" s="147" t="s">
        <v>6130</v>
      </c>
      <c r="C42" s="147" t="s">
        <v>6167</v>
      </c>
      <c r="D42" s="148"/>
      <c r="E42" s="149" t="s">
        <v>20596</v>
      </c>
      <c r="F42" s="159">
        <v>3</v>
      </c>
      <c r="G42" s="149" t="s">
        <v>20597</v>
      </c>
      <c r="H42" s="157">
        <v>2</v>
      </c>
      <c r="I42" s="156" t="s">
        <v>40</v>
      </c>
      <c r="J42" s="149" t="s">
        <v>20598</v>
      </c>
      <c r="K42" s="158">
        <v>3</v>
      </c>
      <c r="L42" s="152"/>
      <c r="M42" s="149" t="s">
        <v>20596</v>
      </c>
      <c r="N42" s="158">
        <v>3</v>
      </c>
      <c r="O42" s="156" t="s">
        <v>40</v>
      </c>
      <c r="P42" s="149" t="s">
        <v>20599</v>
      </c>
      <c r="Q42" s="158">
        <v>3</v>
      </c>
      <c r="R42" s="152"/>
      <c r="S42" s="149" t="s">
        <v>20600</v>
      </c>
      <c r="T42" s="151">
        <v>4</v>
      </c>
      <c r="U42" s="152"/>
      <c r="V42" s="149" t="s">
        <v>20601</v>
      </c>
      <c r="W42" s="158">
        <v>3</v>
      </c>
      <c r="X42" s="152"/>
      <c r="Y42" s="149" t="s">
        <v>20602</v>
      </c>
      <c r="Z42" s="155">
        <v>1</v>
      </c>
      <c r="AA42" s="152"/>
      <c r="AB42" s="154" t="s">
        <v>210</v>
      </c>
    </row>
    <row r="43" spans="1:28" x14ac:dyDescent="0.2">
      <c r="A43" s="146" t="s">
        <v>216</v>
      </c>
      <c r="B43" s="147" t="s">
        <v>6130</v>
      </c>
      <c r="C43" s="147" t="s">
        <v>6191</v>
      </c>
      <c r="D43" s="148"/>
      <c r="E43" s="149" t="s">
        <v>16284</v>
      </c>
      <c r="F43" s="159">
        <v>3</v>
      </c>
      <c r="G43" s="149" t="s">
        <v>12979</v>
      </c>
      <c r="H43" s="158">
        <v>3</v>
      </c>
      <c r="I43" s="156" t="s">
        <v>40</v>
      </c>
      <c r="J43" s="149" t="s">
        <v>8436</v>
      </c>
      <c r="K43" s="151">
        <v>4</v>
      </c>
      <c r="L43" s="152"/>
      <c r="M43" s="149" t="s">
        <v>16284</v>
      </c>
      <c r="N43" s="158">
        <v>3</v>
      </c>
      <c r="O43" s="156" t="s">
        <v>46</v>
      </c>
      <c r="P43" s="149" t="s">
        <v>20603</v>
      </c>
      <c r="Q43" s="157">
        <v>2</v>
      </c>
      <c r="R43" s="156" t="s">
        <v>46</v>
      </c>
      <c r="S43" s="149" t="s">
        <v>47</v>
      </c>
      <c r="T43" s="153"/>
      <c r="U43" s="152"/>
      <c r="V43" s="149" t="s">
        <v>47</v>
      </c>
      <c r="W43" s="153"/>
      <c r="X43" s="152"/>
      <c r="Y43" s="149" t="s">
        <v>47</v>
      </c>
      <c r="Z43" s="153"/>
      <c r="AA43" s="152"/>
      <c r="AB43" s="154" t="s">
        <v>217</v>
      </c>
    </row>
    <row r="44" spans="1:28" x14ac:dyDescent="0.2">
      <c r="A44" s="146" t="s">
        <v>218</v>
      </c>
      <c r="B44" s="147" t="s">
        <v>6130</v>
      </c>
      <c r="C44" s="147" t="s">
        <v>6192</v>
      </c>
      <c r="D44" s="148"/>
      <c r="E44" s="149" t="s">
        <v>20604</v>
      </c>
      <c r="F44" s="150">
        <v>4</v>
      </c>
      <c r="G44" s="149" t="s">
        <v>20605</v>
      </c>
      <c r="H44" s="157">
        <v>2</v>
      </c>
      <c r="I44" s="156" t="s">
        <v>53</v>
      </c>
      <c r="J44" s="149" t="s">
        <v>20606</v>
      </c>
      <c r="K44" s="158">
        <v>3</v>
      </c>
      <c r="L44" s="156" t="s">
        <v>40</v>
      </c>
      <c r="M44" s="149" t="s">
        <v>20604</v>
      </c>
      <c r="N44" s="151">
        <v>4</v>
      </c>
      <c r="O44" s="152"/>
      <c r="P44" s="149" t="s">
        <v>20607</v>
      </c>
      <c r="Q44" s="151">
        <v>4</v>
      </c>
      <c r="R44" s="156" t="s">
        <v>46</v>
      </c>
      <c r="S44" s="149" t="s">
        <v>47</v>
      </c>
      <c r="T44" s="153"/>
      <c r="U44" s="152"/>
      <c r="V44" s="149" t="s">
        <v>47</v>
      </c>
      <c r="W44" s="153"/>
      <c r="X44" s="152"/>
      <c r="Y44" s="149" t="s">
        <v>47</v>
      </c>
      <c r="Z44" s="153"/>
      <c r="AA44" s="152"/>
      <c r="AB44" s="154" t="s">
        <v>219</v>
      </c>
    </row>
    <row r="45" spans="1:28" x14ac:dyDescent="0.2">
      <c r="A45" s="146" t="s">
        <v>6193</v>
      </c>
      <c r="B45" s="147" t="s">
        <v>6130</v>
      </c>
      <c r="C45" s="147" t="s">
        <v>6192</v>
      </c>
      <c r="D45" s="148"/>
      <c r="E45" s="149" t="s">
        <v>20608</v>
      </c>
      <c r="F45" s="159">
        <v>3</v>
      </c>
      <c r="G45" s="149" t="s">
        <v>20609</v>
      </c>
      <c r="H45" s="157">
        <v>2</v>
      </c>
      <c r="I45" s="156" t="s">
        <v>40</v>
      </c>
      <c r="J45" s="149" t="s">
        <v>20610</v>
      </c>
      <c r="K45" s="158">
        <v>3</v>
      </c>
      <c r="L45" s="152"/>
      <c r="M45" s="149" t="s">
        <v>20608</v>
      </c>
      <c r="N45" s="158">
        <v>3</v>
      </c>
      <c r="O45" s="152"/>
      <c r="P45" s="149" t="s">
        <v>20611</v>
      </c>
      <c r="Q45" s="158">
        <v>3</v>
      </c>
      <c r="R45" s="152"/>
      <c r="S45" s="149" t="s">
        <v>47</v>
      </c>
      <c r="T45" s="153"/>
      <c r="U45" s="152"/>
      <c r="V45" s="149" t="s">
        <v>47</v>
      </c>
      <c r="W45" s="153"/>
      <c r="X45" s="152"/>
      <c r="Y45" s="149" t="s">
        <v>47</v>
      </c>
      <c r="Z45" s="153"/>
      <c r="AA45" s="152"/>
      <c r="AB45" s="154" t="s">
        <v>213</v>
      </c>
    </row>
    <row r="46" spans="1:28" x14ac:dyDescent="0.2">
      <c r="A46" s="146" t="s">
        <v>6194</v>
      </c>
      <c r="B46" s="147" t="s">
        <v>6130</v>
      </c>
      <c r="C46" s="147" t="s">
        <v>6192</v>
      </c>
      <c r="D46" s="148"/>
      <c r="E46" s="149" t="s">
        <v>20612</v>
      </c>
      <c r="F46" s="159">
        <v>3</v>
      </c>
      <c r="G46" s="149" t="s">
        <v>20613</v>
      </c>
      <c r="H46" s="157">
        <v>2</v>
      </c>
      <c r="I46" s="156" t="s">
        <v>40</v>
      </c>
      <c r="J46" s="149" t="s">
        <v>20614</v>
      </c>
      <c r="K46" s="158">
        <v>3</v>
      </c>
      <c r="L46" s="152"/>
      <c r="M46" s="149" t="s">
        <v>20612</v>
      </c>
      <c r="N46" s="158">
        <v>3</v>
      </c>
      <c r="O46" s="152"/>
      <c r="P46" s="149" t="s">
        <v>20615</v>
      </c>
      <c r="Q46" s="151">
        <v>4</v>
      </c>
      <c r="R46" s="152"/>
      <c r="S46" s="149" t="s">
        <v>47</v>
      </c>
      <c r="T46" s="153"/>
      <c r="U46" s="152"/>
      <c r="V46" s="149" t="s">
        <v>47</v>
      </c>
      <c r="W46" s="153"/>
      <c r="X46" s="152"/>
      <c r="Y46" s="149" t="s">
        <v>47</v>
      </c>
      <c r="Z46" s="153"/>
      <c r="AA46" s="152"/>
      <c r="AB46" s="154" t="s">
        <v>215</v>
      </c>
    </row>
    <row r="47" spans="1:28" x14ac:dyDescent="0.2">
      <c r="A47" s="146" t="s">
        <v>220</v>
      </c>
      <c r="B47" s="147" t="s">
        <v>6130</v>
      </c>
      <c r="C47" s="147" t="s">
        <v>6195</v>
      </c>
      <c r="D47" s="148"/>
      <c r="E47" s="149" t="s">
        <v>20616</v>
      </c>
      <c r="F47" s="150">
        <v>4</v>
      </c>
      <c r="G47" s="149" t="s">
        <v>12224</v>
      </c>
      <c r="H47" s="157">
        <v>2</v>
      </c>
      <c r="I47" s="156" t="s">
        <v>40</v>
      </c>
      <c r="J47" s="149" t="s">
        <v>20617</v>
      </c>
      <c r="K47" s="158">
        <v>3</v>
      </c>
      <c r="L47" s="152"/>
      <c r="M47" s="149" t="s">
        <v>20616</v>
      </c>
      <c r="N47" s="151">
        <v>4</v>
      </c>
      <c r="O47" s="152"/>
      <c r="P47" s="149" t="s">
        <v>20618</v>
      </c>
      <c r="Q47" s="151">
        <v>4</v>
      </c>
      <c r="R47" s="152"/>
      <c r="S47" s="149" t="s">
        <v>47</v>
      </c>
      <c r="T47" s="153"/>
      <c r="U47" s="152"/>
      <c r="V47" s="149" t="s">
        <v>47</v>
      </c>
      <c r="W47" s="153"/>
      <c r="X47" s="152"/>
      <c r="Y47" s="149" t="s">
        <v>47</v>
      </c>
      <c r="Z47" s="153"/>
      <c r="AA47" s="152"/>
      <c r="AB47" s="154" t="s">
        <v>221</v>
      </c>
    </row>
    <row r="48" spans="1:28" x14ac:dyDescent="0.2">
      <c r="A48" s="146" t="s">
        <v>222</v>
      </c>
      <c r="B48" s="147" t="s">
        <v>6130</v>
      </c>
      <c r="C48" s="147" t="s">
        <v>6196</v>
      </c>
      <c r="D48" s="148"/>
      <c r="E48" s="149" t="s">
        <v>20619</v>
      </c>
      <c r="F48" s="159">
        <v>3</v>
      </c>
      <c r="G48" s="149" t="s">
        <v>18193</v>
      </c>
      <c r="H48" s="158">
        <v>3</v>
      </c>
      <c r="I48" s="156" t="s">
        <v>40</v>
      </c>
      <c r="J48" s="149" t="s">
        <v>6197</v>
      </c>
      <c r="K48" s="151">
        <v>4</v>
      </c>
      <c r="L48" s="156" t="s">
        <v>46</v>
      </c>
      <c r="M48" s="149" t="s">
        <v>20619</v>
      </c>
      <c r="N48" s="158">
        <v>3</v>
      </c>
      <c r="O48" s="156" t="s">
        <v>46</v>
      </c>
      <c r="P48" s="149" t="s">
        <v>20620</v>
      </c>
      <c r="Q48" s="157">
        <v>2</v>
      </c>
      <c r="R48" s="152"/>
      <c r="S48" s="149" t="s">
        <v>47</v>
      </c>
      <c r="T48" s="153"/>
      <c r="U48" s="152"/>
      <c r="V48" s="149" t="s">
        <v>47</v>
      </c>
      <c r="W48" s="153"/>
      <c r="X48" s="152"/>
      <c r="Y48" s="149" t="s">
        <v>47</v>
      </c>
      <c r="Z48" s="153"/>
      <c r="AA48" s="152"/>
      <c r="AB48" s="154" t="s">
        <v>223</v>
      </c>
    </row>
    <row r="49" spans="1:28" x14ac:dyDescent="0.2">
      <c r="A49" s="146" t="s">
        <v>224</v>
      </c>
      <c r="B49" s="147" t="s">
        <v>6130</v>
      </c>
      <c r="C49" s="147" t="s">
        <v>6196</v>
      </c>
      <c r="D49" s="148"/>
      <c r="E49" s="149" t="s">
        <v>20621</v>
      </c>
      <c r="F49" s="159">
        <v>3</v>
      </c>
      <c r="G49" s="149" t="s">
        <v>20622</v>
      </c>
      <c r="H49" s="158">
        <v>3</v>
      </c>
      <c r="I49" s="156" t="s">
        <v>40</v>
      </c>
      <c r="J49" s="149" t="s">
        <v>6198</v>
      </c>
      <c r="K49" s="151">
        <v>4</v>
      </c>
      <c r="L49" s="156" t="s">
        <v>46</v>
      </c>
      <c r="M49" s="149" t="s">
        <v>20621</v>
      </c>
      <c r="N49" s="158">
        <v>3</v>
      </c>
      <c r="O49" s="152"/>
      <c r="P49" s="149" t="s">
        <v>20623</v>
      </c>
      <c r="Q49" s="157">
        <v>2</v>
      </c>
      <c r="R49" s="152"/>
      <c r="S49" s="149" t="s">
        <v>47</v>
      </c>
      <c r="T49" s="153"/>
      <c r="U49" s="152"/>
      <c r="V49" s="149" t="s">
        <v>47</v>
      </c>
      <c r="W49" s="153"/>
      <c r="X49" s="152"/>
      <c r="Y49" s="149" t="s">
        <v>47</v>
      </c>
      <c r="Z49" s="153"/>
      <c r="AA49" s="152"/>
      <c r="AB49" s="154" t="s">
        <v>225</v>
      </c>
    </row>
    <row r="50" spans="1:28" x14ac:dyDescent="0.2">
      <c r="A50" s="146" t="s">
        <v>226</v>
      </c>
      <c r="B50" s="147" t="s">
        <v>6130</v>
      </c>
      <c r="C50" s="147" t="s">
        <v>6196</v>
      </c>
      <c r="D50" s="148"/>
      <c r="E50" s="149" t="s">
        <v>20624</v>
      </c>
      <c r="F50" s="159">
        <v>3</v>
      </c>
      <c r="G50" s="149" t="s">
        <v>20625</v>
      </c>
      <c r="H50" s="158">
        <v>3</v>
      </c>
      <c r="I50" s="156" t="s">
        <v>40</v>
      </c>
      <c r="J50" s="149" t="s">
        <v>20626</v>
      </c>
      <c r="K50" s="151">
        <v>4</v>
      </c>
      <c r="L50" s="156" t="s">
        <v>46</v>
      </c>
      <c r="M50" s="149" t="s">
        <v>20624</v>
      </c>
      <c r="N50" s="158">
        <v>3</v>
      </c>
      <c r="O50" s="152"/>
      <c r="P50" s="149" t="s">
        <v>20627</v>
      </c>
      <c r="Q50" s="158">
        <v>3</v>
      </c>
      <c r="R50" s="152"/>
      <c r="S50" s="149" t="s">
        <v>47</v>
      </c>
      <c r="T50" s="153"/>
      <c r="U50" s="152"/>
      <c r="V50" s="149" t="s">
        <v>47</v>
      </c>
      <c r="W50" s="153"/>
      <c r="X50" s="152"/>
      <c r="Y50" s="149" t="s">
        <v>47</v>
      </c>
      <c r="Z50" s="153"/>
      <c r="AA50" s="152"/>
      <c r="AB50" s="154" t="s">
        <v>227</v>
      </c>
    </row>
    <row r="51" spans="1:28" x14ac:dyDescent="0.2">
      <c r="A51" s="146" t="s">
        <v>228</v>
      </c>
      <c r="B51" s="147" t="s">
        <v>6130</v>
      </c>
      <c r="C51" s="147" t="s">
        <v>6196</v>
      </c>
      <c r="D51" s="148"/>
      <c r="E51" s="149" t="s">
        <v>20628</v>
      </c>
      <c r="F51" s="159">
        <v>3</v>
      </c>
      <c r="G51" s="149" t="s">
        <v>18138</v>
      </c>
      <c r="H51" s="158">
        <v>3</v>
      </c>
      <c r="I51" s="156" t="s">
        <v>40</v>
      </c>
      <c r="J51" s="149" t="s">
        <v>20629</v>
      </c>
      <c r="K51" s="151">
        <v>4</v>
      </c>
      <c r="L51" s="156" t="s">
        <v>46</v>
      </c>
      <c r="M51" s="149" t="s">
        <v>20628</v>
      </c>
      <c r="N51" s="158">
        <v>3</v>
      </c>
      <c r="O51" s="152"/>
      <c r="P51" s="149" t="s">
        <v>20630</v>
      </c>
      <c r="Q51" s="158">
        <v>3</v>
      </c>
      <c r="R51" s="156" t="s">
        <v>46</v>
      </c>
      <c r="S51" s="149" t="s">
        <v>47</v>
      </c>
      <c r="T51" s="153"/>
      <c r="U51" s="152"/>
      <c r="V51" s="149" t="s">
        <v>47</v>
      </c>
      <c r="W51" s="153"/>
      <c r="X51" s="152"/>
      <c r="Y51" s="149" t="s">
        <v>47</v>
      </c>
      <c r="Z51" s="153"/>
      <c r="AA51" s="152"/>
      <c r="AB51" s="154" t="s">
        <v>229</v>
      </c>
    </row>
    <row r="52" spans="1:28" x14ac:dyDescent="0.2">
      <c r="A52" s="146" t="s">
        <v>6199</v>
      </c>
      <c r="B52" s="147" t="s">
        <v>6130</v>
      </c>
      <c r="C52" s="147" t="s">
        <v>6192</v>
      </c>
      <c r="D52" s="148"/>
      <c r="E52" s="149" t="s">
        <v>20631</v>
      </c>
      <c r="F52" s="150">
        <v>4</v>
      </c>
      <c r="G52" s="149" t="s">
        <v>20632</v>
      </c>
      <c r="H52" s="157">
        <v>2</v>
      </c>
      <c r="I52" s="156" t="s">
        <v>40</v>
      </c>
      <c r="J52" s="149" t="s">
        <v>20633</v>
      </c>
      <c r="K52" s="157">
        <v>2</v>
      </c>
      <c r="L52" s="156" t="s">
        <v>40</v>
      </c>
      <c r="M52" s="149" t="s">
        <v>20631</v>
      </c>
      <c r="N52" s="151">
        <v>4</v>
      </c>
      <c r="O52" s="152"/>
      <c r="P52" s="149" t="s">
        <v>47</v>
      </c>
      <c r="Q52" s="153"/>
      <c r="R52" s="152"/>
      <c r="S52" s="149" t="s">
        <v>47</v>
      </c>
      <c r="T52" s="153"/>
      <c r="U52" s="152"/>
      <c r="V52" s="149" t="s">
        <v>47</v>
      </c>
      <c r="W52" s="153"/>
      <c r="X52" s="152"/>
      <c r="Y52" s="149" t="s">
        <v>47</v>
      </c>
      <c r="Z52" s="153"/>
      <c r="AA52" s="152"/>
      <c r="AB52" s="154" t="s">
        <v>231</v>
      </c>
    </row>
    <row r="53" spans="1:28" x14ac:dyDescent="0.2">
      <c r="A53" s="146" t="s">
        <v>232</v>
      </c>
      <c r="B53" s="147" t="s">
        <v>6130</v>
      </c>
      <c r="C53" s="147" t="s">
        <v>6192</v>
      </c>
      <c r="D53" s="148"/>
      <c r="E53" s="149" t="s">
        <v>20634</v>
      </c>
      <c r="F53" s="159">
        <v>3</v>
      </c>
      <c r="G53" s="149" t="s">
        <v>20635</v>
      </c>
      <c r="H53" s="157">
        <v>2</v>
      </c>
      <c r="I53" s="156" t="s">
        <v>40</v>
      </c>
      <c r="J53" s="149" t="s">
        <v>20636</v>
      </c>
      <c r="K53" s="158">
        <v>3</v>
      </c>
      <c r="L53" s="152"/>
      <c r="M53" s="149" t="s">
        <v>20634</v>
      </c>
      <c r="N53" s="158">
        <v>3</v>
      </c>
      <c r="O53" s="156" t="s">
        <v>40</v>
      </c>
      <c r="P53" s="149" t="s">
        <v>20637</v>
      </c>
      <c r="Q53" s="151">
        <v>4</v>
      </c>
      <c r="R53" s="152"/>
      <c r="S53" s="149" t="s">
        <v>47</v>
      </c>
      <c r="T53" s="153"/>
      <c r="U53" s="152"/>
      <c r="V53" s="149" t="s">
        <v>47</v>
      </c>
      <c r="W53" s="153"/>
      <c r="X53" s="152"/>
      <c r="Y53" s="149" t="s">
        <v>47</v>
      </c>
      <c r="Z53" s="153"/>
      <c r="AA53" s="152"/>
      <c r="AB53" s="154" t="s">
        <v>233</v>
      </c>
    </row>
    <row r="54" spans="1:28" x14ac:dyDescent="0.2">
      <c r="A54" s="146" t="s">
        <v>6200</v>
      </c>
      <c r="B54" s="147" t="s">
        <v>6130</v>
      </c>
      <c r="C54" s="147" t="s">
        <v>6201</v>
      </c>
      <c r="D54" s="148" t="s">
        <v>6136</v>
      </c>
      <c r="E54" s="149" t="s">
        <v>20638</v>
      </c>
      <c r="F54" s="159">
        <v>3</v>
      </c>
      <c r="G54" s="149" t="s">
        <v>20639</v>
      </c>
      <c r="H54" s="158">
        <v>3</v>
      </c>
      <c r="I54" s="152"/>
      <c r="J54" s="149" t="s">
        <v>20639</v>
      </c>
      <c r="K54" s="158">
        <v>3</v>
      </c>
      <c r="L54" s="152"/>
      <c r="M54" s="149" t="s">
        <v>20638</v>
      </c>
      <c r="N54" s="158">
        <v>3</v>
      </c>
      <c r="O54" s="152"/>
      <c r="P54" s="149" t="s">
        <v>8089</v>
      </c>
      <c r="Q54" s="158">
        <v>3</v>
      </c>
      <c r="R54" s="152"/>
      <c r="S54" s="149" t="s">
        <v>20640</v>
      </c>
      <c r="T54" s="158">
        <v>3</v>
      </c>
      <c r="U54" s="156" t="s">
        <v>46</v>
      </c>
      <c r="V54" s="149" t="s">
        <v>12222</v>
      </c>
      <c r="W54" s="158">
        <v>3</v>
      </c>
      <c r="X54" s="156" t="s">
        <v>46</v>
      </c>
      <c r="Y54" s="149" t="s">
        <v>20641</v>
      </c>
      <c r="Z54" s="158">
        <v>3</v>
      </c>
      <c r="AA54" s="152"/>
      <c r="AB54" s="154" t="s">
        <v>237</v>
      </c>
    </row>
    <row r="55" spans="1:28" x14ac:dyDescent="0.2">
      <c r="A55" s="146" t="s">
        <v>6202</v>
      </c>
      <c r="B55" s="147" t="s">
        <v>6130</v>
      </c>
      <c r="C55" s="147" t="s">
        <v>6159</v>
      </c>
      <c r="D55" s="148" t="s">
        <v>6136</v>
      </c>
      <c r="E55" s="149" t="s">
        <v>20642</v>
      </c>
      <c r="F55" s="159">
        <v>3</v>
      </c>
      <c r="G55" s="149" t="s">
        <v>20643</v>
      </c>
      <c r="H55" s="158">
        <v>3</v>
      </c>
      <c r="I55" s="152"/>
      <c r="J55" s="149" t="s">
        <v>20644</v>
      </c>
      <c r="K55" s="158">
        <v>3</v>
      </c>
      <c r="L55" s="152"/>
      <c r="M55" s="149" t="s">
        <v>20642</v>
      </c>
      <c r="N55" s="158">
        <v>3</v>
      </c>
      <c r="O55" s="152"/>
      <c r="P55" s="149" t="s">
        <v>20645</v>
      </c>
      <c r="Q55" s="158">
        <v>3</v>
      </c>
      <c r="R55" s="152"/>
      <c r="S55" s="149" t="s">
        <v>20646</v>
      </c>
      <c r="T55" s="157">
        <v>2</v>
      </c>
      <c r="U55" s="152"/>
      <c r="V55" s="149" t="s">
        <v>20647</v>
      </c>
      <c r="W55" s="157">
        <v>2</v>
      </c>
      <c r="X55" s="156" t="s">
        <v>40</v>
      </c>
      <c r="Y55" s="149" t="s">
        <v>20648</v>
      </c>
      <c r="Z55" s="157">
        <v>2</v>
      </c>
      <c r="AA55" s="152"/>
      <c r="AB55" s="154" t="s">
        <v>242</v>
      </c>
    </row>
    <row r="56" spans="1:28" x14ac:dyDescent="0.2">
      <c r="A56" s="146" t="s">
        <v>20649</v>
      </c>
      <c r="B56" s="147" t="s">
        <v>6130</v>
      </c>
      <c r="C56" s="147" t="s">
        <v>6203</v>
      </c>
      <c r="D56" s="148" t="s">
        <v>6160</v>
      </c>
      <c r="E56" s="149" t="s">
        <v>20650</v>
      </c>
      <c r="F56" s="159">
        <v>3</v>
      </c>
      <c r="G56" s="149" t="s">
        <v>20651</v>
      </c>
      <c r="H56" s="157">
        <v>2</v>
      </c>
      <c r="I56" s="152"/>
      <c r="J56" s="149" t="s">
        <v>20652</v>
      </c>
      <c r="K56" s="157">
        <v>2</v>
      </c>
      <c r="L56" s="156" t="s">
        <v>40</v>
      </c>
      <c r="M56" s="149" t="s">
        <v>20650</v>
      </c>
      <c r="N56" s="158">
        <v>3</v>
      </c>
      <c r="O56" s="156" t="s">
        <v>40</v>
      </c>
      <c r="P56" s="149" t="s">
        <v>6204</v>
      </c>
      <c r="Q56" s="158">
        <v>3</v>
      </c>
      <c r="R56" s="152"/>
      <c r="S56" s="149" t="s">
        <v>20653</v>
      </c>
      <c r="T56" s="151">
        <v>4</v>
      </c>
      <c r="U56" s="152"/>
      <c r="V56" s="149" t="s">
        <v>20654</v>
      </c>
      <c r="W56" s="158">
        <v>3</v>
      </c>
      <c r="X56" s="152"/>
      <c r="Y56" s="149" t="s">
        <v>47</v>
      </c>
      <c r="Z56" s="153"/>
      <c r="AA56" s="152"/>
      <c r="AB56" s="154" t="s">
        <v>275</v>
      </c>
    </row>
    <row r="57" spans="1:28" x14ac:dyDescent="0.2">
      <c r="A57" s="146" t="s">
        <v>252</v>
      </c>
      <c r="B57" s="147" t="s">
        <v>6130</v>
      </c>
      <c r="C57" s="147" t="s">
        <v>6203</v>
      </c>
      <c r="D57" s="148" t="s">
        <v>6136</v>
      </c>
      <c r="E57" s="149" t="s">
        <v>20655</v>
      </c>
      <c r="F57" s="160">
        <v>2</v>
      </c>
      <c r="G57" s="149" t="s">
        <v>20656</v>
      </c>
      <c r="H57" s="158">
        <v>3</v>
      </c>
      <c r="I57" s="152"/>
      <c r="J57" s="149" t="s">
        <v>20657</v>
      </c>
      <c r="K57" s="158">
        <v>3</v>
      </c>
      <c r="L57" s="156" t="s">
        <v>46</v>
      </c>
      <c r="M57" s="149" t="s">
        <v>20655</v>
      </c>
      <c r="N57" s="157">
        <v>2</v>
      </c>
      <c r="O57" s="152"/>
      <c r="P57" s="149" t="s">
        <v>20658</v>
      </c>
      <c r="Q57" s="157">
        <v>2</v>
      </c>
      <c r="R57" s="152"/>
      <c r="S57" s="149" t="s">
        <v>20659</v>
      </c>
      <c r="T57" s="157">
        <v>2</v>
      </c>
      <c r="U57" s="152"/>
      <c r="V57" s="149" t="s">
        <v>20660</v>
      </c>
      <c r="W57" s="157">
        <v>2</v>
      </c>
      <c r="X57" s="152"/>
      <c r="Y57" s="149" t="s">
        <v>20661</v>
      </c>
      <c r="Z57" s="158">
        <v>3</v>
      </c>
      <c r="AA57" s="152"/>
      <c r="AB57" s="154" t="s">
        <v>253</v>
      </c>
    </row>
    <row r="58" spans="1:28" x14ac:dyDescent="0.2">
      <c r="A58" s="146" t="s">
        <v>6205</v>
      </c>
      <c r="B58" s="147" t="s">
        <v>6130</v>
      </c>
      <c r="C58" s="147" t="s">
        <v>6206</v>
      </c>
      <c r="D58" s="148" t="s">
        <v>6160</v>
      </c>
      <c r="E58" s="149" t="s">
        <v>20662</v>
      </c>
      <c r="F58" s="159">
        <v>3</v>
      </c>
      <c r="G58" s="149" t="s">
        <v>20663</v>
      </c>
      <c r="H58" s="158">
        <v>3</v>
      </c>
      <c r="I58" s="156" t="s">
        <v>46</v>
      </c>
      <c r="J58" s="149" t="s">
        <v>20664</v>
      </c>
      <c r="K58" s="158">
        <v>3</v>
      </c>
      <c r="L58" s="156" t="s">
        <v>46</v>
      </c>
      <c r="M58" s="149" t="s">
        <v>20662</v>
      </c>
      <c r="N58" s="158">
        <v>3</v>
      </c>
      <c r="O58" s="152"/>
      <c r="P58" s="149" t="s">
        <v>20665</v>
      </c>
      <c r="Q58" s="158">
        <v>3</v>
      </c>
      <c r="R58" s="156" t="s">
        <v>40</v>
      </c>
      <c r="S58" s="149" t="s">
        <v>20666</v>
      </c>
      <c r="T58" s="158">
        <v>3</v>
      </c>
      <c r="U58" s="152"/>
      <c r="V58" s="149" t="s">
        <v>20667</v>
      </c>
      <c r="W58" s="158">
        <v>3</v>
      </c>
      <c r="X58" s="152"/>
      <c r="Y58" s="149" t="s">
        <v>20668</v>
      </c>
      <c r="Z58" s="157">
        <v>2</v>
      </c>
      <c r="AA58" s="152"/>
      <c r="AB58" s="154" t="s">
        <v>289</v>
      </c>
    </row>
    <row r="59" spans="1:28" x14ac:dyDescent="0.2">
      <c r="A59" s="146" t="s">
        <v>6207</v>
      </c>
      <c r="B59" s="147" t="s">
        <v>6130</v>
      </c>
      <c r="C59" s="147" t="s">
        <v>6206</v>
      </c>
      <c r="D59" s="148" t="s">
        <v>6132</v>
      </c>
      <c r="E59" s="149" t="s">
        <v>20669</v>
      </c>
      <c r="F59" s="160">
        <v>2</v>
      </c>
      <c r="G59" s="149" t="s">
        <v>20670</v>
      </c>
      <c r="H59" s="158">
        <v>3</v>
      </c>
      <c r="I59" s="156" t="s">
        <v>46</v>
      </c>
      <c r="J59" s="149" t="s">
        <v>20671</v>
      </c>
      <c r="K59" s="158">
        <v>3</v>
      </c>
      <c r="L59" s="156" t="s">
        <v>46</v>
      </c>
      <c r="M59" s="149" t="s">
        <v>20669</v>
      </c>
      <c r="N59" s="157">
        <v>2</v>
      </c>
      <c r="O59" s="152"/>
      <c r="P59" s="149" t="s">
        <v>6208</v>
      </c>
      <c r="Q59" s="157">
        <v>2</v>
      </c>
      <c r="R59" s="152"/>
      <c r="S59" s="149" t="s">
        <v>20672</v>
      </c>
      <c r="T59" s="157">
        <v>2</v>
      </c>
      <c r="U59" s="152"/>
      <c r="V59" s="149" t="s">
        <v>20673</v>
      </c>
      <c r="W59" s="157">
        <v>2</v>
      </c>
      <c r="X59" s="152"/>
      <c r="Y59" s="149" t="s">
        <v>20674</v>
      </c>
      <c r="Z59" s="158">
        <v>3</v>
      </c>
      <c r="AA59" s="152"/>
      <c r="AB59" s="154" t="s">
        <v>286</v>
      </c>
    </row>
    <row r="60" spans="1:28" x14ac:dyDescent="0.2">
      <c r="A60" s="146" t="s">
        <v>6209</v>
      </c>
      <c r="B60" s="147" t="s">
        <v>6130</v>
      </c>
      <c r="C60" s="147" t="s">
        <v>6210</v>
      </c>
      <c r="D60" s="148" t="s">
        <v>6160</v>
      </c>
      <c r="E60" s="149" t="s">
        <v>20675</v>
      </c>
      <c r="F60" s="159">
        <v>3</v>
      </c>
      <c r="G60" s="149" t="s">
        <v>20676</v>
      </c>
      <c r="H60" s="151">
        <v>4</v>
      </c>
      <c r="I60" s="156" t="s">
        <v>55</v>
      </c>
      <c r="J60" s="149" t="s">
        <v>20677</v>
      </c>
      <c r="K60" s="157">
        <v>2</v>
      </c>
      <c r="L60" s="152"/>
      <c r="M60" s="149" t="s">
        <v>20675</v>
      </c>
      <c r="N60" s="158">
        <v>3</v>
      </c>
      <c r="O60" s="152"/>
      <c r="P60" s="149" t="s">
        <v>6211</v>
      </c>
      <c r="Q60" s="151">
        <v>4</v>
      </c>
      <c r="R60" s="152"/>
      <c r="S60" s="149" t="s">
        <v>20678</v>
      </c>
      <c r="T60" s="151">
        <v>4</v>
      </c>
      <c r="U60" s="152"/>
      <c r="V60" s="149" t="s">
        <v>20679</v>
      </c>
      <c r="W60" s="158">
        <v>3</v>
      </c>
      <c r="X60" s="152"/>
      <c r="Y60" s="149" t="s">
        <v>20680</v>
      </c>
      <c r="Z60" s="158">
        <v>3</v>
      </c>
      <c r="AA60" s="152"/>
      <c r="AB60" s="154" t="s">
        <v>304</v>
      </c>
    </row>
    <row r="61" spans="1:28" x14ac:dyDescent="0.2">
      <c r="A61" s="146" t="s">
        <v>6212</v>
      </c>
      <c r="B61" s="147" t="s">
        <v>6130</v>
      </c>
      <c r="C61" s="147" t="s">
        <v>6213</v>
      </c>
      <c r="D61" s="148" t="s">
        <v>6160</v>
      </c>
      <c r="E61" s="149" t="s">
        <v>20681</v>
      </c>
      <c r="F61" s="150">
        <v>4</v>
      </c>
      <c r="G61" s="149" t="s">
        <v>20682</v>
      </c>
      <c r="H61" s="158">
        <v>3</v>
      </c>
      <c r="I61" s="152"/>
      <c r="J61" s="149" t="s">
        <v>20683</v>
      </c>
      <c r="K61" s="151">
        <v>4</v>
      </c>
      <c r="L61" s="152"/>
      <c r="M61" s="149" t="s">
        <v>20681</v>
      </c>
      <c r="N61" s="151">
        <v>4</v>
      </c>
      <c r="O61" s="152"/>
      <c r="P61" s="149" t="s">
        <v>14891</v>
      </c>
      <c r="Q61" s="151">
        <v>4</v>
      </c>
      <c r="R61" s="152"/>
      <c r="S61" s="149" t="s">
        <v>20684</v>
      </c>
      <c r="T61" s="158">
        <v>3</v>
      </c>
      <c r="U61" s="156" t="s">
        <v>40</v>
      </c>
      <c r="V61" s="149" t="s">
        <v>20685</v>
      </c>
      <c r="W61" s="157">
        <v>2</v>
      </c>
      <c r="X61" s="152"/>
      <c r="Y61" s="149" t="s">
        <v>8918</v>
      </c>
      <c r="Z61" s="155">
        <v>1</v>
      </c>
      <c r="AA61" s="152"/>
      <c r="AB61" s="154" t="s">
        <v>324</v>
      </c>
    </row>
    <row r="62" spans="1:28" x14ac:dyDescent="0.2">
      <c r="A62" s="146" t="s">
        <v>6214</v>
      </c>
      <c r="B62" s="147" t="s">
        <v>6130</v>
      </c>
      <c r="C62" s="147" t="s">
        <v>6213</v>
      </c>
      <c r="D62" s="148" t="s">
        <v>6163</v>
      </c>
      <c r="E62" s="149" t="s">
        <v>6215</v>
      </c>
      <c r="F62" s="160">
        <v>2</v>
      </c>
      <c r="G62" s="149" t="s">
        <v>20686</v>
      </c>
      <c r="H62" s="157">
        <v>2</v>
      </c>
      <c r="I62" s="156" t="s">
        <v>53</v>
      </c>
      <c r="J62" s="149" t="s">
        <v>20687</v>
      </c>
      <c r="K62" s="157">
        <v>2</v>
      </c>
      <c r="L62" s="152"/>
      <c r="M62" s="149" t="s">
        <v>6215</v>
      </c>
      <c r="N62" s="157">
        <v>2</v>
      </c>
      <c r="O62" s="152"/>
      <c r="P62" s="149" t="s">
        <v>6216</v>
      </c>
      <c r="Q62" s="157">
        <v>2</v>
      </c>
      <c r="R62" s="156" t="s">
        <v>46</v>
      </c>
      <c r="S62" s="149" t="s">
        <v>20688</v>
      </c>
      <c r="T62" s="155">
        <v>1</v>
      </c>
      <c r="U62" s="152"/>
      <c r="V62" s="149" t="s">
        <v>20689</v>
      </c>
      <c r="W62" s="157">
        <v>2</v>
      </c>
      <c r="X62" s="152"/>
      <c r="Y62" s="149" t="s">
        <v>47</v>
      </c>
      <c r="Z62" s="153"/>
      <c r="AA62" s="152"/>
      <c r="AB62" s="154" t="s">
        <v>318</v>
      </c>
    </row>
    <row r="63" spans="1:28" x14ac:dyDescent="0.2">
      <c r="A63" s="146" t="s">
        <v>331</v>
      </c>
      <c r="B63" s="147" t="s">
        <v>6130</v>
      </c>
      <c r="C63" s="147" t="s">
        <v>6157</v>
      </c>
      <c r="D63" s="148" t="s">
        <v>6136</v>
      </c>
      <c r="E63" s="149" t="s">
        <v>20690</v>
      </c>
      <c r="F63" s="150">
        <v>4</v>
      </c>
      <c r="G63" s="149" t="s">
        <v>20691</v>
      </c>
      <c r="H63" s="158">
        <v>3</v>
      </c>
      <c r="I63" s="152"/>
      <c r="J63" s="149" t="s">
        <v>20692</v>
      </c>
      <c r="K63" s="151">
        <v>4</v>
      </c>
      <c r="L63" s="156" t="s">
        <v>46</v>
      </c>
      <c r="M63" s="149" t="s">
        <v>20690</v>
      </c>
      <c r="N63" s="151">
        <v>4</v>
      </c>
      <c r="O63" s="156" t="s">
        <v>46</v>
      </c>
      <c r="P63" s="149" t="s">
        <v>20693</v>
      </c>
      <c r="Q63" s="158">
        <v>3</v>
      </c>
      <c r="R63" s="152"/>
      <c r="S63" s="149" t="s">
        <v>20694</v>
      </c>
      <c r="T63" s="157">
        <v>2</v>
      </c>
      <c r="U63" s="152"/>
      <c r="V63" s="149" t="s">
        <v>20695</v>
      </c>
      <c r="W63" s="157">
        <v>2</v>
      </c>
      <c r="X63" s="152"/>
      <c r="Y63" s="149" t="s">
        <v>20696</v>
      </c>
      <c r="Z63" s="158">
        <v>3</v>
      </c>
      <c r="AA63" s="152"/>
      <c r="AB63" s="154" t="s">
        <v>333</v>
      </c>
    </row>
    <row r="64" spans="1:28" x14ac:dyDescent="0.2">
      <c r="A64" s="146" t="s">
        <v>337</v>
      </c>
      <c r="B64" s="147" t="s">
        <v>6130</v>
      </c>
      <c r="C64" s="147" t="s">
        <v>6157</v>
      </c>
      <c r="D64" s="148" t="s">
        <v>6170</v>
      </c>
      <c r="E64" s="149" t="s">
        <v>20697</v>
      </c>
      <c r="F64" s="150">
        <v>4</v>
      </c>
      <c r="G64" s="149" t="s">
        <v>20698</v>
      </c>
      <c r="H64" s="151">
        <v>4</v>
      </c>
      <c r="I64" s="156" t="s">
        <v>55</v>
      </c>
      <c r="J64" s="149" t="s">
        <v>20699</v>
      </c>
      <c r="K64" s="151">
        <v>4</v>
      </c>
      <c r="L64" s="152"/>
      <c r="M64" s="149" t="s">
        <v>20697</v>
      </c>
      <c r="N64" s="151">
        <v>4</v>
      </c>
      <c r="O64" s="152"/>
      <c r="P64" s="149" t="s">
        <v>20700</v>
      </c>
      <c r="Q64" s="151">
        <v>4</v>
      </c>
      <c r="R64" s="152"/>
      <c r="S64" s="149" t="s">
        <v>20701</v>
      </c>
      <c r="T64" s="151">
        <v>4</v>
      </c>
      <c r="U64" s="152"/>
      <c r="V64" s="149" t="s">
        <v>20702</v>
      </c>
      <c r="W64" s="151">
        <v>4</v>
      </c>
      <c r="X64" s="152"/>
      <c r="Y64" s="149" t="s">
        <v>47</v>
      </c>
      <c r="Z64" s="153"/>
      <c r="AA64" s="152"/>
      <c r="AB64" s="154" t="s">
        <v>339</v>
      </c>
    </row>
    <row r="65" spans="1:28" x14ac:dyDescent="0.2">
      <c r="A65" s="146" t="s">
        <v>340</v>
      </c>
      <c r="B65" s="147" t="s">
        <v>6130</v>
      </c>
      <c r="C65" s="147" t="s">
        <v>6206</v>
      </c>
      <c r="D65" s="148" t="s">
        <v>6160</v>
      </c>
      <c r="E65" s="149" t="s">
        <v>20703</v>
      </c>
      <c r="F65" s="150">
        <v>4</v>
      </c>
      <c r="G65" s="149" t="s">
        <v>20704</v>
      </c>
      <c r="H65" s="157">
        <v>2</v>
      </c>
      <c r="I65" s="156" t="s">
        <v>40</v>
      </c>
      <c r="J65" s="149" t="s">
        <v>20705</v>
      </c>
      <c r="K65" s="158">
        <v>3</v>
      </c>
      <c r="L65" s="156" t="s">
        <v>40</v>
      </c>
      <c r="M65" s="149" t="s">
        <v>20703</v>
      </c>
      <c r="N65" s="151">
        <v>4</v>
      </c>
      <c r="O65" s="152"/>
      <c r="P65" s="149" t="s">
        <v>20706</v>
      </c>
      <c r="Q65" s="151">
        <v>4</v>
      </c>
      <c r="R65" s="152"/>
      <c r="S65" s="149" t="s">
        <v>20707</v>
      </c>
      <c r="T65" s="157">
        <v>2</v>
      </c>
      <c r="U65" s="156" t="s">
        <v>46</v>
      </c>
      <c r="V65" s="149" t="s">
        <v>20708</v>
      </c>
      <c r="W65" s="151">
        <v>4</v>
      </c>
      <c r="X65" s="152"/>
      <c r="Y65" s="149" t="s">
        <v>47</v>
      </c>
      <c r="Z65" s="153"/>
      <c r="AA65" s="152"/>
      <c r="AB65" s="154" t="s">
        <v>342</v>
      </c>
    </row>
    <row r="66" spans="1:28" x14ac:dyDescent="0.2">
      <c r="A66" s="146" t="s">
        <v>6217</v>
      </c>
      <c r="B66" s="147" t="s">
        <v>6130</v>
      </c>
      <c r="C66" s="147" t="s">
        <v>6218</v>
      </c>
      <c r="D66" s="148"/>
      <c r="E66" s="149" t="s">
        <v>20709</v>
      </c>
      <c r="F66" s="159">
        <v>3</v>
      </c>
      <c r="G66" s="149" t="s">
        <v>20710</v>
      </c>
      <c r="H66" s="151">
        <v>4</v>
      </c>
      <c r="I66" s="156" t="s">
        <v>55</v>
      </c>
      <c r="J66" s="149" t="s">
        <v>6219</v>
      </c>
      <c r="K66" s="157">
        <v>2</v>
      </c>
      <c r="L66" s="156" t="s">
        <v>46</v>
      </c>
      <c r="M66" s="149" t="s">
        <v>20709</v>
      </c>
      <c r="N66" s="158">
        <v>3</v>
      </c>
      <c r="O66" s="156" t="s">
        <v>55</v>
      </c>
      <c r="P66" s="149" t="s">
        <v>20711</v>
      </c>
      <c r="Q66" s="151">
        <v>4</v>
      </c>
      <c r="R66" s="156" t="s">
        <v>46</v>
      </c>
      <c r="S66" s="149" t="s">
        <v>47</v>
      </c>
      <c r="T66" s="153"/>
      <c r="U66" s="152"/>
      <c r="V66" s="149" t="s">
        <v>47</v>
      </c>
      <c r="W66" s="153"/>
      <c r="X66" s="152"/>
      <c r="Y66" s="149" t="s">
        <v>47</v>
      </c>
      <c r="Z66" s="153"/>
      <c r="AA66" s="152"/>
      <c r="AB66" s="154" t="s">
        <v>353</v>
      </c>
    </row>
    <row r="67" spans="1:28" x14ac:dyDescent="0.2">
      <c r="A67" s="146" t="s">
        <v>6220</v>
      </c>
      <c r="B67" s="147" t="s">
        <v>6130</v>
      </c>
      <c r="C67" s="147" t="s">
        <v>6221</v>
      </c>
      <c r="D67" s="148" t="s">
        <v>6163</v>
      </c>
      <c r="E67" s="149" t="s">
        <v>20712</v>
      </c>
      <c r="F67" s="161">
        <v>1</v>
      </c>
      <c r="G67" s="149" t="s">
        <v>6222</v>
      </c>
      <c r="H67" s="158">
        <v>3</v>
      </c>
      <c r="I67" s="156" t="s">
        <v>55</v>
      </c>
      <c r="J67" s="149" t="s">
        <v>6223</v>
      </c>
      <c r="K67" s="155">
        <v>1</v>
      </c>
      <c r="L67" s="152"/>
      <c r="M67" s="149" t="s">
        <v>20712</v>
      </c>
      <c r="N67" s="155">
        <v>1</v>
      </c>
      <c r="O67" s="152"/>
      <c r="P67" s="149" t="s">
        <v>20713</v>
      </c>
      <c r="Q67" s="157">
        <v>2</v>
      </c>
      <c r="R67" s="156" t="s">
        <v>46</v>
      </c>
      <c r="S67" s="149" t="s">
        <v>9617</v>
      </c>
      <c r="T67" s="155">
        <v>1</v>
      </c>
      <c r="U67" s="152"/>
      <c r="V67" s="149" t="s">
        <v>20714</v>
      </c>
      <c r="W67" s="155">
        <v>1</v>
      </c>
      <c r="X67" s="152"/>
      <c r="Y67" s="149" t="s">
        <v>6224</v>
      </c>
      <c r="Z67" s="155">
        <v>1</v>
      </c>
      <c r="AA67" s="152"/>
      <c r="AB67" s="154" t="s">
        <v>357</v>
      </c>
    </row>
    <row r="68" spans="1:28" x14ac:dyDescent="0.2">
      <c r="A68" s="146" t="s">
        <v>6225</v>
      </c>
      <c r="B68" s="147" t="s">
        <v>6130</v>
      </c>
      <c r="C68" s="147" t="s">
        <v>6157</v>
      </c>
      <c r="D68" s="148"/>
      <c r="E68" s="149" t="s">
        <v>20715</v>
      </c>
      <c r="F68" s="150">
        <v>4</v>
      </c>
      <c r="G68" s="149" t="s">
        <v>20716</v>
      </c>
      <c r="H68" s="151">
        <v>4</v>
      </c>
      <c r="I68" s="152"/>
      <c r="J68" s="149" t="s">
        <v>20717</v>
      </c>
      <c r="K68" s="151">
        <v>4</v>
      </c>
      <c r="L68" s="152"/>
      <c r="M68" s="149" t="s">
        <v>20715</v>
      </c>
      <c r="N68" s="151">
        <v>4</v>
      </c>
      <c r="O68" s="152"/>
      <c r="P68" s="149" t="s">
        <v>20718</v>
      </c>
      <c r="Q68" s="151">
        <v>4</v>
      </c>
      <c r="R68" s="152"/>
      <c r="S68" s="149" t="s">
        <v>47</v>
      </c>
      <c r="T68" s="153"/>
      <c r="U68" s="152"/>
      <c r="V68" s="149" t="s">
        <v>47</v>
      </c>
      <c r="W68" s="153"/>
      <c r="X68" s="152"/>
      <c r="Y68" s="149" t="s">
        <v>47</v>
      </c>
      <c r="Z68" s="153"/>
      <c r="AA68" s="152"/>
      <c r="AB68" s="154" t="s">
        <v>365</v>
      </c>
    </row>
    <row r="69" spans="1:28" x14ac:dyDescent="0.2">
      <c r="A69" s="146" t="s">
        <v>368</v>
      </c>
      <c r="B69" s="147" t="s">
        <v>6130</v>
      </c>
      <c r="C69" s="147" t="s">
        <v>6206</v>
      </c>
      <c r="D69" s="148" t="s">
        <v>6136</v>
      </c>
      <c r="E69" s="149" t="s">
        <v>20719</v>
      </c>
      <c r="F69" s="160">
        <v>2</v>
      </c>
      <c r="G69" s="149" t="s">
        <v>20720</v>
      </c>
      <c r="H69" s="158">
        <v>3</v>
      </c>
      <c r="I69" s="152"/>
      <c r="J69" s="149" t="s">
        <v>20721</v>
      </c>
      <c r="K69" s="158">
        <v>3</v>
      </c>
      <c r="L69" s="152"/>
      <c r="M69" s="149" t="s">
        <v>20719</v>
      </c>
      <c r="N69" s="157">
        <v>2</v>
      </c>
      <c r="O69" s="156" t="s">
        <v>46</v>
      </c>
      <c r="P69" s="149" t="s">
        <v>20722</v>
      </c>
      <c r="Q69" s="157">
        <v>2</v>
      </c>
      <c r="R69" s="156" t="s">
        <v>40</v>
      </c>
      <c r="S69" s="149" t="s">
        <v>20723</v>
      </c>
      <c r="T69" s="157">
        <v>2</v>
      </c>
      <c r="U69" s="152"/>
      <c r="V69" s="149" t="s">
        <v>20724</v>
      </c>
      <c r="W69" s="157">
        <v>2</v>
      </c>
      <c r="X69" s="152"/>
      <c r="Y69" s="149" t="s">
        <v>20725</v>
      </c>
      <c r="Z69" s="158">
        <v>3</v>
      </c>
      <c r="AA69" s="152"/>
      <c r="AB69" s="154" t="s">
        <v>369</v>
      </c>
    </row>
    <row r="70" spans="1:28" x14ac:dyDescent="0.2">
      <c r="A70" s="146" t="s">
        <v>6226</v>
      </c>
      <c r="B70" s="147" t="s">
        <v>6130</v>
      </c>
      <c r="C70" s="147" t="s">
        <v>6227</v>
      </c>
      <c r="D70" s="148" t="s">
        <v>6132</v>
      </c>
      <c r="E70" s="149" t="s">
        <v>20726</v>
      </c>
      <c r="F70" s="150">
        <v>4</v>
      </c>
      <c r="G70" s="149" t="s">
        <v>20727</v>
      </c>
      <c r="H70" s="158">
        <v>3</v>
      </c>
      <c r="I70" s="156" t="s">
        <v>46</v>
      </c>
      <c r="J70" s="149" t="s">
        <v>20728</v>
      </c>
      <c r="K70" s="158">
        <v>3</v>
      </c>
      <c r="L70" s="152"/>
      <c r="M70" s="149" t="s">
        <v>20726</v>
      </c>
      <c r="N70" s="151">
        <v>4</v>
      </c>
      <c r="O70" s="156" t="s">
        <v>46</v>
      </c>
      <c r="P70" s="149" t="s">
        <v>20729</v>
      </c>
      <c r="Q70" s="158">
        <v>3</v>
      </c>
      <c r="R70" s="152"/>
      <c r="S70" s="149" t="s">
        <v>20730</v>
      </c>
      <c r="T70" s="157">
        <v>2</v>
      </c>
      <c r="U70" s="152"/>
      <c r="V70" s="149" t="s">
        <v>20731</v>
      </c>
      <c r="W70" s="158">
        <v>3</v>
      </c>
      <c r="X70" s="152"/>
      <c r="Y70" s="149" t="s">
        <v>20732</v>
      </c>
      <c r="Z70" s="157">
        <v>2</v>
      </c>
      <c r="AA70" s="152"/>
      <c r="AB70" s="154" t="s">
        <v>379</v>
      </c>
    </row>
    <row r="71" spans="1:28" x14ac:dyDescent="0.2">
      <c r="A71" s="146" t="s">
        <v>6228</v>
      </c>
      <c r="B71" s="147" t="s">
        <v>6130</v>
      </c>
      <c r="C71" s="147" t="s">
        <v>6229</v>
      </c>
      <c r="D71" s="148" t="s">
        <v>6170</v>
      </c>
      <c r="E71" s="149" t="s">
        <v>20733</v>
      </c>
      <c r="F71" s="159">
        <v>3</v>
      </c>
      <c r="G71" s="149" t="s">
        <v>20734</v>
      </c>
      <c r="H71" s="158">
        <v>3</v>
      </c>
      <c r="I71" s="156" t="s">
        <v>46</v>
      </c>
      <c r="J71" s="149" t="s">
        <v>20735</v>
      </c>
      <c r="K71" s="157">
        <v>2</v>
      </c>
      <c r="L71" s="152"/>
      <c r="M71" s="149" t="s">
        <v>20733</v>
      </c>
      <c r="N71" s="158">
        <v>3</v>
      </c>
      <c r="O71" s="152"/>
      <c r="P71" s="149" t="s">
        <v>20736</v>
      </c>
      <c r="Q71" s="151">
        <v>4</v>
      </c>
      <c r="R71" s="152"/>
      <c r="S71" s="149" t="s">
        <v>20737</v>
      </c>
      <c r="T71" s="151">
        <v>4</v>
      </c>
      <c r="U71" s="152"/>
      <c r="V71" s="149" t="s">
        <v>20738</v>
      </c>
      <c r="W71" s="151">
        <v>4</v>
      </c>
      <c r="X71" s="152"/>
      <c r="Y71" s="149" t="s">
        <v>47</v>
      </c>
      <c r="Z71" s="153"/>
      <c r="AA71" s="152"/>
      <c r="AB71" s="154" t="s">
        <v>387</v>
      </c>
    </row>
    <row r="72" spans="1:28" x14ac:dyDescent="0.2">
      <c r="A72" s="146" t="s">
        <v>6230</v>
      </c>
      <c r="B72" s="147" t="s">
        <v>6130</v>
      </c>
      <c r="C72" s="147" t="s">
        <v>6227</v>
      </c>
      <c r="D72" s="148"/>
      <c r="E72" s="149" t="s">
        <v>20739</v>
      </c>
      <c r="F72" s="161">
        <v>1</v>
      </c>
      <c r="G72" s="149" t="s">
        <v>20740</v>
      </c>
      <c r="H72" s="155">
        <v>1</v>
      </c>
      <c r="I72" s="152"/>
      <c r="J72" s="149" t="s">
        <v>20741</v>
      </c>
      <c r="K72" s="155">
        <v>1</v>
      </c>
      <c r="L72" s="152"/>
      <c r="M72" s="149" t="s">
        <v>20739</v>
      </c>
      <c r="N72" s="155">
        <v>1</v>
      </c>
      <c r="O72" s="152"/>
      <c r="P72" s="149" t="s">
        <v>20742</v>
      </c>
      <c r="Q72" s="158">
        <v>3</v>
      </c>
      <c r="R72" s="156" t="s">
        <v>40</v>
      </c>
      <c r="S72" s="149" t="s">
        <v>20743</v>
      </c>
      <c r="T72" s="151">
        <v>4</v>
      </c>
      <c r="U72" s="152"/>
      <c r="V72" s="149" t="s">
        <v>20744</v>
      </c>
      <c r="W72" s="151">
        <v>4</v>
      </c>
      <c r="X72" s="152"/>
      <c r="Y72" s="149" t="s">
        <v>20745</v>
      </c>
      <c r="Z72" s="151">
        <v>4</v>
      </c>
      <c r="AA72" s="152"/>
      <c r="AB72" s="154" t="s">
        <v>391</v>
      </c>
    </row>
    <row r="73" spans="1:28" x14ac:dyDescent="0.2">
      <c r="A73" s="146" t="s">
        <v>6231</v>
      </c>
      <c r="B73" s="147" t="s">
        <v>6130</v>
      </c>
      <c r="C73" s="147" t="s">
        <v>6227</v>
      </c>
      <c r="D73" s="148"/>
      <c r="E73" s="149" t="s">
        <v>20746</v>
      </c>
      <c r="F73" s="150">
        <v>4</v>
      </c>
      <c r="G73" s="149" t="s">
        <v>20747</v>
      </c>
      <c r="H73" s="151">
        <v>4</v>
      </c>
      <c r="I73" s="156" t="s">
        <v>55</v>
      </c>
      <c r="J73" s="149" t="s">
        <v>20748</v>
      </c>
      <c r="K73" s="151">
        <v>4</v>
      </c>
      <c r="L73" s="156" t="s">
        <v>46</v>
      </c>
      <c r="M73" s="149" t="s">
        <v>20746</v>
      </c>
      <c r="N73" s="151">
        <v>4</v>
      </c>
      <c r="O73" s="152"/>
      <c r="P73" s="149" t="s">
        <v>20749</v>
      </c>
      <c r="Q73" s="151">
        <v>4</v>
      </c>
      <c r="R73" s="152"/>
      <c r="S73" s="149" t="s">
        <v>20750</v>
      </c>
      <c r="T73" s="158">
        <v>3</v>
      </c>
      <c r="U73" s="152"/>
      <c r="V73" s="149" t="s">
        <v>20751</v>
      </c>
      <c r="W73" s="158">
        <v>3</v>
      </c>
      <c r="X73" s="152"/>
      <c r="Y73" s="149" t="s">
        <v>6232</v>
      </c>
      <c r="Z73" s="151">
        <v>4</v>
      </c>
      <c r="AA73" s="152"/>
      <c r="AB73" s="154" t="s">
        <v>397</v>
      </c>
    </row>
    <row r="74" spans="1:28" x14ac:dyDescent="0.2">
      <c r="A74" s="146" t="s">
        <v>6233</v>
      </c>
      <c r="B74" s="147" t="s">
        <v>6130</v>
      </c>
      <c r="C74" s="147" t="s">
        <v>6131</v>
      </c>
      <c r="D74" s="148"/>
      <c r="E74" s="149" t="s">
        <v>20752</v>
      </c>
      <c r="F74" s="159">
        <v>3</v>
      </c>
      <c r="G74" s="149" t="s">
        <v>20753</v>
      </c>
      <c r="H74" s="158">
        <v>3</v>
      </c>
      <c r="I74" s="152"/>
      <c r="J74" s="149" t="s">
        <v>20754</v>
      </c>
      <c r="K74" s="158">
        <v>3</v>
      </c>
      <c r="L74" s="152"/>
      <c r="M74" s="149" t="s">
        <v>20752</v>
      </c>
      <c r="N74" s="158">
        <v>3</v>
      </c>
      <c r="O74" s="152"/>
      <c r="P74" s="149" t="s">
        <v>47</v>
      </c>
      <c r="Q74" s="153"/>
      <c r="R74" s="152"/>
      <c r="S74" s="149" t="s">
        <v>47</v>
      </c>
      <c r="T74" s="153"/>
      <c r="U74" s="152"/>
      <c r="V74" s="149" t="s">
        <v>47</v>
      </c>
      <c r="W74" s="153"/>
      <c r="X74" s="152"/>
      <c r="Y74" s="149" t="s">
        <v>47</v>
      </c>
      <c r="Z74" s="153"/>
      <c r="AA74" s="152"/>
      <c r="AB74" s="154" t="s">
        <v>399</v>
      </c>
    </row>
    <row r="75" spans="1:28" x14ac:dyDescent="0.2">
      <c r="A75" s="146" t="s">
        <v>6234</v>
      </c>
      <c r="B75" s="147" t="s">
        <v>6130</v>
      </c>
      <c r="C75" s="147" t="s">
        <v>6131</v>
      </c>
      <c r="D75" s="148"/>
      <c r="E75" s="149" t="s">
        <v>20755</v>
      </c>
      <c r="F75" s="159">
        <v>3</v>
      </c>
      <c r="G75" s="149" t="s">
        <v>20756</v>
      </c>
      <c r="H75" s="157">
        <v>2</v>
      </c>
      <c r="I75" s="156" t="s">
        <v>40</v>
      </c>
      <c r="J75" s="149" t="s">
        <v>20757</v>
      </c>
      <c r="K75" s="157">
        <v>2</v>
      </c>
      <c r="L75" s="156" t="s">
        <v>40</v>
      </c>
      <c r="M75" s="149" t="s">
        <v>20755</v>
      </c>
      <c r="N75" s="158">
        <v>3</v>
      </c>
      <c r="O75" s="152"/>
      <c r="P75" s="149" t="s">
        <v>47</v>
      </c>
      <c r="Q75" s="153"/>
      <c r="R75" s="152"/>
      <c r="S75" s="149" t="s">
        <v>47</v>
      </c>
      <c r="T75" s="153"/>
      <c r="U75" s="152"/>
      <c r="V75" s="149" t="s">
        <v>47</v>
      </c>
      <c r="W75" s="153"/>
      <c r="X75" s="152"/>
      <c r="Y75" s="149" t="s">
        <v>47</v>
      </c>
      <c r="Z75" s="153"/>
      <c r="AA75" s="152"/>
      <c r="AB75" s="154" t="s">
        <v>402</v>
      </c>
    </row>
    <row r="76" spans="1:28" x14ac:dyDescent="0.2">
      <c r="A76" s="146" t="s">
        <v>6235</v>
      </c>
      <c r="B76" s="147" t="s">
        <v>6130</v>
      </c>
      <c r="C76" s="147" t="s">
        <v>6236</v>
      </c>
      <c r="D76" s="148"/>
      <c r="E76" s="149" t="s">
        <v>20758</v>
      </c>
      <c r="F76" s="159">
        <v>3</v>
      </c>
      <c r="G76" s="149" t="s">
        <v>20759</v>
      </c>
      <c r="H76" s="151">
        <v>4</v>
      </c>
      <c r="I76" s="156" t="s">
        <v>46</v>
      </c>
      <c r="J76" s="149" t="s">
        <v>20760</v>
      </c>
      <c r="K76" s="158">
        <v>3</v>
      </c>
      <c r="L76" s="152"/>
      <c r="M76" s="149" t="s">
        <v>20758</v>
      </c>
      <c r="N76" s="158">
        <v>3</v>
      </c>
      <c r="O76" s="156" t="s">
        <v>46</v>
      </c>
      <c r="P76" s="149" t="s">
        <v>20761</v>
      </c>
      <c r="Q76" s="158">
        <v>3</v>
      </c>
      <c r="R76" s="152"/>
      <c r="S76" s="149" t="s">
        <v>20762</v>
      </c>
      <c r="T76" s="158">
        <v>3</v>
      </c>
      <c r="U76" s="152"/>
      <c r="V76" s="149" t="s">
        <v>20763</v>
      </c>
      <c r="W76" s="158">
        <v>3</v>
      </c>
      <c r="X76" s="152"/>
      <c r="Y76" s="149" t="s">
        <v>47</v>
      </c>
      <c r="Z76" s="153"/>
      <c r="AA76" s="152"/>
      <c r="AB76" s="154" t="s">
        <v>431</v>
      </c>
    </row>
    <row r="77" spans="1:28" x14ac:dyDescent="0.2">
      <c r="A77" s="146" t="s">
        <v>434</v>
      </c>
      <c r="B77" s="147" t="s">
        <v>6130</v>
      </c>
      <c r="C77" s="147" t="s">
        <v>6192</v>
      </c>
      <c r="D77" s="148"/>
      <c r="E77" s="149" t="s">
        <v>20764</v>
      </c>
      <c r="F77" s="150">
        <v>4</v>
      </c>
      <c r="G77" s="149" t="s">
        <v>20765</v>
      </c>
      <c r="H77" s="157">
        <v>2</v>
      </c>
      <c r="I77" s="156" t="s">
        <v>40</v>
      </c>
      <c r="J77" s="149" t="s">
        <v>20766</v>
      </c>
      <c r="K77" s="158">
        <v>3</v>
      </c>
      <c r="L77" s="152"/>
      <c r="M77" s="149" t="s">
        <v>20764</v>
      </c>
      <c r="N77" s="151">
        <v>4</v>
      </c>
      <c r="O77" s="152"/>
      <c r="P77" s="149" t="s">
        <v>20767</v>
      </c>
      <c r="Q77" s="158">
        <v>3</v>
      </c>
      <c r="R77" s="152"/>
      <c r="S77" s="149" t="s">
        <v>47</v>
      </c>
      <c r="T77" s="153"/>
      <c r="U77" s="152"/>
      <c r="V77" s="149" t="s">
        <v>47</v>
      </c>
      <c r="W77" s="153"/>
      <c r="X77" s="152"/>
      <c r="Y77" s="149" t="s">
        <v>47</v>
      </c>
      <c r="Z77" s="153"/>
      <c r="AA77" s="152"/>
      <c r="AB77" s="154" t="s">
        <v>435</v>
      </c>
    </row>
    <row r="78" spans="1:28" x14ac:dyDescent="0.2">
      <c r="A78" s="146" t="s">
        <v>436</v>
      </c>
      <c r="B78" s="147" t="s">
        <v>6130</v>
      </c>
      <c r="C78" s="147" t="s">
        <v>6192</v>
      </c>
      <c r="D78" s="148"/>
      <c r="E78" s="149" t="s">
        <v>20768</v>
      </c>
      <c r="F78" s="159">
        <v>3</v>
      </c>
      <c r="G78" s="149" t="s">
        <v>20769</v>
      </c>
      <c r="H78" s="158">
        <v>3</v>
      </c>
      <c r="I78" s="152"/>
      <c r="J78" s="149" t="s">
        <v>20770</v>
      </c>
      <c r="K78" s="158">
        <v>3</v>
      </c>
      <c r="L78" s="152"/>
      <c r="M78" s="149" t="s">
        <v>20768</v>
      </c>
      <c r="N78" s="158">
        <v>3</v>
      </c>
      <c r="O78" s="152"/>
      <c r="P78" s="149" t="s">
        <v>20771</v>
      </c>
      <c r="Q78" s="158">
        <v>3</v>
      </c>
      <c r="R78" s="152"/>
      <c r="S78" s="149" t="s">
        <v>47</v>
      </c>
      <c r="T78" s="153"/>
      <c r="U78" s="152"/>
      <c r="V78" s="149" t="s">
        <v>47</v>
      </c>
      <c r="W78" s="153"/>
      <c r="X78" s="152"/>
      <c r="Y78" s="149" t="s">
        <v>47</v>
      </c>
      <c r="Z78" s="153"/>
      <c r="AA78" s="152"/>
      <c r="AB78" s="154" t="s">
        <v>437</v>
      </c>
    </row>
    <row r="79" spans="1:28" x14ac:dyDescent="0.2">
      <c r="A79" s="146" t="s">
        <v>438</v>
      </c>
      <c r="B79" s="147" t="s">
        <v>6130</v>
      </c>
      <c r="C79" s="147" t="s">
        <v>6192</v>
      </c>
      <c r="D79" s="148"/>
      <c r="E79" s="149" t="s">
        <v>20772</v>
      </c>
      <c r="F79" s="159">
        <v>3</v>
      </c>
      <c r="G79" s="149" t="s">
        <v>20773</v>
      </c>
      <c r="H79" s="158">
        <v>3</v>
      </c>
      <c r="I79" s="156" t="s">
        <v>40</v>
      </c>
      <c r="J79" s="149" t="s">
        <v>20774</v>
      </c>
      <c r="K79" s="158">
        <v>3</v>
      </c>
      <c r="L79" s="152"/>
      <c r="M79" s="149" t="s">
        <v>20772</v>
      </c>
      <c r="N79" s="158">
        <v>3</v>
      </c>
      <c r="O79" s="152"/>
      <c r="P79" s="149" t="s">
        <v>20775</v>
      </c>
      <c r="Q79" s="158">
        <v>3</v>
      </c>
      <c r="R79" s="152"/>
      <c r="S79" s="149" t="s">
        <v>47</v>
      </c>
      <c r="T79" s="153"/>
      <c r="U79" s="152"/>
      <c r="V79" s="149" t="s">
        <v>47</v>
      </c>
      <c r="W79" s="153"/>
      <c r="X79" s="152"/>
      <c r="Y79" s="149" t="s">
        <v>47</v>
      </c>
      <c r="Z79" s="153"/>
      <c r="AA79" s="152"/>
      <c r="AB79" s="154" t="s">
        <v>440</v>
      </c>
    </row>
    <row r="80" spans="1:28" x14ac:dyDescent="0.2">
      <c r="A80" s="146" t="s">
        <v>6237</v>
      </c>
      <c r="B80" s="147" t="s">
        <v>6238</v>
      </c>
      <c r="C80" s="147" t="s">
        <v>6239</v>
      </c>
      <c r="D80" s="148"/>
      <c r="E80" s="149" t="s">
        <v>6240</v>
      </c>
      <c r="F80" s="161">
        <v>1</v>
      </c>
      <c r="G80" s="149" t="s">
        <v>6240</v>
      </c>
      <c r="H80" s="155">
        <v>1</v>
      </c>
      <c r="I80" s="152"/>
      <c r="J80" s="149" t="s">
        <v>6240</v>
      </c>
      <c r="K80" s="155">
        <v>1</v>
      </c>
      <c r="L80" s="152"/>
      <c r="M80" s="149" t="s">
        <v>6240</v>
      </c>
      <c r="N80" s="155">
        <v>1</v>
      </c>
      <c r="O80" s="152"/>
      <c r="P80" s="149" t="s">
        <v>6241</v>
      </c>
      <c r="Q80" s="157">
        <v>2</v>
      </c>
      <c r="R80" s="156" t="s">
        <v>46</v>
      </c>
      <c r="S80" s="149" t="s">
        <v>6242</v>
      </c>
      <c r="T80" s="155">
        <v>1</v>
      </c>
      <c r="U80" s="152"/>
      <c r="V80" s="149" t="s">
        <v>6243</v>
      </c>
      <c r="W80" s="157">
        <v>2</v>
      </c>
      <c r="X80" s="156" t="s">
        <v>46</v>
      </c>
      <c r="Y80" s="149" t="s">
        <v>6244</v>
      </c>
      <c r="Z80" s="158">
        <v>3</v>
      </c>
      <c r="AA80" s="152"/>
      <c r="AB80" s="154" t="s">
        <v>450</v>
      </c>
    </row>
    <row r="81" spans="1:28" x14ac:dyDescent="0.2">
      <c r="A81" s="146" t="s">
        <v>6245</v>
      </c>
      <c r="B81" s="147" t="s">
        <v>6130</v>
      </c>
      <c r="C81" s="147" t="s">
        <v>6175</v>
      </c>
      <c r="D81" s="148"/>
      <c r="E81" s="149" t="s">
        <v>20776</v>
      </c>
      <c r="F81" s="160">
        <v>2</v>
      </c>
      <c r="G81" s="149" t="s">
        <v>20777</v>
      </c>
      <c r="H81" s="157">
        <v>2</v>
      </c>
      <c r="I81" s="152"/>
      <c r="J81" s="149" t="s">
        <v>20778</v>
      </c>
      <c r="K81" s="157">
        <v>2</v>
      </c>
      <c r="L81" s="152"/>
      <c r="M81" s="149" t="s">
        <v>20776</v>
      </c>
      <c r="N81" s="157">
        <v>2</v>
      </c>
      <c r="O81" s="152"/>
      <c r="P81" s="149" t="s">
        <v>20779</v>
      </c>
      <c r="Q81" s="157">
        <v>2</v>
      </c>
      <c r="R81" s="152"/>
      <c r="S81" s="149" t="s">
        <v>20780</v>
      </c>
      <c r="T81" s="155">
        <v>1</v>
      </c>
      <c r="U81" s="152"/>
      <c r="V81" s="149" t="s">
        <v>20781</v>
      </c>
      <c r="W81" s="157">
        <v>2</v>
      </c>
      <c r="X81" s="152"/>
      <c r="Y81" s="149" t="s">
        <v>20782</v>
      </c>
      <c r="Z81" s="155">
        <v>1</v>
      </c>
      <c r="AA81" s="152"/>
      <c r="AB81" s="154" t="s">
        <v>463</v>
      </c>
    </row>
    <row r="82" spans="1:28" x14ac:dyDescent="0.2">
      <c r="A82" s="146" t="s">
        <v>6246</v>
      </c>
      <c r="B82" s="147" t="s">
        <v>6130</v>
      </c>
      <c r="C82" s="147" t="s">
        <v>6175</v>
      </c>
      <c r="D82" s="148"/>
      <c r="E82" s="149" t="s">
        <v>20783</v>
      </c>
      <c r="F82" s="160">
        <v>2</v>
      </c>
      <c r="G82" s="149" t="s">
        <v>20784</v>
      </c>
      <c r="H82" s="157">
        <v>2</v>
      </c>
      <c r="I82" s="152"/>
      <c r="J82" s="149" t="s">
        <v>20785</v>
      </c>
      <c r="K82" s="157">
        <v>2</v>
      </c>
      <c r="L82" s="152"/>
      <c r="M82" s="149" t="s">
        <v>20783</v>
      </c>
      <c r="N82" s="157">
        <v>2</v>
      </c>
      <c r="O82" s="152"/>
      <c r="P82" s="149" t="s">
        <v>20786</v>
      </c>
      <c r="Q82" s="157">
        <v>2</v>
      </c>
      <c r="R82" s="152"/>
      <c r="S82" s="149" t="s">
        <v>20787</v>
      </c>
      <c r="T82" s="157">
        <v>2</v>
      </c>
      <c r="U82" s="152"/>
      <c r="V82" s="149" t="s">
        <v>20788</v>
      </c>
      <c r="W82" s="157">
        <v>2</v>
      </c>
      <c r="X82" s="152"/>
      <c r="Y82" s="149" t="s">
        <v>20789</v>
      </c>
      <c r="Z82" s="157">
        <v>2</v>
      </c>
      <c r="AA82" s="152"/>
      <c r="AB82" s="154" t="s">
        <v>477</v>
      </c>
    </row>
    <row r="83" spans="1:28" x14ac:dyDescent="0.2">
      <c r="A83" s="146" t="s">
        <v>485</v>
      </c>
      <c r="B83" s="147" t="s">
        <v>6130</v>
      </c>
      <c r="C83" s="147" t="s">
        <v>6247</v>
      </c>
      <c r="D83" s="148"/>
      <c r="E83" s="149" t="s">
        <v>20790</v>
      </c>
      <c r="F83" s="159">
        <v>3</v>
      </c>
      <c r="G83" s="149" t="s">
        <v>20791</v>
      </c>
      <c r="H83" s="157">
        <v>2</v>
      </c>
      <c r="I83" s="156" t="s">
        <v>46</v>
      </c>
      <c r="J83" s="149" t="s">
        <v>20792</v>
      </c>
      <c r="K83" s="157">
        <v>2</v>
      </c>
      <c r="L83" s="152"/>
      <c r="M83" s="149" t="s">
        <v>20790</v>
      </c>
      <c r="N83" s="158">
        <v>3</v>
      </c>
      <c r="O83" s="152"/>
      <c r="P83" s="149" t="s">
        <v>20793</v>
      </c>
      <c r="Q83" s="158">
        <v>3</v>
      </c>
      <c r="R83" s="156" t="s">
        <v>40</v>
      </c>
      <c r="S83" s="149" t="s">
        <v>47</v>
      </c>
      <c r="T83" s="153"/>
      <c r="U83" s="152"/>
      <c r="V83" s="149" t="s">
        <v>47</v>
      </c>
      <c r="W83" s="153"/>
      <c r="X83" s="152"/>
      <c r="Y83" s="149" t="s">
        <v>47</v>
      </c>
      <c r="Z83" s="153"/>
      <c r="AA83" s="152"/>
      <c r="AB83" s="154" t="s">
        <v>486</v>
      </c>
    </row>
    <row r="84" spans="1:28" x14ac:dyDescent="0.2">
      <c r="A84" s="146" t="s">
        <v>6248</v>
      </c>
      <c r="B84" s="147" t="s">
        <v>6130</v>
      </c>
      <c r="C84" s="147" t="s">
        <v>6249</v>
      </c>
      <c r="D84" s="148" t="s">
        <v>6160</v>
      </c>
      <c r="E84" s="149" t="s">
        <v>20794</v>
      </c>
      <c r="F84" s="160">
        <v>2</v>
      </c>
      <c r="G84" s="149" t="s">
        <v>6250</v>
      </c>
      <c r="H84" s="158">
        <v>3</v>
      </c>
      <c r="I84" s="156" t="s">
        <v>55</v>
      </c>
      <c r="J84" s="149" t="s">
        <v>11203</v>
      </c>
      <c r="K84" s="157">
        <v>2</v>
      </c>
      <c r="L84" s="152"/>
      <c r="M84" s="149" t="s">
        <v>20794</v>
      </c>
      <c r="N84" s="157">
        <v>2</v>
      </c>
      <c r="O84" s="152"/>
      <c r="P84" s="149" t="s">
        <v>20795</v>
      </c>
      <c r="Q84" s="158">
        <v>3</v>
      </c>
      <c r="R84" s="156" t="s">
        <v>46</v>
      </c>
      <c r="S84" s="149" t="s">
        <v>20796</v>
      </c>
      <c r="T84" s="151">
        <v>4</v>
      </c>
      <c r="U84" s="152"/>
      <c r="V84" s="149" t="s">
        <v>6251</v>
      </c>
      <c r="W84" s="158">
        <v>3</v>
      </c>
      <c r="X84" s="152"/>
      <c r="Y84" s="149" t="s">
        <v>20797</v>
      </c>
      <c r="Z84" s="151">
        <v>4</v>
      </c>
      <c r="AA84" s="152"/>
      <c r="AB84" s="154" t="s">
        <v>498</v>
      </c>
    </row>
    <row r="85" spans="1:28" x14ac:dyDescent="0.2">
      <c r="A85" s="146" t="s">
        <v>6252</v>
      </c>
      <c r="B85" s="147" t="s">
        <v>6130</v>
      </c>
      <c r="C85" s="147" t="s">
        <v>6175</v>
      </c>
      <c r="D85" s="148"/>
      <c r="E85" s="149" t="s">
        <v>20798</v>
      </c>
      <c r="F85" s="159">
        <v>3</v>
      </c>
      <c r="G85" s="149" t="s">
        <v>20799</v>
      </c>
      <c r="H85" s="157">
        <v>2</v>
      </c>
      <c r="I85" s="156" t="s">
        <v>40</v>
      </c>
      <c r="J85" s="149" t="s">
        <v>20800</v>
      </c>
      <c r="K85" s="157">
        <v>2</v>
      </c>
      <c r="L85" s="156" t="s">
        <v>40</v>
      </c>
      <c r="M85" s="149" t="s">
        <v>20798</v>
      </c>
      <c r="N85" s="158">
        <v>3</v>
      </c>
      <c r="O85" s="152"/>
      <c r="P85" s="149" t="s">
        <v>20801</v>
      </c>
      <c r="Q85" s="158">
        <v>3</v>
      </c>
      <c r="R85" s="156" t="s">
        <v>46</v>
      </c>
      <c r="S85" s="149" t="s">
        <v>20802</v>
      </c>
      <c r="T85" s="157">
        <v>2</v>
      </c>
      <c r="U85" s="152"/>
      <c r="V85" s="149" t="s">
        <v>20803</v>
      </c>
      <c r="W85" s="157">
        <v>2</v>
      </c>
      <c r="X85" s="152"/>
      <c r="Y85" s="149" t="s">
        <v>20804</v>
      </c>
      <c r="Z85" s="151">
        <v>4</v>
      </c>
      <c r="AA85" s="152"/>
      <c r="AB85" s="154" t="s">
        <v>506</v>
      </c>
    </row>
    <row r="86" spans="1:28" x14ac:dyDescent="0.2">
      <c r="A86" s="146" t="s">
        <v>6253</v>
      </c>
      <c r="B86" s="147" t="s">
        <v>6130</v>
      </c>
      <c r="C86" s="147" t="s">
        <v>6254</v>
      </c>
      <c r="D86" s="148" t="s">
        <v>6160</v>
      </c>
      <c r="E86" s="149" t="s">
        <v>6255</v>
      </c>
      <c r="F86" s="161">
        <v>1</v>
      </c>
      <c r="G86" s="149" t="s">
        <v>20805</v>
      </c>
      <c r="H86" s="155">
        <v>1</v>
      </c>
      <c r="I86" s="152"/>
      <c r="J86" s="149" t="s">
        <v>20806</v>
      </c>
      <c r="K86" s="155">
        <v>1</v>
      </c>
      <c r="L86" s="152"/>
      <c r="M86" s="149" t="s">
        <v>6255</v>
      </c>
      <c r="N86" s="155">
        <v>1</v>
      </c>
      <c r="O86" s="152"/>
      <c r="P86" s="149" t="s">
        <v>6256</v>
      </c>
      <c r="Q86" s="155">
        <v>1</v>
      </c>
      <c r="R86" s="152"/>
      <c r="S86" s="149" t="s">
        <v>6257</v>
      </c>
      <c r="T86" s="158">
        <v>3</v>
      </c>
      <c r="U86" s="152"/>
      <c r="V86" s="149" t="s">
        <v>20807</v>
      </c>
      <c r="W86" s="158">
        <v>3</v>
      </c>
      <c r="X86" s="152"/>
      <c r="Y86" s="149" t="s">
        <v>47</v>
      </c>
      <c r="Z86" s="153"/>
      <c r="AA86" s="152"/>
      <c r="AB86" s="154" t="s">
        <v>512</v>
      </c>
    </row>
    <row r="87" spans="1:28" x14ac:dyDescent="0.2">
      <c r="A87" s="146" t="s">
        <v>6258</v>
      </c>
      <c r="B87" s="147" t="s">
        <v>6130</v>
      </c>
      <c r="C87" s="147" t="s">
        <v>6259</v>
      </c>
      <c r="D87" s="148" t="s">
        <v>6163</v>
      </c>
      <c r="E87" s="149" t="s">
        <v>20808</v>
      </c>
      <c r="F87" s="161">
        <v>1</v>
      </c>
      <c r="G87" s="149" t="s">
        <v>20809</v>
      </c>
      <c r="H87" s="155">
        <v>1</v>
      </c>
      <c r="I87" s="152"/>
      <c r="J87" s="149" t="s">
        <v>20810</v>
      </c>
      <c r="K87" s="155">
        <v>1</v>
      </c>
      <c r="L87" s="152"/>
      <c r="M87" s="149" t="s">
        <v>20808</v>
      </c>
      <c r="N87" s="155">
        <v>1</v>
      </c>
      <c r="O87" s="152"/>
      <c r="P87" s="149" t="s">
        <v>20811</v>
      </c>
      <c r="Q87" s="155">
        <v>1</v>
      </c>
      <c r="R87" s="152"/>
      <c r="S87" s="149" t="s">
        <v>20812</v>
      </c>
      <c r="T87" s="155">
        <v>1</v>
      </c>
      <c r="U87" s="152"/>
      <c r="V87" s="149" t="s">
        <v>20813</v>
      </c>
      <c r="W87" s="155">
        <v>1</v>
      </c>
      <c r="X87" s="152"/>
      <c r="Y87" s="149" t="s">
        <v>20814</v>
      </c>
      <c r="Z87" s="155">
        <v>1</v>
      </c>
      <c r="AA87" s="152"/>
      <c r="AB87" s="154" t="s">
        <v>515</v>
      </c>
    </row>
    <row r="88" spans="1:28" x14ac:dyDescent="0.2">
      <c r="A88" s="146" t="s">
        <v>6260</v>
      </c>
      <c r="B88" s="147" t="s">
        <v>6130</v>
      </c>
      <c r="C88" s="147" t="s">
        <v>6259</v>
      </c>
      <c r="D88" s="148" t="s">
        <v>6132</v>
      </c>
      <c r="E88" s="149" t="s">
        <v>20815</v>
      </c>
      <c r="F88" s="161">
        <v>1</v>
      </c>
      <c r="G88" s="149" t="s">
        <v>20816</v>
      </c>
      <c r="H88" s="155">
        <v>1</v>
      </c>
      <c r="I88" s="156" t="s">
        <v>40</v>
      </c>
      <c r="J88" s="149" t="s">
        <v>20817</v>
      </c>
      <c r="K88" s="155">
        <v>1</v>
      </c>
      <c r="L88" s="152"/>
      <c r="M88" s="149" t="s">
        <v>20815</v>
      </c>
      <c r="N88" s="155">
        <v>1</v>
      </c>
      <c r="O88" s="152"/>
      <c r="P88" s="149" t="s">
        <v>20818</v>
      </c>
      <c r="Q88" s="155">
        <v>1</v>
      </c>
      <c r="R88" s="152"/>
      <c r="S88" s="149" t="s">
        <v>20819</v>
      </c>
      <c r="T88" s="157">
        <v>2</v>
      </c>
      <c r="U88" s="152"/>
      <c r="V88" s="149" t="s">
        <v>20820</v>
      </c>
      <c r="W88" s="151">
        <v>4</v>
      </c>
      <c r="X88" s="152"/>
      <c r="Y88" s="149" t="s">
        <v>20821</v>
      </c>
      <c r="Z88" s="158">
        <v>3</v>
      </c>
      <c r="AA88" s="152"/>
      <c r="AB88" s="154" t="s">
        <v>519</v>
      </c>
    </row>
    <row r="89" spans="1:28" x14ac:dyDescent="0.2">
      <c r="A89" s="146" t="s">
        <v>526</v>
      </c>
      <c r="B89" s="147" t="s">
        <v>6130</v>
      </c>
      <c r="C89" s="147" t="s">
        <v>6145</v>
      </c>
      <c r="D89" s="148"/>
      <c r="E89" s="149" t="s">
        <v>20822</v>
      </c>
      <c r="F89" s="161">
        <v>1</v>
      </c>
      <c r="G89" s="149" t="s">
        <v>20823</v>
      </c>
      <c r="H89" s="158">
        <v>3</v>
      </c>
      <c r="I89" s="156" t="s">
        <v>46</v>
      </c>
      <c r="J89" s="149" t="s">
        <v>20824</v>
      </c>
      <c r="K89" s="157">
        <v>2</v>
      </c>
      <c r="L89" s="152"/>
      <c r="M89" s="149" t="s">
        <v>20822</v>
      </c>
      <c r="N89" s="155">
        <v>1</v>
      </c>
      <c r="O89" s="156" t="s">
        <v>40</v>
      </c>
      <c r="P89" s="149" t="s">
        <v>20825</v>
      </c>
      <c r="Q89" s="155">
        <v>1</v>
      </c>
      <c r="R89" s="152"/>
      <c r="S89" s="149" t="s">
        <v>47</v>
      </c>
      <c r="T89" s="153"/>
      <c r="U89" s="152"/>
      <c r="V89" s="149" t="s">
        <v>47</v>
      </c>
      <c r="W89" s="153"/>
      <c r="X89" s="152"/>
      <c r="Y89" s="149" t="s">
        <v>47</v>
      </c>
      <c r="Z89" s="153"/>
      <c r="AA89" s="152"/>
      <c r="AB89" s="154" t="s">
        <v>527</v>
      </c>
    </row>
    <row r="90" spans="1:28" x14ac:dyDescent="0.2">
      <c r="A90" s="146" t="s">
        <v>6261</v>
      </c>
      <c r="B90" s="147" t="s">
        <v>6130</v>
      </c>
      <c r="C90" s="147" t="s">
        <v>6159</v>
      </c>
      <c r="D90" s="148" t="s">
        <v>6136</v>
      </c>
      <c r="E90" s="149" t="s">
        <v>20826</v>
      </c>
      <c r="F90" s="159">
        <v>3</v>
      </c>
      <c r="G90" s="149" t="s">
        <v>20827</v>
      </c>
      <c r="H90" s="157">
        <v>2</v>
      </c>
      <c r="I90" s="156" t="s">
        <v>40</v>
      </c>
      <c r="J90" s="149" t="s">
        <v>20828</v>
      </c>
      <c r="K90" s="158">
        <v>3</v>
      </c>
      <c r="L90" s="156" t="s">
        <v>46</v>
      </c>
      <c r="M90" s="149" t="s">
        <v>20826</v>
      </c>
      <c r="N90" s="158">
        <v>3</v>
      </c>
      <c r="O90" s="152"/>
      <c r="P90" s="149" t="s">
        <v>20829</v>
      </c>
      <c r="Q90" s="157">
        <v>2</v>
      </c>
      <c r="R90" s="152"/>
      <c r="S90" s="149" t="s">
        <v>20830</v>
      </c>
      <c r="T90" s="158">
        <v>3</v>
      </c>
      <c r="U90" s="152"/>
      <c r="V90" s="149" t="s">
        <v>47</v>
      </c>
      <c r="W90" s="153"/>
      <c r="X90" s="152"/>
      <c r="Y90" s="149" t="s">
        <v>47</v>
      </c>
      <c r="Z90" s="153"/>
      <c r="AA90" s="152"/>
      <c r="AB90" s="154" t="s">
        <v>535</v>
      </c>
    </row>
    <row r="91" spans="1:28" x14ac:dyDescent="0.2">
      <c r="A91" s="146" t="s">
        <v>536</v>
      </c>
      <c r="B91" s="147" t="s">
        <v>6130</v>
      </c>
      <c r="C91" s="147" t="s">
        <v>6191</v>
      </c>
      <c r="D91" s="148"/>
      <c r="E91" s="149" t="s">
        <v>20831</v>
      </c>
      <c r="F91" s="159">
        <v>3</v>
      </c>
      <c r="G91" s="149" t="s">
        <v>20832</v>
      </c>
      <c r="H91" s="151">
        <v>4</v>
      </c>
      <c r="I91" s="156" t="s">
        <v>46</v>
      </c>
      <c r="J91" s="149" t="s">
        <v>20833</v>
      </c>
      <c r="K91" s="151">
        <v>4</v>
      </c>
      <c r="L91" s="156" t="s">
        <v>46</v>
      </c>
      <c r="M91" s="149" t="s">
        <v>20831</v>
      </c>
      <c r="N91" s="158">
        <v>3</v>
      </c>
      <c r="O91" s="156" t="s">
        <v>46</v>
      </c>
      <c r="P91" s="149" t="s">
        <v>20834</v>
      </c>
      <c r="Q91" s="157">
        <v>2</v>
      </c>
      <c r="R91" s="152"/>
      <c r="S91" s="149" t="s">
        <v>20835</v>
      </c>
      <c r="T91" s="151">
        <v>4</v>
      </c>
      <c r="U91" s="152"/>
      <c r="V91" s="149" t="s">
        <v>47</v>
      </c>
      <c r="W91" s="153"/>
      <c r="X91" s="152"/>
      <c r="Y91" s="149" t="s">
        <v>47</v>
      </c>
      <c r="Z91" s="153"/>
      <c r="AA91" s="152"/>
      <c r="AB91" s="154" t="s">
        <v>537</v>
      </c>
    </row>
    <row r="92" spans="1:28" x14ac:dyDescent="0.2">
      <c r="A92" s="146" t="s">
        <v>538</v>
      </c>
      <c r="B92" s="147" t="s">
        <v>6130</v>
      </c>
      <c r="C92" s="147" t="s">
        <v>6191</v>
      </c>
      <c r="D92" s="148"/>
      <c r="E92" s="149" t="s">
        <v>6262</v>
      </c>
      <c r="F92" s="159">
        <v>3</v>
      </c>
      <c r="G92" s="149" t="s">
        <v>20836</v>
      </c>
      <c r="H92" s="151">
        <v>4</v>
      </c>
      <c r="I92" s="156" t="s">
        <v>46</v>
      </c>
      <c r="J92" s="149" t="s">
        <v>10799</v>
      </c>
      <c r="K92" s="151">
        <v>4</v>
      </c>
      <c r="L92" s="156" t="s">
        <v>46</v>
      </c>
      <c r="M92" s="149" t="s">
        <v>6262</v>
      </c>
      <c r="N92" s="158">
        <v>3</v>
      </c>
      <c r="O92" s="152"/>
      <c r="P92" s="149" t="s">
        <v>20837</v>
      </c>
      <c r="Q92" s="157">
        <v>2</v>
      </c>
      <c r="R92" s="152"/>
      <c r="S92" s="149" t="s">
        <v>20838</v>
      </c>
      <c r="T92" s="151">
        <v>4</v>
      </c>
      <c r="U92" s="152"/>
      <c r="V92" s="149" t="s">
        <v>47</v>
      </c>
      <c r="W92" s="153"/>
      <c r="X92" s="152"/>
      <c r="Y92" s="149" t="s">
        <v>47</v>
      </c>
      <c r="Z92" s="153"/>
      <c r="AA92" s="152"/>
      <c r="AB92" s="154" t="s">
        <v>539</v>
      </c>
    </row>
    <row r="93" spans="1:28" x14ac:dyDescent="0.2">
      <c r="A93" s="146" t="s">
        <v>6263</v>
      </c>
      <c r="B93" s="147" t="s">
        <v>6130</v>
      </c>
      <c r="C93" s="147" t="s">
        <v>6191</v>
      </c>
      <c r="D93" s="148"/>
      <c r="E93" s="149" t="s">
        <v>10794</v>
      </c>
      <c r="F93" s="159">
        <v>3</v>
      </c>
      <c r="G93" s="149" t="s">
        <v>20839</v>
      </c>
      <c r="H93" s="151">
        <v>4</v>
      </c>
      <c r="I93" s="156" t="s">
        <v>46</v>
      </c>
      <c r="J93" s="149" t="s">
        <v>19970</v>
      </c>
      <c r="K93" s="151">
        <v>4</v>
      </c>
      <c r="L93" s="156" t="s">
        <v>46</v>
      </c>
      <c r="M93" s="149" t="s">
        <v>10794</v>
      </c>
      <c r="N93" s="158">
        <v>3</v>
      </c>
      <c r="O93" s="152"/>
      <c r="P93" s="149" t="s">
        <v>20840</v>
      </c>
      <c r="Q93" s="157">
        <v>2</v>
      </c>
      <c r="R93" s="152"/>
      <c r="S93" s="149" t="s">
        <v>20841</v>
      </c>
      <c r="T93" s="151">
        <v>4</v>
      </c>
      <c r="U93" s="152"/>
      <c r="V93" s="149" t="s">
        <v>47</v>
      </c>
      <c r="W93" s="153"/>
      <c r="X93" s="152"/>
      <c r="Y93" s="149" t="s">
        <v>47</v>
      </c>
      <c r="Z93" s="153"/>
      <c r="AA93" s="152"/>
      <c r="AB93" s="154" t="s">
        <v>529</v>
      </c>
    </row>
    <row r="94" spans="1:28" x14ac:dyDescent="0.2">
      <c r="A94" s="146" t="s">
        <v>540</v>
      </c>
      <c r="B94" s="147" t="s">
        <v>6130</v>
      </c>
      <c r="C94" s="147" t="s">
        <v>6191</v>
      </c>
      <c r="D94" s="148"/>
      <c r="E94" s="149" t="s">
        <v>6264</v>
      </c>
      <c r="F94" s="159">
        <v>3</v>
      </c>
      <c r="G94" s="149" t="s">
        <v>20842</v>
      </c>
      <c r="H94" s="151">
        <v>4</v>
      </c>
      <c r="I94" s="156" t="s">
        <v>46</v>
      </c>
      <c r="J94" s="149" t="s">
        <v>10761</v>
      </c>
      <c r="K94" s="151">
        <v>4</v>
      </c>
      <c r="L94" s="156" t="s">
        <v>46</v>
      </c>
      <c r="M94" s="149" t="s">
        <v>6264</v>
      </c>
      <c r="N94" s="158">
        <v>3</v>
      </c>
      <c r="O94" s="152"/>
      <c r="P94" s="149" t="s">
        <v>20843</v>
      </c>
      <c r="Q94" s="157">
        <v>2</v>
      </c>
      <c r="R94" s="152"/>
      <c r="S94" s="149" t="s">
        <v>20844</v>
      </c>
      <c r="T94" s="151">
        <v>4</v>
      </c>
      <c r="U94" s="152"/>
      <c r="V94" s="149" t="s">
        <v>47</v>
      </c>
      <c r="W94" s="153"/>
      <c r="X94" s="152"/>
      <c r="Y94" s="149" t="s">
        <v>47</v>
      </c>
      <c r="Z94" s="153"/>
      <c r="AA94" s="152"/>
      <c r="AB94" s="154" t="s">
        <v>541</v>
      </c>
    </row>
    <row r="95" spans="1:28" x14ac:dyDescent="0.2">
      <c r="A95" s="146" t="s">
        <v>6265</v>
      </c>
      <c r="B95" s="147" t="s">
        <v>6130</v>
      </c>
      <c r="C95" s="147" t="s">
        <v>6266</v>
      </c>
      <c r="D95" s="148"/>
      <c r="E95" s="149" t="s">
        <v>20845</v>
      </c>
      <c r="F95" s="150">
        <v>4</v>
      </c>
      <c r="G95" s="149" t="s">
        <v>20846</v>
      </c>
      <c r="H95" s="158">
        <v>3</v>
      </c>
      <c r="I95" s="152"/>
      <c r="J95" s="149" t="s">
        <v>20847</v>
      </c>
      <c r="K95" s="151">
        <v>4</v>
      </c>
      <c r="L95" s="152"/>
      <c r="M95" s="149" t="s">
        <v>20845</v>
      </c>
      <c r="N95" s="151">
        <v>4</v>
      </c>
      <c r="O95" s="152"/>
      <c r="P95" s="149" t="s">
        <v>20848</v>
      </c>
      <c r="Q95" s="158">
        <v>3</v>
      </c>
      <c r="R95" s="152"/>
      <c r="S95" s="149" t="s">
        <v>20849</v>
      </c>
      <c r="T95" s="151">
        <v>4</v>
      </c>
      <c r="U95" s="152"/>
      <c r="V95" s="149" t="s">
        <v>47</v>
      </c>
      <c r="W95" s="153"/>
      <c r="X95" s="152"/>
      <c r="Y95" s="149" t="s">
        <v>47</v>
      </c>
      <c r="Z95" s="153"/>
      <c r="AA95" s="152"/>
      <c r="AB95" s="154" t="s">
        <v>531</v>
      </c>
    </row>
    <row r="96" spans="1:28" x14ac:dyDescent="0.2">
      <c r="A96" s="146" t="s">
        <v>542</v>
      </c>
      <c r="B96" s="147" t="s">
        <v>6130</v>
      </c>
      <c r="C96" s="147" t="s">
        <v>6191</v>
      </c>
      <c r="D96" s="148"/>
      <c r="E96" s="149" t="s">
        <v>19976</v>
      </c>
      <c r="F96" s="150">
        <v>4</v>
      </c>
      <c r="G96" s="149" t="s">
        <v>20850</v>
      </c>
      <c r="H96" s="151">
        <v>4</v>
      </c>
      <c r="I96" s="156" t="s">
        <v>46</v>
      </c>
      <c r="J96" s="149" t="s">
        <v>10754</v>
      </c>
      <c r="K96" s="151">
        <v>4</v>
      </c>
      <c r="L96" s="156" t="s">
        <v>46</v>
      </c>
      <c r="M96" s="149" t="s">
        <v>19976</v>
      </c>
      <c r="N96" s="151">
        <v>4</v>
      </c>
      <c r="O96" s="156" t="s">
        <v>46</v>
      </c>
      <c r="P96" s="149" t="s">
        <v>20851</v>
      </c>
      <c r="Q96" s="158">
        <v>3</v>
      </c>
      <c r="R96" s="152"/>
      <c r="S96" s="149" t="s">
        <v>47</v>
      </c>
      <c r="T96" s="153"/>
      <c r="U96" s="152"/>
      <c r="V96" s="149" t="s">
        <v>47</v>
      </c>
      <c r="W96" s="153"/>
      <c r="X96" s="152"/>
      <c r="Y96" s="149" t="s">
        <v>47</v>
      </c>
      <c r="Z96" s="153"/>
      <c r="AA96" s="152"/>
      <c r="AB96" s="154" t="s">
        <v>543</v>
      </c>
    </row>
    <row r="97" spans="1:28" x14ac:dyDescent="0.2">
      <c r="A97" s="146" t="s">
        <v>544</v>
      </c>
      <c r="B97" s="147" t="s">
        <v>6130</v>
      </c>
      <c r="C97" s="147" t="s">
        <v>6196</v>
      </c>
      <c r="D97" s="148"/>
      <c r="E97" s="149" t="s">
        <v>20852</v>
      </c>
      <c r="F97" s="159">
        <v>3</v>
      </c>
      <c r="G97" s="149" t="s">
        <v>20853</v>
      </c>
      <c r="H97" s="158">
        <v>3</v>
      </c>
      <c r="I97" s="152"/>
      <c r="J97" s="149" t="s">
        <v>20854</v>
      </c>
      <c r="K97" s="151">
        <v>4</v>
      </c>
      <c r="L97" s="156" t="s">
        <v>46</v>
      </c>
      <c r="M97" s="149" t="s">
        <v>20852</v>
      </c>
      <c r="N97" s="158">
        <v>3</v>
      </c>
      <c r="O97" s="156" t="s">
        <v>46</v>
      </c>
      <c r="P97" s="149" t="s">
        <v>6267</v>
      </c>
      <c r="Q97" s="157">
        <v>2</v>
      </c>
      <c r="R97" s="152"/>
      <c r="S97" s="149" t="s">
        <v>47</v>
      </c>
      <c r="T97" s="153"/>
      <c r="U97" s="152"/>
      <c r="V97" s="149" t="s">
        <v>47</v>
      </c>
      <c r="W97" s="153"/>
      <c r="X97" s="152"/>
      <c r="Y97" s="149" t="s">
        <v>47</v>
      </c>
      <c r="Z97" s="153"/>
      <c r="AA97" s="152"/>
      <c r="AB97" s="154" t="s">
        <v>545</v>
      </c>
    </row>
    <row r="98" spans="1:28" x14ac:dyDescent="0.2">
      <c r="A98" s="146" t="s">
        <v>546</v>
      </c>
      <c r="B98" s="147" t="s">
        <v>6130</v>
      </c>
      <c r="C98" s="147" t="s">
        <v>6268</v>
      </c>
      <c r="D98" s="148"/>
      <c r="E98" s="149" t="s">
        <v>20855</v>
      </c>
      <c r="F98" s="160">
        <v>2</v>
      </c>
      <c r="G98" s="149" t="s">
        <v>20856</v>
      </c>
      <c r="H98" s="151">
        <v>4</v>
      </c>
      <c r="I98" s="156" t="s">
        <v>44</v>
      </c>
      <c r="J98" s="149" t="s">
        <v>20857</v>
      </c>
      <c r="K98" s="157">
        <v>2</v>
      </c>
      <c r="L98" s="156" t="s">
        <v>46</v>
      </c>
      <c r="M98" s="149" t="s">
        <v>20855</v>
      </c>
      <c r="N98" s="157">
        <v>2</v>
      </c>
      <c r="O98" s="156" t="s">
        <v>40</v>
      </c>
      <c r="P98" s="149" t="s">
        <v>20858</v>
      </c>
      <c r="Q98" s="158">
        <v>3</v>
      </c>
      <c r="R98" s="152"/>
      <c r="S98" s="149" t="s">
        <v>20859</v>
      </c>
      <c r="T98" s="155">
        <v>1</v>
      </c>
      <c r="U98" s="152"/>
      <c r="V98" s="149" t="s">
        <v>20860</v>
      </c>
      <c r="W98" s="151">
        <v>4</v>
      </c>
      <c r="X98" s="152"/>
      <c r="Y98" s="149" t="s">
        <v>47</v>
      </c>
      <c r="Z98" s="153"/>
      <c r="AA98" s="152"/>
      <c r="AB98" s="154" t="s">
        <v>549</v>
      </c>
    </row>
    <row r="99" spans="1:28" x14ac:dyDescent="0.2">
      <c r="A99" s="146" t="s">
        <v>6269</v>
      </c>
      <c r="B99" s="147" t="s">
        <v>6130</v>
      </c>
      <c r="C99" s="147" t="s">
        <v>6184</v>
      </c>
      <c r="D99" s="148" t="s">
        <v>6136</v>
      </c>
      <c r="E99" s="149" t="s">
        <v>6270</v>
      </c>
      <c r="F99" s="159">
        <v>3</v>
      </c>
      <c r="G99" s="149" t="s">
        <v>6271</v>
      </c>
      <c r="H99" s="155">
        <v>1</v>
      </c>
      <c r="I99" s="156" t="s">
        <v>53</v>
      </c>
      <c r="J99" s="149" t="s">
        <v>2564</v>
      </c>
      <c r="K99" s="158">
        <v>3</v>
      </c>
      <c r="L99" s="152"/>
      <c r="M99" s="149" t="s">
        <v>6270</v>
      </c>
      <c r="N99" s="158">
        <v>3</v>
      </c>
      <c r="O99" s="152"/>
      <c r="P99" s="149" t="s">
        <v>6272</v>
      </c>
      <c r="Q99" s="158">
        <v>3</v>
      </c>
      <c r="R99" s="156" t="s">
        <v>40</v>
      </c>
      <c r="S99" s="149" t="s">
        <v>6273</v>
      </c>
      <c r="T99" s="151">
        <v>4</v>
      </c>
      <c r="U99" s="152"/>
      <c r="V99" s="149" t="s">
        <v>20861</v>
      </c>
      <c r="W99" s="151">
        <v>4</v>
      </c>
      <c r="X99" s="152"/>
      <c r="Y99" s="149" t="s">
        <v>6274</v>
      </c>
      <c r="Z99" s="158">
        <v>3</v>
      </c>
      <c r="AA99" s="152"/>
      <c r="AB99" s="154" t="s">
        <v>577</v>
      </c>
    </row>
    <row r="100" spans="1:28" x14ac:dyDescent="0.2">
      <c r="A100" s="146" t="s">
        <v>6275</v>
      </c>
      <c r="B100" s="147" t="s">
        <v>6130</v>
      </c>
      <c r="C100" s="147" t="s">
        <v>6192</v>
      </c>
      <c r="D100" s="148"/>
      <c r="E100" s="149" t="s">
        <v>20862</v>
      </c>
      <c r="F100" s="160">
        <v>2</v>
      </c>
      <c r="G100" s="149" t="s">
        <v>20863</v>
      </c>
      <c r="H100" s="158">
        <v>3</v>
      </c>
      <c r="I100" s="156" t="s">
        <v>40</v>
      </c>
      <c r="J100" s="149" t="s">
        <v>20864</v>
      </c>
      <c r="K100" s="158">
        <v>3</v>
      </c>
      <c r="L100" s="152"/>
      <c r="M100" s="149" t="s">
        <v>20862</v>
      </c>
      <c r="N100" s="157">
        <v>2</v>
      </c>
      <c r="O100" s="152"/>
      <c r="P100" s="149" t="s">
        <v>20865</v>
      </c>
      <c r="Q100" s="157">
        <v>2</v>
      </c>
      <c r="R100" s="156" t="s">
        <v>46</v>
      </c>
      <c r="S100" s="149" t="s">
        <v>47</v>
      </c>
      <c r="T100" s="153"/>
      <c r="U100" s="152"/>
      <c r="V100" s="149" t="s">
        <v>47</v>
      </c>
      <c r="W100" s="153"/>
      <c r="X100" s="152"/>
      <c r="Y100" s="149" t="s">
        <v>47</v>
      </c>
      <c r="Z100" s="153"/>
      <c r="AA100" s="152"/>
      <c r="AB100" s="154" t="s">
        <v>579</v>
      </c>
    </row>
    <row r="101" spans="1:28" x14ac:dyDescent="0.2">
      <c r="A101" s="146" t="s">
        <v>20866</v>
      </c>
      <c r="B101" s="147" t="s">
        <v>6130</v>
      </c>
      <c r="C101" s="147" t="s">
        <v>6203</v>
      </c>
      <c r="D101" s="148"/>
      <c r="E101" s="149" t="s">
        <v>47</v>
      </c>
      <c r="F101" s="152"/>
      <c r="G101" s="149" t="s">
        <v>20867</v>
      </c>
      <c r="H101" s="151">
        <v>4</v>
      </c>
      <c r="I101" s="156" t="s">
        <v>44</v>
      </c>
      <c r="J101" s="149" t="s">
        <v>20868</v>
      </c>
      <c r="K101" s="157">
        <v>2</v>
      </c>
      <c r="L101" s="156" t="s">
        <v>46</v>
      </c>
      <c r="M101" s="149" t="s">
        <v>47</v>
      </c>
      <c r="N101" s="153"/>
      <c r="O101" s="152"/>
      <c r="P101" s="149" t="s">
        <v>47</v>
      </c>
      <c r="Q101" s="153"/>
      <c r="R101" s="152"/>
      <c r="S101" s="149" t="s">
        <v>47</v>
      </c>
      <c r="T101" s="153"/>
      <c r="U101" s="152"/>
      <c r="V101" s="149" t="s">
        <v>47</v>
      </c>
      <c r="W101" s="153"/>
      <c r="X101" s="152"/>
      <c r="Y101" s="149" t="s">
        <v>47</v>
      </c>
      <c r="Z101" s="153"/>
      <c r="AA101" s="152"/>
      <c r="AB101" s="154" t="s">
        <v>580</v>
      </c>
    </row>
    <row r="102" spans="1:28" x14ac:dyDescent="0.2">
      <c r="A102" s="146" t="s">
        <v>6276</v>
      </c>
      <c r="B102" s="147" t="s">
        <v>6130</v>
      </c>
      <c r="C102" s="147" t="s">
        <v>6277</v>
      </c>
      <c r="D102" s="148"/>
      <c r="E102" s="149" t="s">
        <v>20869</v>
      </c>
      <c r="F102" s="160">
        <v>2</v>
      </c>
      <c r="G102" s="149" t="s">
        <v>20870</v>
      </c>
      <c r="H102" s="155">
        <v>1</v>
      </c>
      <c r="I102" s="156" t="s">
        <v>40</v>
      </c>
      <c r="J102" s="149" t="s">
        <v>20871</v>
      </c>
      <c r="K102" s="157">
        <v>2</v>
      </c>
      <c r="L102" s="152"/>
      <c r="M102" s="149" t="s">
        <v>20869</v>
      </c>
      <c r="N102" s="157">
        <v>2</v>
      </c>
      <c r="O102" s="156" t="s">
        <v>40</v>
      </c>
      <c r="P102" s="149" t="s">
        <v>20872</v>
      </c>
      <c r="Q102" s="158">
        <v>3</v>
      </c>
      <c r="R102" s="152"/>
      <c r="S102" s="149" t="s">
        <v>20873</v>
      </c>
      <c r="T102" s="151">
        <v>4</v>
      </c>
      <c r="U102" s="152"/>
      <c r="V102" s="149" t="s">
        <v>20874</v>
      </c>
      <c r="W102" s="158">
        <v>3</v>
      </c>
      <c r="X102" s="152"/>
      <c r="Y102" s="149" t="s">
        <v>47</v>
      </c>
      <c r="Z102" s="153"/>
      <c r="AA102" s="152"/>
      <c r="AB102" s="154" t="s">
        <v>583</v>
      </c>
    </row>
    <row r="103" spans="1:28" x14ac:dyDescent="0.2">
      <c r="A103" s="146" t="s">
        <v>6278</v>
      </c>
      <c r="B103" s="147" t="s">
        <v>6130</v>
      </c>
      <c r="C103" s="147" t="s">
        <v>6191</v>
      </c>
      <c r="D103" s="148"/>
      <c r="E103" s="149" t="s">
        <v>16742</v>
      </c>
      <c r="F103" s="159">
        <v>3</v>
      </c>
      <c r="G103" s="149" t="s">
        <v>20875</v>
      </c>
      <c r="H103" s="158">
        <v>3</v>
      </c>
      <c r="I103" s="156" t="s">
        <v>46</v>
      </c>
      <c r="J103" s="149" t="s">
        <v>6279</v>
      </c>
      <c r="K103" s="158">
        <v>3</v>
      </c>
      <c r="L103" s="156" t="s">
        <v>46</v>
      </c>
      <c r="M103" s="149" t="s">
        <v>16742</v>
      </c>
      <c r="N103" s="158">
        <v>3</v>
      </c>
      <c r="O103" s="152"/>
      <c r="P103" s="149" t="s">
        <v>16737</v>
      </c>
      <c r="Q103" s="158">
        <v>3</v>
      </c>
      <c r="R103" s="156" t="s">
        <v>46</v>
      </c>
      <c r="S103" s="149" t="s">
        <v>20876</v>
      </c>
      <c r="T103" s="157">
        <v>2</v>
      </c>
      <c r="U103" s="152"/>
      <c r="V103" s="149" t="s">
        <v>20877</v>
      </c>
      <c r="W103" s="157">
        <v>2</v>
      </c>
      <c r="X103" s="152"/>
      <c r="Y103" s="149" t="s">
        <v>47</v>
      </c>
      <c r="Z103" s="153"/>
      <c r="AA103" s="152"/>
      <c r="AB103" s="154" t="s">
        <v>585</v>
      </c>
    </row>
    <row r="104" spans="1:28" x14ac:dyDescent="0.2">
      <c r="A104" s="146" t="s">
        <v>6280</v>
      </c>
      <c r="B104" s="147" t="s">
        <v>6130</v>
      </c>
      <c r="C104" s="147" t="s">
        <v>6259</v>
      </c>
      <c r="D104" s="148"/>
      <c r="E104" s="149" t="s">
        <v>20878</v>
      </c>
      <c r="F104" s="160">
        <v>2</v>
      </c>
      <c r="G104" s="149" t="s">
        <v>20879</v>
      </c>
      <c r="H104" s="151">
        <v>4</v>
      </c>
      <c r="I104" s="156" t="s">
        <v>55</v>
      </c>
      <c r="J104" s="149" t="s">
        <v>20880</v>
      </c>
      <c r="K104" s="157">
        <v>2</v>
      </c>
      <c r="L104" s="156" t="s">
        <v>46</v>
      </c>
      <c r="M104" s="149" t="s">
        <v>20878</v>
      </c>
      <c r="N104" s="157">
        <v>2</v>
      </c>
      <c r="O104" s="156" t="s">
        <v>46</v>
      </c>
      <c r="P104" s="149" t="s">
        <v>20881</v>
      </c>
      <c r="Q104" s="157">
        <v>2</v>
      </c>
      <c r="R104" s="152"/>
      <c r="S104" s="149" t="s">
        <v>47</v>
      </c>
      <c r="T104" s="153"/>
      <c r="U104" s="152"/>
      <c r="V104" s="149" t="s">
        <v>47</v>
      </c>
      <c r="W104" s="153"/>
      <c r="X104" s="152"/>
      <c r="Y104" s="149" t="s">
        <v>47</v>
      </c>
      <c r="Z104" s="153"/>
      <c r="AA104" s="152"/>
      <c r="AB104" s="154" t="s">
        <v>6281</v>
      </c>
    </row>
    <row r="105" spans="1:28" x14ac:dyDescent="0.2">
      <c r="A105" s="146" t="s">
        <v>6282</v>
      </c>
      <c r="B105" s="147" t="s">
        <v>6130</v>
      </c>
      <c r="C105" s="147" t="s">
        <v>6213</v>
      </c>
      <c r="D105" s="148" t="s">
        <v>6132</v>
      </c>
      <c r="E105" s="149" t="s">
        <v>18139</v>
      </c>
      <c r="F105" s="159">
        <v>3</v>
      </c>
      <c r="G105" s="149" t="s">
        <v>20882</v>
      </c>
      <c r="H105" s="158">
        <v>3</v>
      </c>
      <c r="I105" s="152"/>
      <c r="J105" s="149" t="s">
        <v>15608</v>
      </c>
      <c r="K105" s="158">
        <v>3</v>
      </c>
      <c r="L105" s="156" t="s">
        <v>46</v>
      </c>
      <c r="M105" s="149" t="s">
        <v>18139</v>
      </c>
      <c r="N105" s="158">
        <v>3</v>
      </c>
      <c r="O105" s="152"/>
      <c r="P105" s="149" t="s">
        <v>3881</v>
      </c>
      <c r="Q105" s="157">
        <v>2</v>
      </c>
      <c r="R105" s="152"/>
      <c r="S105" s="149" t="s">
        <v>20883</v>
      </c>
      <c r="T105" s="157">
        <v>2</v>
      </c>
      <c r="U105" s="152"/>
      <c r="V105" s="149" t="s">
        <v>3991</v>
      </c>
      <c r="W105" s="157">
        <v>2</v>
      </c>
      <c r="X105" s="156" t="s">
        <v>46</v>
      </c>
      <c r="Y105" s="149" t="s">
        <v>6283</v>
      </c>
      <c r="Z105" s="157">
        <v>2</v>
      </c>
      <c r="AA105" s="152"/>
      <c r="AB105" s="154" t="s">
        <v>6284</v>
      </c>
    </row>
    <row r="106" spans="1:28" x14ac:dyDescent="0.2">
      <c r="A106" s="146" t="s">
        <v>6285</v>
      </c>
      <c r="B106" s="147" t="s">
        <v>6130</v>
      </c>
      <c r="C106" s="147" t="s">
        <v>6175</v>
      </c>
      <c r="D106" s="148"/>
      <c r="E106" s="149" t="s">
        <v>20884</v>
      </c>
      <c r="F106" s="150">
        <v>4</v>
      </c>
      <c r="G106" s="149" t="s">
        <v>20885</v>
      </c>
      <c r="H106" s="151">
        <v>4</v>
      </c>
      <c r="I106" s="152"/>
      <c r="J106" s="149" t="s">
        <v>20886</v>
      </c>
      <c r="K106" s="151">
        <v>4</v>
      </c>
      <c r="L106" s="152"/>
      <c r="M106" s="149" t="s">
        <v>20884</v>
      </c>
      <c r="N106" s="151">
        <v>4</v>
      </c>
      <c r="O106" s="152"/>
      <c r="P106" s="149" t="s">
        <v>20887</v>
      </c>
      <c r="Q106" s="151">
        <v>4</v>
      </c>
      <c r="R106" s="152"/>
      <c r="S106" s="149" t="s">
        <v>20888</v>
      </c>
      <c r="T106" s="151">
        <v>4</v>
      </c>
      <c r="U106" s="152"/>
      <c r="V106" s="149" t="s">
        <v>20889</v>
      </c>
      <c r="W106" s="151">
        <v>4</v>
      </c>
      <c r="X106" s="152"/>
      <c r="Y106" s="149" t="s">
        <v>47</v>
      </c>
      <c r="Z106" s="153"/>
      <c r="AA106" s="152"/>
      <c r="AB106" s="154" t="s">
        <v>6286</v>
      </c>
    </row>
    <row r="107" spans="1:28" x14ac:dyDescent="0.2">
      <c r="A107" s="146" t="s">
        <v>6287</v>
      </c>
      <c r="B107" s="147" t="s">
        <v>6130</v>
      </c>
      <c r="C107" s="147" t="s">
        <v>6259</v>
      </c>
      <c r="D107" s="148" t="s">
        <v>6160</v>
      </c>
      <c r="E107" s="149" t="s">
        <v>20890</v>
      </c>
      <c r="F107" s="150">
        <v>4</v>
      </c>
      <c r="G107" s="149" t="s">
        <v>20891</v>
      </c>
      <c r="H107" s="151">
        <v>4</v>
      </c>
      <c r="I107" s="156" t="s">
        <v>46</v>
      </c>
      <c r="J107" s="149" t="s">
        <v>6288</v>
      </c>
      <c r="K107" s="151">
        <v>4</v>
      </c>
      <c r="L107" s="152"/>
      <c r="M107" s="149" t="s">
        <v>20890</v>
      </c>
      <c r="N107" s="151">
        <v>4</v>
      </c>
      <c r="O107" s="152"/>
      <c r="P107" s="149" t="s">
        <v>20892</v>
      </c>
      <c r="Q107" s="151">
        <v>4</v>
      </c>
      <c r="R107" s="156" t="s">
        <v>46</v>
      </c>
      <c r="S107" s="149" t="s">
        <v>20893</v>
      </c>
      <c r="T107" s="158">
        <v>3</v>
      </c>
      <c r="U107" s="156" t="s">
        <v>46</v>
      </c>
      <c r="V107" s="149" t="s">
        <v>20894</v>
      </c>
      <c r="W107" s="151">
        <v>4</v>
      </c>
      <c r="X107" s="152"/>
      <c r="Y107" s="149" t="s">
        <v>47</v>
      </c>
      <c r="Z107" s="153"/>
      <c r="AA107" s="152"/>
      <c r="AB107" s="154" t="s">
        <v>6289</v>
      </c>
    </row>
    <row r="108" spans="1:28" x14ac:dyDescent="0.2">
      <c r="A108" s="146" t="s">
        <v>6290</v>
      </c>
      <c r="B108" s="147" t="s">
        <v>6130</v>
      </c>
      <c r="C108" s="147" t="s">
        <v>6259</v>
      </c>
      <c r="D108" s="148" t="s">
        <v>6160</v>
      </c>
      <c r="E108" s="149" t="s">
        <v>20895</v>
      </c>
      <c r="F108" s="159">
        <v>3</v>
      </c>
      <c r="G108" s="149" t="s">
        <v>20896</v>
      </c>
      <c r="H108" s="158">
        <v>3</v>
      </c>
      <c r="I108" s="156" t="s">
        <v>46</v>
      </c>
      <c r="J108" s="149" t="s">
        <v>20897</v>
      </c>
      <c r="K108" s="158">
        <v>3</v>
      </c>
      <c r="L108" s="152"/>
      <c r="M108" s="149" t="s">
        <v>20895</v>
      </c>
      <c r="N108" s="158">
        <v>3</v>
      </c>
      <c r="O108" s="152"/>
      <c r="P108" s="149" t="s">
        <v>20898</v>
      </c>
      <c r="Q108" s="158">
        <v>3</v>
      </c>
      <c r="R108" s="152"/>
      <c r="S108" s="149" t="s">
        <v>20899</v>
      </c>
      <c r="T108" s="158">
        <v>3</v>
      </c>
      <c r="U108" s="152"/>
      <c r="V108" s="149" t="s">
        <v>20900</v>
      </c>
      <c r="W108" s="158">
        <v>3</v>
      </c>
      <c r="X108" s="152"/>
      <c r="Y108" s="149" t="s">
        <v>47</v>
      </c>
      <c r="Z108" s="153"/>
      <c r="AA108" s="152"/>
      <c r="AB108" s="154" t="s">
        <v>6291</v>
      </c>
    </row>
    <row r="109" spans="1:28" x14ac:dyDescent="0.2">
      <c r="A109" s="146" t="s">
        <v>6292</v>
      </c>
      <c r="B109" s="147" t="s">
        <v>6130</v>
      </c>
      <c r="C109" s="147" t="s">
        <v>6259</v>
      </c>
      <c r="D109" s="148" t="s">
        <v>6160</v>
      </c>
      <c r="E109" s="149" t="s">
        <v>20901</v>
      </c>
      <c r="F109" s="150">
        <v>4</v>
      </c>
      <c r="G109" s="149" t="s">
        <v>20902</v>
      </c>
      <c r="H109" s="151">
        <v>4</v>
      </c>
      <c r="I109" s="156" t="s">
        <v>46</v>
      </c>
      <c r="J109" s="149" t="s">
        <v>20903</v>
      </c>
      <c r="K109" s="151">
        <v>4</v>
      </c>
      <c r="L109" s="156" t="s">
        <v>46</v>
      </c>
      <c r="M109" s="149" t="s">
        <v>20901</v>
      </c>
      <c r="N109" s="151">
        <v>4</v>
      </c>
      <c r="O109" s="156" t="s">
        <v>46</v>
      </c>
      <c r="P109" s="149" t="s">
        <v>6293</v>
      </c>
      <c r="Q109" s="151">
        <v>4</v>
      </c>
      <c r="R109" s="156" t="s">
        <v>46</v>
      </c>
      <c r="S109" s="149" t="s">
        <v>20904</v>
      </c>
      <c r="T109" s="158">
        <v>3</v>
      </c>
      <c r="U109" s="152"/>
      <c r="V109" s="149" t="s">
        <v>20905</v>
      </c>
      <c r="W109" s="151">
        <v>4</v>
      </c>
      <c r="X109" s="152"/>
      <c r="Y109" s="149" t="s">
        <v>47</v>
      </c>
      <c r="Z109" s="153"/>
      <c r="AA109" s="152"/>
      <c r="AB109" s="154" t="s">
        <v>6294</v>
      </c>
    </row>
    <row r="110" spans="1:28" x14ac:dyDescent="0.2">
      <c r="A110" s="146" t="s">
        <v>6295</v>
      </c>
      <c r="B110" s="147" t="s">
        <v>6130</v>
      </c>
      <c r="C110" s="147" t="s">
        <v>6296</v>
      </c>
      <c r="D110" s="148" t="s">
        <v>6160</v>
      </c>
      <c r="E110" s="149" t="s">
        <v>20906</v>
      </c>
      <c r="F110" s="160">
        <v>2</v>
      </c>
      <c r="G110" s="149" t="s">
        <v>20907</v>
      </c>
      <c r="H110" s="155">
        <v>1</v>
      </c>
      <c r="I110" s="152"/>
      <c r="J110" s="149" t="s">
        <v>1694</v>
      </c>
      <c r="K110" s="155">
        <v>1</v>
      </c>
      <c r="L110" s="156" t="s">
        <v>40</v>
      </c>
      <c r="M110" s="149" t="s">
        <v>20906</v>
      </c>
      <c r="N110" s="157">
        <v>2</v>
      </c>
      <c r="O110" s="152"/>
      <c r="P110" s="149" t="s">
        <v>6297</v>
      </c>
      <c r="Q110" s="157">
        <v>2</v>
      </c>
      <c r="R110" s="152"/>
      <c r="S110" s="149" t="s">
        <v>20908</v>
      </c>
      <c r="T110" s="158">
        <v>3</v>
      </c>
      <c r="U110" s="152"/>
      <c r="V110" s="149" t="s">
        <v>47</v>
      </c>
      <c r="W110" s="153"/>
      <c r="X110" s="152"/>
      <c r="Y110" s="149" t="s">
        <v>47</v>
      </c>
      <c r="Z110" s="153"/>
      <c r="AA110" s="152"/>
      <c r="AB110" s="154" t="s">
        <v>6298</v>
      </c>
    </row>
    <row r="111" spans="1:28" x14ac:dyDescent="0.2">
      <c r="A111" s="146" t="s">
        <v>6299</v>
      </c>
      <c r="B111" s="147" t="s">
        <v>6130</v>
      </c>
      <c r="C111" s="147" t="s">
        <v>6300</v>
      </c>
      <c r="D111" s="148" t="s">
        <v>6132</v>
      </c>
      <c r="E111" s="149" t="s">
        <v>20909</v>
      </c>
      <c r="F111" s="160">
        <v>2</v>
      </c>
      <c r="G111" s="149" t="s">
        <v>20910</v>
      </c>
      <c r="H111" s="157">
        <v>2</v>
      </c>
      <c r="I111" s="152"/>
      <c r="J111" s="149" t="s">
        <v>20911</v>
      </c>
      <c r="K111" s="157">
        <v>2</v>
      </c>
      <c r="L111" s="156" t="s">
        <v>40</v>
      </c>
      <c r="M111" s="149" t="s">
        <v>20909</v>
      </c>
      <c r="N111" s="157">
        <v>2</v>
      </c>
      <c r="O111" s="152"/>
      <c r="P111" s="149" t="s">
        <v>6301</v>
      </c>
      <c r="Q111" s="158">
        <v>3</v>
      </c>
      <c r="R111" s="152"/>
      <c r="S111" s="149" t="s">
        <v>3916</v>
      </c>
      <c r="T111" s="157">
        <v>2</v>
      </c>
      <c r="U111" s="152"/>
      <c r="V111" s="149" t="s">
        <v>6302</v>
      </c>
      <c r="W111" s="155">
        <v>1</v>
      </c>
      <c r="X111" s="152"/>
      <c r="Y111" s="149" t="s">
        <v>47</v>
      </c>
      <c r="Z111" s="153"/>
      <c r="AA111" s="152"/>
      <c r="AB111" s="154" t="s">
        <v>6303</v>
      </c>
    </row>
    <row r="112" spans="1:28" x14ac:dyDescent="0.2">
      <c r="A112" s="146" t="s">
        <v>6304</v>
      </c>
      <c r="B112" s="147" t="s">
        <v>6130</v>
      </c>
      <c r="C112" s="147" t="s">
        <v>6203</v>
      </c>
      <c r="D112" s="148" t="s">
        <v>6160</v>
      </c>
      <c r="E112" s="149" t="s">
        <v>20912</v>
      </c>
      <c r="F112" s="159">
        <v>3</v>
      </c>
      <c r="G112" s="149" t="s">
        <v>20913</v>
      </c>
      <c r="H112" s="151">
        <v>4</v>
      </c>
      <c r="I112" s="156" t="s">
        <v>46</v>
      </c>
      <c r="J112" s="149" t="s">
        <v>20914</v>
      </c>
      <c r="K112" s="151">
        <v>4</v>
      </c>
      <c r="L112" s="156" t="s">
        <v>46</v>
      </c>
      <c r="M112" s="149" t="s">
        <v>20912</v>
      </c>
      <c r="N112" s="158">
        <v>3</v>
      </c>
      <c r="O112" s="156" t="s">
        <v>46</v>
      </c>
      <c r="P112" s="149" t="s">
        <v>20915</v>
      </c>
      <c r="Q112" s="157">
        <v>2</v>
      </c>
      <c r="R112" s="152"/>
      <c r="S112" s="149" t="s">
        <v>20916</v>
      </c>
      <c r="T112" s="158">
        <v>3</v>
      </c>
      <c r="U112" s="152"/>
      <c r="V112" s="149" t="s">
        <v>20917</v>
      </c>
      <c r="W112" s="157">
        <v>2</v>
      </c>
      <c r="X112" s="152"/>
      <c r="Y112" s="149" t="s">
        <v>47</v>
      </c>
      <c r="Z112" s="153"/>
      <c r="AA112" s="152"/>
      <c r="AB112" s="154" t="s">
        <v>6305</v>
      </c>
    </row>
    <row r="113" spans="1:28" x14ac:dyDescent="0.2">
      <c r="A113" s="146" t="s">
        <v>6306</v>
      </c>
      <c r="B113" s="147" t="s">
        <v>6130</v>
      </c>
      <c r="C113" s="147" t="s">
        <v>6221</v>
      </c>
      <c r="D113" s="148" t="s">
        <v>6170</v>
      </c>
      <c r="E113" s="149" t="s">
        <v>20918</v>
      </c>
      <c r="F113" s="159">
        <v>3</v>
      </c>
      <c r="G113" s="149" t="s">
        <v>20919</v>
      </c>
      <c r="H113" s="158">
        <v>3</v>
      </c>
      <c r="I113" s="156" t="s">
        <v>40</v>
      </c>
      <c r="J113" s="149" t="s">
        <v>20920</v>
      </c>
      <c r="K113" s="151">
        <v>4</v>
      </c>
      <c r="L113" s="156" t="s">
        <v>46</v>
      </c>
      <c r="M113" s="149" t="s">
        <v>20918</v>
      </c>
      <c r="N113" s="158">
        <v>3</v>
      </c>
      <c r="O113" s="152"/>
      <c r="P113" s="149" t="s">
        <v>20909</v>
      </c>
      <c r="Q113" s="157">
        <v>2</v>
      </c>
      <c r="R113" s="156" t="s">
        <v>40</v>
      </c>
      <c r="S113" s="149" t="s">
        <v>6307</v>
      </c>
      <c r="T113" s="151">
        <v>4</v>
      </c>
      <c r="U113" s="152"/>
      <c r="V113" s="149" t="s">
        <v>20921</v>
      </c>
      <c r="W113" s="151">
        <v>4</v>
      </c>
      <c r="X113" s="152"/>
      <c r="Y113" s="149" t="s">
        <v>47</v>
      </c>
      <c r="Z113" s="153"/>
      <c r="AA113" s="152"/>
      <c r="AB113" s="154" t="s">
        <v>6308</v>
      </c>
    </row>
    <row r="114" spans="1:28" x14ac:dyDescent="0.2">
      <c r="A114" s="146" t="s">
        <v>6309</v>
      </c>
      <c r="B114" s="147" t="s">
        <v>6130</v>
      </c>
      <c r="C114" s="147" t="s">
        <v>6254</v>
      </c>
      <c r="D114" s="148"/>
      <c r="E114" s="149" t="s">
        <v>20922</v>
      </c>
      <c r="F114" s="159">
        <v>3</v>
      </c>
      <c r="G114" s="149" t="s">
        <v>6310</v>
      </c>
      <c r="H114" s="157">
        <v>2</v>
      </c>
      <c r="I114" s="156" t="s">
        <v>53</v>
      </c>
      <c r="J114" s="149" t="s">
        <v>209</v>
      </c>
      <c r="K114" s="158">
        <v>3</v>
      </c>
      <c r="L114" s="152"/>
      <c r="M114" s="149" t="s">
        <v>20922</v>
      </c>
      <c r="N114" s="158">
        <v>3</v>
      </c>
      <c r="O114" s="156" t="s">
        <v>40</v>
      </c>
      <c r="P114" s="149" t="s">
        <v>6311</v>
      </c>
      <c r="Q114" s="158">
        <v>3</v>
      </c>
      <c r="R114" s="156" t="s">
        <v>40</v>
      </c>
      <c r="S114" s="149" t="s">
        <v>47</v>
      </c>
      <c r="T114" s="153"/>
      <c r="U114" s="152"/>
      <c r="V114" s="149" t="s">
        <v>47</v>
      </c>
      <c r="W114" s="153"/>
      <c r="X114" s="152"/>
      <c r="Y114" s="149" t="s">
        <v>47</v>
      </c>
      <c r="Z114" s="153"/>
      <c r="AA114" s="152"/>
      <c r="AB114" s="154" t="s">
        <v>6312</v>
      </c>
    </row>
    <row r="115" spans="1:28" x14ac:dyDescent="0.2">
      <c r="A115" s="146" t="s">
        <v>6313</v>
      </c>
      <c r="B115" s="147" t="s">
        <v>6314</v>
      </c>
      <c r="C115" s="147" t="s">
        <v>6315</v>
      </c>
      <c r="D115" s="148"/>
      <c r="E115" s="149" t="s">
        <v>6316</v>
      </c>
      <c r="F115" s="150">
        <v>4</v>
      </c>
      <c r="G115" s="149" t="s">
        <v>3289</v>
      </c>
      <c r="H115" s="158">
        <v>3</v>
      </c>
      <c r="I115" s="156" t="s">
        <v>40</v>
      </c>
      <c r="J115" s="149" t="s">
        <v>20923</v>
      </c>
      <c r="K115" s="151">
        <v>4</v>
      </c>
      <c r="L115" s="152"/>
      <c r="M115" s="149" t="s">
        <v>6316</v>
      </c>
      <c r="N115" s="151">
        <v>4</v>
      </c>
      <c r="O115" s="152"/>
      <c r="P115" s="149" t="s">
        <v>269</v>
      </c>
      <c r="Q115" s="157">
        <v>2</v>
      </c>
      <c r="R115" s="156" t="s">
        <v>53</v>
      </c>
      <c r="S115" s="149" t="s">
        <v>47</v>
      </c>
      <c r="T115" s="153"/>
      <c r="U115" s="152"/>
      <c r="V115" s="149" t="s">
        <v>47</v>
      </c>
      <c r="W115" s="153"/>
      <c r="X115" s="152"/>
      <c r="Y115" s="149" t="s">
        <v>47</v>
      </c>
      <c r="Z115" s="153"/>
      <c r="AA115" s="152"/>
      <c r="AB115" s="154" t="s">
        <v>6317</v>
      </c>
    </row>
    <row r="116" spans="1:28" x14ac:dyDescent="0.2">
      <c r="A116" s="146" t="s">
        <v>6318</v>
      </c>
      <c r="B116" s="147" t="s">
        <v>6130</v>
      </c>
      <c r="C116" s="147" t="s">
        <v>6210</v>
      </c>
      <c r="D116" s="148" t="s">
        <v>6136</v>
      </c>
      <c r="E116" s="149" t="s">
        <v>20924</v>
      </c>
      <c r="F116" s="159">
        <v>3</v>
      </c>
      <c r="G116" s="149" t="s">
        <v>20925</v>
      </c>
      <c r="H116" s="151">
        <v>4</v>
      </c>
      <c r="I116" s="156" t="s">
        <v>46</v>
      </c>
      <c r="J116" s="149" t="s">
        <v>20926</v>
      </c>
      <c r="K116" s="158">
        <v>3</v>
      </c>
      <c r="L116" s="152"/>
      <c r="M116" s="149" t="s">
        <v>20924</v>
      </c>
      <c r="N116" s="158">
        <v>3</v>
      </c>
      <c r="O116" s="156" t="s">
        <v>46</v>
      </c>
      <c r="P116" s="149" t="s">
        <v>20927</v>
      </c>
      <c r="Q116" s="158">
        <v>3</v>
      </c>
      <c r="R116" s="152"/>
      <c r="S116" s="149" t="s">
        <v>6319</v>
      </c>
      <c r="T116" s="158">
        <v>3</v>
      </c>
      <c r="U116" s="152"/>
      <c r="V116" s="149" t="s">
        <v>6320</v>
      </c>
      <c r="W116" s="157">
        <v>2</v>
      </c>
      <c r="X116" s="152"/>
      <c r="Y116" s="149" t="s">
        <v>47</v>
      </c>
      <c r="Z116" s="153"/>
      <c r="AA116" s="152"/>
      <c r="AB116" s="154" t="s">
        <v>6321</v>
      </c>
    </row>
    <row r="117" spans="1:28" x14ac:dyDescent="0.2">
      <c r="A117" s="146" t="s">
        <v>6322</v>
      </c>
      <c r="B117" s="147" t="s">
        <v>6130</v>
      </c>
      <c r="C117" s="147" t="s">
        <v>6268</v>
      </c>
      <c r="D117" s="148" t="s">
        <v>6136</v>
      </c>
      <c r="E117" s="149" t="s">
        <v>20928</v>
      </c>
      <c r="F117" s="159">
        <v>3</v>
      </c>
      <c r="G117" s="149" t="s">
        <v>2109</v>
      </c>
      <c r="H117" s="155">
        <v>1</v>
      </c>
      <c r="I117" s="156" t="s">
        <v>53</v>
      </c>
      <c r="J117" s="149" t="s">
        <v>20922</v>
      </c>
      <c r="K117" s="158">
        <v>3</v>
      </c>
      <c r="L117" s="156" t="s">
        <v>40</v>
      </c>
      <c r="M117" s="149" t="s">
        <v>20928</v>
      </c>
      <c r="N117" s="158">
        <v>3</v>
      </c>
      <c r="O117" s="152"/>
      <c r="P117" s="149" t="s">
        <v>20929</v>
      </c>
      <c r="Q117" s="157">
        <v>2</v>
      </c>
      <c r="R117" s="152"/>
      <c r="S117" s="149" t="s">
        <v>9066</v>
      </c>
      <c r="T117" s="158">
        <v>3</v>
      </c>
      <c r="U117" s="152"/>
      <c r="V117" s="149" t="s">
        <v>6257</v>
      </c>
      <c r="W117" s="158">
        <v>3</v>
      </c>
      <c r="X117" s="152"/>
      <c r="Y117" s="149" t="s">
        <v>47</v>
      </c>
      <c r="Z117" s="153"/>
      <c r="AA117" s="152"/>
      <c r="AB117" s="154" t="s">
        <v>6323</v>
      </c>
    </row>
    <row r="118" spans="1:28" x14ac:dyDescent="0.2">
      <c r="A118" s="146" t="s">
        <v>6324</v>
      </c>
      <c r="B118" s="147" t="s">
        <v>6314</v>
      </c>
      <c r="C118" s="147" t="s">
        <v>6325</v>
      </c>
      <c r="D118" s="148" t="s">
        <v>6132</v>
      </c>
      <c r="E118" s="149" t="s">
        <v>20930</v>
      </c>
      <c r="F118" s="159">
        <v>3</v>
      </c>
      <c r="G118" s="149" t="s">
        <v>20931</v>
      </c>
      <c r="H118" s="151">
        <v>4</v>
      </c>
      <c r="I118" s="152"/>
      <c r="J118" s="149" t="s">
        <v>20932</v>
      </c>
      <c r="K118" s="158">
        <v>3</v>
      </c>
      <c r="L118" s="152"/>
      <c r="M118" s="149" t="s">
        <v>20930</v>
      </c>
      <c r="N118" s="158">
        <v>3</v>
      </c>
      <c r="O118" s="152"/>
      <c r="P118" s="149" t="s">
        <v>20933</v>
      </c>
      <c r="Q118" s="151">
        <v>4</v>
      </c>
      <c r="R118" s="156" t="s">
        <v>46</v>
      </c>
      <c r="S118" s="149" t="s">
        <v>20934</v>
      </c>
      <c r="T118" s="157">
        <v>2</v>
      </c>
      <c r="U118" s="152"/>
      <c r="V118" s="149" t="s">
        <v>20935</v>
      </c>
      <c r="W118" s="157">
        <v>2</v>
      </c>
      <c r="X118" s="152"/>
      <c r="Y118" s="149" t="s">
        <v>47</v>
      </c>
      <c r="Z118" s="153"/>
      <c r="AA118" s="152"/>
      <c r="AB118" s="154" t="s">
        <v>6326</v>
      </c>
    </row>
    <row r="119" spans="1:28" x14ac:dyDescent="0.2">
      <c r="A119" s="146" t="s">
        <v>6327</v>
      </c>
      <c r="B119" s="147" t="s">
        <v>6130</v>
      </c>
      <c r="C119" s="147" t="s">
        <v>6328</v>
      </c>
      <c r="D119" s="148" t="s">
        <v>6132</v>
      </c>
      <c r="E119" s="149" t="s">
        <v>20936</v>
      </c>
      <c r="F119" s="159">
        <v>3</v>
      </c>
      <c r="G119" s="149" t="s">
        <v>20937</v>
      </c>
      <c r="H119" s="158">
        <v>3</v>
      </c>
      <c r="I119" s="156" t="s">
        <v>55</v>
      </c>
      <c r="J119" s="149" t="s">
        <v>20938</v>
      </c>
      <c r="K119" s="157">
        <v>2</v>
      </c>
      <c r="L119" s="152"/>
      <c r="M119" s="149" t="s">
        <v>20936</v>
      </c>
      <c r="N119" s="158">
        <v>3</v>
      </c>
      <c r="O119" s="156" t="s">
        <v>46</v>
      </c>
      <c r="P119" s="149" t="s">
        <v>20939</v>
      </c>
      <c r="Q119" s="158">
        <v>3</v>
      </c>
      <c r="R119" s="152"/>
      <c r="S119" s="149" t="s">
        <v>20940</v>
      </c>
      <c r="T119" s="155">
        <v>1</v>
      </c>
      <c r="U119" s="152"/>
      <c r="V119" s="149" t="s">
        <v>20941</v>
      </c>
      <c r="W119" s="155">
        <v>1</v>
      </c>
      <c r="X119" s="152"/>
      <c r="Y119" s="149" t="s">
        <v>47</v>
      </c>
      <c r="Z119" s="153"/>
      <c r="AA119" s="152"/>
      <c r="AB119" s="154" t="s">
        <v>6329</v>
      </c>
    </row>
    <row r="120" spans="1:28" x14ac:dyDescent="0.2">
      <c r="A120" s="146" t="s">
        <v>6330</v>
      </c>
      <c r="B120" s="147" t="s">
        <v>6130</v>
      </c>
      <c r="C120" s="147" t="s">
        <v>6331</v>
      </c>
      <c r="D120" s="148" t="s">
        <v>6136</v>
      </c>
      <c r="E120" s="149" t="s">
        <v>20942</v>
      </c>
      <c r="F120" s="150">
        <v>4</v>
      </c>
      <c r="G120" s="149" t="s">
        <v>3985</v>
      </c>
      <c r="H120" s="151">
        <v>4</v>
      </c>
      <c r="I120" s="156" t="s">
        <v>46</v>
      </c>
      <c r="J120" s="149" t="s">
        <v>6332</v>
      </c>
      <c r="K120" s="151">
        <v>4</v>
      </c>
      <c r="L120" s="152"/>
      <c r="M120" s="149" t="s">
        <v>20942</v>
      </c>
      <c r="N120" s="151">
        <v>4</v>
      </c>
      <c r="O120" s="152"/>
      <c r="P120" s="149" t="s">
        <v>20943</v>
      </c>
      <c r="Q120" s="158">
        <v>3</v>
      </c>
      <c r="R120" s="152"/>
      <c r="S120" s="149" t="s">
        <v>6333</v>
      </c>
      <c r="T120" s="158">
        <v>3</v>
      </c>
      <c r="U120" s="152"/>
      <c r="V120" s="149" t="s">
        <v>20944</v>
      </c>
      <c r="W120" s="151">
        <v>4</v>
      </c>
      <c r="X120" s="152"/>
      <c r="Y120" s="149" t="s">
        <v>47</v>
      </c>
      <c r="Z120" s="153"/>
      <c r="AA120" s="152"/>
      <c r="AB120" s="154" t="s">
        <v>6334</v>
      </c>
    </row>
    <row r="121" spans="1:28" x14ac:dyDescent="0.2">
      <c r="A121" s="146" t="s">
        <v>6335</v>
      </c>
      <c r="B121" s="147" t="s">
        <v>6130</v>
      </c>
      <c r="C121" s="147" t="s">
        <v>6328</v>
      </c>
      <c r="D121" s="148" t="s">
        <v>6136</v>
      </c>
      <c r="E121" s="149" t="s">
        <v>20945</v>
      </c>
      <c r="F121" s="150">
        <v>4</v>
      </c>
      <c r="G121" s="149" t="s">
        <v>20946</v>
      </c>
      <c r="H121" s="151">
        <v>4</v>
      </c>
      <c r="I121" s="156" t="s">
        <v>55</v>
      </c>
      <c r="J121" s="149" t="s">
        <v>20947</v>
      </c>
      <c r="K121" s="158">
        <v>3</v>
      </c>
      <c r="L121" s="152"/>
      <c r="M121" s="149" t="s">
        <v>20945</v>
      </c>
      <c r="N121" s="151">
        <v>4</v>
      </c>
      <c r="O121" s="156" t="s">
        <v>46</v>
      </c>
      <c r="P121" s="149" t="s">
        <v>6336</v>
      </c>
      <c r="Q121" s="151">
        <v>4</v>
      </c>
      <c r="R121" s="156" t="s">
        <v>46</v>
      </c>
      <c r="S121" s="149" t="s">
        <v>20948</v>
      </c>
      <c r="T121" s="157">
        <v>2</v>
      </c>
      <c r="U121" s="152"/>
      <c r="V121" s="149" t="s">
        <v>20949</v>
      </c>
      <c r="W121" s="158">
        <v>3</v>
      </c>
      <c r="X121" s="152"/>
      <c r="Y121" s="149" t="s">
        <v>47</v>
      </c>
      <c r="Z121" s="153"/>
      <c r="AA121" s="152"/>
      <c r="AB121" s="154" t="s">
        <v>6337</v>
      </c>
    </row>
    <row r="122" spans="1:28" x14ac:dyDescent="0.2">
      <c r="A122" s="146" t="s">
        <v>6338</v>
      </c>
      <c r="B122" s="147" t="s">
        <v>6130</v>
      </c>
      <c r="C122" s="147" t="s">
        <v>6339</v>
      </c>
      <c r="D122" s="148" t="s">
        <v>6170</v>
      </c>
      <c r="E122" s="149" t="s">
        <v>2104</v>
      </c>
      <c r="F122" s="160">
        <v>2</v>
      </c>
      <c r="G122" s="149" t="s">
        <v>20950</v>
      </c>
      <c r="H122" s="157">
        <v>2</v>
      </c>
      <c r="I122" s="156" t="s">
        <v>40</v>
      </c>
      <c r="J122" s="149" t="s">
        <v>20951</v>
      </c>
      <c r="K122" s="158">
        <v>3</v>
      </c>
      <c r="L122" s="156" t="s">
        <v>46</v>
      </c>
      <c r="M122" s="149" t="s">
        <v>2104</v>
      </c>
      <c r="N122" s="157">
        <v>2</v>
      </c>
      <c r="O122" s="152"/>
      <c r="P122" s="149" t="s">
        <v>16375</v>
      </c>
      <c r="Q122" s="155">
        <v>1</v>
      </c>
      <c r="R122" s="156" t="s">
        <v>40</v>
      </c>
      <c r="S122" s="149" t="s">
        <v>20952</v>
      </c>
      <c r="T122" s="151">
        <v>4</v>
      </c>
      <c r="U122" s="152"/>
      <c r="V122" s="149" t="s">
        <v>20953</v>
      </c>
      <c r="W122" s="158">
        <v>3</v>
      </c>
      <c r="X122" s="152"/>
      <c r="Y122" s="149" t="s">
        <v>47</v>
      </c>
      <c r="Z122" s="153"/>
      <c r="AA122" s="152"/>
      <c r="AB122" s="154" t="s">
        <v>6340</v>
      </c>
    </row>
    <row r="123" spans="1:28" x14ac:dyDescent="0.2">
      <c r="A123" s="146" t="s">
        <v>6341</v>
      </c>
      <c r="B123" s="147" t="s">
        <v>6130</v>
      </c>
      <c r="C123" s="147" t="s">
        <v>6342</v>
      </c>
      <c r="D123" s="148" t="s">
        <v>6160</v>
      </c>
      <c r="E123" s="149" t="s">
        <v>6343</v>
      </c>
      <c r="F123" s="161">
        <v>1</v>
      </c>
      <c r="G123" s="149" t="s">
        <v>20954</v>
      </c>
      <c r="H123" s="155">
        <v>1</v>
      </c>
      <c r="I123" s="152"/>
      <c r="J123" s="149" t="s">
        <v>6344</v>
      </c>
      <c r="K123" s="155">
        <v>1</v>
      </c>
      <c r="L123" s="152"/>
      <c r="M123" s="149" t="s">
        <v>6343</v>
      </c>
      <c r="N123" s="155">
        <v>1</v>
      </c>
      <c r="O123" s="152"/>
      <c r="P123" s="149" t="s">
        <v>20955</v>
      </c>
      <c r="Q123" s="155">
        <v>1</v>
      </c>
      <c r="R123" s="156" t="s">
        <v>53</v>
      </c>
      <c r="S123" s="149" t="s">
        <v>20956</v>
      </c>
      <c r="T123" s="151">
        <v>4</v>
      </c>
      <c r="U123" s="152"/>
      <c r="V123" s="149" t="s">
        <v>47</v>
      </c>
      <c r="W123" s="153"/>
      <c r="X123" s="152"/>
      <c r="Y123" s="149" t="s">
        <v>47</v>
      </c>
      <c r="Z123" s="153"/>
      <c r="AA123" s="152"/>
      <c r="AB123" s="154" t="s">
        <v>6345</v>
      </c>
    </row>
    <row r="124" spans="1:28" x14ac:dyDescent="0.2">
      <c r="A124" s="146" t="s">
        <v>6346</v>
      </c>
      <c r="B124" s="147" t="s">
        <v>6130</v>
      </c>
      <c r="C124" s="147" t="s">
        <v>6342</v>
      </c>
      <c r="D124" s="148"/>
      <c r="E124" s="149" t="s">
        <v>20957</v>
      </c>
      <c r="F124" s="159">
        <v>3</v>
      </c>
      <c r="G124" s="149" t="s">
        <v>20958</v>
      </c>
      <c r="H124" s="157">
        <v>2</v>
      </c>
      <c r="I124" s="156" t="s">
        <v>40</v>
      </c>
      <c r="J124" s="149" t="s">
        <v>20959</v>
      </c>
      <c r="K124" s="158">
        <v>3</v>
      </c>
      <c r="L124" s="152"/>
      <c r="M124" s="149" t="s">
        <v>20957</v>
      </c>
      <c r="N124" s="158">
        <v>3</v>
      </c>
      <c r="O124" s="156" t="s">
        <v>46</v>
      </c>
      <c r="P124" s="149" t="s">
        <v>20960</v>
      </c>
      <c r="Q124" s="158">
        <v>3</v>
      </c>
      <c r="R124" s="152"/>
      <c r="S124" s="149" t="s">
        <v>47</v>
      </c>
      <c r="T124" s="153"/>
      <c r="U124" s="152"/>
      <c r="V124" s="149" t="s">
        <v>47</v>
      </c>
      <c r="W124" s="153"/>
      <c r="X124" s="152"/>
      <c r="Y124" s="149" t="s">
        <v>47</v>
      </c>
      <c r="Z124" s="153"/>
      <c r="AA124" s="152"/>
      <c r="AB124" s="154" t="s">
        <v>6347</v>
      </c>
    </row>
    <row r="125" spans="1:28" x14ac:dyDescent="0.2">
      <c r="A125" s="146" t="s">
        <v>6348</v>
      </c>
      <c r="B125" s="147" t="s">
        <v>6130</v>
      </c>
      <c r="C125" s="147" t="s">
        <v>6349</v>
      </c>
      <c r="D125" s="148"/>
      <c r="E125" s="149" t="s">
        <v>20961</v>
      </c>
      <c r="F125" s="161">
        <v>1</v>
      </c>
      <c r="G125" s="149" t="s">
        <v>20962</v>
      </c>
      <c r="H125" s="151">
        <v>4</v>
      </c>
      <c r="I125" s="156" t="s">
        <v>44</v>
      </c>
      <c r="J125" s="149" t="s">
        <v>20963</v>
      </c>
      <c r="K125" s="155">
        <v>1</v>
      </c>
      <c r="L125" s="152"/>
      <c r="M125" s="149" t="s">
        <v>20961</v>
      </c>
      <c r="N125" s="155">
        <v>1</v>
      </c>
      <c r="O125" s="152"/>
      <c r="P125" s="149" t="s">
        <v>20964</v>
      </c>
      <c r="Q125" s="155">
        <v>1</v>
      </c>
      <c r="R125" s="152"/>
      <c r="S125" s="149" t="s">
        <v>20965</v>
      </c>
      <c r="T125" s="155">
        <v>1</v>
      </c>
      <c r="U125" s="152"/>
      <c r="V125" s="149" t="s">
        <v>20966</v>
      </c>
      <c r="W125" s="155">
        <v>1</v>
      </c>
      <c r="X125" s="152"/>
      <c r="Y125" s="149" t="s">
        <v>47</v>
      </c>
      <c r="Z125" s="153"/>
      <c r="AA125" s="152"/>
      <c r="AB125" s="154" t="s">
        <v>6350</v>
      </c>
    </row>
    <row r="126" spans="1:28" x14ac:dyDescent="0.2">
      <c r="A126" s="146" t="s">
        <v>6351</v>
      </c>
      <c r="B126" s="147" t="s">
        <v>6130</v>
      </c>
      <c r="C126" s="147" t="s">
        <v>6349</v>
      </c>
      <c r="D126" s="148"/>
      <c r="E126" s="149" t="s">
        <v>20967</v>
      </c>
      <c r="F126" s="161">
        <v>1</v>
      </c>
      <c r="G126" s="149" t="s">
        <v>20968</v>
      </c>
      <c r="H126" s="151">
        <v>4</v>
      </c>
      <c r="I126" s="156" t="s">
        <v>44</v>
      </c>
      <c r="J126" s="149" t="s">
        <v>20969</v>
      </c>
      <c r="K126" s="157">
        <v>2</v>
      </c>
      <c r="L126" s="156" t="s">
        <v>46</v>
      </c>
      <c r="M126" s="149" t="s">
        <v>20967</v>
      </c>
      <c r="N126" s="155">
        <v>1</v>
      </c>
      <c r="O126" s="152"/>
      <c r="P126" s="149" t="s">
        <v>20970</v>
      </c>
      <c r="Q126" s="155">
        <v>1</v>
      </c>
      <c r="R126" s="152"/>
      <c r="S126" s="149" t="s">
        <v>20971</v>
      </c>
      <c r="T126" s="155">
        <v>1</v>
      </c>
      <c r="U126" s="152"/>
      <c r="V126" s="149" t="s">
        <v>20972</v>
      </c>
      <c r="W126" s="155">
        <v>1</v>
      </c>
      <c r="X126" s="152"/>
      <c r="Y126" s="149" t="s">
        <v>47</v>
      </c>
      <c r="Z126" s="153"/>
      <c r="AA126" s="152"/>
      <c r="AB126" s="154" t="s">
        <v>6352</v>
      </c>
    </row>
    <row r="127" spans="1:28" x14ac:dyDescent="0.2">
      <c r="A127" s="146" t="s">
        <v>6353</v>
      </c>
      <c r="B127" s="147" t="s">
        <v>6130</v>
      </c>
      <c r="C127" s="147" t="s">
        <v>6349</v>
      </c>
      <c r="D127" s="148"/>
      <c r="E127" s="149" t="s">
        <v>20973</v>
      </c>
      <c r="F127" s="160">
        <v>2</v>
      </c>
      <c r="G127" s="149" t="s">
        <v>20974</v>
      </c>
      <c r="H127" s="158">
        <v>3</v>
      </c>
      <c r="I127" s="152"/>
      <c r="J127" s="149" t="s">
        <v>20975</v>
      </c>
      <c r="K127" s="158">
        <v>3</v>
      </c>
      <c r="L127" s="152"/>
      <c r="M127" s="149" t="s">
        <v>20973</v>
      </c>
      <c r="N127" s="157">
        <v>2</v>
      </c>
      <c r="O127" s="156" t="s">
        <v>46</v>
      </c>
      <c r="P127" s="149" t="s">
        <v>20976</v>
      </c>
      <c r="Q127" s="155">
        <v>1</v>
      </c>
      <c r="R127" s="152"/>
      <c r="S127" s="149" t="s">
        <v>20977</v>
      </c>
      <c r="T127" s="155">
        <v>1</v>
      </c>
      <c r="U127" s="152"/>
      <c r="V127" s="149" t="s">
        <v>6354</v>
      </c>
      <c r="W127" s="155">
        <v>1</v>
      </c>
      <c r="X127" s="152"/>
      <c r="Y127" s="149" t="s">
        <v>47</v>
      </c>
      <c r="Z127" s="153"/>
      <c r="AA127" s="152"/>
      <c r="AB127" s="154" t="s">
        <v>6355</v>
      </c>
    </row>
    <row r="128" spans="1:28" x14ac:dyDescent="0.2">
      <c r="A128" s="146" t="s">
        <v>6356</v>
      </c>
      <c r="B128" s="147" t="s">
        <v>6130</v>
      </c>
      <c r="C128" s="147" t="s">
        <v>6357</v>
      </c>
      <c r="D128" s="148" t="s">
        <v>6160</v>
      </c>
      <c r="E128" s="149" t="s">
        <v>20978</v>
      </c>
      <c r="F128" s="150">
        <v>4</v>
      </c>
      <c r="G128" s="149" t="s">
        <v>20979</v>
      </c>
      <c r="H128" s="151">
        <v>4</v>
      </c>
      <c r="I128" s="156" t="s">
        <v>46</v>
      </c>
      <c r="J128" s="149" t="s">
        <v>20980</v>
      </c>
      <c r="K128" s="151">
        <v>4</v>
      </c>
      <c r="L128" s="152"/>
      <c r="M128" s="149" t="s">
        <v>20978</v>
      </c>
      <c r="N128" s="151">
        <v>4</v>
      </c>
      <c r="O128" s="156" t="s">
        <v>46</v>
      </c>
      <c r="P128" s="149" t="s">
        <v>6358</v>
      </c>
      <c r="Q128" s="158">
        <v>3</v>
      </c>
      <c r="R128" s="156" t="s">
        <v>46</v>
      </c>
      <c r="S128" s="149" t="s">
        <v>6332</v>
      </c>
      <c r="T128" s="151">
        <v>4</v>
      </c>
      <c r="U128" s="152"/>
      <c r="V128" s="149" t="s">
        <v>6359</v>
      </c>
      <c r="W128" s="151">
        <v>4</v>
      </c>
      <c r="X128" s="152"/>
      <c r="Y128" s="149" t="s">
        <v>47</v>
      </c>
      <c r="Z128" s="153"/>
      <c r="AA128" s="152"/>
      <c r="AB128" s="154" t="s">
        <v>6360</v>
      </c>
    </row>
    <row r="129" spans="1:28" x14ac:dyDescent="0.2">
      <c r="A129" s="146" t="s">
        <v>6361</v>
      </c>
      <c r="B129" s="147" t="s">
        <v>6130</v>
      </c>
      <c r="C129" s="147" t="s">
        <v>6362</v>
      </c>
      <c r="D129" s="148" t="s">
        <v>6170</v>
      </c>
      <c r="E129" s="149" t="s">
        <v>20981</v>
      </c>
      <c r="F129" s="161">
        <v>1</v>
      </c>
      <c r="G129" s="149" t="s">
        <v>20982</v>
      </c>
      <c r="H129" s="155">
        <v>1</v>
      </c>
      <c r="I129" s="156" t="s">
        <v>53</v>
      </c>
      <c r="J129" s="149" t="s">
        <v>20983</v>
      </c>
      <c r="K129" s="155">
        <v>1</v>
      </c>
      <c r="L129" s="156" t="s">
        <v>40</v>
      </c>
      <c r="M129" s="149" t="s">
        <v>20981</v>
      </c>
      <c r="N129" s="155">
        <v>1</v>
      </c>
      <c r="O129" s="152"/>
      <c r="P129" s="149" t="s">
        <v>20984</v>
      </c>
      <c r="Q129" s="155">
        <v>1</v>
      </c>
      <c r="R129" s="152"/>
      <c r="S129" s="149" t="s">
        <v>20985</v>
      </c>
      <c r="T129" s="157">
        <v>2</v>
      </c>
      <c r="U129" s="156" t="s">
        <v>40</v>
      </c>
      <c r="V129" s="149" t="s">
        <v>20986</v>
      </c>
      <c r="W129" s="157">
        <v>2</v>
      </c>
      <c r="X129" s="152"/>
      <c r="Y129" s="149" t="s">
        <v>47</v>
      </c>
      <c r="Z129" s="153"/>
      <c r="AA129" s="152"/>
      <c r="AB129" s="154" t="s">
        <v>6363</v>
      </c>
    </row>
    <row r="130" spans="1:28" x14ac:dyDescent="0.2">
      <c r="A130" s="146" t="s">
        <v>6364</v>
      </c>
      <c r="B130" s="147" t="s">
        <v>6130</v>
      </c>
      <c r="C130" s="147" t="s">
        <v>6365</v>
      </c>
      <c r="D130" s="148" t="s">
        <v>6160</v>
      </c>
      <c r="E130" s="149" t="s">
        <v>3833</v>
      </c>
      <c r="F130" s="160">
        <v>2</v>
      </c>
      <c r="G130" s="149" t="s">
        <v>6366</v>
      </c>
      <c r="H130" s="157">
        <v>2</v>
      </c>
      <c r="I130" s="156" t="s">
        <v>46</v>
      </c>
      <c r="J130" s="149" t="s">
        <v>3833</v>
      </c>
      <c r="K130" s="157">
        <v>2</v>
      </c>
      <c r="L130" s="156" t="s">
        <v>40</v>
      </c>
      <c r="M130" s="149" t="s">
        <v>3833</v>
      </c>
      <c r="N130" s="157">
        <v>2</v>
      </c>
      <c r="O130" s="152"/>
      <c r="P130" s="149" t="s">
        <v>20987</v>
      </c>
      <c r="Q130" s="157">
        <v>2</v>
      </c>
      <c r="R130" s="152"/>
      <c r="S130" s="149" t="s">
        <v>6367</v>
      </c>
      <c r="T130" s="158">
        <v>3</v>
      </c>
      <c r="U130" s="156" t="s">
        <v>46</v>
      </c>
      <c r="V130" s="149" t="s">
        <v>20988</v>
      </c>
      <c r="W130" s="157">
        <v>2</v>
      </c>
      <c r="X130" s="152"/>
      <c r="Y130" s="149" t="s">
        <v>47</v>
      </c>
      <c r="Z130" s="153"/>
      <c r="AA130" s="152"/>
      <c r="AB130" s="154" t="s">
        <v>6368</v>
      </c>
    </row>
    <row r="131" spans="1:28" x14ac:dyDescent="0.2">
      <c r="A131" s="146" t="s">
        <v>6369</v>
      </c>
      <c r="B131" s="147" t="s">
        <v>6130</v>
      </c>
      <c r="C131" s="147" t="s">
        <v>6370</v>
      </c>
      <c r="D131" s="148" t="s">
        <v>6163</v>
      </c>
      <c r="E131" s="149" t="s">
        <v>6371</v>
      </c>
      <c r="F131" s="159">
        <v>3</v>
      </c>
      <c r="G131" s="149" t="s">
        <v>6372</v>
      </c>
      <c r="H131" s="157">
        <v>2</v>
      </c>
      <c r="I131" s="156" t="s">
        <v>40</v>
      </c>
      <c r="J131" s="149" t="s">
        <v>6373</v>
      </c>
      <c r="K131" s="158">
        <v>3</v>
      </c>
      <c r="L131" s="152"/>
      <c r="M131" s="149" t="s">
        <v>6371</v>
      </c>
      <c r="N131" s="158">
        <v>3</v>
      </c>
      <c r="O131" s="152"/>
      <c r="P131" s="149" t="s">
        <v>20989</v>
      </c>
      <c r="Q131" s="157">
        <v>2</v>
      </c>
      <c r="R131" s="156" t="s">
        <v>46</v>
      </c>
      <c r="S131" s="149" t="s">
        <v>6374</v>
      </c>
      <c r="T131" s="157">
        <v>2</v>
      </c>
      <c r="U131" s="152"/>
      <c r="V131" s="149" t="s">
        <v>20990</v>
      </c>
      <c r="W131" s="157">
        <v>2</v>
      </c>
      <c r="X131" s="152"/>
      <c r="Y131" s="149" t="s">
        <v>47</v>
      </c>
      <c r="Z131" s="153"/>
      <c r="AA131" s="152"/>
      <c r="AB131" s="154" t="s">
        <v>6375</v>
      </c>
    </row>
    <row r="132" spans="1:28" x14ac:dyDescent="0.2">
      <c r="A132" s="146" t="s">
        <v>6376</v>
      </c>
      <c r="B132" s="147" t="s">
        <v>6130</v>
      </c>
      <c r="C132" s="147" t="s">
        <v>6159</v>
      </c>
      <c r="D132" s="148" t="s">
        <v>6132</v>
      </c>
      <c r="E132" s="149" t="s">
        <v>20991</v>
      </c>
      <c r="F132" s="160">
        <v>2</v>
      </c>
      <c r="G132" s="149" t="s">
        <v>20992</v>
      </c>
      <c r="H132" s="157">
        <v>2</v>
      </c>
      <c r="I132" s="152"/>
      <c r="J132" s="149" t="s">
        <v>20993</v>
      </c>
      <c r="K132" s="157">
        <v>2</v>
      </c>
      <c r="L132" s="152"/>
      <c r="M132" s="149" t="s">
        <v>20991</v>
      </c>
      <c r="N132" s="157">
        <v>2</v>
      </c>
      <c r="O132" s="152"/>
      <c r="P132" s="149" t="s">
        <v>20994</v>
      </c>
      <c r="Q132" s="157">
        <v>2</v>
      </c>
      <c r="R132" s="152"/>
      <c r="S132" s="149" t="s">
        <v>20995</v>
      </c>
      <c r="T132" s="157">
        <v>2</v>
      </c>
      <c r="U132" s="152"/>
      <c r="V132" s="149" t="s">
        <v>20996</v>
      </c>
      <c r="W132" s="157">
        <v>2</v>
      </c>
      <c r="X132" s="152"/>
      <c r="Y132" s="149" t="s">
        <v>47</v>
      </c>
      <c r="Z132" s="153"/>
      <c r="AA132" s="152"/>
      <c r="AB132" s="154" t="s">
        <v>6377</v>
      </c>
    </row>
    <row r="133" spans="1:28" x14ac:dyDescent="0.2">
      <c r="A133" s="146" t="s">
        <v>6378</v>
      </c>
      <c r="B133" s="147" t="s">
        <v>6130</v>
      </c>
      <c r="C133" s="147" t="s">
        <v>6379</v>
      </c>
      <c r="D133" s="148" t="s">
        <v>6163</v>
      </c>
      <c r="E133" s="149" t="s">
        <v>20997</v>
      </c>
      <c r="F133" s="160">
        <v>2</v>
      </c>
      <c r="G133" s="149" t="s">
        <v>20998</v>
      </c>
      <c r="H133" s="158">
        <v>3</v>
      </c>
      <c r="I133" s="156" t="s">
        <v>55</v>
      </c>
      <c r="J133" s="149" t="s">
        <v>16841</v>
      </c>
      <c r="K133" s="158">
        <v>3</v>
      </c>
      <c r="L133" s="156" t="s">
        <v>55</v>
      </c>
      <c r="M133" s="149" t="s">
        <v>20997</v>
      </c>
      <c r="N133" s="157">
        <v>2</v>
      </c>
      <c r="O133" s="156" t="s">
        <v>46</v>
      </c>
      <c r="P133" s="149" t="s">
        <v>9159</v>
      </c>
      <c r="Q133" s="155">
        <v>1</v>
      </c>
      <c r="R133" s="156" t="s">
        <v>40</v>
      </c>
      <c r="S133" s="149" t="s">
        <v>20999</v>
      </c>
      <c r="T133" s="155">
        <v>1</v>
      </c>
      <c r="U133" s="152"/>
      <c r="V133" s="149" t="s">
        <v>21000</v>
      </c>
      <c r="W133" s="155">
        <v>1</v>
      </c>
      <c r="X133" s="152"/>
      <c r="Y133" s="149" t="s">
        <v>47</v>
      </c>
      <c r="Z133" s="153"/>
      <c r="AA133" s="152"/>
      <c r="AB133" s="154" t="s">
        <v>6380</v>
      </c>
    </row>
    <row r="134" spans="1:28" x14ac:dyDescent="0.2">
      <c r="A134" s="146" t="s">
        <v>6381</v>
      </c>
      <c r="B134" s="147" t="s">
        <v>6130</v>
      </c>
      <c r="C134" s="147" t="s">
        <v>6203</v>
      </c>
      <c r="D134" s="148" t="s">
        <v>6132</v>
      </c>
      <c r="E134" s="149" t="s">
        <v>21001</v>
      </c>
      <c r="F134" s="160">
        <v>2</v>
      </c>
      <c r="G134" s="149" t="s">
        <v>21002</v>
      </c>
      <c r="H134" s="158">
        <v>3</v>
      </c>
      <c r="I134" s="156" t="s">
        <v>46</v>
      </c>
      <c r="J134" s="149" t="s">
        <v>21003</v>
      </c>
      <c r="K134" s="158">
        <v>3</v>
      </c>
      <c r="L134" s="156" t="s">
        <v>46</v>
      </c>
      <c r="M134" s="149" t="s">
        <v>21001</v>
      </c>
      <c r="N134" s="157">
        <v>2</v>
      </c>
      <c r="O134" s="152"/>
      <c r="P134" s="149" t="s">
        <v>21004</v>
      </c>
      <c r="Q134" s="157">
        <v>2</v>
      </c>
      <c r="R134" s="156" t="s">
        <v>46</v>
      </c>
      <c r="S134" s="149" t="s">
        <v>21005</v>
      </c>
      <c r="T134" s="157">
        <v>2</v>
      </c>
      <c r="U134" s="152"/>
      <c r="V134" s="149" t="s">
        <v>21006</v>
      </c>
      <c r="W134" s="155">
        <v>1</v>
      </c>
      <c r="X134" s="152"/>
      <c r="Y134" s="149" t="s">
        <v>47</v>
      </c>
      <c r="Z134" s="153"/>
      <c r="AA134" s="152"/>
      <c r="AB134" s="154" t="s">
        <v>6382</v>
      </c>
    </row>
    <row r="135" spans="1:28" x14ac:dyDescent="0.2">
      <c r="A135" s="146" t="s">
        <v>6383</v>
      </c>
      <c r="B135" s="147" t="s">
        <v>6130</v>
      </c>
      <c r="C135" s="147" t="s">
        <v>6384</v>
      </c>
      <c r="D135" s="148" t="s">
        <v>6170</v>
      </c>
      <c r="E135" s="149" t="s">
        <v>21007</v>
      </c>
      <c r="F135" s="161">
        <v>1</v>
      </c>
      <c r="G135" s="149" t="s">
        <v>6385</v>
      </c>
      <c r="H135" s="158">
        <v>3</v>
      </c>
      <c r="I135" s="156" t="s">
        <v>55</v>
      </c>
      <c r="J135" s="149" t="s">
        <v>21008</v>
      </c>
      <c r="K135" s="155">
        <v>1</v>
      </c>
      <c r="L135" s="152"/>
      <c r="M135" s="149" t="s">
        <v>21007</v>
      </c>
      <c r="N135" s="155">
        <v>1</v>
      </c>
      <c r="O135" s="152"/>
      <c r="P135" s="149" t="s">
        <v>15768</v>
      </c>
      <c r="Q135" s="155">
        <v>1</v>
      </c>
      <c r="R135" s="152"/>
      <c r="S135" s="149" t="s">
        <v>6386</v>
      </c>
      <c r="T135" s="158">
        <v>3</v>
      </c>
      <c r="U135" s="152"/>
      <c r="V135" s="149" t="s">
        <v>21009</v>
      </c>
      <c r="W135" s="158">
        <v>3</v>
      </c>
      <c r="X135" s="152"/>
      <c r="Y135" s="149" t="s">
        <v>47</v>
      </c>
      <c r="Z135" s="153"/>
      <c r="AA135" s="152"/>
      <c r="AB135" s="154" t="s">
        <v>6387</v>
      </c>
    </row>
    <row r="136" spans="1:28" x14ac:dyDescent="0.2">
      <c r="A136" s="146" t="s">
        <v>6388</v>
      </c>
      <c r="B136" s="147" t="s">
        <v>6130</v>
      </c>
      <c r="C136" s="147" t="s">
        <v>6206</v>
      </c>
      <c r="D136" s="148"/>
      <c r="E136" s="149" t="s">
        <v>21010</v>
      </c>
      <c r="F136" s="161">
        <v>1</v>
      </c>
      <c r="G136" s="149" t="s">
        <v>21011</v>
      </c>
      <c r="H136" s="157">
        <v>2</v>
      </c>
      <c r="I136" s="156" t="s">
        <v>40</v>
      </c>
      <c r="J136" s="149" t="s">
        <v>21012</v>
      </c>
      <c r="K136" s="157">
        <v>2</v>
      </c>
      <c r="L136" s="156" t="s">
        <v>46</v>
      </c>
      <c r="M136" s="149" t="s">
        <v>21010</v>
      </c>
      <c r="N136" s="155">
        <v>1</v>
      </c>
      <c r="O136" s="152"/>
      <c r="P136" s="149" t="s">
        <v>21013</v>
      </c>
      <c r="Q136" s="155">
        <v>1</v>
      </c>
      <c r="R136" s="152"/>
      <c r="S136" s="149" t="s">
        <v>47</v>
      </c>
      <c r="T136" s="153"/>
      <c r="U136" s="152"/>
      <c r="V136" s="149" t="s">
        <v>47</v>
      </c>
      <c r="W136" s="153"/>
      <c r="X136" s="152"/>
      <c r="Y136" s="149" t="s">
        <v>47</v>
      </c>
      <c r="Z136" s="153"/>
      <c r="AA136" s="152"/>
      <c r="AB136" s="154" t="s">
        <v>6389</v>
      </c>
    </row>
    <row r="137" spans="1:28" x14ac:dyDescent="0.2">
      <c r="A137" s="146" t="s">
        <v>6390</v>
      </c>
      <c r="B137" s="147" t="s">
        <v>6130</v>
      </c>
      <c r="C137" s="147" t="s">
        <v>6391</v>
      </c>
      <c r="D137" s="148" t="s">
        <v>6136</v>
      </c>
      <c r="E137" s="149" t="s">
        <v>683</v>
      </c>
      <c r="F137" s="161">
        <v>1</v>
      </c>
      <c r="G137" s="149" t="s">
        <v>714</v>
      </c>
      <c r="H137" s="158">
        <v>3</v>
      </c>
      <c r="I137" s="156" t="s">
        <v>55</v>
      </c>
      <c r="J137" s="149" t="s">
        <v>8842</v>
      </c>
      <c r="K137" s="157">
        <v>2</v>
      </c>
      <c r="L137" s="156" t="s">
        <v>46</v>
      </c>
      <c r="M137" s="149" t="s">
        <v>683</v>
      </c>
      <c r="N137" s="155">
        <v>1</v>
      </c>
      <c r="O137" s="152"/>
      <c r="P137" s="149" t="s">
        <v>21014</v>
      </c>
      <c r="Q137" s="157">
        <v>2</v>
      </c>
      <c r="R137" s="152"/>
      <c r="S137" s="149" t="s">
        <v>6392</v>
      </c>
      <c r="T137" s="158">
        <v>3</v>
      </c>
      <c r="U137" s="152"/>
      <c r="V137" s="149" t="s">
        <v>19161</v>
      </c>
      <c r="W137" s="158">
        <v>3</v>
      </c>
      <c r="X137" s="156" t="s">
        <v>46</v>
      </c>
      <c r="Y137" s="149" t="s">
        <v>47</v>
      </c>
      <c r="Z137" s="153"/>
      <c r="AA137" s="152"/>
      <c r="AB137" s="154" t="s">
        <v>6393</v>
      </c>
    </row>
    <row r="138" spans="1:28" x14ac:dyDescent="0.2">
      <c r="A138" s="146" t="s">
        <v>6394</v>
      </c>
      <c r="B138" s="147" t="s">
        <v>6130</v>
      </c>
      <c r="C138" s="147" t="s">
        <v>6395</v>
      </c>
      <c r="D138" s="148" t="s">
        <v>6163</v>
      </c>
      <c r="E138" s="149" t="s">
        <v>21015</v>
      </c>
      <c r="F138" s="160">
        <v>2</v>
      </c>
      <c r="G138" s="149" t="s">
        <v>21016</v>
      </c>
      <c r="H138" s="151">
        <v>4</v>
      </c>
      <c r="I138" s="156" t="s">
        <v>44</v>
      </c>
      <c r="J138" s="149" t="s">
        <v>8201</v>
      </c>
      <c r="K138" s="155">
        <v>1</v>
      </c>
      <c r="L138" s="152"/>
      <c r="M138" s="149" t="s">
        <v>21015</v>
      </c>
      <c r="N138" s="157">
        <v>2</v>
      </c>
      <c r="O138" s="156" t="s">
        <v>46</v>
      </c>
      <c r="P138" s="149" t="s">
        <v>6396</v>
      </c>
      <c r="Q138" s="157">
        <v>2</v>
      </c>
      <c r="R138" s="156" t="s">
        <v>46</v>
      </c>
      <c r="S138" s="149" t="s">
        <v>21017</v>
      </c>
      <c r="T138" s="155">
        <v>1</v>
      </c>
      <c r="U138" s="152"/>
      <c r="V138" s="149" t="s">
        <v>20712</v>
      </c>
      <c r="W138" s="155">
        <v>1</v>
      </c>
      <c r="X138" s="152"/>
      <c r="Y138" s="149" t="s">
        <v>47</v>
      </c>
      <c r="Z138" s="153"/>
      <c r="AA138" s="152"/>
      <c r="AB138" s="154" t="s">
        <v>6397</v>
      </c>
    </row>
    <row r="139" spans="1:28" x14ac:dyDescent="0.2">
      <c r="A139" s="146" t="s">
        <v>6398</v>
      </c>
      <c r="B139" s="147" t="s">
        <v>6130</v>
      </c>
      <c r="C139" s="147" t="s">
        <v>6206</v>
      </c>
      <c r="D139" s="148" t="s">
        <v>6160</v>
      </c>
      <c r="E139" s="149" t="s">
        <v>21018</v>
      </c>
      <c r="F139" s="150">
        <v>4</v>
      </c>
      <c r="G139" s="149" t="s">
        <v>21019</v>
      </c>
      <c r="H139" s="158">
        <v>3</v>
      </c>
      <c r="I139" s="152"/>
      <c r="J139" s="149" t="s">
        <v>21020</v>
      </c>
      <c r="K139" s="151">
        <v>4</v>
      </c>
      <c r="L139" s="152"/>
      <c r="M139" s="149" t="s">
        <v>21018</v>
      </c>
      <c r="N139" s="151">
        <v>4</v>
      </c>
      <c r="O139" s="152"/>
      <c r="P139" s="149" t="s">
        <v>21021</v>
      </c>
      <c r="Q139" s="151">
        <v>4</v>
      </c>
      <c r="R139" s="156" t="s">
        <v>46</v>
      </c>
      <c r="S139" s="149" t="s">
        <v>21022</v>
      </c>
      <c r="T139" s="158">
        <v>3</v>
      </c>
      <c r="U139" s="152"/>
      <c r="V139" s="149" t="s">
        <v>21023</v>
      </c>
      <c r="W139" s="158">
        <v>3</v>
      </c>
      <c r="X139" s="152"/>
      <c r="Y139" s="149" t="s">
        <v>47</v>
      </c>
      <c r="Z139" s="153"/>
      <c r="AA139" s="152"/>
      <c r="AB139" s="154" t="s">
        <v>6399</v>
      </c>
    </row>
    <row r="140" spans="1:28" x14ac:dyDescent="0.2">
      <c r="A140" s="146" t="s">
        <v>6400</v>
      </c>
      <c r="B140" s="147" t="s">
        <v>6130</v>
      </c>
      <c r="C140" s="147" t="s">
        <v>6206</v>
      </c>
      <c r="D140" s="148" t="s">
        <v>6136</v>
      </c>
      <c r="E140" s="149" t="s">
        <v>21024</v>
      </c>
      <c r="F140" s="159">
        <v>3</v>
      </c>
      <c r="G140" s="149" t="s">
        <v>21025</v>
      </c>
      <c r="H140" s="158">
        <v>3</v>
      </c>
      <c r="I140" s="152"/>
      <c r="J140" s="149" t="s">
        <v>21026</v>
      </c>
      <c r="K140" s="158">
        <v>3</v>
      </c>
      <c r="L140" s="152"/>
      <c r="M140" s="149" t="s">
        <v>21024</v>
      </c>
      <c r="N140" s="158">
        <v>3</v>
      </c>
      <c r="O140" s="156" t="s">
        <v>46</v>
      </c>
      <c r="P140" s="149" t="s">
        <v>21027</v>
      </c>
      <c r="Q140" s="157">
        <v>2</v>
      </c>
      <c r="R140" s="152"/>
      <c r="S140" s="149" t="s">
        <v>21028</v>
      </c>
      <c r="T140" s="158">
        <v>3</v>
      </c>
      <c r="U140" s="156" t="s">
        <v>46</v>
      </c>
      <c r="V140" s="149" t="s">
        <v>21029</v>
      </c>
      <c r="W140" s="157">
        <v>2</v>
      </c>
      <c r="X140" s="152"/>
      <c r="Y140" s="149" t="s">
        <v>47</v>
      </c>
      <c r="Z140" s="153"/>
      <c r="AA140" s="152"/>
      <c r="AB140" s="154" t="s">
        <v>6401</v>
      </c>
    </row>
    <row r="141" spans="1:28" x14ac:dyDescent="0.2">
      <c r="A141" s="146" t="s">
        <v>6402</v>
      </c>
      <c r="B141" s="147" t="s">
        <v>6130</v>
      </c>
      <c r="C141" s="147" t="s">
        <v>6403</v>
      </c>
      <c r="D141" s="148" t="s">
        <v>6136</v>
      </c>
      <c r="E141" s="149" t="s">
        <v>21030</v>
      </c>
      <c r="F141" s="159">
        <v>3</v>
      </c>
      <c r="G141" s="149" t="s">
        <v>21031</v>
      </c>
      <c r="H141" s="158">
        <v>3</v>
      </c>
      <c r="I141" s="152"/>
      <c r="J141" s="149" t="s">
        <v>13290</v>
      </c>
      <c r="K141" s="151">
        <v>4</v>
      </c>
      <c r="L141" s="156" t="s">
        <v>46</v>
      </c>
      <c r="M141" s="149" t="s">
        <v>21030</v>
      </c>
      <c r="N141" s="158">
        <v>3</v>
      </c>
      <c r="O141" s="156" t="s">
        <v>46</v>
      </c>
      <c r="P141" s="149" t="s">
        <v>21032</v>
      </c>
      <c r="Q141" s="158">
        <v>3</v>
      </c>
      <c r="R141" s="156" t="s">
        <v>46</v>
      </c>
      <c r="S141" s="149" t="s">
        <v>9065</v>
      </c>
      <c r="T141" s="158">
        <v>3</v>
      </c>
      <c r="U141" s="152"/>
      <c r="V141" s="149" t="s">
        <v>21033</v>
      </c>
      <c r="W141" s="158">
        <v>3</v>
      </c>
      <c r="X141" s="156" t="s">
        <v>46</v>
      </c>
      <c r="Y141" s="149" t="s">
        <v>47</v>
      </c>
      <c r="Z141" s="153"/>
      <c r="AA141" s="152"/>
      <c r="AB141" s="154" t="s">
        <v>6404</v>
      </c>
    </row>
    <row r="142" spans="1:28" x14ac:dyDescent="0.2">
      <c r="A142" s="146" t="s">
        <v>6405</v>
      </c>
      <c r="B142" s="147" t="s">
        <v>6130</v>
      </c>
      <c r="C142" s="147" t="s">
        <v>6206</v>
      </c>
      <c r="D142" s="148" t="s">
        <v>6132</v>
      </c>
      <c r="E142" s="149" t="s">
        <v>21034</v>
      </c>
      <c r="F142" s="160">
        <v>2</v>
      </c>
      <c r="G142" s="149" t="s">
        <v>21035</v>
      </c>
      <c r="H142" s="151">
        <v>4</v>
      </c>
      <c r="I142" s="156" t="s">
        <v>44</v>
      </c>
      <c r="J142" s="149" t="s">
        <v>21036</v>
      </c>
      <c r="K142" s="158">
        <v>3</v>
      </c>
      <c r="L142" s="156" t="s">
        <v>46</v>
      </c>
      <c r="M142" s="149" t="s">
        <v>21034</v>
      </c>
      <c r="N142" s="157">
        <v>2</v>
      </c>
      <c r="O142" s="152"/>
      <c r="P142" s="149" t="s">
        <v>21037</v>
      </c>
      <c r="Q142" s="151">
        <v>4</v>
      </c>
      <c r="R142" s="156" t="s">
        <v>46</v>
      </c>
      <c r="S142" s="149" t="s">
        <v>21038</v>
      </c>
      <c r="T142" s="155">
        <v>1</v>
      </c>
      <c r="U142" s="152"/>
      <c r="V142" s="149" t="s">
        <v>21039</v>
      </c>
      <c r="W142" s="157">
        <v>2</v>
      </c>
      <c r="X142" s="152"/>
      <c r="Y142" s="149" t="s">
        <v>47</v>
      </c>
      <c r="Z142" s="153"/>
      <c r="AA142" s="152"/>
      <c r="AB142" s="154" t="s">
        <v>6406</v>
      </c>
    </row>
    <row r="143" spans="1:28" x14ac:dyDescent="0.2">
      <c r="A143" s="146" t="s">
        <v>6407</v>
      </c>
      <c r="B143" s="147" t="s">
        <v>6130</v>
      </c>
      <c r="C143" s="147" t="s">
        <v>6408</v>
      </c>
      <c r="D143" s="148" t="s">
        <v>6170</v>
      </c>
      <c r="E143" s="149" t="s">
        <v>21040</v>
      </c>
      <c r="F143" s="160">
        <v>2</v>
      </c>
      <c r="G143" s="149" t="s">
        <v>21041</v>
      </c>
      <c r="H143" s="151">
        <v>4</v>
      </c>
      <c r="I143" s="156" t="s">
        <v>44</v>
      </c>
      <c r="J143" s="149" t="s">
        <v>21042</v>
      </c>
      <c r="K143" s="155">
        <v>1</v>
      </c>
      <c r="L143" s="152"/>
      <c r="M143" s="149" t="s">
        <v>21040</v>
      </c>
      <c r="N143" s="157">
        <v>2</v>
      </c>
      <c r="O143" s="156" t="s">
        <v>46</v>
      </c>
      <c r="P143" s="149" t="s">
        <v>21043</v>
      </c>
      <c r="Q143" s="158">
        <v>3</v>
      </c>
      <c r="R143" s="156" t="s">
        <v>55</v>
      </c>
      <c r="S143" s="149" t="s">
        <v>21044</v>
      </c>
      <c r="T143" s="151">
        <v>4</v>
      </c>
      <c r="U143" s="152"/>
      <c r="V143" s="149" t="s">
        <v>14705</v>
      </c>
      <c r="W143" s="151">
        <v>4</v>
      </c>
      <c r="X143" s="156" t="s">
        <v>46</v>
      </c>
      <c r="Y143" s="149" t="s">
        <v>47</v>
      </c>
      <c r="Z143" s="153"/>
      <c r="AA143" s="152"/>
      <c r="AB143" s="154" t="s">
        <v>6409</v>
      </c>
    </row>
    <row r="144" spans="1:28" x14ac:dyDescent="0.2">
      <c r="A144" s="146" t="s">
        <v>6410</v>
      </c>
      <c r="B144" s="147" t="s">
        <v>6130</v>
      </c>
      <c r="C144" s="147" t="s">
        <v>6411</v>
      </c>
      <c r="D144" s="148" t="s">
        <v>6132</v>
      </c>
      <c r="E144" s="149" t="s">
        <v>6412</v>
      </c>
      <c r="F144" s="161">
        <v>1</v>
      </c>
      <c r="G144" s="149" t="s">
        <v>6272</v>
      </c>
      <c r="H144" s="158">
        <v>3</v>
      </c>
      <c r="I144" s="156" t="s">
        <v>46</v>
      </c>
      <c r="J144" s="149" t="s">
        <v>6413</v>
      </c>
      <c r="K144" s="157">
        <v>2</v>
      </c>
      <c r="L144" s="156" t="s">
        <v>46</v>
      </c>
      <c r="M144" s="149" t="s">
        <v>6412</v>
      </c>
      <c r="N144" s="155">
        <v>1</v>
      </c>
      <c r="O144" s="152"/>
      <c r="P144" s="149" t="s">
        <v>3424</v>
      </c>
      <c r="Q144" s="155">
        <v>1</v>
      </c>
      <c r="R144" s="152"/>
      <c r="S144" s="149" t="s">
        <v>21045</v>
      </c>
      <c r="T144" s="157">
        <v>2</v>
      </c>
      <c r="U144" s="152"/>
      <c r="V144" s="149" t="s">
        <v>9924</v>
      </c>
      <c r="W144" s="157">
        <v>2</v>
      </c>
      <c r="X144" s="156" t="s">
        <v>46</v>
      </c>
      <c r="Y144" s="149" t="s">
        <v>47</v>
      </c>
      <c r="Z144" s="153"/>
      <c r="AA144" s="152"/>
      <c r="AB144" s="154" t="s">
        <v>6414</v>
      </c>
    </row>
    <row r="145" spans="1:28" x14ac:dyDescent="0.2">
      <c r="A145" s="146" t="s">
        <v>6415</v>
      </c>
      <c r="B145" s="147" t="s">
        <v>6130</v>
      </c>
      <c r="C145" s="147" t="s">
        <v>6416</v>
      </c>
      <c r="D145" s="148" t="s">
        <v>6160</v>
      </c>
      <c r="E145" s="149" t="s">
        <v>21046</v>
      </c>
      <c r="F145" s="150">
        <v>4</v>
      </c>
      <c r="G145" s="149" t="s">
        <v>21047</v>
      </c>
      <c r="H145" s="151">
        <v>4</v>
      </c>
      <c r="I145" s="156" t="s">
        <v>46</v>
      </c>
      <c r="J145" s="149" t="s">
        <v>21048</v>
      </c>
      <c r="K145" s="151">
        <v>4</v>
      </c>
      <c r="L145" s="152"/>
      <c r="M145" s="149" t="s">
        <v>21046</v>
      </c>
      <c r="N145" s="151">
        <v>4</v>
      </c>
      <c r="O145" s="152"/>
      <c r="P145" s="149" t="s">
        <v>21049</v>
      </c>
      <c r="Q145" s="151">
        <v>4</v>
      </c>
      <c r="R145" s="156" t="s">
        <v>46</v>
      </c>
      <c r="S145" s="149" t="s">
        <v>17498</v>
      </c>
      <c r="T145" s="158">
        <v>3</v>
      </c>
      <c r="U145" s="152"/>
      <c r="V145" s="149" t="s">
        <v>21050</v>
      </c>
      <c r="W145" s="158">
        <v>3</v>
      </c>
      <c r="X145" s="152"/>
      <c r="Y145" s="149" t="s">
        <v>47</v>
      </c>
      <c r="Z145" s="153"/>
      <c r="AA145" s="152"/>
      <c r="AB145" s="154" t="s">
        <v>6417</v>
      </c>
    </row>
    <row r="146" spans="1:28" x14ac:dyDescent="0.2">
      <c r="A146" s="146" t="s">
        <v>6418</v>
      </c>
      <c r="B146" s="147" t="s">
        <v>6130</v>
      </c>
      <c r="C146" s="147" t="s">
        <v>6419</v>
      </c>
      <c r="D146" s="148" t="s">
        <v>6163</v>
      </c>
      <c r="E146" s="149" t="s">
        <v>6420</v>
      </c>
      <c r="F146" s="160">
        <v>2</v>
      </c>
      <c r="G146" s="149" t="s">
        <v>21051</v>
      </c>
      <c r="H146" s="157">
        <v>2</v>
      </c>
      <c r="I146" s="152"/>
      <c r="J146" s="149" t="s">
        <v>21052</v>
      </c>
      <c r="K146" s="157">
        <v>2</v>
      </c>
      <c r="L146" s="152"/>
      <c r="M146" s="149" t="s">
        <v>6420</v>
      </c>
      <c r="N146" s="157">
        <v>2</v>
      </c>
      <c r="O146" s="152"/>
      <c r="P146" s="149" t="s">
        <v>21053</v>
      </c>
      <c r="Q146" s="155">
        <v>1</v>
      </c>
      <c r="R146" s="152"/>
      <c r="S146" s="149" t="s">
        <v>21054</v>
      </c>
      <c r="T146" s="158">
        <v>3</v>
      </c>
      <c r="U146" s="152"/>
      <c r="V146" s="149" t="s">
        <v>21055</v>
      </c>
      <c r="W146" s="157">
        <v>2</v>
      </c>
      <c r="X146" s="152"/>
      <c r="Y146" s="149" t="s">
        <v>47</v>
      </c>
      <c r="Z146" s="153"/>
      <c r="AA146" s="152"/>
      <c r="AB146" s="154" t="s">
        <v>6421</v>
      </c>
    </row>
    <row r="147" spans="1:28" x14ac:dyDescent="0.2">
      <c r="A147" s="146" t="s">
        <v>6422</v>
      </c>
      <c r="B147" s="147" t="s">
        <v>6130</v>
      </c>
      <c r="C147" s="147" t="s">
        <v>6206</v>
      </c>
      <c r="D147" s="148"/>
      <c r="E147" s="149" t="s">
        <v>21056</v>
      </c>
      <c r="F147" s="160">
        <v>2</v>
      </c>
      <c r="G147" s="149" t="s">
        <v>21057</v>
      </c>
      <c r="H147" s="155">
        <v>1</v>
      </c>
      <c r="I147" s="156" t="s">
        <v>53</v>
      </c>
      <c r="J147" s="149" t="s">
        <v>21058</v>
      </c>
      <c r="K147" s="151">
        <v>4</v>
      </c>
      <c r="L147" s="152"/>
      <c r="M147" s="149" t="s">
        <v>21056</v>
      </c>
      <c r="N147" s="157">
        <v>2</v>
      </c>
      <c r="O147" s="156" t="s">
        <v>53</v>
      </c>
      <c r="P147" s="149" t="s">
        <v>21059</v>
      </c>
      <c r="Q147" s="158">
        <v>3</v>
      </c>
      <c r="R147" s="156" t="s">
        <v>46</v>
      </c>
      <c r="S147" s="149" t="s">
        <v>47</v>
      </c>
      <c r="T147" s="153"/>
      <c r="U147" s="152"/>
      <c r="V147" s="149" t="s">
        <v>47</v>
      </c>
      <c r="W147" s="153"/>
      <c r="X147" s="152"/>
      <c r="Y147" s="149" t="s">
        <v>47</v>
      </c>
      <c r="Z147" s="153"/>
      <c r="AA147" s="152"/>
      <c r="AB147" s="154" t="s">
        <v>6423</v>
      </c>
    </row>
    <row r="148" spans="1:28" x14ac:dyDescent="0.2">
      <c r="A148" s="146" t="s">
        <v>6424</v>
      </c>
      <c r="B148" s="147" t="s">
        <v>6130</v>
      </c>
      <c r="C148" s="147" t="s">
        <v>6206</v>
      </c>
      <c r="D148" s="148"/>
      <c r="E148" s="149" t="s">
        <v>21060</v>
      </c>
      <c r="F148" s="160">
        <v>2</v>
      </c>
      <c r="G148" s="149" t="s">
        <v>21061</v>
      </c>
      <c r="H148" s="151">
        <v>4</v>
      </c>
      <c r="I148" s="156" t="s">
        <v>44</v>
      </c>
      <c r="J148" s="149" t="s">
        <v>21062</v>
      </c>
      <c r="K148" s="158">
        <v>3</v>
      </c>
      <c r="L148" s="156" t="s">
        <v>46</v>
      </c>
      <c r="M148" s="149" t="s">
        <v>21060</v>
      </c>
      <c r="N148" s="157">
        <v>2</v>
      </c>
      <c r="O148" s="156" t="s">
        <v>46</v>
      </c>
      <c r="P148" s="149" t="s">
        <v>21063</v>
      </c>
      <c r="Q148" s="151">
        <v>4</v>
      </c>
      <c r="R148" s="156" t="s">
        <v>46</v>
      </c>
      <c r="S148" s="149" t="s">
        <v>47</v>
      </c>
      <c r="T148" s="153"/>
      <c r="U148" s="152"/>
      <c r="V148" s="149" t="s">
        <v>47</v>
      </c>
      <c r="W148" s="153"/>
      <c r="X148" s="152"/>
      <c r="Y148" s="149" t="s">
        <v>47</v>
      </c>
      <c r="Z148" s="153"/>
      <c r="AA148" s="152"/>
      <c r="AB148" s="154" t="s">
        <v>6425</v>
      </c>
    </row>
    <row r="149" spans="1:28" x14ac:dyDescent="0.2">
      <c r="A149" s="146" t="s">
        <v>6426</v>
      </c>
      <c r="B149" s="147" t="s">
        <v>6130</v>
      </c>
      <c r="C149" s="147" t="s">
        <v>6427</v>
      </c>
      <c r="D149" s="148" t="s">
        <v>6170</v>
      </c>
      <c r="E149" s="149" t="s">
        <v>6428</v>
      </c>
      <c r="F149" s="160">
        <v>2</v>
      </c>
      <c r="G149" s="149" t="s">
        <v>2852</v>
      </c>
      <c r="H149" s="158">
        <v>3</v>
      </c>
      <c r="I149" s="156" t="s">
        <v>55</v>
      </c>
      <c r="J149" s="149" t="s">
        <v>6429</v>
      </c>
      <c r="K149" s="155">
        <v>1</v>
      </c>
      <c r="L149" s="156" t="s">
        <v>40</v>
      </c>
      <c r="M149" s="149" t="s">
        <v>6428</v>
      </c>
      <c r="N149" s="157">
        <v>2</v>
      </c>
      <c r="O149" s="152"/>
      <c r="P149" s="149" t="s">
        <v>647</v>
      </c>
      <c r="Q149" s="158">
        <v>3</v>
      </c>
      <c r="R149" s="156" t="s">
        <v>40</v>
      </c>
      <c r="S149" s="149" t="s">
        <v>21064</v>
      </c>
      <c r="T149" s="151">
        <v>4</v>
      </c>
      <c r="U149" s="152"/>
      <c r="V149" s="149" t="s">
        <v>21065</v>
      </c>
      <c r="W149" s="151">
        <v>4</v>
      </c>
      <c r="X149" s="152"/>
      <c r="Y149" s="149" t="s">
        <v>47</v>
      </c>
      <c r="Z149" s="153"/>
      <c r="AA149" s="152"/>
      <c r="AB149" s="154" t="s">
        <v>6430</v>
      </c>
    </row>
    <row r="150" spans="1:28" x14ac:dyDescent="0.2">
      <c r="A150" s="146" t="s">
        <v>6431</v>
      </c>
      <c r="B150" s="147" t="s">
        <v>6130</v>
      </c>
      <c r="C150" s="147" t="s">
        <v>6206</v>
      </c>
      <c r="D150" s="148" t="s">
        <v>6136</v>
      </c>
      <c r="E150" s="149" t="s">
        <v>21066</v>
      </c>
      <c r="F150" s="159">
        <v>3</v>
      </c>
      <c r="G150" s="149" t="s">
        <v>21067</v>
      </c>
      <c r="H150" s="158">
        <v>3</v>
      </c>
      <c r="I150" s="156" t="s">
        <v>46</v>
      </c>
      <c r="J150" s="149" t="s">
        <v>21068</v>
      </c>
      <c r="K150" s="158">
        <v>3</v>
      </c>
      <c r="L150" s="152"/>
      <c r="M150" s="149" t="s">
        <v>21066</v>
      </c>
      <c r="N150" s="158">
        <v>3</v>
      </c>
      <c r="O150" s="156" t="s">
        <v>46</v>
      </c>
      <c r="P150" s="149" t="s">
        <v>21069</v>
      </c>
      <c r="Q150" s="157">
        <v>2</v>
      </c>
      <c r="R150" s="152"/>
      <c r="S150" s="149" t="s">
        <v>21070</v>
      </c>
      <c r="T150" s="157">
        <v>2</v>
      </c>
      <c r="U150" s="152"/>
      <c r="V150" s="149" t="s">
        <v>21071</v>
      </c>
      <c r="W150" s="157">
        <v>2</v>
      </c>
      <c r="X150" s="152"/>
      <c r="Y150" s="149" t="s">
        <v>47</v>
      </c>
      <c r="Z150" s="153"/>
      <c r="AA150" s="152"/>
      <c r="AB150" s="154" t="s">
        <v>6432</v>
      </c>
    </row>
    <row r="151" spans="1:28" x14ac:dyDescent="0.2">
      <c r="A151" s="146" t="s">
        <v>6433</v>
      </c>
      <c r="B151" s="147" t="s">
        <v>6130</v>
      </c>
      <c r="C151" s="147" t="s">
        <v>6165</v>
      </c>
      <c r="D151" s="148" t="s">
        <v>6160</v>
      </c>
      <c r="E151" s="149" t="s">
        <v>2098</v>
      </c>
      <c r="F151" s="161">
        <v>1</v>
      </c>
      <c r="G151" s="149" t="s">
        <v>21072</v>
      </c>
      <c r="H151" s="158">
        <v>3</v>
      </c>
      <c r="I151" s="156" t="s">
        <v>55</v>
      </c>
      <c r="J151" s="149" t="s">
        <v>21073</v>
      </c>
      <c r="K151" s="155">
        <v>1</v>
      </c>
      <c r="L151" s="152"/>
      <c r="M151" s="149" t="s">
        <v>2098</v>
      </c>
      <c r="N151" s="155">
        <v>1</v>
      </c>
      <c r="O151" s="152"/>
      <c r="P151" s="149" t="s">
        <v>21074</v>
      </c>
      <c r="Q151" s="158">
        <v>3</v>
      </c>
      <c r="R151" s="152"/>
      <c r="S151" s="149" t="s">
        <v>21075</v>
      </c>
      <c r="T151" s="151">
        <v>4</v>
      </c>
      <c r="U151" s="152"/>
      <c r="V151" s="149" t="s">
        <v>6434</v>
      </c>
      <c r="W151" s="158">
        <v>3</v>
      </c>
      <c r="X151" s="156" t="s">
        <v>46</v>
      </c>
      <c r="Y151" s="149" t="s">
        <v>47</v>
      </c>
      <c r="Z151" s="153"/>
      <c r="AA151" s="152"/>
      <c r="AB151" s="154" t="s">
        <v>6435</v>
      </c>
    </row>
    <row r="152" spans="1:28" x14ac:dyDescent="0.2">
      <c r="A152" s="146" t="s">
        <v>6436</v>
      </c>
      <c r="B152" s="147" t="s">
        <v>6130</v>
      </c>
      <c r="C152" s="147" t="s">
        <v>6206</v>
      </c>
      <c r="D152" s="148" t="s">
        <v>6170</v>
      </c>
      <c r="E152" s="149" t="s">
        <v>21076</v>
      </c>
      <c r="F152" s="150">
        <v>4</v>
      </c>
      <c r="G152" s="149" t="s">
        <v>21077</v>
      </c>
      <c r="H152" s="157">
        <v>2</v>
      </c>
      <c r="I152" s="156" t="s">
        <v>53</v>
      </c>
      <c r="J152" s="149" t="s">
        <v>21078</v>
      </c>
      <c r="K152" s="151">
        <v>4</v>
      </c>
      <c r="L152" s="152"/>
      <c r="M152" s="149" t="s">
        <v>21076</v>
      </c>
      <c r="N152" s="151">
        <v>4</v>
      </c>
      <c r="O152" s="156" t="s">
        <v>46</v>
      </c>
      <c r="P152" s="149" t="s">
        <v>21079</v>
      </c>
      <c r="Q152" s="155">
        <v>1</v>
      </c>
      <c r="R152" s="152"/>
      <c r="S152" s="149" t="s">
        <v>21080</v>
      </c>
      <c r="T152" s="151">
        <v>4</v>
      </c>
      <c r="U152" s="152"/>
      <c r="V152" s="149" t="s">
        <v>21081</v>
      </c>
      <c r="W152" s="158">
        <v>3</v>
      </c>
      <c r="X152" s="152"/>
      <c r="Y152" s="149" t="s">
        <v>47</v>
      </c>
      <c r="Z152" s="153"/>
      <c r="AA152" s="152"/>
      <c r="AB152" s="154" t="s">
        <v>6437</v>
      </c>
    </row>
    <row r="153" spans="1:28" x14ac:dyDescent="0.2">
      <c r="A153" s="146" t="s">
        <v>6438</v>
      </c>
      <c r="B153" s="147" t="s">
        <v>6130</v>
      </c>
      <c r="C153" s="147" t="s">
        <v>6213</v>
      </c>
      <c r="D153" s="148" t="s">
        <v>6132</v>
      </c>
      <c r="E153" s="149" t="s">
        <v>21082</v>
      </c>
      <c r="F153" s="159">
        <v>3</v>
      </c>
      <c r="G153" s="149" t="s">
        <v>18139</v>
      </c>
      <c r="H153" s="158">
        <v>3</v>
      </c>
      <c r="I153" s="152"/>
      <c r="J153" s="149" t="s">
        <v>6439</v>
      </c>
      <c r="K153" s="158">
        <v>3</v>
      </c>
      <c r="L153" s="156" t="s">
        <v>46</v>
      </c>
      <c r="M153" s="149" t="s">
        <v>21082</v>
      </c>
      <c r="N153" s="158">
        <v>3</v>
      </c>
      <c r="O153" s="156" t="s">
        <v>46</v>
      </c>
      <c r="P153" s="149" t="s">
        <v>12197</v>
      </c>
      <c r="Q153" s="157">
        <v>2</v>
      </c>
      <c r="R153" s="156" t="s">
        <v>46</v>
      </c>
      <c r="S153" s="149" t="s">
        <v>21083</v>
      </c>
      <c r="T153" s="155">
        <v>1</v>
      </c>
      <c r="U153" s="152"/>
      <c r="V153" s="149" t="s">
        <v>21084</v>
      </c>
      <c r="W153" s="157">
        <v>2</v>
      </c>
      <c r="X153" s="156" t="s">
        <v>46</v>
      </c>
      <c r="Y153" s="149" t="s">
        <v>47</v>
      </c>
      <c r="Z153" s="153"/>
      <c r="AA153" s="152"/>
      <c r="AB153" s="154" t="s">
        <v>6440</v>
      </c>
    </row>
    <row r="154" spans="1:28" x14ac:dyDescent="0.2">
      <c r="A154" s="146" t="s">
        <v>6441</v>
      </c>
      <c r="B154" s="147" t="s">
        <v>6130</v>
      </c>
      <c r="C154" s="147" t="s">
        <v>6442</v>
      </c>
      <c r="D154" s="148" t="s">
        <v>6160</v>
      </c>
      <c r="E154" s="149" t="s">
        <v>12881</v>
      </c>
      <c r="F154" s="150">
        <v>4</v>
      </c>
      <c r="G154" s="149" t="s">
        <v>21085</v>
      </c>
      <c r="H154" s="158">
        <v>3</v>
      </c>
      <c r="I154" s="156" t="s">
        <v>40</v>
      </c>
      <c r="J154" s="149" t="s">
        <v>11205</v>
      </c>
      <c r="K154" s="151">
        <v>4</v>
      </c>
      <c r="L154" s="152"/>
      <c r="M154" s="149" t="s">
        <v>12881</v>
      </c>
      <c r="N154" s="151">
        <v>4</v>
      </c>
      <c r="O154" s="156" t="s">
        <v>46</v>
      </c>
      <c r="P154" s="149" t="s">
        <v>6443</v>
      </c>
      <c r="Q154" s="158">
        <v>3</v>
      </c>
      <c r="R154" s="156" t="s">
        <v>46</v>
      </c>
      <c r="S154" s="149" t="s">
        <v>6444</v>
      </c>
      <c r="T154" s="158">
        <v>3</v>
      </c>
      <c r="U154" s="152"/>
      <c r="V154" s="149" t="s">
        <v>6445</v>
      </c>
      <c r="W154" s="157">
        <v>2</v>
      </c>
      <c r="X154" s="152"/>
      <c r="Y154" s="149" t="s">
        <v>47</v>
      </c>
      <c r="Z154" s="153"/>
      <c r="AA154" s="152"/>
      <c r="AB154" s="154" t="s">
        <v>6446</v>
      </c>
    </row>
    <row r="155" spans="1:28" x14ac:dyDescent="0.2">
      <c r="A155" s="146" t="s">
        <v>6447</v>
      </c>
      <c r="B155" s="147" t="s">
        <v>6130</v>
      </c>
      <c r="C155" s="147" t="s">
        <v>6448</v>
      </c>
      <c r="D155" s="148" t="s">
        <v>6170</v>
      </c>
      <c r="E155" s="149" t="s">
        <v>21086</v>
      </c>
      <c r="F155" s="150">
        <v>4</v>
      </c>
      <c r="G155" s="149" t="s">
        <v>554</v>
      </c>
      <c r="H155" s="158">
        <v>3</v>
      </c>
      <c r="I155" s="156" t="s">
        <v>46</v>
      </c>
      <c r="J155" s="149" t="s">
        <v>21087</v>
      </c>
      <c r="K155" s="151">
        <v>4</v>
      </c>
      <c r="L155" s="152"/>
      <c r="M155" s="149" t="s">
        <v>21086</v>
      </c>
      <c r="N155" s="151">
        <v>4</v>
      </c>
      <c r="O155" s="156" t="s">
        <v>46</v>
      </c>
      <c r="P155" s="149" t="s">
        <v>3614</v>
      </c>
      <c r="Q155" s="151">
        <v>4</v>
      </c>
      <c r="R155" s="156" t="s">
        <v>46</v>
      </c>
      <c r="S155" s="149" t="s">
        <v>21088</v>
      </c>
      <c r="T155" s="151">
        <v>4</v>
      </c>
      <c r="U155" s="152"/>
      <c r="V155" s="149" t="s">
        <v>3430</v>
      </c>
      <c r="W155" s="151">
        <v>4</v>
      </c>
      <c r="X155" s="152"/>
      <c r="Y155" s="149" t="s">
        <v>47</v>
      </c>
      <c r="Z155" s="153"/>
      <c r="AA155" s="152"/>
      <c r="AB155" s="154" t="s">
        <v>6449</v>
      </c>
    </row>
    <row r="156" spans="1:28" x14ac:dyDescent="0.2">
      <c r="A156" s="146" t="s">
        <v>6450</v>
      </c>
      <c r="B156" s="147" t="s">
        <v>6130</v>
      </c>
      <c r="C156" s="147" t="s">
        <v>6268</v>
      </c>
      <c r="D156" s="148" t="s">
        <v>6170</v>
      </c>
      <c r="E156" s="149" t="s">
        <v>6451</v>
      </c>
      <c r="F156" s="150">
        <v>4</v>
      </c>
      <c r="G156" s="149" t="s">
        <v>20805</v>
      </c>
      <c r="H156" s="155">
        <v>1</v>
      </c>
      <c r="I156" s="156" t="s">
        <v>53</v>
      </c>
      <c r="J156" s="149" t="s">
        <v>21089</v>
      </c>
      <c r="K156" s="158">
        <v>3</v>
      </c>
      <c r="L156" s="156" t="s">
        <v>40</v>
      </c>
      <c r="M156" s="149" t="s">
        <v>6451</v>
      </c>
      <c r="N156" s="151">
        <v>4</v>
      </c>
      <c r="O156" s="152"/>
      <c r="P156" s="149" t="s">
        <v>6452</v>
      </c>
      <c r="Q156" s="158">
        <v>3</v>
      </c>
      <c r="R156" s="152"/>
      <c r="S156" s="149" t="s">
        <v>9041</v>
      </c>
      <c r="T156" s="151">
        <v>4</v>
      </c>
      <c r="U156" s="152"/>
      <c r="V156" s="149" t="s">
        <v>21090</v>
      </c>
      <c r="W156" s="151">
        <v>4</v>
      </c>
      <c r="X156" s="152"/>
      <c r="Y156" s="149" t="s">
        <v>47</v>
      </c>
      <c r="Z156" s="153"/>
      <c r="AA156" s="152"/>
      <c r="AB156" s="154" t="s">
        <v>6453</v>
      </c>
    </row>
    <row r="157" spans="1:28" x14ac:dyDescent="0.2">
      <c r="A157" s="146" t="s">
        <v>6454</v>
      </c>
      <c r="B157" s="147" t="s">
        <v>6130</v>
      </c>
      <c r="C157" s="147" t="s">
        <v>6342</v>
      </c>
      <c r="D157" s="148" t="s">
        <v>6132</v>
      </c>
      <c r="E157" s="149" t="s">
        <v>21091</v>
      </c>
      <c r="F157" s="159">
        <v>3</v>
      </c>
      <c r="G157" s="149" t="s">
        <v>21092</v>
      </c>
      <c r="H157" s="158">
        <v>3</v>
      </c>
      <c r="I157" s="152"/>
      <c r="J157" s="149" t="s">
        <v>21093</v>
      </c>
      <c r="K157" s="158">
        <v>3</v>
      </c>
      <c r="L157" s="152"/>
      <c r="M157" s="149" t="s">
        <v>21091</v>
      </c>
      <c r="N157" s="158">
        <v>3</v>
      </c>
      <c r="O157" s="152"/>
      <c r="P157" s="149" t="s">
        <v>21094</v>
      </c>
      <c r="Q157" s="158">
        <v>3</v>
      </c>
      <c r="R157" s="152"/>
      <c r="S157" s="149" t="s">
        <v>21095</v>
      </c>
      <c r="T157" s="158">
        <v>3</v>
      </c>
      <c r="U157" s="152"/>
      <c r="V157" s="149" t="s">
        <v>21096</v>
      </c>
      <c r="W157" s="158">
        <v>3</v>
      </c>
      <c r="X157" s="152"/>
      <c r="Y157" s="149" t="s">
        <v>47</v>
      </c>
      <c r="Z157" s="153"/>
      <c r="AA157" s="152"/>
      <c r="AB157" s="154" t="s">
        <v>6455</v>
      </c>
    </row>
    <row r="158" spans="1:28" x14ac:dyDescent="0.2">
      <c r="A158" s="146" t="s">
        <v>6456</v>
      </c>
      <c r="B158" s="147" t="s">
        <v>6130</v>
      </c>
      <c r="C158" s="147" t="s">
        <v>6457</v>
      </c>
      <c r="D158" s="148"/>
      <c r="E158" s="149" t="s">
        <v>20988</v>
      </c>
      <c r="F158" s="160">
        <v>2</v>
      </c>
      <c r="G158" s="149" t="s">
        <v>21097</v>
      </c>
      <c r="H158" s="158">
        <v>3</v>
      </c>
      <c r="I158" s="156" t="s">
        <v>46</v>
      </c>
      <c r="J158" s="149" t="s">
        <v>21098</v>
      </c>
      <c r="K158" s="157">
        <v>2</v>
      </c>
      <c r="L158" s="152"/>
      <c r="M158" s="149" t="s">
        <v>20988</v>
      </c>
      <c r="N158" s="157">
        <v>2</v>
      </c>
      <c r="O158" s="152"/>
      <c r="P158" s="149" t="s">
        <v>6458</v>
      </c>
      <c r="Q158" s="157">
        <v>2</v>
      </c>
      <c r="R158" s="156" t="s">
        <v>40</v>
      </c>
      <c r="S158" s="149" t="s">
        <v>8359</v>
      </c>
      <c r="T158" s="157">
        <v>2</v>
      </c>
      <c r="U158" s="156" t="s">
        <v>46</v>
      </c>
      <c r="V158" s="149" t="s">
        <v>6459</v>
      </c>
      <c r="W158" s="155">
        <v>1</v>
      </c>
      <c r="X158" s="152"/>
      <c r="Y158" s="149" t="s">
        <v>47</v>
      </c>
      <c r="Z158" s="153"/>
      <c r="AA158" s="152"/>
      <c r="AB158" s="154" t="s">
        <v>6460</v>
      </c>
    </row>
    <row r="159" spans="1:28" x14ac:dyDescent="0.2">
      <c r="A159" s="146" t="s">
        <v>6461</v>
      </c>
      <c r="B159" s="147" t="s">
        <v>6130</v>
      </c>
      <c r="C159" s="147" t="s">
        <v>6462</v>
      </c>
      <c r="D159" s="148" t="s">
        <v>6170</v>
      </c>
      <c r="E159" s="149" t="s">
        <v>21099</v>
      </c>
      <c r="F159" s="160">
        <v>2</v>
      </c>
      <c r="G159" s="149" t="s">
        <v>21100</v>
      </c>
      <c r="H159" s="158">
        <v>3</v>
      </c>
      <c r="I159" s="156" t="s">
        <v>46</v>
      </c>
      <c r="J159" s="149" t="s">
        <v>21101</v>
      </c>
      <c r="K159" s="158">
        <v>3</v>
      </c>
      <c r="L159" s="156" t="s">
        <v>46</v>
      </c>
      <c r="M159" s="149" t="s">
        <v>21099</v>
      </c>
      <c r="N159" s="157">
        <v>2</v>
      </c>
      <c r="O159" s="152"/>
      <c r="P159" s="149" t="s">
        <v>9191</v>
      </c>
      <c r="Q159" s="158">
        <v>3</v>
      </c>
      <c r="R159" s="152"/>
      <c r="S159" s="149" t="s">
        <v>20942</v>
      </c>
      <c r="T159" s="151">
        <v>4</v>
      </c>
      <c r="U159" s="152"/>
      <c r="V159" s="149" t="s">
        <v>6463</v>
      </c>
      <c r="W159" s="151">
        <v>4</v>
      </c>
      <c r="X159" s="152"/>
      <c r="Y159" s="149" t="s">
        <v>47</v>
      </c>
      <c r="Z159" s="153"/>
      <c r="AA159" s="152"/>
      <c r="AB159" s="154" t="s">
        <v>6464</v>
      </c>
    </row>
    <row r="160" spans="1:28" x14ac:dyDescent="0.2">
      <c r="A160" s="146" t="s">
        <v>6465</v>
      </c>
      <c r="B160" s="147" t="s">
        <v>6130</v>
      </c>
      <c r="C160" s="147" t="s">
        <v>6236</v>
      </c>
      <c r="D160" s="148" t="s">
        <v>6160</v>
      </c>
      <c r="E160" s="149" t="s">
        <v>21102</v>
      </c>
      <c r="F160" s="150">
        <v>4</v>
      </c>
      <c r="G160" s="149" t="s">
        <v>21103</v>
      </c>
      <c r="H160" s="157">
        <v>2</v>
      </c>
      <c r="I160" s="156" t="s">
        <v>53</v>
      </c>
      <c r="J160" s="149" t="s">
        <v>21104</v>
      </c>
      <c r="K160" s="151">
        <v>4</v>
      </c>
      <c r="L160" s="152"/>
      <c r="M160" s="149" t="s">
        <v>21102</v>
      </c>
      <c r="N160" s="151">
        <v>4</v>
      </c>
      <c r="O160" s="152"/>
      <c r="P160" s="149" t="s">
        <v>6466</v>
      </c>
      <c r="Q160" s="158">
        <v>3</v>
      </c>
      <c r="R160" s="156" t="s">
        <v>40</v>
      </c>
      <c r="S160" s="149" t="s">
        <v>21105</v>
      </c>
      <c r="T160" s="151">
        <v>4</v>
      </c>
      <c r="U160" s="152"/>
      <c r="V160" s="149" t="s">
        <v>21106</v>
      </c>
      <c r="W160" s="158">
        <v>3</v>
      </c>
      <c r="X160" s="152"/>
      <c r="Y160" s="149" t="s">
        <v>47</v>
      </c>
      <c r="Z160" s="153"/>
      <c r="AA160" s="152"/>
      <c r="AB160" s="154" t="s">
        <v>6467</v>
      </c>
    </row>
    <row r="161" spans="1:28" x14ac:dyDescent="0.2">
      <c r="A161" s="146" t="s">
        <v>6468</v>
      </c>
      <c r="B161" s="147" t="s">
        <v>6130</v>
      </c>
      <c r="C161" s="147" t="s">
        <v>6469</v>
      </c>
      <c r="D161" s="148" t="s">
        <v>6170</v>
      </c>
      <c r="E161" s="149" t="s">
        <v>21107</v>
      </c>
      <c r="F161" s="161">
        <v>1</v>
      </c>
      <c r="G161" s="149" t="s">
        <v>6470</v>
      </c>
      <c r="H161" s="157">
        <v>2</v>
      </c>
      <c r="I161" s="156" t="s">
        <v>53</v>
      </c>
      <c r="J161" s="149" t="s">
        <v>1157</v>
      </c>
      <c r="K161" s="158">
        <v>3</v>
      </c>
      <c r="L161" s="156" t="s">
        <v>55</v>
      </c>
      <c r="M161" s="149" t="s">
        <v>21107</v>
      </c>
      <c r="N161" s="155">
        <v>1</v>
      </c>
      <c r="O161" s="152"/>
      <c r="P161" s="149" t="s">
        <v>21107</v>
      </c>
      <c r="Q161" s="155">
        <v>1</v>
      </c>
      <c r="R161" s="152"/>
      <c r="S161" s="149" t="s">
        <v>21108</v>
      </c>
      <c r="T161" s="158">
        <v>3</v>
      </c>
      <c r="U161" s="152"/>
      <c r="V161" s="149" t="s">
        <v>6471</v>
      </c>
      <c r="W161" s="157">
        <v>2</v>
      </c>
      <c r="X161" s="152"/>
      <c r="Y161" s="149" t="s">
        <v>47</v>
      </c>
      <c r="Z161" s="153"/>
      <c r="AA161" s="152"/>
      <c r="AB161" s="154" t="s">
        <v>6472</v>
      </c>
    </row>
    <row r="162" spans="1:28" x14ac:dyDescent="0.2">
      <c r="A162" s="146" t="s">
        <v>6473</v>
      </c>
      <c r="B162" s="147" t="s">
        <v>6130</v>
      </c>
      <c r="C162" s="147" t="s">
        <v>6474</v>
      </c>
      <c r="D162" s="148" t="s">
        <v>6160</v>
      </c>
      <c r="E162" s="149" t="s">
        <v>1021</v>
      </c>
      <c r="F162" s="150">
        <v>4</v>
      </c>
      <c r="G162" s="149" t="s">
        <v>21109</v>
      </c>
      <c r="H162" s="158">
        <v>3</v>
      </c>
      <c r="I162" s="156" t="s">
        <v>46</v>
      </c>
      <c r="J162" s="149" t="s">
        <v>8801</v>
      </c>
      <c r="K162" s="151">
        <v>4</v>
      </c>
      <c r="L162" s="152"/>
      <c r="M162" s="149" t="s">
        <v>1021</v>
      </c>
      <c r="N162" s="151">
        <v>4</v>
      </c>
      <c r="O162" s="152"/>
      <c r="P162" s="149" t="s">
        <v>21110</v>
      </c>
      <c r="Q162" s="151">
        <v>4</v>
      </c>
      <c r="R162" s="152"/>
      <c r="S162" s="149" t="s">
        <v>15755</v>
      </c>
      <c r="T162" s="151">
        <v>4</v>
      </c>
      <c r="U162" s="152"/>
      <c r="V162" s="149" t="s">
        <v>21111</v>
      </c>
      <c r="W162" s="151">
        <v>4</v>
      </c>
      <c r="X162" s="152"/>
      <c r="Y162" s="149" t="s">
        <v>47</v>
      </c>
      <c r="Z162" s="153"/>
      <c r="AA162" s="152"/>
      <c r="AB162" s="154" t="s">
        <v>6475</v>
      </c>
    </row>
    <row r="163" spans="1:28" x14ac:dyDescent="0.2">
      <c r="A163" s="146" t="s">
        <v>6476</v>
      </c>
      <c r="B163" s="147" t="s">
        <v>6130</v>
      </c>
      <c r="C163" s="147" t="s">
        <v>6477</v>
      </c>
      <c r="D163" s="148" t="s">
        <v>6160</v>
      </c>
      <c r="E163" s="149" t="s">
        <v>21112</v>
      </c>
      <c r="F163" s="150">
        <v>4</v>
      </c>
      <c r="G163" s="149" t="s">
        <v>21113</v>
      </c>
      <c r="H163" s="158">
        <v>3</v>
      </c>
      <c r="I163" s="156" t="s">
        <v>55</v>
      </c>
      <c r="J163" s="149" t="s">
        <v>21114</v>
      </c>
      <c r="K163" s="151">
        <v>4</v>
      </c>
      <c r="L163" s="152"/>
      <c r="M163" s="149" t="s">
        <v>21112</v>
      </c>
      <c r="N163" s="151">
        <v>4</v>
      </c>
      <c r="O163" s="156" t="s">
        <v>46</v>
      </c>
      <c r="P163" s="149" t="s">
        <v>21115</v>
      </c>
      <c r="Q163" s="151">
        <v>4</v>
      </c>
      <c r="R163" s="156" t="s">
        <v>44</v>
      </c>
      <c r="S163" s="149" t="s">
        <v>21116</v>
      </c>
      <c r="T163" s="158">
        <v>3</v>
      </c>
      <c r="U163" s="152"/>
      <c r="V163" s="149" t="s">
        <v>6478</v>
      </c>
      <c r="W163" s="151">
        <v>4</v>
      </c>
      <c r="X163" s="152"/>
      <c r="Y163" s="149" t="s">
        <v>47</v>
      </c>
      <c r="Z163" s="153"/>
      <c r="AA163" s="152"/>
      <c r="AB163" s="154" t="s">
        <v>6479</v>
      </c>
    </row>
    <row r="164" spans="1:28" x14ac:dyDescent="0.2">
      <c r="A164" s="146" t="s">
        <v>6480</v>
      </c>
      <c r="B164" s="147" t="s">
        <v>6130</v>
      </c>
      <c r="C164" s="147" t="s">
        <v>6227</v>
      </c>
      <c r="D164" s="148" t="s">
        <v>6163</v>
      </c>
      <c r="E164" s="149" t="s">
        <v>21117</v>
      </c>
      <c r="F164" s="160">
        <v>2</v>
      </c>
      <c r="G164" s="149" t="s">
        <v>21118</v>
      </c>
      <c r="H164" s="158">
        <v>3</v>
      </c>
      <c r="I164" s="156" t="s">
        <v>46</v>
      </c>
      <c r="J164" s="149" t="s">
        <v>21119</v>
      </c>
      <c r="K164" s="157">
        <v>2</v>
      </c>
      <c r="L164" s="152"/>
      <c r="M164" s="149" t="s">
        <v>21117</v>
      </c>
      <c r="N164" s="157">
        <v>2</v>
      </c>
      <c r="O164" s="152"/>
      <c r="P164" s="149" t="s">
        <v>21120</v>
      </c>
      <c r="Q164" s="157">
        <v>2</v>
      </c>
      <c r="R164" s="152"/>
      <c r="S164" s="149" t="s">
        <v>21121</v>
      </c>
      <c r="T164" s="155">
        <v>1</v>
      </c>
      <c r="U164" s="152"/>
      <c r="V164" s="149" t="s">
        <v>21122</v>
      </c>
      <c r="W164" s="155">
        <v>1</v>
      </c>
      <c r="X164" s="152"/>
      <c r="Y164" s="149" t="s">
        <v>47</v>
      </c>
      <c r="Z164" s="153"/>
      <c r="AA164" s="152"/>
      <c r="AB164" s="154" t="s">
        <v>6481</v>
      </c>
    </row>
    <row r="165" spans="1:28" x14ac:dyDescent="0.2">
      <c r="A165" s="146" t="s">
        <v>6482</v>
      </c>
      <c r="B165" s="147" t="s">
        <v>6130</v>
      </c>
      <c r="C165" s="147" t="s">
        <v>6395</v>
      </c>
      <c r="D165" s="148" t="s">
        <v>6163</v>
      </c>
      <c r="E165" s="149" t="s">
        <v>21123</v>
      </c>
      <c r="F165" s="159">
        <v>3</v>
      </c>
      <c r="G165" s="149" t="s">
        <v>9825</v>
      </c>
      <c r="H165" s="157">
        <v>2</v>
      </c>
      <c r="I165" s="156" t="s">
        <v>40</v>
      </c>
      <c r="J165" s="149" t="s">
        <v>6483</v>
      </c>
      <c r="K165" s="158">
        <v>3</v>
      </c>
      <c r="L165" s="156" t="s">
        <v>46</v>
      </c>
      <c r="M165" s="149" t="s">
        <v>21123</v>
      </c>
      <c r="N165" s="158">
        <v>3</v>
      </c>
      <c r="O165" s="152"/>
      <c r="P165" s="149" t="s">
        <v>21124</v>
      </c>
      <c r="Q165" s="158">
        <v>3</v>
      </c>
      <c r="R165" s="152"/>
      <c r="S165" s="149" t="s">
        <v>6484</v>
      </c>
      <c r="T165" s="157">
        <v>2</v>
      </c>
      <c r="U165" s="152"/>
      <c r="V165" s="149" t="s">
        <v>6485</v>
      </c>
      <c r="W165" s="157">
        <v>2</v>
      </c>
      <c r="X165" s="152"/>
      <c r="Y165" s="149" t="s">
        <v>47</v>
      </c>
      <c r="Z165" s="153"/>
      <c r="AA165" s="152"/>
      <c r="AB165" s="154" t="s">
        <v>6486</v>
      </c>
    </row>
    <row r="166" spans="1:28" x14ac:dyDescent="0.2">
      <c r="A166" s="146" t="s">
        <v>6487</v>
      </c>
      <c r="B166" s="147" t="s">
        <v>6130</v>
      </c>
      <c r="C166" s="147" t="s">
        <v>6157</v>
      </c>
      <c r="D166" s="148" t="s">
        <v>6163</v>
      </c>
      <c r="E166" s="149" t="s">
        <v>21125</v>
      </c>
      <c r="F166" s="150">
        <v>4</v>
      </c>
      <c r="G166" s="149" t="s">
        <v>21126</v>
      </c>
      <c r="H166" s="157">
        <v>2</v>
      </c>
      <c r="I166" s="156" t="s">
        <v>53</v>
      </c>
      <c r="J166" s="149" t="s">
        <v>21127</v>
      </c>
      <c r="K166" s="151">
        <v>4</v>
      </c>
      <c r="L166" s="152"/>
      <c r="M166" s="149" t="s">
        <v>21125</v>
      </c>
      <c r="N166" s="151">
        <v>4</v>
      </c>
      <c r="O166" s="152"/>
      <c r="P166" s="149" t="s">
        <v>21128</v>
      </c>
      <c r="Q166" s="158">
        <v>3</v>
      </c>
      <c r="R166" s="156" t="s">
        <v>46</v>
      </c>
      <c r="S166" s="149" t="s">
        <v>21129</v>
      </c>
      <c r="T166" s="155">
        <v>1</v>
      </c>
      <c r="U166" s="152"/>
      <c r="V166" s="149" t="s">
        <v>21130</v>
      </c>
      <c r="W166" s="155">
        <v>1</v>
      </c>
      <c r="X166" s="152"/>
      <c r="Y166" s="149" t="s">
        <v>47</v>
      </c>
      <c r="Z166" s="153"/>
      <c r="AA166" s="152"/>
      <c r="AB166" s="154" t="s">
        <v>6488</v>
      </c>
    </row>
    <row r="167" spans="1:28" x14ac:dyDescent="0.2">
      <c r="A167" s="146" t="s">
        <v>6489</v>
      </c>
      <c r="B167" s="147" t="s">
        <v>6130</v>
      </c>
      <c r="C167" s="147" t="s">
        <v>6157</v>
      </c>
      <c r="D167" s="148" t="s">
        <v>6163</v>
      </c>
      <c r="E167" s="149" t="s">
        <v>21131</v>
      </c>
      <c r="F167" s="150">
        <v>4</v>
      </c>
      <c r="G167" s="149" t="s">
        <v>21132</v>
      </c>
      <c r="H167" s="155">
        <v>1</v>
      </c>
      <c r="I167" s="156" t="s">
        <v>157</v>
      </c>
      <c r="J167" s="149" t="s">
        <v>21133</v>
      </c>
      <c r="K167" s="151">
        <v>4</v>
      </c>
      <c r="L167" s="152"/>
      <c r="M167" s="149" t="s">
        <v>21131</v>
      </c>
      <c r="N167" s="151">
        <v>4</v>
      </c>
      <c r="O167" s="152"/>
      <c r="P167" s="149" t="s">
        <v>21134</v>
      </c>
      <c r="Q167" s="158">
        <v>3</v>
      </c>
      <c r="R167" s="156" t="s">
        <v>46</v>
      </c>
      <c r="S167" s="149" t="s">
        <v>21135</v>
      </c>
      <c r="T167" s="155">
        <v>1</v>
      </c>
      <c r="U167" s="152"/>
      <c r="V167" s="149" t="s">
        <v>21136</v>
      </c>
      <c r="W167" s="155">
        <v>1</v>
      </c>
      <c r="X167" s="152"/>
      <c r="Y167" s="149" t="s">
        <v>47</v>
      </c>
      <c r="Z167" s="153"/>
      <c r="AA167" s="152"/>
      <c r="AB167" s="154" t="s">
        <v>6490</v>
      </c>
    </row>
    <row r="168" spans="1:28" x14ac:dyDescent="0.2">
      <c r="A168" s="146" t="s">
        <v>6491</v>
      </c>
      <c r="B168" s="147" t="s">
        <v>6314</v>
      </c>
      <c r="C168" s="147" t="s">
        <v>6384</v>
      </c>
      <c r="D168" s="148" t="s">
        <v>6163</v>
      </c>
      <c r="E168" s="149" t="s">
        <v>1879</v>
      </c>
      <c r="F168" s="150">
        <v>4</v>
      </c>
      <c r="G168" s="149" t="s">
        <v>21137</v>
      </c>
      <c r="H168" s="155">
        <v>1</v>
      </c>
      <c r="I168" s="156" t="s">
        <v>157</v>
      </c>
      <c r="J168" s="149" t="s">
        <v>20710</v>
      </c>
      <c r="K168" s="151">
        <v>4</v>
      </c>
      <c r="L168" s="152"/>
      <c r="M168" s="149" t="s">
        <v>1879</v>
      </c>
      <c r="N168" s="151">
        <v>4</v>
      </c>
      <c r="O168" s="152"/>
      <c r="P168" s="149" t="s">
        <v>21138</v>
      </c>
      <c r="Q168" s="158">
        <v>3</v>
      </c>
      <c r="R168" s="156" t="s">
        <v>46</v>
      </c>
      <c r="S168" s="149" t="s">
        <v>1166</v>
      </c>
      <c r="T168" s="155">
        <v>1</v>
      </c>
      <c r="U168" s="156" t="s">
        <v>40</v>
      </c>
      <c r="V168" s="149" t="s">
        <v>6492</v>
      </c>
      <c r="W168" s="157">
        <v>2</v>
      </c>
      <c r="X168" s="152"/>
      <c r="Y168" s="149" t="s">
        <v>47</v>
      </c>
      <c r="Z168" s="153"/>
      <c r="AA168" s="152"/>
      <c r="AB168" s="154" t="s">
        <v>6493</v>
      </c>
    </row>
    <row r="169" spans="1:28" x14ac:dyDescent="0.2">
      <c r="A169" s="146" t="s">
        <v>6494</v>
      </c>
      <c r="B169" s="147" t="s">
        <v>6130</v>
      </c>
      <c r="C169" s="147" t="s">
        <v>6157</v>
      </c>
      <c r="D169" s="148"/>
      <c r="E169" s="149" t="s">
        <v>21139</v>
      </c>
      <c r="F169" s="159">
        <v>3</v>
      </c>
      <c r="G169" s="149" t="s">
        <v>21140</v>
      </c>
      <c r="H169" s="157">
        <v>2</v>
      </c>
      <c r="I169" s="156" t="s">
        <v>53</v>
      </c>
      <c r="J169" s="149" t="s">
        <v>21141</v>
      </c>
      <c r="K169" s="158">
        <v>3</v>
      </c>
      <c r="L169" s="156" t="s">
        <v>40</v>
      </c>
      <c r="M169" s="149" t="s">
        <v>21139</v>
      </c>
      <c r="N169" s="158">
        <v>3</v>
      </c>
      <c r="O169" s="152"/>
      <c r="P169" s="149" t="s">
        <v>21142</v>
      </c>
      <c r="Q169" s="157">
        <v>2</v>
      </c>
      <c r="R169" s="152"/>
      <c r="S169" s="149" t="s">
        <v>47</v>
      </c>
      <c r="T169" s="153"/>
      <c r="U169" s="152"/>
      <c r="V169" s="149" t="s">
        <v>47</v>
      </c>
      <c r="W169" s="153"/>
      <c r="X169" s="152"/>
      <c r="Y169" s="149" t="s">
        <v>47</v>
      </c>
      <c r="Z169" s="153"/>
      <c r="AA169" s="152"/>
      <c r="AB169" s="154" t="s">
        <v>6495</v>
      </c>
    </row>
    <row r="170" spans="1:28" x14ac:dyDescent="0.2">
      <c r="A170" s="146" t="s">
        <v>6496</v>
      </c>
      <c r="B170" s="147" t="s">
        <v>6130</v>
      </c>
      <c r="C170" s="147" t="s">
        <v>6157</v>
      </c>
      <c r="D170" s="148" t="s">
        <v>6163</v>
      </c>
      <c r="E170" s="149" t="s">
        <v>21143</v>
      </c>
      <c r="F170" s="159">
        <v>3</v>
      </c>
      <c r="G170" s="149" t="s">
        <v>21144</v>
      </c>
      <c r="H170" s="157">
        <v>2</v>
      </c>
      <c r="I170" s="156" t="s">
        <v>40</v>
      </c>
      <c r="J170" s="149" t="s">
        <v>21145</v>
      </c>
      <c r="K170" s="158">
        <v>3</v>
      </c>
      <c r="L170" s="152"/>
      <c r="M170" s="149" t="s">
        <v>21143</v>
      </c>
      <c r="N170" s="158">
        <v>3</v>
      </c>
      <c r="O170" s="152"/>
      <c r="P170" s="149" t="s">
        <v>21146</v>
      </c>
      <c r="Q170" s="157">
        <v>2</v>
      </c>
      <c r="R170" s="152"/>
      <c r="S170" s="149" t="s">
        <v>21147</v>
      </c>
      <c r="T170" s="155">
        <v>1</v>
      </c>
      <c r="U170" s="152"/>
      <c r="V170" s="149" t="s">
        <v>21148</v>
      </c>
      <c r="W170" s="155">
        <v>1</v>
      </c>
      <c r="X170" s="152"/>
      <c r="Y170" s="149" t="s">
        <v>47</v>
      </c>
      <c r="Z170" s="153"/>
      <c r="AA170" s="152"/>
      <c r="AB170" s="154" t="s">
        <v>6497</v>
      </c>
    </row>
    <row r="171" spans="1:28" x14ac:dyDescent="0.2">
      <c r="A171" s="146" t="s">
        <v>6498</v>
      </c>
      <c r="B171" s="147" t="s">
        <v>6130</v>
      </c>
      <c r="C171" s="147" t="s">
        <v>6379</v>
      </c>
      <c r="D171" s="148" t="s">
        <v>6136</v>
      </c>
      <c r="E171" s="149" t="s">
        <v>21149</v>
      </c>
      <c r="F171" s="150">
        <v>4</v>
      </c>
      <c r="G171" s="149" t="s">
        <v>21150</v>
      </c>
      <c r="H171" s="151">
        <v>4</v>
      </c>
      <c r="I171" s="156" t="s">
        <v>46</v>
      </c>
      <c r="J171" s="149" t="s">
        <v>21151</v>
      </c>
      <c r="K171" s="151">
        <v>4</v>
      </c>
      <c r="L171" s="152"/>
      <c r="M171" s="149" t="s">
        <v>21149</v>
      </c>
      <c r="N171" s="151">
        <v>4</v>
      </c>
      <c r="O171" s="152"/>
      <c r="P171" s="149" t="s">
        <v>9186</v>
      </c>
      <c r="Q171" s="151">
        <v>4</v>
      </c>
      <c r="R171" s="152"/>
      <c r="S171" s="149" t="s">
        <v>6499</v>
      </c>
      <c r="T171" s="158">
        <v>3</v>
      </c>
      <c r="U171" s="152"/>
      <c r="V171" s="149" t="s">
        <v>21152</v>
      </c>
      <c r="W171" s="158">
        <v>3</v>
      </c>
      <c r="X171" s="152"/>
      <c r="Y171" s="149" t="s">
        <v>47</v>
      </c>
      <c r="Z171" s="153"/>
      <c r="AA171" s="152"/>
      <c r="AB171" s="154" t="s">
        <v>6500</v>
      </c>
    </row>
    <row r="172" spans="1:28" x14ac:dyDescent="0.2">
      <c r="A172" s="146" t="s">
        <v>6501</v>
      </c>
      <c r="B172" s="147" t="s">
        <v>6130</v>
      </c>
      <c r="C172" s="147" t="s">
        <v>6206</v>
      </c>
      <c r="D172" s="148" t="s">
        <v>6136</v>
      </c>
      <c r="E172" s="149" t="s">
        <v>21153</v>
      </c>
      <c r="F172" s="160">
        <v>2</v>
      </c>
      <c r="G172" s="149" t="s">
        <v>21154</v>
      </c>
      <c r="H172" s="151">
        <v>4</v>
      </c>
      <c r="I172" s="156" t="s">
        <v>44</v>
      </c>
      <c r="J172" s="149" t="s">
        <v>21155</v>
      </c>
      <c r="K172" s="157">
        <v>2</v>
      </c>
      <c r="L172" s="152"/>
      <c r="M172" s="149" t="s">
        <v>21153</v>
      </c>
      <c r="N172" s="157">
        <v>2</v>
      </c>
      <c r="O172" s="152"/>
      <c r="P172" s="149" t="s">
        <v>21156</v>
      </c>
      <c r="Q172" s="151">
        <v>4</v>
      </c>
      <c r="R172" s="152"/>
      <c r="S172" s="149" t="s">
        <v>21157</v>
      </c>
      <c r="T172" s="155">
        <v>1</v>
      </c>
      <c r="U172" s="152"/>
      <c r="V172" s="149" t="s">
        <v>47</v>
      </c>
      <c r="W172" s="153"/>
      <c r="X172" s="152"/>
      <c r="Y172" s="149" t="s">
        <v>47</v>
      </c>
      <c r="Z172" s="153"/>
      <c r="AA172" s="152"/>
      <c r="AB172" s="154" t="s">
        <v>6502</v>
      </c>
    </row>
    <row r="173" spans="1:28" x14ac:dyDescent="0.2">
      <c r="A173" s="146" t="s">
        <v>6503</v>
      </c>
      <c r="B173" s="147" t="s">
        <v>6130</v>
      </c>
      <c r="C173" s="147" t="s">
        <v>6227</v>
      </c>
      <c r="D173" s="148" t="s">
        <v>6163</v>
      </c>
      <c r="E173" s="149" t="s">
        <v>21158</v>
      </c>
      <c r="F173" s="161">
        <v>1</v>
      </c>
      <c r="G173" s="149" t="s">
        <v>21159</v>
      </c>
      <c r="H173" s="151">
        <v>4</v>
      </c>
      <c r="I173" s="156" t="s">
        <v>44</v>
      </c>
      <c r="J173" s="149" t="s">
        <v>21160</v>
      </c>
      <c r="K173" s="155">
        <v>1</v>
      </c>
      <c r="L173" s="152"/>
      <c r="M173" s="149" t="s">
        <v>21158</v>
      </c>
      <c r="N173" s="155">
        <v>1</v>
      </c>
      <c r="O173" s="152"/>
      <c r="P173" s="149" t="s">
        <v>21161</v>
      </c>
      <c r="Q173" s="155">
        <v>1</v>
      </c>
      <c r="R173" s="152"/>
      <c r="S173" s="149" t="s">
        <v>21162</v>
      </c>
      <c r="T173" s="155">
        <v>1</v>
      </c>
      <c r="U173" s="152"/>
      <c r="V173" s="149" t="s">
        <v>21163</v>
      </c>
      <c r="W173" s="155">
        <v>1</v>
      </c>
      <c r="X173" s="152"/>
      <c r="Y173" s="149" t="s">
        <v>47</v>
      </c>
      <c r="Z173" s="153"/>
      <c r="AA173" s="152"/>
      <c r="AB173" s="154" t="s">
        <v>6504</v>
      </c>
    </row>
    <row r="174" spans="1:28" x14ac:dyDescent="0.2">
      <c r="A174" s="146" t="s">
        <v>6505</v>
      </c>
      <c r="B174" s="147" t="s">
        <v>6314</v>
      </c>
      <c r="C174" s="147" t="s">
        <v>6506</v>
      </c>
      <c r="D174" s="148" t="s">
        <v>6132</v>
      </c>
      <c r="E174" s="149" t="s">
        <v>16781</v>
      </c>
      <c r="F174" s="159">
        <v>3</v>
      </c>
      <c r="G174" s="149" t="s">
        <v>21164</v>
      </c>
      <c r="H174" s="155">
        <v>1</v>
      </c>
      <c r="I174" s="156" t="s">
        <v>53</v>
      </c>
      <c r="J174" s="149" t="s">
        <v>21165</v>
      </c>
      <c r="K174" s="157">
        <v>2</v>
      </c>
      <c r="L174" s="156" t="s">
        <v>40</v>
      </c>
      <c r="M174" s="149" t="s">
        <v>16781</v>
      </c>
      <c r="N174" s="158">
        <v>3</v>
      </c>
      <c r="O174" s="152"/>
      <c r="P174" s="149" t="s">
        <v>21166</v>
      </c>
      <c r="Q174" s="155">
        <v>1</v>
      </c>
      <c r="R174" s="152"/>
      <c r="S174" s="149" t="s">
        <v>21167</v>
      </c>
      <c r="T174" s="157">
        <v>2</v>
      </c>
      <c r="U174" s="156" t="s">
        <v>40</v>
      </c>
      <c r="V174" s="149" t="s">
        <v>47</v>
      </c>
      <c r="W174" s="153"/>
      <c r="X174" s="152"/>
      <c r="Y174" s="149" t="s">
        <v>47</v>
      </c>
      <c r="Z174" s="153"/>
      <c r="AA174" s="152"/>
      <c r="AB174" s="154" t="s">
        <v>6507</v>
      </c>
    </row>
    <row r="175" spans="1:28" x14ac:dyDescent="0.2">
      <c r="A175" s="146" t="s">
        <v>6508</v>
      </c>
      <c r="B175" s="147" t="s">
        <v>6314</v>
      </c>
      <c r="C175" s="147" t="s">
        <v>6227</v>
      </c>
      <c r="D175" s="148"/>
      <c r="E175" s="149" t="s">
        <v>21168</v>
      </c>
      <c r="F175" s="159">
        <v>3</v>
      </c>
      <c r="G175" s="149" t="s">
        <v>21169</v>
      </c>
      <c r="H175" s="155">
        <v>1</v>
      </c>
      <c r="I175" s="156" t="s">
        <v>157</v>
      </c>
      <c r="J175" s="149" t="s">
        <v>21170</v>
      </c>
      <c r="K175" s="158">
        <v>3</v>
      </c>
      <c r="L175" s="156" t="s">
        <v>40</v>
      </c>
      <c r="M175" s="149" t="s">
        <v>21168</v>
      </c>
      <c r="N175" s="158">
        <v>3</v>
      </c>
      <c r="O175" s="156" t="s">
        <v>40</v>
      </c>
      <c r="P175" s="149" t="s">
        <v>21171</v>
      </c>
      <c r="Q175" s="155">
        <v>1</v>
      </c>
      <c r="R175" s="152"/>
      <c r="S175" s="149" t="s">
        <v>47</v>
      </c>
      <c r="T175" s="153"/>
      <c r="U175" s="152"/>
      <c r="V175" s="149" t="s">
        <v>47</v>
      </c>
      <c r="W175" s="153"/>
      <c r="X175" s="152"/>
      <c r="Y175" s="149" t="s">
        <v>47</v>
      </c>
      <c r="Z175" s="153"/>
      <c r="AA175" s="152"/>
      <c r="AB175" s="154" t="s">
        <v>6509</v>
      </c>
    </row>
    <row r="176" spans="1:28" x14ac:dyDescent="0.2">
      <c r="A176" s="146" t="s">
        <v>6510</v>
      </c>
      <c r="B176" s="147" t="s">
        <v>6130</v>
      </c>
      <c r="C176" s="147" t="s">
        <v>6227</v>
      </c>
      <c r="D176" s="148" t="s">
        <v>6163</v>
      </c>
      <c r="E176" s="149" t="s">
        <v>21172</v>
      </c>
      <c r="F176" s="160">
        <v>2</v>
      </c>
      <c r="G176" s="149" t="s">
        <v>21173</v>
      </c>
      <c r="H176" s="158">
        <v>3</v>
      </c>
      <c r="I176" s="156" t="s">
        <v>46</v>
      </c>
      <c r="J176" s="149" t="s">
        <v>21174</v>
      </c>
      <c r="K176" s="157">
        <v>2</v>
      </c>
      <c r="L176" s="152"/>
      <c r="M176" s="149" t="s">
        <v>21172</v>
      </c>
      <c r="N176" s="157">
        <v>2</v>
      </c>
      <c r="O176" s="152"/>
      <c r="P176" s="149" t="s">
        <v>21175</v>
      </c>
      <c r="Q176" s="157">
        <v>2</v>
      </c>
      <c r="R176" s="152"/>
      <c r="S176" s="149" t="s">
        <v>21176</v>
      </c>
      <c r="T176" s="155">
        <v>1</v>
      </c>
      <c r="U176" s="152"/>
      <c r="V176" s="149" t="s">
        <v>21177</v>
      </c>
      <c r="W176" s="155">
        <v>1</v>
      </c>
      <c r="X176" s="152"/>
      <c r="Y176" s="149" t="s">
        <v>47</v>
      </c>
      <c r="Z176" s="153"/>
      <c r="AA176" s="152"/>
      <c r="AB176" s="154" t="s">
        <v>6511</v>
      </c>
    </row>
    <row r="177" spans="1:28" x14ac:dyDescent="0.2">
      <c r="A177" s="146" t="s">
        <v>6512</v>
      </c>
      <c r="B177" s="147" t="s">
        <v>6130</v>
      </c>
      <c r="C177" s="147" t="s">
        <v>6513</v>
      </c>
      <c r="D177" s="148" t="s">
        <v>6136</v>
      </c>
      <c r="E177" s="149" t="s">
        <v>21178</v>
      </c>
      <c r="F177" s="161">
        <v>1</v>
      </c>
      <c r="G177" s="149" t="s">
        <v>21179</v>
      </c>
      <c r="H177" s="155">
        <v>1</v>
      </c>
      <c r="I177" s="156" t="s">
        <v>53</v>
      </c>
      <c r="J177" s="149" t="s">
        <v>21180</v>
      </c>
      <c r="K177" s="155">
        <v>1</v>
      </c>
      <c r="L177" s="156" t="s">
        <v>40</v>
      </c>
      <c r="M177" s="149" t="s">
        <v>21178</v>
      </c>
      <c r="N177" s="155">
        <v>1</v>
      </c>
      <c r="O177" s="156" t="s">
        <v>53</v>
      </c>
      <c r="P177" s="149" t="s">
        <v>21181</v>
      </c>
      <c r="Q177" s="155">
        <v>1</v>
      </c>
      <c r="R177" s="152"/>
      <c r="S177" s="149" t="s">
        <v>20855</v>
      </c>
      <c r="T177" s="157">
        <v>2</v>
      </c>
      <c r="U177" s="156" t="s">
        <v>40</v>
      </c>
      <c r="V177" s="149" t="s">
        <v>47</v>
      </c>
      <c r="W177" s="153"/>
      <c r="X177" s="152"/>
      <c r="Y177" s="149" t="s">
        <v>47</v>
      </c>
      <c r="Z177" s="153"/>
      <c r="AA177" s="152"/>
      <c r="AB177" s="154" t="s">
        <v>6514</v>
      </c>
    </row>
    <row r="178" spans="1:28" x14ac:dyDescent="0.2">
      <c r="A178" s="146" t="s">
        <v>6515</v>
      </c>
      <c r="B178" s="147" t="s">
        <v>6130</v>
      </c>
      <c r="C178" s="147" t="s">
        <v>6349</v>
      </c>
      <c r="D178" s="148"/>
      <c r="E178" s="149" t="s">
        <v>21182</v>
      </c>
      <c r="F178" s="159">
        <v>3</v>
      </c>
      <c r="G178" s="149" t="s">
        <v>21183</v>
      </c>
      <c r="H178" s="155">
        <v>1</v>
      </c>
      <c r="I178" s="156" t="s">
        <v>53</v>
      </c>
      <c r="J178" s="149" t="s">
        <v>21184</v>
      </c>
      <c r="K178" s="158">
        <v>3</v>
      </c>
      <c r="L178" s="156" t="s">
        <v>40</v>
      </c>
      <c r="M178" s="149" t="s">
        <v>21182</v>
      </c>
      <c r="N178" s="158">
        <v>3</v>
      </c>
      <c r="O178" s="156" t="s">
        <v>40</v>
      </c>
      <c r="P178" s="149" t="s">
        <v>21185</v>
      </c>
      <c r="Q178" s="151">
        <v>4</v>
      </c>
      <c r="R178" s="152"/>
      <c r="S178" s="149" t="s">
        <v>21186</v>
      </c>
      <c r="T178" s="151">
        <v>4</v>
      </c>
      <c r="U178" s="152"/>
      <c r="V178" s="149" t="s">
        <v>21187</v>
      </c>
      <c r="W178" s="151">
        <v>4</v>
      </c>
      <c r="X178" s="152"/>
      <c r="Y178" s="149" t="s">
        <v>47</v>
      </c>
      <c r="Z178" s="153"/>
      <c r="AA178" s="152"/>
      <c r="AB178" s="154" t="s">
        <v>6516</v>
      </c>
    </row>
    <row r="179" spans="1:28" x14ac:dyDescent="0.2">
      <c r="A179" s="146" t="s">
        <v>6517</v>
      </c>
      <c r="B179" s="147" t="s">
        <v>6130</v>
      </c>
      <c r="C179" s="147" t="s">
        <v>6349</v>
      </c>
      <c r="D179" s="148"/>
      <c r="E179" s="149" t="s">
        <v>21188</v>
      </c>
      <c r="F179" s="159">
        <v>3</v>
      </c>
      <c r="G179" s="149" t="s">
        <v>21189</v>
      </c>
      <c r="H179" s="155">
        <v>1</v>
      </c>
      <c r="I179" s="156" t="s">
        <v>40</v>
      </c>
      <c r="J179" s="149" t="s">
        <v>21190</v>
      </c>
      <c r="K179" s="157">
        <v>2</v>
      </c>
      <c r="L179" s="156" t="s">
        <v>40</v>
      </c>
      <c r="M179" s="149" t="s">
        <v>21188</v>
      </c>
      <c r="N179" s="158">
        <v>3</v>
      </c>
      <c r="O179" s="156" t="s">
        <v>40</v>
      </c>
      <c r="P179" s="149" t="s">
        <v>21191</v>
      </c>
      <c r="Q179" s="151">
        <v>4</v>
      </c>
      <c r="R179" s="152"/>
      <c r="S179" s="149" t="s">
        <v>21192</v>
      </c>
      <c r="T179" s="158">
        <v>3</v>
      </c>
      <c r="U179" s="152"/>
      <c r="V179" s="149" t="s">
        <v>6518</v>
      </c>
      <c r="W179" s="151">
        <v>4</v>
      </c>
      <c r="X179" s="152"/>
      <c r="Y179" s="149" t="s">
        <v>47</v>
      </c>
      <c r="Z179" s="153"/>
      <c r="AA179" s="152"/>
      <c r="AB179" s="154" t="s">
        <v>6519</v>
      </c>
    </row>
    <row r="180" spans="1:28" x14ac:dyDescent="0.2">
      <c r="A180" s="146" t="s">
        <v>6520</v>
      </c>
      <c r="B180" s="147" t="s">
        <v>6130</v>
      </c>
      <c r="C180" s="147" t="s">
        <v>6349</v>
      </c>
      <c r="D180" s="148"/>
      <c r="E180" s="149" t="s">
        <v>21193</v>
      </c>
      <c r="F180" s="159">
        <v>3</v>
      </c>
      <c r="G180" s="149" t="s">
        <v>21194</v>
      </c>
      <c r="H180" s="157">
        <v>2</v>
      </c>
      <c r="I180" s="156" t="s">
        <v>46</v>
      </c>
      <c r="J180" s="149" t="s">
        <v>21195</v>
      </c>
      <c r="K180" s="155">
        <v>1</v>
      </c>
      <c r="L180" s="156" t="s">
        <v>40</v>
      </c>
      <c r="M180" s="149" t="s">
        <v>21193</v>
      </c>
      <c r="N180" s="158">
        <v>3</v>
      </c>
      <c r="O180" s="152"/>
      <c r="P180" s="149" t="s">
        <v>21196</v>
      </c>
      <c r="Q180" s="151">
        <v>4</v>
      </c>
      <c r="R180" s="152"/>
      <c r="S180" s="149" t="s">
        <v>21197</v>
      </c>
      <c r="T180" s="151">
        <v>4</v>
      </c>
      <c r="U180" s="152"/>
      <c r="V180" s="149" t="s">
        <v>21198</v>
      </c>
      <c r="W180" s="151">
        <v>4</v>
      </c>
      <c r="X180" s="152"/>
      <c r="Y180" s="149" t="s">
        <v>47</v>
      </c>
      <c r="Z180" s="153"/>
      <c r="AA180" s="152"/>
      <c r="AB180" s="154" t="s">
        <v>6521</v>
      </c>
    </row>
    <row r="181" spans="1:28" x14ac:dyDescent="0.2">
      <c r="A181" s="146" t="s">
        <v>6522</v>
      </c>
      <c r="B181" s="147" t="s">
        <v>6314</v>
      </c>
      <c r="C181" s="147" t="s">
        <v>6349</v>
      </c>
      <c r="D181" s="148"/>
      <c r="E181" s="149" t="s">
        <v>21199</v>
      </c>
      <c r="F181" s="159">
        <v>3</v>
      </c>
      <c r="G181" s="149" t="s">
        <v>21200</v>
      </c>
      <c r="H181" s="157">
        <v>2</v>
      </c>
      <c r="I181" s="156" t="s">
        <v>40</v>
      </c>
      <c r="J181" s="149" t="s">
        <v>21201</v>
      </c>
      <c r="K181" s="158">
        <v>3</v>
      </c>
      <c r="L181" s="152"/>
      <c r="M181" s="149" t="s">
        <v>21199</v>
      </c>
      <c r="N181" s="158">
        <v>3</v>
      </c>
      <c r="O181" s="152"/>
      <c r="P181" s="149" t="s">
        <v>21202</v>
      </c>
      <c r="Q181" s="157">
        <v>2</v>
      </c>
      <c r="R181" s="152"/>
      <c r="S181" s="149" t="s">
        <v>21203</v>
      </c>
      <c r="T181" s="157">
        <v>2</v>
      </c>
      <c r="U181" s="152"/>
      <c r="V181" s="149" t="s">
        <v>21204</v>
      </c>
      <c r="W181" s="157">
        <v>2</v>
      </c>
      <c r="X181" s="152"/>
      <c r="Y181" s="149" t="s">
        <v>47</v>
      </c>
      <c r="Z181" s="153"/>
      <c r="AA181" s="152"/>
      <c r="AB181" s="154" t="s">
        <v>6523</v>
      </c>
    </row>
    <row r="182" spans="1:28" x14ac:dyDescent="0.2">
      <c r="A182" s="146" t="s">
        <v>6524</v>
      </c>
      <c r="B182" s="147" t="s">
        <v>6130</v>
      </c>
      <c r="C182" s="147" t="s">
        <v>6206</v>
      </c>
      <c r="D182" s="148" t="s">
        <v>6160</v>
      </c>
      <c r="E182" s="149" t="s">
        <v>21205</v>
      </c>
      <c r="F182" s="159">
        <v>3</v>
      </c>
      <c r="G182" s="149" t="s">
        <v>21206</v>
      </c>
      <c r="H182" s="151">
        <v>4</v>
      </c>
      <c r="I182" s="156" t="s">
        <v>55</v>
      </c>
      <c r="J182" s="149" t="s">
        <v>21207</v>
      </c>
      <c r="K182" s="151">
        <v>4</v>
      </c>
      <c r="L182" s="156" t="s">
        <v>46</v>
      </c>
      <c r="M182" s="149" t="s">
        <v>21205</v>
      </c>
      <c r="N182" s="158">
        <v>3</v>
      </c>
      <c r="O182" s="156" t="s">
        <v>46</v>
      </c>
      <c r="P182" s="149" t="s">
        <v>21208</v>
      </c>
      <c r="Q182" s="158">
        <v>3</v>
      </c>
      <c r="R182" s="156" t="s">
        <v>46</v>
      </c>
      <c r="S182" s="149" t="s">
        <v>21209</v>
      </c>
      <c r="T182" s="158">
        <v>3</v>
      </c>
      <c r="U182" s="152"/>
      <c r="V182" s="149" t="s">
        <v>21210</v>
      </c>
      <c r="W182" s="158">
        <v>3</v>
      </c>
      <c r="X182" s="152"/>
      <c r="Y182" s="149" t="s">
        <v>47</v>
      </c>
      <c r="Z182" s="153"/>
      <c r="AA182" s="152"/>
      <c r="AB182" s="154" t="s">
        <v>6525</v>
      </c>
    </row>
    <row r="183" spans="1:28" x14ac:dyDescent="0.2">
      <c r="A183" s="146" t="s">
        <v>6526</v>
      </c>
      <c r="B183" s="147" t="s">
        <v>6130</v>
      </c>
      <c r="C183" s="147" t="s">
        <v>6206</v>
      </c>
      <c r="D183" s="148" t="s">
        <v>6132</v>
      </c>
      <c r="E183" s="149" t="s">
        <v>21211</v>
      </c>
      <c r="F183" s="160">
        <v>2</v>
      </c>
      <c r="G183" s="149" t="s">
        <v>21212</v>
      </c>
      <c r="H183" s="158">
        <v>3</v>
      </c>
      <c r="I183" s="152"/>
      <c r="J183" s="149" t="s">
        <v>21213</v>
      </c>
      <c r="K183" s="158">
        <v>3</v>
      </c>
      <c r="L183" s="152"/>
      <c r="M183" s="149" t="s">
        <v>21211</v>
      </c>
      <c r="N183" s="157">
        <v>2</v>
      </c>
      <c r="O183" s="152"/>
      <c r="P183" s="149" t="s">
        <v>21214</v>
      </c>
      <c r="Q183" s="157">
        <v>2</v>
      </c>
      <c r="R183" s="152"/>
      <c r="S183" s="149" t="s">
        <v>21215</v>
      </c>
      <c r="T183" s="157">
        <v>2</v>
      </c>
      <c r="U183" s="152"/>
      <c r="V183" s="149" t="s">
        <v>21216</v>
      </c>
      <c r="W183" s="157">
        <v>2</v>
      </c>
      <c r="X183" s="156" t="s">
        <v>46</v>
      </c>
      <c r="Y183" s="149" t="s">
        <v>47</v>
      </c>
      <c r="Z183" s="153"/>
      <c r="AA183" s="152"/>
      <c r="AB183" s="154" t="s">
        <v>6527</v>
      </c>
    </row>
    <row r="184" spans="1:28" x14ac:dyDescent="0.2">
      <c r="A184" s="146" t="s">
        <v>6528</v>
      </c>
      <c r="B184" s="147" t="s">
        <v>6314</v>
      </c>
      <c r="C184" s="147" t="s">
        <v>6529</v>
      </c>
      <c r="D184" s="148" t="s">
        <v>6163</v>
      </c>
      <c r="E184" s="149" t="s">
        <v>21217</v>
      </c>
      <c r="F184" s="159">
        <v>3</v>
      </c>
      <c r="G184" s="149" t="s">
        <v>21218</v>
      </c>
      <c r="H184" s="158">
        <v>3</v>
      </c>
      <c r="I184" s="152"/>
      <c r="J184" s="149" t="s">
        <v>21218</v>
      </c>
      <c r="K184" s="158">
        <v>3</v>
      </c>
      <c r="L184" s="152"/>
      <c r="M184" s="149" t="s">
        <v>21217</v>
      </c>
      <c r="N184" s="158">
        <v>3</v>
      </c>
      <c r="O184" s="152"/>
      <c r="P184" s="149" t="s">
        <v>21217</v>
      </c>
      <c r="Q184" s="158">
        <v>3</v>
      </c>
      <c r="R184" s="156" t="s">
        <v>46</v>
      </c>
      <c r="S184" s="149" t="s">
        <v>6530</v>
      </c>
      <c r="T184" s="157">
        <v>2</v>
      </c>
      <c r="U184" s="152"/>
      <c r="V184" s="149" t="s">
        <v>6530</v>
      </c>
      <c r="W184" s="157">
        <v>2</v>
      </c>
      <c r="X184" s="152"/>
      <c r="Y184" s="149" t="s">
        <v>47</v>
      </c>
      <c r="Z184" s="153"/>
      <c r="AA184" s="152"/>
      <c r="AB184" s="154" t="s">
        <v>6531</v>
      </c>
    </row>
    <row r="185" spans="1:28" x14ac:dyDescent="0.2">
      <c r="A185" s="146" t="s">
        <v>6532</v>
      </c>
      <c r="B185" s="147" t="s">
        <v>6314</v>
      </c>
      <c r="C185" s="147" t="s">
        <v>6533</v>
      </c>
      <c r="D185" s="148" t="s">
        <v>6163</v>
      </c>
      <c r="E185" s="149" t="s">
        <v>6534</v>
      </c>
      <c r="F185" s="160">
        <v>2</v>
      </c>
      <c r="G185" s="149" t="s">
        <v>6535</v>
      </c>
      <c r="H185" s="151">
        <v>4</v>
      </c>
      <c r="I185" s="156" t="s">
        <v>55</v>
      </c>
      <c r="J185" s="149" t="s">
        <v>6534</v>
      </c>
      <c r="K185" s="157">
        <v>2</v>
      </c>
      <c r="L185" s="156" t="s">
        <v>46</v>
      </c>
      <c r="M185" s="149" t="s">
        <v>6534</v>
      </c>
      <c r="N185" s="157">
        <v>2</v>
      </c>
      <c r="O185" s="152"/>
      <c r="P185" s="149" t="s">
        <v>6536</v>
      </c>
      <c r="Q185" s="151">
        <v>4</v>
      </c>
      <c r="R185" s="156" t="s">
        <v>46</v>
      </c>
      <c r="S185" s="149" t="s">
        <v>6537</v>
      </c>
      <c r="T185" s="157">
        <v>2</v>
      </c>
      <c r="U185" s="152"/>
      <c r="V185" s="149" t="s">
        <v>733</v>
      </c>
      <c r="W185" s="157">
        <v>2</v>
      </c>
      <c r="X185" s="152"/>
      <c r="Y185" s="149" t="s">
        <v>47</v>
      </c>
      <c r="Z185" s="153"/>
      <c r="AA185" s="152"/>
      <c r="AB185" s="154" t="s">
        <v>6538</v>
      </c>
    </row>
    <row r="186" spans="1:28" x14ac:dyDescent="0.2">
      <c r="A186" s="146" t="s">
        <v>6539</v>
      </c>
      <c r="B186" s="147" t="s">
        <v>6314</v>
      </c>
      <c r="C186" s="147" t="s">
        <v>6540</v>
      </c>
      <c r="D186" s="148" t="s">
        <v>6136</v>
      </c>
      <c r="E186" s="149" t="s">
        <v>21219</v>
      </c>
      <c r="F186" s="159">
        <v>3</v>
      </c>
      <c r="G186" s="149" t="s">
        <v>21220</v>
      </c>
      <c r="H186" s="151">
        <v>4</v>
      </c>
      <c r="I186" s="156" t="s">
        <v>55</v>
      </c>
      <c r="J186" s="149" t="s">
        <v>6541</v>
      </c>
      <c r="K186" s="158">
        <v>3</v>
      </c>
      <c r="L186" s="156" t="s">
        <v>55</v>
      </c>
      <c r="M186" s="149" t="s">
        <v>21219</v>
      </c>
      <c r="N186" s="158">
        <v>3</v>
      </c>
      <c r="O186" s="156" t="s">
        <v>46</v>
      </c>
      <c r="P186" s="149" t="s">
        <v>21221</v>
      </c>
      <c r="Q186" s="151">
        <v>4</v>
      </c>
      <c r="R186" s="152"/>
      <c r="S186" s="149" t="s">
        <v>21222</v>
      </c>
      <c r="T186" s="155">
        <v>1</v>
      </c>
      <c r="U186" s="152"/>
      <c r="V186" s="149" t="s">
        <v>11657</v>
      </c>
      <c r="W186" s="158">
        <v>3</v>
      </c>
      <c r="X186" s="152"/>
      <c r="Y186" s="149" t="s">
        <v>47</v>
      </c>
      <c r="Z186" s="153"/>
      <c r="AA186" s="152"/>
      <c r="AB186" s="154" t="s">
        <v>6542</v>
      </c>
    </row>
    <row r="187" spans="1:28" x14ac:dyDescent="0.2">
      <c r="A187" s="146" t="s">
        <v>6543</v>
      </c>
      <c r="B187" s="147" t="s">
        <v>6130</v>
      </c>
      <c r="C187" s="147" t="s">
        <v>6544</v>
      </c>
      <c r="D187" s="148" t="s">
        <v>6136</v>
      </c>
      <c r="E187" s="149" t="s">
        <v>6545</v>
      </c>
      <c r="F187" s="160">
        <v>2</v>
      </c>
      <c r="G187" s="149" t="s">
        <v>6546</v>
      </c>
      <c r="H187" s="158">
        <v>3</v>
      </c>
      <c r="I187" s="156" t="s">
        <v>46</v>
      </c>
      <c r="J187" s="149" t="s">
        <v>21223</v>
      </c>
      <c r="K187" s="157">
        <v>2</v>
      </c>
      <c r="L187" s="152"/>
      <c r="M187" s="149" t="s">
        <v>6545</v>
      </c>
      <c r="N187" s="157">
        <v>2</v>
      </c>
      <c r="O187" s="152"/>
      <c r="P187" s="149" t="s">
        <v>21224</v>
      </c>
      <c r="Q187" s="157">
        <v>2</v>
      </c>
      <c r="R187" s="152"/>
      <c r="S187" s="149" t="s">
        <v>8422</v>
      </c>
      <c r="T187" s="157">
        <v>2</v>
      </c>
      <c r="U187" s="152"/>
      <c r="V187" s="149" t="s">
        <v>2075</v>
      </c>
      <c r="W187" s="157">
        <v>2</v>
      </c>
      <c r="X187" s="152"/>
      <c r="Y187" s="149" t="s">
        <v>47</v>
      </c>
      <c r="Z187" s="153"/>
      <c r="AA187" s="152"/>
      <c r="AB187" s="154" t="s">
        <v>6547</v>
      </c>
    </row>
    <row r="188" spans="1:28" x14ac:dyDescent="0.2">
      <c r="A188" s="146" t="s">
        <v>6548</v>
      </c>
      <c r="B188" s="147" t="s">
        <v>6130</v>
      </c>
      <c r="C188" s="147" t="s">
        <v>6175</v>
      </c>
      <c r="D188" s="148"/>
      <c r="E188" s="149" t="s">
        <v>21225</v>
      </c>
      <c r="F188" s="159">
        <v>3</v>
      </c>
      <c r="G188" s="149" t="s">
        <v>21226</v>
      </c>
      <c r="H188" s="158">
        <v>3</v>
      </c>
      <c r="I188" s="152"/>
      <c r="J188" s="149" t="s">
        <v>21227</v>
      </c>
      <c r="K188" s="151">
        <v>4</v>
      </c>
      <c r="L188" s="156" t="s">
        <v>46</v>
      </c>
      <c r="M188" s="149" t="s">
        <v>21225</v>
      </c>
      <c r="N188" s="158">
        <v>3</v>
      </c>
      <c r="O188" s="152"/>
      <c r="P188" s="149" t="s">
        <v>21228</v>
      </c>
      <c r="Q188" s="158">
        <v>3</v>
      </c>
      <c r="R188" s="152"/>
      <c r="S188" s="149" t="s">
        <v>21229</v>
      </c>
      <c r="T188" s="151">
        <v>4</v>
      </c>
      <c r="U188" s="152"/>
      <c r="V188" s="149" t="s">
        <v>21230</v>
      </c>
      <c r="W188" s="151">
        <v>4</v>
      </c>
      <c r="X188" s="152"/>
      <c r="Y188" s="149" t="s">
        <v>16905</v>
      </c>
      <c r="Z188" s="158">
        <v>3</v>
      </c>
      <c r="AA188" s="152"/>
      <c r="AB188" s="154" t="s">
        <v>587</v>
      </c>
    </row>
    <row r="189" spans="1:28" x14ac:dyDescent="0.2">
      <c r="A189" s="146" t="s">
        <v>593</v>
      </c>
      <c r="B189" s="147" t="s">
        <v>6130</v>
      </c>
      <c r="C189" s="147" t="s">
        <v>6192</v>
      </c>
      <c r="D189" s="148"/>
      <c r="E189" s="149" t="s">
        <v>21231</v>
      </c>
      <c r="F189" s="159">
        <v>3</v>
      </c>
      <c r="G189" s="149" t="s">
        <v>21232</v>
      </c>
      <c r="H189" s="158">
        <v>3</v>
      </c>
      <c r="I189" s="152"/>
      <c r="J189" s="149" t="s">
        <v>21233</v>
      </c>
      <c r="K189" s="158">
        <v>3</v>
      </c>
      <c r="L189" s="156" t="s">
        <v>40</v>
      </c>
      <c r="M189" s="149" t="s">
        <v>21231</v>
      </c>
      <c r="N189" s="158">
        <v>3</v>
      </c>
      <c r="O189" s="156" t="s">
        <v>40</v>
      </c>
      <c r="P189" s="149" t="s">
        <v>21234</v>
      </c>
      <c r="Q189" s="158">
        <v>3</v>
      </c>
      <c r="R189" s="156" t="s">
        <v>46</v>
      </c>
      <c r="S189" s="149" t="s">
        <v>21235</v>
      </c>
      <c r="T189" s="158">
        <v>3</v>
      </c>
      <c r="U189" s="152"/>
      <c r="V189" s="149" t="s">
        <v>21236</v>
      </c>
      <c r="W189" s="151">
        <v>4</v>
      </c>
      <c r="X189" s="152"/>
      <c r="Y189" s="149" t="s">
        <v>47</v>
      </c>
      <c r="Z189" s="153"/>
      <c r="AA189" s="152"/>
      <c r="AB189" s="154" t="s">
        <v>594</v>
      </c>
    </row>
    <row r="190" spans="1:28" x14ac:dyDescent="0.2">
      <c r="A190" s="146" t="s">
        <v>6549</v>
      </c>
      <c r="B190" s="147" t="s">
        <v>6130</v>
      </c>
      <c r="C190" s="147" t="s">
        <v>6196</v>
      </c>
      <c r="D190" s="148"/>
      <c r="E190" s="149" t="s">
        <v>21237</v>
      </c>
      <c r="F190" s="160">
        <v>2</v>
      </c>
      <c r="G190" s="149" t="s">
        <v>13275</v>
      </c>
      <c r="H190" s="157">
        <v>2</v>
      </c>
      <c r="I190" s="156" t="s">
        <v>40</v>
      </c>
      <c r="J190" s="149" t="s">
        <v>6550</v>
      </c>
      <c r="K190" s="158">
        <v>3</v>
      </c>
      <c r="L190" s="156" t="s">
        <v>46</v>
      </c>
      <c r="M190" s="149" t="s">
        <v>21237</v>
      </c>
      <c r="N190" s="157">
        <v>2</v>
      </c>
      <c r="O190" s="152"/>
      <c r="P190" s="149" t="s">
        <v>21238</v>
      </c>
      <c r="Q190" s="155">
        <v>1</v>
      </c>
      <c r="R190" s="156" t="s">
        <v>40</v>
      </c>
      <c r="S190" s="149" t="s">
        <v>21239</v>
      </c>
      <c r="T190" s="157">
        <v>2</v>
      </c>
      <c r="U190" s="152"/>
      <c r="V190" s="149" t="s">
        <v>47</v>
      </c>
      <c r="W190" s="153"/>
      <c r="X190" s="152"/>
      <c r="Y190" s="149" t="s">
        <v>47</v>
      </c>
      <c r="Z190" s="153"/>
      <c r="AA190" s="152"/>
      <c r="AB190" s="154" t="s">
        <v>596</v>
      </c>
    </row>
    <row r="191" spans="1:28" x14ac:dyDescent="0.2">
      <c r="A191" s="146" t="s">
        <v>6551</v>
      </c>
      <c r="B191" s="147" t="s">
        <v>6130</v>
      </c>
      <c r="C191" s="147" t="s">
        <v>6154</v>
      </c>
      <c r="D191" s="148"/>
      <c r="E191" s="149" t="s">
        <v>21240</v>
      </c>
      <c r="F191" s="150">
        <v>4</v>
      </c>
      <c r="G191" s="149" t="s">
        <v>21241</v>
      </c>
      <c r="H191" s="155">
        <v>1</v>
      </c>
      <c r="I191" s="156" t="s">
        <v>157</v>
      </c>
      <c r="J191" s="149" t="s">
        <v>21242</v>
      </c>
      <c r="K191" s="151">
        <v>4</v>
      </c>
      <c r="L191" s="152"/>
      <c r="M191" s="149" t="s">
        <v>21240</v>
      </c>
      <c r="N191" s="151">
        <v>4</v>
      </c>
      <c r="O191" s="152"/>
      <c r="P191" s="149" t="s">
        <v>6552</v>
      </c>
      <c r="Q191" s="151">
        <v>4</v>
      </c>
      <c r="R191" s="152"/>
      <c r="S191" s="149" t="s">
        <v>21243</v>
      </c>
      <c r="T191" s="151">
        <v>4</v>
      </c>
      <c r="U191" s="152"/>
      <c r="V191" s="149" t="s">
        <v>21244</v>
      </c>
      <c r="W191" s="151">
        <v>4</v>
      </c>
      <c r="X191" s="152"/>
      <c r="Y191" s="149" t="s">
        <v>47</v>
      </c>
      <c r="Z191" s="153"/>
      <c r="AA191" s="152"/>
      <c r="AB191" s="154" t="s">
        <v>600</v>
      </c>
    </row>
    <row r="192" spans="1:28" x14ac:dyDescent="0.2">
      <c r="A192" s="146" t="s">
        <v>6553</v>
      </c>
      <c r="B192" s="147" t="s">
        <v>6130</v>
      </c>
      <c r="C192" s="147" t="s">
        <v>6277</v>
      </c>
      <c r="D192" s="148"/>
      <c r="E192" s="149" t="s">
        <v>21245</v>
      </c>
      <c r="F192" s="161">
        <v>1</v>
      </c>
      <c r="G192" s="149" t="s">
        <v>21246</v>
      </c>
      <c r="H192" s="157">
        <v>2</v>
      </c>
      <c r="I192" s="152"/>
      <c r="J192" s="149" t="s">
        <v>21247</v>
      </c>
      <c r="K192" s="157">
        <v>2</v>
      </c>
      <c r="L192" s="156" t="s">
        <v>46</v>
      </c>
      <c r="M192" s="149" t="s">
        <v>21245</v>
      </c>
      <c r="N192" s="155">
        <v>1</v>
      </c>
      <c r="O192" s="152"/>
      <c r="P192" s="149" t="s">
        <v>21248</v>
      </c>
      <c r="Q192" s="155">
        <v>1</v>
      </c>
      <c r="R192" s="152"/>
      <c r="S192" s="149" t="s">
        <v>21249</v>
      </c>
      <c r="T192" s="158">
        <v>3</v>
      </c>
      <c r="U192" s="152"/>
      <c r="V192" s="149" t="s">
        <v>21250</v>
      </c>
      <c r="W192" s="155">
        <v>1</v>
      </c>
      <c r="X192" s="152"/>
      <c r="Y192" s="149" t="s">
        <v>47</v>
      </c>
      <c r="Z192" s="153"/>
      <c r="AA192" s="152"/>
      <c r="AB192" s="154" t="s">
        <v>598</v>
      </c>
    </row>
    <row r="193" spans="1:28" x14ac:dyDescent="0.2">
      <c r="A193" s="146" t="s">
        <v>601</v>
      </c>
      <c r="B193" s="147" t="s">
        <v>6130</v>
      </c>
      <c r="C193" s="147" t="s">
        <v>6192</v>
      </c>
      <c r="D193" s="148"/>
      <c r="E193" s="149" t="s">
        <v>21251</v>
      </c>
      <c r="F193" s="161">
        <v>1</v>
      </c>
      <c r="G193" s="149" t="s">
        <v>21252</v>
      </c>
      <c r="H193" s="155">
        <v>1</v>
      </c>
      <c r="I193" s="156" t="s">
        <v>40</v>
      </c>
      <c r="J193" s="149" t="s">
        <v>21253</v>
      </c>
      <c r="K193" s="155">
        <v>1</v>
      </c>
      <c r="L193" s="152"/>
      <c r="M193" s="149" t="s">
        <v>21251</v>
      </c>
      <c r="N193" s="155">
        <v>1</v>
      </c>
      <c r="O193" s="156" t="s">
        <v>40</v>
      </c>
      <c r="P193" s="149" t="s">
        <v>21254</v>
      </c>
      <c r="Q193" s="155">
        <v>1</v>
      </c>
      <c r="R193" s="156" t="s">
        <v>53</v>
      </c>
      <c r="S193" s="149" t="s">
        <v>21255</v>
      </c>
      <c r="T193" s="158">
        <v>3</v>
      </c>
      <c r="U193" s="152"/>
      <c r="V193" s="149" t="s">
        <v>21256</v>
      </c>
      <c r="W193" s="155">
        <v>1</v>
      </c>
      <c r="X193" s="152"/>
      <c r="Y193" s="149" t="s">
        <v>47</v>
      </c>
      <c r="Z193" s="153"/>
      <c r="AA193" s="152"/>
      <c r="AB193" s="154" t="s">
        <v>602</v>
      </c>
    </row>
    <row r="194" spans="1:28" x14ac:dyDescent="0.2">
      <c r="A194" s="146" t="s">
        <v>603</v>
      </c>
      <c r="B194" s="147" t="s">
        <v>6130</v>
      </c>
      <c r="C194" s="147" t="s">
        <v>6554</v>
      </c>
      <c r="D194" s="148"/>
      <c r="E194" s="149" t="s">
        <v>6555</v>
      </c>
      <c r="F194" s="150">
        <v>4</v>
      </c>
      <c r="G194" s="149" t="s">
        <v>21257</v>
      </c>
      <c r="H194" s="155">
        <v>1</v>
      </c>
      <c r="I194" s="156" t="s">
        <v>40</v>
      </c>
      <c r="J194" s="149" t="s">
        <v>21258</v>
      </c>
      <c r="K194" s="157">
        <v>2</v>
      </c>
      <c r="L194" s="152"/>
      <c r="M194" s="149" t="s">
        <v>6555</v>
      </c>
      <c r="N194" s="151">
        <v>4</v>
      </c>
      <c r="O194" s="156" t="s">
        <v>46</v>
      </c>
      <c r="P194" s="149" t="s">
        <v>6556</v>
      </c>
      <c r="Q194" s="151">
        <v>4</v>
      </c>
      <c r="R194" s="152"/>
      <c r="S194" s="149" t="s">
        <v>6557</v>
      </c>
      <c r="T194" s="151">
        <v>4</v>
      </c>
      <c r="U194" s="152"/>
      <c r="V194" s="149" t="s">
        <v>6558</v>
      </c>
      <c r="W194" s="151">
        <v>4</v>
      </c>
      <c r="X194" s="152"/>
      <c r="Y194" s="149" t="s">
        <v>47</v>
      </c>
      <c r="Z194" s="153"/>
      <c r="AA194" s="152"/>
      <c r="AB194" s="154" t="s">
        <v>604</v>
      </c>
    </row>
    <row r="195" spans="1:28" x14ac:dyDescent="0.2">
      <c r="A195" s="146" t="s">
        <v>6559</v>
      </c>
      <c r="B195" s="147" t="s">
        <v>6130</v>
      </c>
      <c r="C195" s="147" t="s">
        <v>6192</v>
      </c>
      <c r="D195" s="148"/>
      <c r="E195" s="149" t="s">
        <v>21259</v>
      </c>
      <c r="F195" s="150">
        <v>4</v>
      </c>
      <c r="G195" s="149" t="s">
        <v>21260</v>
      </c>
      <c r="H195" s="155">
        <v>1</v>
      </c>
      <c r="I195" s="156" t="s">
        <v>53</v>
      </c>
      <c r="J195" s="149" t="s">
        <v>21261</v>
      </c>
      <c r="K195" s="157">
        <v>2</v>
      </c>
      <c r="L195" s="156" t="s">
        <v>40</v>
      </c>
      <c r="M195" s="149" t="s">
        <v>21259</v>
      </c>
      <c r="N195" s="151">
        <v>4</v>
      </c>
      <c r="O195" s="152"/>
      <c r="P195" s="149" t="s">
        <v>21262</v>
      </c>
      <c r="Q195" s="151">
        <v>4</v>
      </c>
      <c r="R195" s="152"/>
      <c r="S195" s="149" t="s">
        <v>21263</v>
      </c>
      <c r="T195" s="158">
        <v>3</v>
      </c>
      <c r="U195" s="152"/>
      <c r="V195" s="149" t="s">
        <v>21264</v>
      </c>
      <c r="W195" s="157">
        <v>2</v>
      </c>
      <c r="X195" s="152"/>
      <c r="Y195" s="149" t="s">
        <v>47</v>
      </c>
      <c r="Z195" s="153"/>
      <c r="AA195" s="152"/>
      <c r="AB195" s="154" t="s">
        <v>606</v>
      </c>
    </row>
    <row r="196" spans="1:28" x14ac:dyDescent="0.2">
      <c r="A196" s="146" t="s">
        <v>607</v>
      </c>
      <c r="B196" s="147" t="s">
        <v>6130</v>
      </c>
      <c r="C196" s="147" t="s">
        <v>6192</v>
      </c>
      <c r="D196" s="148"/>
      <c r="E196" s="149" t="s">
        <v>21265</v>
      </c>
      <c r="F196" s="150">
        <v>4</v>
      </c>
      <c r="G196" s="149" t="s">
        <v>21266</v>
      </c>
      <c r="H196" s="155">
        <v>1</v>
      </c>
      <c r="I196" s="156" t="s">
        <v>157</v>
      </c>
      <c r="J196" s="149" t="s">
        <v>21267</v>
      </c>
      <c r="K196" s="157">
        <v>2</v>
      </c>
      <c r="L196" s="156" t="s">
        <v>53</v>
      </c>
      <c r="M196" s="149" t="s">
        <v>21265</v>
      </c>
      <c r="N196" s="151">
        <v>4</v>
      </c>
      <c r="O196" s="152"/>
      <c r="P196" s="149" t="s">
        <v>21268</v>
      </c>
      <c r="Q196" s="151">
        <v>4</v>
      </c>
      <c r="R196" s="152"/>
      <c r="S196" s="149" t="s">
        <v>21269</v>
      </c>
      <c r="T196" s="158">
        <v>3</v>
      </c>
      <c r="U196" s="152"/>
      <c r="V196" s="149" t="s">
        <v>21270</v>
      </c>
      <c r="W196" s="155">
        <v>1</v>
      </c>
      <c r="X196" s="156" t="s">
        <v>40</v>
      </c>
      <c r="Y196" s="149" t="s">
        <v>47</v>
      </c>
      <c r="Z196" s="153"/>
      <c r="AA196" s="152"/>
      <c r="AB196" s="154" t="s">
        <v>608</v>
      </c>
    </row>
    <row r="197" spans="1:28" x14ac:dyDescent="0.2">
      <c r="A197" s="146" t="s">
        <v>609</v>
      </c>
      <c r="B197" s="147" t="s">
        <v>6130</v>
      </c>
      <c r="C197" s="147" t="s">
        <v>6192</v>
      </c>
      <c r="D197" s="148"/>
      <c r="E197" s="149" t="s">
        <v>21271</v>
      </c>
      <c r="F197" s="150">
        <v>4</v>
      </c>
      <c r="G197" s="149" t="s">
        <v>21272</v>
      </c>
      <c r="H197" s="155">
        <v>1</v>
      </c>
      <c r="I197" s="156" t="s">
        <v>53</v>
      </c>
      <c r="J197" s="149" t="s">
        <v>21273</v>
      </c>
      <c r="K197" s="158">
        <v>3</v>
      </c>
      <c r="L197" s="156" t="s">
        <v>40</v>
      </c>
      <c r="M197" s="149" t="s">
        <v>21271</v>
      </c>
      <c r="N197" s="151">
        <v>4</v>
      </c>
      <c r="O197" s="152"/>
      <c r="P197" s="149" t="s">
        <v>21274</v>
      </c>
      <c r="Q197" s="151">
        <v>4</v>
      </c>
      <c r="R197" s="152"/>
      <c r="S197" s="149" t="s">
        <v>21275</v>
      </c>
      <c r="T197" s="158">
        <v>3</v>
      </c>
      <c r="U197" s="152"/>
      <c r="V197" s="149" t="s">
        <v>21276</v>
      </c>
      <c r="W197" s="157">
        <v>2</v>
      </c>
      <c r="X197" s="152"/>
      <c r="Y197" s="149" t="s">
        <v>47</v>
      </c>
      <c r="Z197" s="153"/>
      <c r="AA197" s="152"/>
      <c r="AB197" s="154" t="s">
        <v>610</v>
      </c>
    </row>
    <row r="198" spans="1:28" x14ac:dyDescent="0.2">
      <c r="A198" s="146" t="s">
        <v>611</v>
      </c>
      <c r="B198" s="147" t="s">
        <v>6130</v>
      </c>
      <c r="C198" s="147" t="s">
        <v>6554</v>
      </c>
      <c r="D198" s="148"/>
      <c r="E198" s="149" t="s">
        <v>5189</v>
      </c>
      <c r="F198" s="150">
        <v>4</v>
      </c>
      <c r="G198" s="149" t="s">
        <v>6560</v>
      </c>
      <c r="H198" s="155">
        <v>1</v>
      </c>
      <c r="I198" s="156" t="s">
        <v>53</v>
      </c>
      <c r="J198" s="149" t="s">
        <v>21277</v>
      </c>
      <c r="K198" s="158">
        <v>3</v>
      </c>
      <c r="L198" s="156" t="s">
        <v>40</v>
      </c>
      <c r="M198" s="149" t="s">
        <v>5189</v>
      </c>
      <c r="N198" s="151">
        <v>4</v>
      </c>
      <c r="O198" s="152"/>
      <c r="P198" s="149" t="s">
        <v>6561</v>
      </c>
      <c r="Q198" s="151">
        <v>4</v>
      </c>
      <c r="R198" s="152"/>
      <c r="S198" s="149" t="s">
        <v>6189</v>
      </c>
      <c r="T198" s="151">
        <v>4</v>
      </c>
      <c r="U198" s="152"/>
      <c r="V198" s="149" t="s">
        <v>6535</v>
      </c>
      <c r="W198" s="151">
        <v>4</v>
      </c>
      <c r="X198" s="152"/>
      <c r="Y198" s="149" t="s">
        <v>47</v>
      </c>
      <c r="Z198" s="153"/>
      <c r="AA198" s="152"/>
      <c r="AB198" s="154" t="s">
        <v>612</v>
      </c>
    </row>
    <row r="199" spans="1:28" x14ac:dyDescent="0.2">
      <c r="A199" s="146" t="s">
        <v>6562</v>
      </c>
      <c r="B199" s="147" t="s">
        <v>6130</v>
      </c>
      <c r="C199" s="147" t="s">
        <v>6196</v>
      </c>
      <c r="D199" s="148"/>
      <c r="E199" s="149" t="s">
        <v>21278</v>
      </c>
      <c r="F199" s="150">
        <v>4</v>
      </c>
      <c r="G199" s="149" t="s">
        <v>21279</v>
      </c>
      <c r="H199" s="151">
        <v>4</v>
      </c>
      <c r="I199" s="156" t="s">
        <v>46</v>
      </c>
      <c r="J199" s="149" t="s">
        <v>6563</v>
      </c>
      <c r="K199" s="151">
        <v>4</v>
      </c>
      <c r="L199" s="152"/>
      <c r="M199" s="149" t="s">
        <v>21278</v>
      </c>
      <c r="N199" s="151">
        <v>4</v>
      </c>
      <c r="O199" s="156" t="s">
        <v>55</v>
      </c>
      <c r="P199" s="149" t="s">
        <v>8457</v>
      </c>
      <c r="Q199" s="155">
        <v>1</v>
      </c>
      <c r="R199" s="156" t="s">
        <v>40</v>
      </c>
      <c r="S199" s="149" t="s">
        <v>21280</v>
      </c>
      <c r="T199" s="151">
        <v>4</v>
      </c>
      <c r="U199" s="152"/>
      <c r="V199" s="149" t="s">
        <v>47</v>
      </c>
      <c r="W199" s="153"/>
      <c r="X199" s="152"/>
      <c r="Y199" s="149" t="s">
        <v>47</v>
      </c>
      <c r="Z199" s="153"/>
      <c r="AA199" s="152"/>
      <c r="AB199" s="154" t="s">
        <v>614</v>
      </c>
    </row>
    <row r="200" spans="1:28" x14ac:dyDescent="0.2">
      <c r="A200" s="146" t="s">
        <v>6564</v>
      </c>
      <c r="B200" s="147" t="s">
        <v>6130</v>
      </c>
      <c r="C200" s="147" t="s">
        <v>6247</v>
      </c>
      <c r="D200" s="148"/>
      <c r="E200" s="149" t="s">
        <v>21281</v>
      </c>
      <c r="F200" s="161">
        <v>1</v>
      </c>
      <c r="G200" s="149" t="s">
        <v>21282</v>
      </c>
      <c r="H200" s="155">
        <v>1</v>
      </c>
      <c r="I200" s="152"/>
      <c r="J200" s="149" t="s">
        <v>21283</v>
      </c>
      <c r="K200" s="155">
        <v>1</v>
      </c>
      <c r="L200" s="152"/>
      <c r="M200" s="149" t="s">
        <v>21281</v>
      </c>
      <c r="N200" s="155">
        <v>1</v>
      </c>
      <c r="O200" s="152"/>
      <c r="P200" s="149" t="s">
        <v>21284</v>
      </c>
      <c r="Q200" s="155">
        <v>1</v>
      </c>
      <c r="R200" s="152"/>
      <c r="S200" s="149" t="s">
        <v>21285</v>
      </c>
      <c r="T200" s="155">
        <v>1</v>
      </c>
      <c r="U200" s="152"/>
      <c r="V200" s="149" t="s">
        <v>21286</v>
      </c>
      <c r="W200" s="157">
        <v>2</v>
      </c>
      <c r="X200" s="156" t="s">
        <v>46</v>
      </c>
      <c r="Y200" s="149" t="s">
        <v>47</v>
      </c>
      <c r="Z200" s="153"/>
      <c r="AA200" s="152"/>
      <c r="AB200" s="154" t="s">
        <v>616</v>
      </c>
    </row>
    <row r="201" spans="1:28" x14ac:dyDescent="0.2">
      <c r="A201" s="146" t="s">
        <v>6565</v>
      </c>
      <c r="B201" s="147" t="s">
        <v>6130</v>
      </c>
      <c r="C201" s="147" t="s">
        <v>6196</v>
      </c>
      <c r="D201" s="148"/>
      <c r="E201" s="149" t="s">
        <v>21287</v>
      </c>
      <c r="F201" s="161">
        <v>1</v>
      </c>
      <c r="G201" s="149" t="s">
        <v>21288</v>
      </c>
      <c r="H201" s="158">
        <v>3</v>
      </c>
      <c r="I201" s="156" t="s">
        <v>55</v>
      </c>
      <c r="J201" s="149" t="s">
        <v>21289</v>
      </c>
      <c r="K201" s="155">
        <v>1</v>
      </c>
      <c r="L201" s="152"/>
      <c r="M201" s="149" t="s">
        <v>21287</v>
      </c>
      <c r="N201" s="155">
        <v>1</v>
      </c>
      <c r="O201" s="152"/>
      <c r="P201" s="149" t="s">
        <v>21290</v>
      </c>
      <c r="Q201" s="155">
        <v>1</v>
      </c>
      <c r="R201" s="152"/>
      <c r="S201" s="149" t="s">
        <v>21291</v>
      </c>
      <c r="T201" s="157">
        <v>2</v>
      </c>
      <c r="U201" s="152"/>
      <c r="V201" s="149" t="s">
        <v>47</v>
      </c>
      <c r="W201" s="153"/>
      <c r="X201" s="152"/>
      <c r="Y201" s="149" t="s">
        <v>47</v>
      </c>
      <c r="Z201" s="153"/>
      <c r="AA201" s="152"/>
      <c r="AB201" s="154" t="s">
        <v>618</v>
      </c>
    </row>
    <row r="202" spans="1:28" x14ac:dyDescent="0.2">
      <c r="A202" s="146" t="s">
        <v>6566</v>
      </c>
      <c r="B202" s="147" t="s">
        <v>6130</v>
      </c>
      <c r="C202" s="147" t="s">
        <v>6196</v>
      </c>
      <c r="D202" s="148"/>
      <c r="E202" s="149" t="s">
        <v>21292</v>
      </c>
      <c r="F202" s="160">
        <v>2</v>
      </c>
      <c r="G202" s="149" t="s">
        <v>21293</v>
      </c>
      <c r="H202" s="155">
        <v>1</v>
      </c>
      <c r="I202" s="156" t="s">
        <v>157</v>
      </c>
      <c r="J202" s="149" t="s">
        <v>6567</v>
      </c>
      <c r="K202" s="158">
        <v>3</v>
      </c>
      <c r="L202" s="156" t="s">
        <v>40</v>
      </c>
      <c r="M202" s="149" t="s">
        <v>21292</v>
      </c>
      <c r="N202" s="157">
        <v>2</v>
      </c>
      <c r="O202" s="156" t="s">
        <v>53</v>
      </c>
      <c r="P202" s="149" t="s">
        <v>21294</v>
      </c>
      <c r="Q202" s="155">
        <v>1</v>
      </c>
      <c r="R202" s="152"/>
      <c r="S202" s="149" t="s">
        <v>21295</v>
      </c>
      <c r="T202" s="158">
        <v>3</v>
      </c>
      <c r="U202" s="156" t="s">
        <v>46</v>
      </c>
      <c r="V202" s="149" t="s">
        <v>6568</v>
      </c>
      <c r="W202" s="158">
        <v>3</v>
      </c>
      <c r="X202" s="156" t="s">
        <v>40</v>
      </c>
      <c r="Y202" s="149" t="s">
        <v>47</v>
      </c>
      <c r="Z202" s="153"/>
      <c r="AA202" s="152"/>
      <c r="AB202" s="154" t="s">
        <v>620</v>
      </c>
    </row>
    <row r="203" spans="1:28" x14ac:dyDescent="0.2">
      <c r="A203" s="146" t="s">
        <v>621</v>
      </c>
      <c r="B203" s="147" t="s">
        <v>6130</v>
      </c>
      <c r="C203" s="147" t="s">
        <v>6192</v>
      </c>
      <c r="D203" s="148"/>
      <c r="E203" s="149" t="s">
        <v>21296</v>
      </c>
      <c r="F203" s="150">
        <v>4</v>
      </c>
      <c r="G203" s="149" t="s">
        <v>21297</v>
      </c>
      <c r="H203" s="155">
        <v>1</v>
      </c>
      <c r="I203" s="156" t="s">
        <v>53</v>
      </c>
      <c r="J203" s="149" t="s">
        <v>21298</v>
      </c>
      <c r="K203" s="158">
        <v>3</v>
      </c>
      <c r="L203" s="156" t="s">
        <v>40</v>
      </c>
      <c r="M203" s="149" t="s">
        <v>21296</v>
      </c>
      <c r="N203" s="151">
        <v>4</v>
      </c>
      <c r="O203" s="152"/>
      <c r="P203" s="149" t="s">
        <v>21299</v>
      </c>
      <c r="Q203" s="151">
        <v>4</v>
      </c>
      <c r="R203" s="152"/>
      <c r="S203" s="149" t="s">
        <v>21300</v>
      </c>
      <c r="T203" s="151">
        <v>4</v>
      </c>
      <c r="U203" s="152"/>
      <c r="V203" s="149" t="s">
        <v>21301</v>
      </c>
      <c r="W203" s="151">
        <v>4</v>
      </c>
      <c r="X203" s="152"/>
      <c r="Y203" s="149" t="s">
        <v>47</v>
      </c>
      <c r="Z203" s="153"/>
      <c r="AA203" s="152"/>
      <c r="AB203" s="154" t="s">
        <v>622</v>
      </c>
    </row>
    <row r="204" spans="1:28" x14ac:dyDescent="0.2">
      <c r="A204" s="146" t="s">
        <v>623</v>
      </c>
      <c r="B204" s="147" t="s">
        <v>6130</v>
      </c>
      <c r="C204" s="147" t="s">
        <v>6196</v>
      </c>
      <c r="D204" s="148"/>
      <c r="E204" s="149" t="s">
        <v>21302</v>
      </c>
      <c r="F204" s="161">
        <v>1</v>
      </c>
      <c r="G204" s="149" t="s">
        <v>21303</v>
      </c>
      <c r="H204" s="158">
        <v>3</v>
      </c>
      <c r="I204" s="156" t="s">
        <v>46</v>
      </c>
      <c r="J204" s="149" t="s">
        <v>21304</v>
      </c>
      <c r="K204" s="155">
        <v>1</v>
      </c>
      <c r="L204" s="152"/>
      <c r="M204" s="149" t="s">
        <v>21302</v>
      </c>
      <c r="N204" s="155">
        <v>1</v>
      </c>
      <c r="O204" s="152"/>
      <c r="P204" s="149" t="s">
        <v>6569</v>
      </c>
      <c r="Q204" s="155">
        <v>1</v>
      </c>
      <c r="R204" s="152"/>
      <c r="S204" s="149" t="s">
        <v>21305</v>
      </c>
      <c r="T204" s="155">
        <v>1</v>
      </c>
      <c r="U204" s="152"/>
      <c r="V204" s="149" t="s">
        <v>47</v>
      </c>
      <c r="W204" s="153"/>
      <c r="X204" s="152"/>
      <c r="Y204" s="149" t="s">
        <v>47</v>
      </c>
      <c r="Z204" s="153"/>
      <c r="AA204" s="152"/>
      <c r="AB204" s="154" t="s">
        <v>624</v>
      </c>
    </row>
    <row r="205" spans="1:28" x14ac:dyDescent="0.2">
      <c r="A205" s="146" t="s">
        <v>625</v>
      </c>
      <c r="B205" s="147" t="s">
        <v>6130</v>
      </c>
      <c r="C205" s="147" t="s">
        <v>6196</v>
      </c>
      <c r="D205" s="148"/>
      <c r="E205" s="149" t="s">
        <v>21306</v>
      </c>
      <c r="F205" s="161">
        <v>1</v>
      </c>
      <c r="G205" s="149" t="s">
        <v>21307</v>
      </c>
      <c r="H205" s="155">
        <v>1</v>
      </c>
      <c r="I205" s="152"/>
      <c r="J205" s="149" t="s">
        <v>21308</v>
      </c>
      <c r="K205" s="155">
        <v>1</v>
      </c>
      <c r="L205" s="156" t="s">
        <v>40</v>
      </c>
      <c r="M205" s="149" t="s">
        <v>21306</v>
      </c>
      <c r="N205" s="155">
        <v>1</v>
      </c>
      <c r="O205" s="156" t="s">
        <v>40</v>
      </c>
      <c r="P205" s="149" t="s">
        <v>21309</v>
      </c>
      <c r="Q205" s="155">
        <v>1</v>
      </c>
      <c r="R205" s="152"/>
      <c r="S205" s="149" t="s">
        <v>21310</v>
      </c>
      <c r="T205" s="155">
        <v>1</v>
      </c>
      <c r="U205" s="156" t="s">
        <v>40</v>
      </c>
      <c r="V205" s="149" t="s">
        <v>47</v>
      </c>
      <c r="W205" s="153"/>
      <c r="X205" s="152"/>
      <c r="Y205" s="149" t="s">
        <v>47</v>
      </c>
      <c r="Z205" s="153"/>
      <c r="AA205" s="152"/>
      <c r="AB205" s="154" t="s">
        <v>626</v>
      </c>
    </row>
    <row r="206" spans="1:28" x14ac:dyDescent="0.2">
      <c r="A206" s="146" t="s">
        <v>6570</v>
      </c>
      <c r="B206" s="147" t="s">
        <v>6130</v>
      </c>
      <c r="C206" s="147" t="s">
        <v>6196</v>
      </c>
      <c r="D206" s="148"/>
      <c r="E206" s="149" t="s">
        <v>6571</v>
      </c>
      <c r="F206" s="161">
        <v>1</v>
      </c>
      <c r="G206" s="149" t="s">
        <v>21311</v>
      </c>
      <c r="H206" s="151">
        <v>4</v>
      </c>
      <c r="I206" s="156" t="s">
        <v>44</v>
      </c>
      <c r="J206" s="149" t="s">
        <v>21312</v>
      </c>
      <c r="K206" s="155">
        <v>1</v>
      </c>
      <c r="L206" s="152"/>
      <c r="M206" s="149" t="s">
        <v>6571</v>
      </c>
      <c r="N206" s="155">
        <v>1</v>
      </c>
      <c r="O206" s="152"/>
      <c r="P206" s="149" t="s">
        <v>21313</v>
      </c>
      <c r="Q206" s="155">
        <v>1</v>
      </c>
      <c r="R206" s="152"/>
      <c r="S206" s="149" t="s">
        <v>21314</v>
      </c>
      <c r="T206" s="157">
        <v>2</v>
      </c>
      <c r="U206" s="156" t="s">
        <v>46</v>
      </c>
      <c r="V206" s="149" t="s">
        <v>47</v>
      </c>
      <c r="W206" s="153"/>
      <c r="X206" s="152"/>
      <c r="Y206" s="149" t="s">
        <v>47</v>
      </c>
      <c r="Z206" s="153"/>
      <c r="AA206" s="152"/>
      <c r="AB206" s="154" t="s">
        <v>628</v>
      </c>
    </row>
    <row r="207" spans="1:28" x14ac:dyDescent="0.2">
      <c r="A207" s="146" t="s">
        <v>6572</v>
      </c>
      <c r="B207" s="147" t="s">
        <v>6130</v>
      </c>
      <c r="C207" s="147" t="s">
        <v>6192</v>
      </c>
      <c r="D207" s="148"/>
      <c r="E207" s="149" t="s">
        <v>21315</v>
      </c>
      <c r="F207" s="160">
        <v>2</v>
      </c>
      <c r="G207" s="149" t="s">
        <v>21316</v>
      </c>
      <c r="H207" s="158">
        <v>3</v>
      </c>
      <c r="I207" s="156" t="s">
        <v>46</v>
      </c>
      <c r="J207" s="149" t="s">
        <v>21317</v>
      </c>
      <c r="K207" s="158">
        <v>3</v>
      </c>
      <c r="L207" s="152"/>
      <c r="M207" s="149" t="s">
        <v>21315</v>
      </c>
      <c r="N207" s="157">
        <v>2</v>
      </c>
      <c r="O207" s="156" t="s">
        <v>40</v>
      </c>
      <c r="P207" s="149" t="s">
        <v>21318</v>
      </c>
      <c r="Q207" s="157">
        <v>2</v>
      </c>
      <c r="R207" s="152"/>
      <c r="S207" s="149" t="s">
        <v>21319</v>
      </c>
      <c r="T207" s="151">
        <v>4</v>
      </c>
      <c r="U207" s="152"/>
      <c r="V207" s="149" t="s">
        <v>21320</v>
      </c>
      <c r="W207" s="151">
        <v>4</v>
      </c>
      <c r="X207" s="152"/>
      <c r="Y207" s="149" t="s">
        <v>47</v>
      </c>
      <c r="Z207" s="153"/>
      <c r="AA207" s="152"/>
      <c r="AB207" s="154" t="s">
        <v>630</v>
      </c>
    </row>
    <row r="208" spans="1:28" x14ac:dyDescent="0.2">
      <c r="A208" s="146" t="s">
        <v>631</v>
      </c>
      <c r="B208" s="147" t="s">
        <v>6130</v>
      </c>
      <c r="C208" s="147" t="s">
        <v>6196</v>
      </c>
      <c r="D208" s="148"/>
      <c r="E208" s="149" t="s">
        <v>6573</v>
      </c>
      <c r="F208" s="150">
        <v>4</v>
      </c>
      <c r="G208" s="149" t="s">
        <v>21321</v>
      </c>
      <c r="H208" s="151">
        <v>4</v>
      </c>
      <c r="I208" s="152"/>
      <c r="J208" s="149" t="s">
        <v>21322</v>
      </c>
      <c r="K208" s="151">
        <v>4</v>
      </c>
      <c r="L208" s="152"/>
      <c r="M208" s="149" t="s">
        <v>6573</v>
      </c>
      <c r="N208" s="151">
        <v>4</v>
      </c>
      <c r="O208" s="152"/>
      <c r="P208" s="149" t="s">
        <v>21323</v>
      </c>
      <c r="Q208" s="155">
        <v>1</v>
      </c>
      <c r="R208" s="152"/>
      <c r="S208" s="149" t="s">
        <v>21324</v>
      </c>
      <c r="T208" s="151">
        <v>4</v>
      </c>
      <c r="U208" s="156" t="s">
        <v>46</v>
      </c>
      <c r="V208" s="149" t="s">
        <v>47</v>
      </c>
      <c r="W208" s="153"/>
      <c r="X208" s="152"/>
      <c r="Y208" s="149" t="s">
        <v>47</v>
      </c>
      <c r="Z208" s="153"/>
      <c r="AA208" s="152"/>
      <c r="AB208" s="154" t="s">
        <v>632</v>
      </c>
    </row>
    <row r="209" spans="1:28" x14ac:dyDescent="0.2">
      <c r="A209" s="146" t="s">
        <v>633</v>
      </c>
      <c r="B209" s="147" t="s">
        <v>6130</v>
      </c>
      <c r="C209" s="147" t="s">
        <v>6192</v>
      </c>
      <c r="D209" s="148"/>
      <c r="E209" s="149" t="s">
        <v>21325</v>
      </c>
      <c r="F209" s="159">
        <v>3</v>
      </c>
      <c r="G209" s="149" t="s">
        <v>21326</v>
      </c>
      <c r="H209" s="155">
        <v>1</v>
      </c>
      <c r="I209" s="156" t="s">
        <v>157</v>
      </c>
      <c r="J209" s="149" t="s">
        <v>21327</v>
      </c>
      <c r="K209" s="157">
        <v>2</v>
      </c>
      <c r="L209" s="156" t="s">
        <v>40</v>
      </c>
      <c r="M209" s="149" t="s">
        <v>21325</v>
      </c>
      <c r="N209" s="158">
        <v>3</v>
      </c>
      <c r="O209" s="156" t="s">
        <v>40</v>
      </c>
      <c r="P209" s="149" t="s">
        <v>21328</v>
      </c>
      <c r="Q209" s="157">
        <v>2</v>
      </c>
      <c r="R209" s="152"/>
      <c r="S209" s="149" t="s">
        <v>21329</v>
      </c>
      <c r="T209" s="157">
        <v>2</v>
      </c>
      <c r="U209" s="152"/>
      <c r="V209" s="149" t="s">
        <v>47</v>
      </c>
      <c r="W209" s="153"/>
      <c r="X209" s="152"/>
      <c r="Y209" s="149" t="s">
        <v>47</v>
      </c>
      <c r="Z209" s="153"/>
      <c r="AA209" s="152"/>
      <c r="AB209" s="154" t="s">
        <v>634</v>
      </c>
    </row>
    <row r="210" spans="1:28" x14ac:dyDescent="0.2">
      <c r="A210" s="146" t="s">
        <v>6574</v>
      </c>
      <c r="B210" s="147" t="s">
        <v>6130</v>
      </c>
      <c r="C210" s="147" t="s">
        <v>6554</v>
      </c>
      <c r="D210" s="148"/>
      <c r="E210" s="149" t="s">
        <v>6575</v>
      </c>
      <c r="F210" s="161">
        <v>1</v>
      </c>
      <c r="G210" s="149" t="s">
        <v>6576</v>
      </c>
      <c r="H210" s="157">
        <v>2</v>
      </c>
      <c r="I210" s="156" t="s">
        <v>46</v>
      </c>
      <c r="J210" s="149" t="s">
        <v>5695</v>
      </c>
      <c r="K210" s="155">
        <v>1</v>
      </c>
      <c r="L210" s="152"/>
      <c r="M210" s="149" t="s">
        <v>6575</v>
      </c>
      <c r="N210" s="155">
        <v>1</v>
      </c>
      <c r="O210" s="152"/>
      <c r="P210" s="149" t="s">
        <v>6577</v>
      </c>
      <c r="Q210" s="151">
        <v>4</v>
      </c>
      <c r="R210" s="152"/>
      <c r="S210" s="149" t="s">
        <v>6578</v>
      </c>
      <c r="T210" s="151">
        <v>4</v>
      </c>
      <c r="U210" s="152"/>
      <c r="V210" s="149" t="s">
        <v>6536</v>
      </c>
      <c r="W210" s="151">
        <v>4</v>
      </c>
      <c r="X210" s="152"/>
      <c r="Y210" s="149" t="s">
        <v>47</v>
      </c>
      <c r="Z210" s="153"/>
      <c r="AA210" s="152"/>
      <c r="AB210" s="154" t="s">
        <v>636</v>
      </c>
    </row>
    <row r="211" spans="1:28" x14ac:dyDescent="0.2">
      <c r="A211" s="146" t="s">
        <v>6579</v>
      </c>
      <c r="B211" s="147" t="s">
        <v>6130</v>
      </c>
      <c r="C211" s="147" t="s">
        <v>6328</v>
      </c>
      <c r="D211" s="148"/>
      <c r="E211" s="149" t="s">
        <v>21330</v>
      </c>
      <c r="F211" s="159">
        <v>3</v>
      </c>
      <c r="G211" s="149" t="s">
        <v>21331</v>
      </c>
      <c r="H211" s="157">
        <v>2</v>
      </c>
      <c r="I211" s="156" t="s">
        <v>46</v>
      </c>
      <c r="J211" s="149" t="s">
        <v>21332</v>
      </c>
      <c r="K211" s="157">
        <v>2</v>
      </c>
      <c r="L211" s="156" t="s">
        <v>40</v>
      </c>
      <c r="M211" s="149" t="s">
        <v>21330</v>
      </c>
      <c r="N211" s="158">
        <v>3</v>
      </c>
      <c r="O211" s="152"/>
      <c r="P211" s="149" t="s">
        <v>11262</v>
      </c>
      <c r="Q211" s="158">
        <v>3</v>
      </c>
      <c r="R211" s="152"/>
      <c r="S211" s="149" t="s">
        <v>21333</v>
      </c>
      <c r="T211" s="157">
        <v>2</v>
      </c>
      <c r="U211" s="152"/>
      <c r="V211" s="149" t="s">
        <v>12353</v>
      </c>
      <c r="W211" s="157">
        <v>2</v>
      </c>
      <c r="X211" s="152"/>
      <c r="Y211" s="149" t="s">
        <v>21334</v>
      </c>
      <c r="Z211" s="157">
        <v>2</v>
      </c>
      <c r="AA211" s="152"/>
      <c r="AB211" s="154" t="s">
        <v>639</v>
      </c>
    </row>
    <row r="212" spans="1:28" x14ac:dyDescent="0.2">
      <c r="A212" s="146" t="s">
        <v>6580</v>
      </c>
      <c r="B212" s="147" t="s">
        <v>6130</v>
      </c>
      <c r="C212" s="147" t="s">
        <v>6203</v>
      </c>
      <c r="D212" s="148"/>
      <c r="E212" s="149" t="s">
        <v>21335</v>
      </c>
      <c r="F212" s="160">
        <v>2</v>
      </c>
      <c r="G212" s="149" t="s">
        <v>21336</v>
      </c>
      <c r="H212" s="157">
        <v>2</v>
      </c>
      <c r="I212" s="156" t="s">
        <v>40</v>
      </c>
      <c r="J212" s="149" t="s">
        <v>21337</v>
      </c>
      <c r="K212" s="157">
        <v>2</v>
      </c>
      <c r="L212" s="152"/>
      <c r="M212" s="149" t="s">
        <v>21335</v>
      </c>
      <c r="N212" s="157">
        <v>2</v>
      </c>
      <c r="O212" s="152"/>
      <c r="P212" s="149" t="s">
        <v>6581</v>
      </c>
      <c r="Q212" s="157">
        <v>2</v>
      </c>
      <c r="R212" s="156" t="s">
        <v>40</v>
      </c>
      <c r="S212" s="149" t="s">
        <v>21338</v>
      </c>
      <c r="T212" s="158">
        <v>3</v>
      </c>
      <c r="U212" s="152"/>
      <c r="V212" s="149" t="s">
        <v>21339</v>
      </c>
      <c r="W212" s="157">
        <v>2</v>
      </c>
      <c r="X212" s="152"/>
      <c r="Y212" s="149" t="s">
        <v>12757</v>
      </c>
      <c r="Z212" s="158">
        <v>3</v>
      </c>
      <c r="AA212" s="152"/>
      <c r="AB212" s="154" t="s">
        <v>6582</v>
      </c>
    </row>
    <row r="213" spans="1:28" x14ac:dyDescent="0.2">
      <c r="A213" s="146" t="s">
        <v>651</v>
      </c>
      <c r="B213" s="147" t="s">
        <v>6130</v>
      </c>
      <c r="C213" s="147" t="s">
        <v>6229</v>
      </c>
      <c r="D213" s="148"/>
      <c r="E213" s="149" t="s">
        <v>21340</v>
      </c>
      <c r="F213" s="159">
        <v>3</v>
      </c>
      <c r="G213" s="149" t="s">
        <v>21341</v>
      </c>
      <c r="H213" s="155">
        <v>1</v>
      </c>
      <c r="I213" s="156" t="s">
        <v>40</v>
      </c>
      <c r="J213" s="149" t="s">
        <v>21342</v>
      </c>
      <c r="K213" s="155">
        <v>1</v>
      </c>
      <c r="L213" s="156" t="s">
        <v>40</v>
      </c>
      <c r="M213" s="149" t="s">
        <v>21340</v>
      </c>
      <c r="N213" s="158">
        <v>3</v>
      </c>
      <c r="O213" s="156" t="s">
        <v>40</v>
      </c>
      <c r="P213" s="149" t="s">
        <v>21343</v>
      </c>
      <c r="Q213" s="151">
        <v>4</v>
      </c>
      <c r="R213" s="152"/>
      <c r="S213" s="149" t="s">
        <v>21344</v>
      </c>
      <c r="T213" s="151">
        <v>4</v>
      </c>
      <c r="U213" s="152"/>
      <c r="V213" s="149" t="s">
        <v>21345</v>
      </c>
      <c r="W213" s="151">
        <v>4</v>
      </c>
      <c r="X213" s="152"/>
      <c r="Y213" s="149" t="s">
        <v>47</v>
      </c>
      <c r="Z213" s="153"/>
      <c r="AA213" s="152"/>
      <c r="AB213" s="154" t="s">
        <v>652</v>
      </c>
    </row>
    <row r="214" spans="1:28" x14ac:dyDescent="0.2">
      <c r="A214" s="146" t="s">
        <v>653</v>
      </c>
      <c r="B214" s="147" t="s">
        <v>6130</v>
      </c>
      <c r="C214" s="147" t="s">
        <v>6583</v>
      </c>
      <c r="D214" s="148"/>
      <c r="E214" s="149" t="s">
        <v>21346</v>
      </c>
      <c r="F214" s="159">
        <v>3</v>
      </c>
      <c r="G214" s="149" t="s">
        <v>21347</v>
      </c>
      <c r="H214" s="157">
        <v>2</v>
      </c>
      <c r="I214" s="152"/>
      <c r="J214" s="149" t="s">
        <v>21348</v>
      </c>
      <c r="K214" s="157">
        <v>2</v>
      </c>
      <c r="L214" s="152"/>
      <c r="M214" s="149" t="s">
        <v>21346</v>
      </c>
      <c r="N214" s="158">
        <v>3</v>
      </c>
      <c r="O214" s="152"/>
      <c r="P214" s="149" t="s">
        <v>21349</v>
      </c>
      <c r="Q214" s="158">
        <v>3</v>
      </c>
      <c r="R214" s="152"/>
      <c r="S214" s="149" t="s">
        <v>21350</v>
      </c>
      <c r="T214" s="157">
        <v>2</v>
      </c>
      <c r="U214" s="152"/>
      <c r="V214" s="149" t="s">
        <v>21351</v>
      </c>
      <c r="W214" s="155">
        <v>1</v>
      </c>
      <c r="X214" s="152"/>
      <c r="Y214" s="149" t="s">
        <v>6584</v>
      </c>
      <c r="Z214" s="155">
        <v>1</v>
      </c>
      <c r="AA214" s="152"/>
      <c r="AB214" s="154" t="s">
        <v>654</v>
      </c>
    </row>
    <row r="215" spans="1:28" x14ac:dyDescent="0.2">
      <c r="A215" s="146" t="s">
        <v>6585</v>
      </c>
      <c r="B215" s="147" t="s">
        <v>6130</v>
      </c>
      <c r="C215" s="147" t="s">
        <v>6206</v>
      </c>
      <c r="D215" s="148"/>
      <c r="E215" s="149" t="s">
        <v>21352</v>
      </c>
      <c r="F215" s="160">
        <v>2</v>
      </c>
      <c r="G215" s="149" t="s">
        <v>21353</v>
      </c>
      <c r="H215" s="157">
        <v>2</v>
      </c>
      <c r="I215" s="156" t="s">
        <v>46</v>
      </c>
      <c r="J215" s="149" t="s">
        <v>21354</v>
      </c>
      <c r="K215" s="157">
        <v>2</v>
      </c>
      <c r="L215" s="152"/>
      <c r="M215" s="149" t="s">
        <v>21352</v>
      </c>
      <c r="N215" s="157">
        <v>2</v>
      </c>
      <c r="O215" s="156" t="s">
        <v>46</v>
      </c>
      <c r="P215" s="149" t="s">
        <v>21355</v>
      </c>
      <c r="Q215" s="157">
        <v>2</v>
      </c>
      <c r="R215" s="152"/>
      <c r="S215" s="149" t="s">
        <v>21356</v>
      </c>
      <c r="T215" s="158">
        <v>3</v>
      </c>
      <c r="U215" s="156" t="s">
        <v>40</v>
      </c>
      <c r="V215" s="149" t="s">
        <v>21357</v>
      </c>
      <c r="W215" s="151">
        <v>4</v>
      </c>
      <c r="X215" s="152"/>
      <c r="Y215" s="149" t="s">
        <v>21358</v>
      </c>
      <c r="Z215" s="151">
        <v>4</v>
      </c>
      <c r="AA215" s="152"/>
      <c r="AB215" s="154" t="s">
        <v>660</v>
      </c>
    </row>
    <row r="216" spans="1:28" x14ac:dyDescent="0.2">
      <c r="A216" s="146" t="s">
        <v>6586</v>
      </c>
      <c r="B216" s="147" t="s">
        <v>6130</v>
      </c>
      <c r="C216" s="147" t="s">
        <v>6379</v>
      </c>
      <c r="D216" s="148"/>
      <c r="E216" s="149" t="s">
        <v>21359</v>
      </c>
      <c r="F216" s="150">
        <v>4</v>
      </c>
      <c r="G216" s="149" t="s">
        <v>21360</v>
      </c>
      <c r="H216" s="155">
        <v>1</v>
      </c>
      <c r="I216" s="156" t="s">
        <v>157</v>
      </c>
      <c r="J216" s="149" t="s">
        <v>21361</v>
      </c>
      <c r="K216" s="158">
        <v>3</v>
      </c>
      <c r="L216" s="156" t="s">
        <v>40</v>
      </c>
      <c r="M216" s="149" t="s">
        <v>21359</v>
      </c>
      <c r="N216" s="151">
        <v>4</v>
      </c>
      <c r="O216" s="152"/>
      <c r="P216" s="149" t="s">
        <v>9126</v>
      </c>
      <c r="Q216" s="151">
        <v>4</v>
      </c>
      <c r="R216" s="152"/>
      <c r="S216" s="149" t="s">
        <v>21362</v>
      </c>
      <c r="T216" s="158">
        <v>3</v>
      </c>
      <c r="U216" s="152"/>
      <c r="V216" s="149" t="s">
        <v>21363</v>
      </c>
      <c r="W216" s="151">
        <v>4</v>
      </c>
      <c r="X216" s="152"/>
      <c r="Y216" s="149" t="s">
        <v>47</v>
      </c>
      <c r="Z216" s="153"/>
      <c r="AA216" s="152"/>
      <c r="AB216" s="154" t="s">
        <v>668</v>
      </c>
    </row>
    <row r="217" spans="1:28" x14ac:dyDescent="0.2">
      <c r="A217" s="146" t="s">
        <v>6587</v>
      </c>
      <c r="B217" s="147" t="s">
        <v>6130</v>
      </c>
      <c r="C217" s="147" t="s">
        <v>6206</v>
      </c>
      <c r="D217" s="148"/>
      <c r="E217" s="149" t="s">
        <v>21364</v>
      </c>
      <c r="F217" s="159">
        <v>3</v>
      </c>
      <c r="G217" s="149" t="s">
        <v>21365</v>
      </c>
      <c r="H217" s="157">
        <v>2</v>
      </c>
      <c r="I217" s="152"/>
      <c r="J217" s="149" t="s">
        <v>21366</v>
      </c>
      <c r="K217" s="157">
        <v>2</v>
      </c>
      <c r="L217" s="156" t="s">
        <v>40</v>
      </c>
      <c r="M217" s="149" t="s">
        <v>21364</v>
      </c>
      <c r="N217" s="158">
        <v>3</v>
      </c>
      <c r="O217" s="152"/>
      <c r="P217" s="149" t="s">
        <v>21367</v>
      </c>
      <c r="Q217" s="158">
        <v>3</v>
      </c>
      <c r="R217" s="152"/>
      <c r="S217" s="149" t="s">
        <v>21368</v>
      </c>
      <c r="T217" s="158">
        <v>3</v>
      </c>
      <c r="U217" s="152"/>
      <c r="V217" s="149" t="s">
        <v>21369</v>
      </c>
      <c r="W217" s="157">
        <v>2</v>
      </c>
      <c r="X217" s="156" t="s">
        <v>40</v>
      </c>
      <c r="Y217" s="149" t="s">
        <v>14025</v>
      </c>
      <c r="Z217" s="158">
        <v>3</v>
      </c>
      <c r="AA217" s="152"/>
      <c r="AB217" s="154" t="s">
        <v>670</v>
      </c>
    </row>
    <row r="218" spans="1:28" x14ac:dyDescent="0.2">
      <c r="A218" s="146" t="s">
        <v>784</v>
      </c>
      <c r="B218" s="147" t="s">
        <v>6130</v>
      </c>
      <c r="C218" s="147" t="s">
        <v>6157</v>
      </c>
      <c r="D218" s="148" t="s">
        <v>6160</v>
      </c>
      <c r="E218" s="149" t="s">
        <v>21370</v>
      </c>
      <c r="F218" s="161">
        <v>1</v>
      </c>
      <c r="G218" s="149" t="s">
        <v>21371</v>
      </c>
      <c r="H218" s="151">
        <v>4</v>
      </c>
      <c r="I218" s="156" t="s">
        <v>44</v>
      </c>
      <c r="J218" s="149" t="s">
        <v>21372</v>
      </c>
      <c r="K218" s="155">
        <v>1</v>
      </c>
      <c r="L218" s="152"/>
      <c r="M218" s="149" t="s">
        <v>21370</v>
      </c>
      <c r="N218" s="155">
        <v>1</v>
      </c>
      <c r="O218" s="152"/>
      <c r="P218" s="149" t="s">
        <v>21373</v>
      </c>
      <c r="Q218" s="155">
        <v>1</v>
      </c>
      <c r="R218" s="156" t="s">
        <v>40</v>
      </c>
      <c r="S218" s="149" t="s">
        <v>21374</v>
      </c>
      <c r="T218" s="151">
        <v>4</v>
      </c>
      <c r="U218" s="152"/>
      <c r="V218" s="149" t="s">
        <v>21375</v>
      </c>
      <c r="W218" s="158">
        <v>3</v>
      </c>
      <c r="X218" s="156" t="s">
        <v>46</v>
      </c>
      <c r="Y218" s="149" t="s">
        <v>21376</v>
      </c>
      <c r="Z218" s="151">
        <v>4</v>
      </c>
      <c r="AA218" s="152"/>
      <c r="AB218" s="154" t="s">
        <v>785</v>
      </c>
    </row>
    <row r="219" spans="1:28" x14ac:dyDescent="0.2">
      <c r="A219" s="146" t="s">
        <v>6588</v>
      </c>
      <c r="B219" s="147" t="s">
        <v>6130</v>
      </c>
      <c r="C219" s="147" t="s">
        <v>6184</v>
      </c>
      <c r="D219" s="148" t="s">
        <v>6136</v>
      </c>
      <c r="E219" s="149" t="s">
        <v>6589</v>
      </c>
      <c r="F219" s="159">
        <v>3</v>
      </c>
      <c r="G219" s="149" t="s">
        <v>21377</v>
      </c>
      <c r="H219" s="155">
        <v>1</v>
      </c>
      <c r="I219" s="156" t="s">
        <v>53</v>
      </c>
      <c r="J219" s="149" t="s">
        <v>12270</v>
      </c>
      <c r="K219" s="157">
        <v>2</v>
      </c>
      <c r="L219" s="156" t="s">
        <v>40</v>
      </c>
      <c r="M219" s="149" t="s">
        <v>6589</v>
      </c>
      <c r="N219" s="158">
        <v>3</v>
      </c>
      <c r="O219" s="152"/>
      <c r="P219" s="149" t="s">
        <v>3747</v>
      </c>
      <c r="Q219" s="158">
        <v>3</v>
      </c>
      <c r="R219" s="152"/>
      <c r="S219" s="149" t="s">
        <v>6590</v>
      </c>
      <c r="T219" s="158">
        <v>3</v>
      </c>
      <c r="U219" s="152"/>
      <c r="V219" s="149" t="s">
        <v>21378</v>
      </c>
      <c r="W219" s="158">
        <v>3</v>
      </c>
      <c r="X219" s="152"/>
      <c r="Y219" s="149" t="s">
        <v>6591</v>
      </c>
      <c r="Z219" s="158">
        <v>3</v>
      </c>
      <c r="AA219" s="152"/>
      <c r="AB219" s="154" t="s">
        <v>807</v>
      </c>
    </row>
    <row r="220" spans="1:28" x14ac:dyDescent="0.2">
      <c r="A220" s="146" t="s">
        <v>6592</v>
      </c>
      <c r="B220" s="147" t="s">
        <v>6130</v>
      </c>
      <c r="C220" s="147" t="s">
        <v>6184</v>
      </c>
      <c r="D220" s="148" t="s">
        <v>6136</v>
      </c>
      <c r="E220" s="149" t="s">
        <v>6593</v>
      </c>
      <c r="F220" s="160">
        <v>2</v>
      </c>
      <c r="G220" s="149" t="s">
        <v>21379</v>
      </c>
      <c r="H220" s="157">
        <v>2</v>
      </c>
      <c r="I220" s="152"/>
      <c r="J220" s="149" t="s">
        <v>6594</v>
      </c>
      <c r="K220" s="157">
        <v>2</v>
      </c>
      <c r="L220" s="152"/>
      <c r="M220" s="149" t="s">
        <v>6593</v>
      </c>
      <c r="N220" s="157">
        <v>2</v>
      </c>
      <c r="O220" s="152"/>
      <c r="P220" s="149" t="s">
        <v>21380</v>
      </c>
      <c r="Q220" s="157">
        <v>2</v>
      </c>
      <c r="R220" s="156" t="s">
        <v>40</v>
      </c>
      <c r="S220" s="149" t="s">
        <v>21381</v>
      </c>
      <c r="T220" s="158">
        <v>3</v>
      </c>
      <c r="U220" s="152"/>
      <c r="V220" s="149" t="s">
        <v>21382</v>
      </c>
      <c r="W220" s="158">
        <v>3</v>
      </c>
      <c r="X220" s="152"/>
      <c r="Y220" s="149" t="s">
        <v>47</v>
      </c>
      <c r="Z220" s="153"/>
      <c r="AA220" s="152"/>
      <c r="AB220" s="154" t="s">
        <v>824</v>
      </c>
    </row>
    <row r="221" spans="1:28" x14ac:dyDescent="0.2">
      <c r="A221" s="146" t="s">
        <v>6595</v>
      </c>
      <c r="B221" s="147" t="s">
        <v>6130</v>
      </c>
      <c r="C221" s="147" t="s">
        <v>6184</v>
      </c>
      <c r="D221" s="148" t="s">
        <v>6160</v>
      </c>
      <c r="E221" s="149" t="s">
        <v>21383</v>
      </c>
      <c r="F221" s="150">
        <v>4</v>
      </c>
      <c r="G221" s="149" t="s">
        <v>6434</v>
      </c>
      <c r="H221" s="158">
        <v>3</v>
      </c>
      <c r="I221" s="152"/>
      <c r="J221" s="149" t="s">
        <v>15528</v>
      </c>
      <c r="K221" s="158">
        <v>3</v>
      </c>
      <c r="L221" s="156" t="s">
        <v>40</v>
      </c>
      <c r="M221" s="149" t="s">
        <v>21383</v>
      </c>
      <c r="N221" s="151">
        <v>4</v>
      </c>
      <c r="O221" s="152"/>
      <c r="P221" s="149" t="s">
        <v>6596</v>
      </c>
      <c r="Q221" s="151">
        <v>4</v>
      </c>
      <c r="R221" s="152"/>
      <c r="S221" s="149" t="s">
        <v>21065</v>
      </c>
      <c r="T221" s="151">
        <v>4</v>
      </c>
      <c r="U221" s="152"/>
      <c r="V221" s="149" t="s">
        <v>21384</v>
      </c>
      <c r="W221" s="151">
        <v>4</v>
      </c>
      <c r="X221" s="152"/>
      <c r="Y221" s="149" t="s">
        <v>6241</v>
      </c>
      <c r="Z221" s="157">
        <v>2</v>
      </c>
      <c r="AA221" s="152"/>
      <c r="AB221" s="154" t="s">
        <v>845</v>
      </c>
    </row>
    <row r="222" spans="1:28" x14ac:dyDescent="0.2">
      <c r="A222" s="146" t="s">
        <v>6597</v>
      </c>
      <c r="B222" s="147" t="s">
        <v>6314</v>
      </c>
      <c r="C222" s="147" t="s">
        <v>6598</v>
      </c>
      <c r="D222" s="148" t="s">
        <v>6170</v>
      </c>
      <c r="E222" s="149" t="s">
        <v>6561</v>
      </c>
      <c r="F222" s="150">
        <v>4</v>
      </c>
      <c r="G222" s="149" t="s">
        <v>6561</v>
      </c>
      <c r="H222" s="151">
        <v>4</v>
      </c>
      <c r="I222" s="152"/>
      <c r="J222" s="149" t="s">
        <v>6561</v>
      </c>
      <c r="K222" s="151">
        <v>4</v>
      </c>
      <c r="L222" s="152"/>
      <c r="M222" s="149" t="s">
        <v>6561</v>
      </c>
      <c r="N222" s="151">
        <v>4</v>
      </c>
      <c r="O222" s="152"/>
      <c r="P222" s="149" t="s">
        <v>8847</v>
      </c>
      <c r="Q222" s="151">
        <v>4</v>
      </c>
      <c r="R222" s="152"/>
      <c r="S222" s="149" t="s">
        <v>6599</v>
      </c>
      <c r="T222" s="151">
        <v>4</v>
      </c>
      <c r="U222" s="152"/>
      <c r="V222" s="149" t="s">
        <v>6600</v>
      </c>
      <c r="W222" s="151">
        <v>4</v>
      </c>
      <c r="X222" s="152"/>
      <c r="Y222" s="149" t="s">
        <v>47</v>
      </c>
      <c r="Z222" s="153"/>
      <c r="AA222" s="152"/>
      <c r="AB222" s="154" t="s">
        <v>908</v>
      </c>
    </row>
    <row r="223" spans="1:28" x14ac:dyDescent="0.2">
      <c r="A223" s="146" t="s">
        <v>21385</v>
      </c>
      <c r="B223" s="147" t="s">
        <v>6130</v>
      </c>
      <c r="C223" s="147" t="s">
        <v>6296</v>
      </c>
      <c r="D223" s="148" t="s">
        <v>6170</v>
      </c>
      <c r="E223" s="149" t="s">
        <v>6601</v>
      </c>
      <c r="F223" s="150">
        <v>4</v>
      </c>
      <c r="G223" s="149" t="s">
        <v>21386</v>
      </c>
      <c r="H223" s="157">
        <v>2</v>
      </c>
      <c r="I223" s="156" t="s">
        <v>53</v>
      </c>
      <c r="J223" s="149" t="s">
        <v>21387</v>
      </c>
      <c r="K223" s="151">
        <v>4</v>
      </c>
      <c r="L223" s="152"/>
      <c r="M223" s="149" t="s">
        <v>6601</v>
      </c>
      <c r="N223" s="151">
        <v>4</v>
      </c>
      <c r="O223" s="152"/>
      <c r="P223" s="149" t="s">
        <v>11961</v>
      </c>
      <c r="Q223" s="151">
        <v>4</v>
      </c>
      <c r="R223" s="152"/>
      <c r="S223" s="149" t="s">
        <v>9828</v>
      </c>
      <c r="T223" s="151">
        <v>4</v>
      </c>
      <c r="U223" s="152"/>
      <c r="V223" s="149" t="s">
        <v>47</v>
      </c>
      <c r="W223" s="153"/>
      <c r="X223" s="152"/>
      <c r="Y223" s="149" t="s">
        <v>47</v>
      </c>
      <c r="Z223" s="153"/>
      <c r="AA223" s="152"/>
      <c r="AB223" s="154" t="s">
        <v>1085</v>
      </c>
    </row>
    <row r="224" spans="1:28" x14ac:dyDescent="0.2">
      <c r="A224" s="146" t="s">
        <v>6602</v>
      </c>
      <c r="B224" s="147" t="s">
        <v>6130</v>
      </c>
      <c r="C224" s="147" t="s">
        <v>6603</v>
      </c>
      <c r="D224" s="148" t="s">
        <v>6160</v>
      </c>
      <c r="E224" s="149" t="s">
        <v>21388</v>
      </c>
      <c r="F224" s="160">
        <v>2</v>
      </c>
      <c r="G224" s="149" t="s">
        <v>21389</v>
      </c>
      <c r="H224" s="157">
        <v>2</v>
      </c>
      <c r="I224" s="156" t="s">
        <v>46</v>
      </c>
      <c r="J224" s="149" t="s">
        <v>21390</v>
      </c>
      <c r="K224" s="155">
        <v>1</v>
      </c>
      <c r="L224" s="152"/>
      <c r="M224" s="149" t="s">
        <v>21388</v>
      </c>
      <c r="N224" s="157">
        <v>2</v>
      </c>
      <c r="O224" s="156" t="s">
        <v>46</v>
      </c>
      <c r="P224" s="149" t="s">
        <v>21391</v>
      </c>
      <c r="Q224" s="155">
        <v>1</v>
      </c>
      <c r="R224" s="152"/>
      <c r="S224" s="149" t="s">
        <v>3886</v>
      </c>
      <c r="T224" s="158">
        <v>3</v>
      </c>
      <c r="U224" s="152"/>
      <c r="V224" s="149" t="s">
        <v>47</v>
      </c>
      <c r="W224" s="153"/>
      <c r="X224" s="152"/>
      <c r="Y224" s="149" t="s">
        <v>47</v>
      </c>
      <c r="Z224" s="153"/>
      <c r="AA224" s="152"/>
      <c r="AB224" s="154" t="s">
        <v>1649</v>
      </c>
    </row>
    <row r="225" spans="1:28" x14ac:dyDescent="0.2">
      <c r="A225" s="146" t="s">
        <v>6604</v>
      </c>
      <c r="B225" s="147" t="s">
        <v>6130</v>
      </c>
      <c r="C225" s="147" t="s">
        <v>6229</v>
      </c>
      <c r="D225" s="148"/>
      <c r="E225" s="149" t="s">
        <v>21392</v>
      </c>
      <c r="F225" s="161">
        <v>1</v>
      </c>
      <c r="G225" s="149" t="s">
        <v>21393</v>
      </c>
      <c r="H225" s="155">
        <v>1</v>
      </c>
      <c r="I225" s="152"/>
      <c r="J225" s="149" t="s">
        <v>21394</v>
      </c>
      <c r="K225" s="155">
        <v>1</v>
      </c>
      <c r="L225" s="152"/>
      <c r="M225" s="149" t="s">
        <v>21392</v>
      </c>
      <c r="N225" s="155">
        <v>1</v>
      </c>
      <c r="O225" s="152"/>
      <c r="P225" s="149" t="s">
        <v>21395</v>
      </c>
      <c r="Q225" s="155">
        <v>1</v>
      </c>
      <c r="R225" s="156" t="s">
        <v>40</v>
      </c>
      <c r="S225" s="149" t="s">
        <v>47</v>
      </c>
      <c r="T225" s="153"/>
      <c r="U225" s="152"/>
      <c r="V225" s="149" t="s">
        <v>47</v>
      </c>
      <c r="W225" s="153"/>
      <c r="X225" s="152"/>
      <c r="Y225" s="149" t="s">
        <v>47</v>
      </c>
      <c r="Z225" s="153"/>
      <c r="AA225" s="152"/>
      <c r="AB225" s="154" t="s">
        <v>1655</v>
      </c>
    </row>
    <row r="226" spans="1:28" x14ac:dyDescent="0.2">
      <c r="A226" s="146" t="s">
        <v>6605</v>
      </c>
      <c r="B226" s="147" t="s">
        <v>6314</v>
      </c>
      <c r="C226" s="147" t="s">
        <v>6606</v>
      </c>
      <c r="D226" s="148" t="s">
        <v>6132</v>
      </c>
      <c r="E226" s="149" t="s">
        <v>6607</v>
      </c>
      <c r="F226" s="160">
        <v>2</v>
      </c>
      <c r="G226" s="149" t="s">
        <v>6608</v>
      </c>
      <c r="H226" s="157">
        <v>2</v>
      </c>
      <c r="I226" s="156" t="s">
        <v>46</v>
      </c>
      <c r="J226" s="149" t="s">
        <v>21396</v>
      </c>
      <c r="K226" s="157">
        <v>2</v>
      </c>
      <c r="L226" s="156" t="s">
        <v>46</v>
      </c>
      <c r="M226" s="149" t="s">
        <v>6607</v>
      </c>
      <c r="N226" s="157">
        <v>2</v>
      </c>
      <c r="O226" s="152"/>
      <c r="P226" s="149" t="s">
        <v>6609</v>
      </c>
      <c r="Q226" s="158">
        <v>3</v>
      </c>
      <c r="R226" s="152"/>
      <c r="S226" s="149" t="s">
        <v>2678</v>
      </c>
      <c r="T226" s="158">
        <v>3</v>
      </c>
      <c r="U226" s="152"/>
      <c r="V226" s="149" t="s">
        <v>47</v>
      </c>
      <c r="W226" s="153"/>
      <c r="X226" s="152"/>
      <c r="Y226" s="149" t="s">
        <v>47</v>
      </c>
      <c r="Z226" s="153"/>
      <c r="AA226" s="152"/>
      <c r="AB226" s="154" t="s">
        <v>963</v>
      </c>
    </row>
    <row r="227" spans="1:28" x14ac:dyDescent="0.2">
      <c r="A227" s="146" t="s">
        <v>6610</v>
      </c>
      <c r="B227" s="147" t="s">
        <v>6314</v>
      </c>
      <c r="C227" s="147" t="s">
        <v>6611</v>
      </c>
      <c r="D227" s="148" t="s">
        <v>6160</v>
      </c>
      <c r="E227" s="149" t="s">
        <v>6612</v>
      </c>
      <c r="F227" s="160">
        <v>2</v>
      </c>
      <c r="G227" s="149" t="s">
        <v>6613</v>
      </c>
      <c r="H227" s="157">
        <v>2</v>
      </c>
      <c r="I227" s="152"/>
      <c r="J227" s="149" t="s">
        <v>6614</v>
      </c>
      <c r="K227" s="157">
        <v>2</v>
      </c>
      <c r="L227" s="152"/>
      <c r="M227" s="149" t="s">
        <v>6612</v>
      </c>
      <c r="N227" s="157">
        <v>2</v>
      </c>
      <c r="O227" s="156" t="s">
        <v>40</v>
      </c>
      <c r="P227" s="149" t="s">
        <v>6615</v>
      </c>
      <c r="Q227" s="158">
        <v>3</v>
      </c>
      <c r="R227" s="152"/>
      <c r="S227" s="149" t="s">
        <v>6616</v>
      </c>
      <c r="T227" s="151">
        <v>4</v>
      </c>
      <c r="U227" s="152"/>
      <c r="V227" s="149" t="s">
        <v>47</v>
      </c>
      <c r="W227" s="153"/>
      <c r="X227" s="152"/>
      <c r="Y227" s="149" t="s">
        <v>47</v>
      </c>
      <c r="Z227" s="153"/>
      <c r="AA227" s="152"/>
      <c r="AB227" s="154" t="s">
        <v>2729</v>
      </c>
    </row>
    <row r="228" spans="1:28" x14ac:dyDescent="0.2">
      <c r="A228" s="146" t="s">
        <v>6617</v>
      </c>
      <c r="B228" s="147" t="s">
        <v>6130</v>
      </c>
      <c r="C228" s="147" t="s">
        <v>6583</v>
      </c>
      <c r="D228" s="148" t="s">
        <v>6160</v>
      </c>
      <c r="E228" s="149" t="s">
        <v>21397</v>
      </c>
      <c r="F228" s="159">
        <v>3</v>
      </c>
      <c r="G228" s="149" t="s">
        <v>21398</v>
      </c>
      <c r="H228" s="155">
        <v>1</v>
      </c>
      <c r="I228" s="156" t="s">
        <v>53</v>
      </c>
      <c r="J228" s="149" t="s">
        <v>21399</v>
      </c>
      <c r="K228" s="155">
        <v>1</v>
      </c>
      <c r="L228" s="156" t="s">
        <v>157</v>
      </c>
      <c r="M228" s="149" t="s">
        <v>21397</v>
      </c>
      <c r="N228" s="158">
        <v>3</v>
      </c>
      <c r="O228" s="156" t="s">
        <v>46</v>
      </c>
      <c r="P228" s="149" t="s">
        <v>21400</v>
      </c>
      <c r="Q228" s="157">
        <v>2</v>
      </c>
      <c r="R228" s="156" t="s">
        <v>40</v>
      </c>
      <c r="S228" s="149" t="s">
        <v>21401</v>
      </c>
      <c r="T228" s="157">
        <v>2</v>
      </c>
      <c r="U228" s="152"/>
      <c r="V228" s="149" t="s">
        <v>21402</v>
      </c>
      <c r="W228" s="155">
        <v>1</v>
      </c>
      <c r="X228" s="152"/>
      <c r="Y228" s="149" t="s">
        <v>21403</v>
      </c>
      <c r="Z228" s="158">
        <v>3</v>
      </c>
      <c r="AA228" s="156" t="s">
        <v>40</v>
      </c>
      <c r="AB228" s="154" t="s">
        <v>982</v>
      </c>
    </row>
    <row r="229" spans="1:28" x14ac:dyDescent="0.2">
      <c r="A229" s="146" t="s">
        <v>6618</v>
      </c>
      <c r="B229" s="147" t="s">
        <v>6130</v>
      </c>
      <c r="C229" s="147" t="s">
        <v>6259</v>
      </c>
      <c r="D229" s="148" t="s">
        <v>6136</v>
      </c>
      <c r="E229" s="149" t="s">
        <v>21404</v>
      </c>
      <c r="F229" s="161">
        <v>1</v>
      </c>
      <c r="G229" s="149" t="s">
        <v>21405</v>
      </c>
      <c r="H229" s="155">
        <v>1</v>
      </c>
      <c r="I229" s="156" t="s">
        <v>40</v>
      </c>
      <c r="J229" s="149" t="s">
        <v>21406</v>
      </c>
      <c r="K229" s="155">
        <v>1</v>
      </c>
      <c r="L229" s="152"/>
      <c r="M229" s="149" t="s">
        <v>21404</v>
      </c>
      <c r="N229" s="155">
        <v>1</v>
      </c>
      <c r="O229" s="152"/>
      <c r="P229" s="149" t="s">
        <v>21407</v>
      </c>
      <c r="Q229" s="155">
        <v>1</v>
      </c>
      <c r="R229" s="152"/>
      <c r="S229" s="149" t="s">
        <v>21408</v>
      </c>
      <c r="T229" s="158">
        <v>3</v>
      </c>
      <c r="U229" s="152"/>
      <c r="V229" s="149" t="s">
        <v>21409</v>
      </c>
      <c r="W229" s="157">
        <v>2</v>
      </c>
      <c r="X229" s="156" t="s">
        <v>40</v>
      </c>
      <c r="Y229" s="149" t="s">
        <v>21410</v>
      </c>
      <c r="Z229" s="158">
        <v>3</v>
      </c>
      <c r="AA229" s="152"/>
      <c r="AB229" s="154" t="s">
        <v>1000</v>
      </c>
    </row>
    <row r="230" spans="1:28" x14ac:dyDescent="0.2">
      <c r="A230" s="146" t="s">
        <v>6619</v>
      </c>
      <c r="B230" s="147" t="s">
        <v>6130</v>
      </c>
      <c r="C230" s="147" t="s">
        <v>6254</v>
      </c>
      <c r="D230" s="148"/>
      <c r="E230" s="149" t="s">
        <v>21411</v>
      </c>
      <c r="F230" s="161">
        <v>1</v>
      </c>
      <c r="G230" s="149" t="s">
        <v>6620</v>
      </c>
      <c r="H230" s="155">
        <v>1</v>
      </c>
      <c r="I230" s="152"/>
      <c r="J230" s="149" t="s">
        <v>2109</v>
      </c>
      <c r="K230" s="155">
        <v>1</v>
      </c>
      <c r="L230" s="152"/>
      <c r="M230" s="149" t="s">
        <v>21411</v>
      </c>
      <c r="N230" s="155">
        <v>1</v>
      </c>
      <c r="O230" s="156" t="s">
        <v>40</v>
      </c>
      <c r="P230" s="149" t="s">
        <v>21412</v>
      </c>
      <c r="Q230" s="155">
        <v>1</v>
      </c>
      <c r="R230" s="152"/>
      <c r="S230" s="149" t="s">
        <v>47</v>
      </c>
      <c r="T230" s="153"/>
      <c r="U230" s="152"/>
      <c r="V230" s="149" t="s">
        <v>47</v>
      </c>
      <c r="W230" s="153"/>
      <c r="X230" s="152"/>
      <c r="Y230" s="149" t="s">
        <v>47</v>
      </c>
      <c r="Z230" s="153"/>
      <c r="AA230" s="152"/>
      <c r="AB230" s="154" t="s">
        <v>1018</v>
      </c>
    </row>
    <row r="231" spans="1:28" x14ac:dyDescent="0.2">
      <c r="A231" s="146" t="s">
        <v>6621</v>
      </c>
      <c r="B231" s="147" t="s">
        <v>6130</v>
      </c>
      <c r="C231" s="147" t="s">
        <v>6328</v>
      </c>
      <c r="D231" s="148" t="s">
        <v>6136</v>
      </c>
      <c r="E231" s="149" t="s">
        <v>21413</v>
      </c>
      <c r="F231" s="160">
        <v>2</v>
      </c>
      <c r="G231" s="149" t="s">
        <v>21414</v>
      </c>
      <c r="H231" s="155">
        <v>1</v>
      </c>
      <c r="I231" s="156" t="s">
        <v>40</v>
      </c>
      <c r="J231" s="149" t="s">
        <v>21415</v>
      </c>
      <c r="K231" s="155">
        <v>1</v>
      </c>
      <c r="L231" s="152"/>
      <c r="M231" s="149" t="s">
        <v>21413</v>
      </c>
      <c r="N231" s="157">
        <v>2</v>
      </c>
      <c r="O231" s="156" t="s">
        <v>40</v>
      </c>
      <c r="P231" s="149" t="s">
        <v>21416</v>
      </c>
      <c r="Q231" s="158">
        <v>3</v>
      </c>
      <c r="R231" s="156" t="s">
        <v>40</v>
      </c>
      <c r="S231" s="149" t="s">
        <v>21417</v>
      </c>
      <c r="T231" s="157">
        <v>2</v>
      </c>
      <c r="U231" s="152"/>
      <c r="V231" s="149" t="s">
        <v>21418</v>
      </c>
      <c r="W231" s="155">
        <v>1</v>
      </c>
      <c r="X231" s="152"/>
      <c r="Y231" s="149" t="s">
        <v>47</v>
      </c>
      <c r="Z231" s="153"/>
      <c r="AA231" s="152"/>
      <c r="AB231" s="154" t="s">
        <v>1037</v>
      </c>
    </row>
    <row r="232" spans="1:28" x14ac:dyDescent="0.2">
      <c r="A232" s="146" t="s">
        <v>6622</v>
      </c>
      <c r="B232" s="147" t="s">
        <v>6130</v>
      </c>
      <c r="C232" s="147" t="s">
        <v>6296</v>
      </c>
      <c r="D232" s="148" t="s">
        <v>6160</v>
      </c>
      <c r="E232" s="149" t="s">
        <v>21419</v>
      </c>
      <c r="F232" s="160">
        <v>2</v>
      </c>
      <c r="G232" s="149" t="s">
        <v>6623</v>
      </c>
      <c r="H232" s="155">
        <v>1</v>
      </c>
      <c r="I232" s="156" t="s">
        <v>40</v>
      </c>
      <c r="J232" s="149" t="s">
        <v>21420</v>
      </c>
      <c r="K232" s="155">
        <v>1</v>
      </c>
      <c r="L232" s="156" t="s">
        <v>40</v>
      </c>
      <c r="M232" s="149" t="s">
        <v>21419</v>
      </c>
      <c r="N232" s="157">
        <v>2</v>
      </c>
      <c r="O232" s="152"/>
      <c r="P232" s="149" t="s">
        <v>21421</v>
      </c>
      <c r="Q232" s="158">
        <v>3</v>
      </c>
      <c r="R232" s="152"/>
      <c r="S232" s="149" t="s">
        <v>6624</v>
      </c>
      <c r="T232" s="158">
        <v>3</v>
      </c>
      <c r="U232" s="152"/>
      <c r="V232" s="149" t="s">
        <v>21422</v>
      </c>
      <c r="W232" s="157">
        <v>2</v>
      </c>
      <c r="X232" s="156" t="s">
        <v>40</v>
      </c>
      <c r="Y232" s="149" t="s">
        <v>266</v>
      </c>
      <c r="Z232" s="158">
        <v>3</v>
      </c>
      <c r="AA232" s="152"/>
      <c r="AB232" s="154" t="s">
        <v>1059</v>
      </c>
    </row>
    <row r="233" spans="1:28" x14ac:dyDescent="0.2">
      <c r="A233" s="146" t="s">
        <v>6625</v>
      </c>
      <c r="B233" s="147" t="s">
        <v>6130</v>
      </c>
      <c r="C233" s="147" t="s">
        <v>6300</v>
      </c>
      <c r="D233" s="148" t="s">
        <v>6160</v>
      </c>
      <c r="E233" s="149" t="s">
        <v>21423</v>
      </c>
      <c r="F233" s="150">
        <v>4</v>
      </c>
      <c r="G233" s="149" t="s">
        <v>1172</v>
      </c>
      <c r="H233" s="155">
        <v>1</v>
      </c>
      <c r="I233" s="156" t="s">
        <v>157</v>
      </c>
      <c r="J233" s="149" t="s">
        <v>18790</v>
      </c>
      <c r="K233" s="158">
        <v>3</v>
      </c>
      <c r="L233" s="156" t="s">
        <v>40</v>
      </c>
      <c r="M233" s="149" t="s">
        <v>21423</v>
      </c>
      <c r="N233" s="151">
        <v>4</v>
      </c>
      <c r="O233" s="152"/>
      <c r="P233" s="149" t="s">
        <v>21424</v>
      </c>
      <c r="Q233" s="157">
        <v>2</v>
      </c>
      <c r="R233" s="156" t="s">
        <v>53</v>
      </c>
      <c r="S233" s="149" t="s">
        <v>6626</v>
      </c>
      <c r="T233" s="151">
        <v>4</v>
      </c>
      <c r="U233" s="152"/>
      <c r="V233" s="149" t="s">
        <v>10448</v>
      </c>
      <c r="W233" s="158">
        <v>3</v>
      </c>
      <c r="X233" s="152"/>
      <c r="Y233" s="149" t="s">
        <v>6627</v>
      </c>
      <c r="Z233" s="158">
        <v>3</v>
      </c>
      <c r="AA233" s="152"/>
      <c r="AB233" s="154" t="s">
        <v>1114</v>
      </c>
    </row>
    <row r="234" spans="1:28" x14ac:dyDescent="0.2">
      <c r="A234" s="146" t="s">
        <v>6628</v>
      </c>
      <c r="B234" s="147" t="s">
        <v>6130</v>
      </c>
      <c r="C234" s="147" t="s">
        <v>6629</v>
      </c>
      <c r="D234" s="148" t="s">
        <v>6136</v>
      </c>
      <c r="E234" s="149" t="s">
        <v>6630</v>
      </c>
      <c r="F234" s="160">
        <v>2</v>
      </c>
      <c r="G234" s="149" t="s">
        <v>21425</v>
      </c>
      <c r="H234" s="157">
        <v>2</v>
      </c>
      <c r="I234" s="152"/>
      <c r="J234" s="149" t="s">
        <v>8996</v>
      </c>
      <c r="K234" s="155">
        <v>1</v>
      </c>
      <c r="L234" s="152"/>
      <c r="M234" s="149" t="s">
        <v>6630</v>
      </c>
      <c r="N234" s="157">
        <v>2</v>
      </c>
      <c r="O234" s="152"/>
      <c r="P234" s="149" t="s">
        <v>21426</v>
      </c>
      <c r="Q234" s="158">
        <v>3</v>
      </c>
      <c r="R234" s="152"/>
      <c r="S234" s="149" t="s">
        <v>2985</v>
      </c>
      <c r="T234" s="157">
        <v>2</v>
      </c>
      <c r="U234" s="152"/>
      <c r="V234" s="149" t="s">
        <v>6631</v>
      </c>
      <c r="W234" s="155">
        <v>1</v>
      </c>
      <c r="X234" s="152"/>
      <c r="Y234" s="149" t="s">
        <v>9615</v>
      </c>
      <c r="Z234" s="157">
        <v>2</v>
      </c>
      <c r="AA234" s="152"/>
      <c r="AB234" s="154" t="s">
        <v>1148</v>
      </c>
    </row>
    <row r="235" spans="1:28" x14ac:dyDescent="0.2">
      <c r="A235" s="146" t="s">
        <v>6632</v>
      </c>
      <c r="B235" s="147" t="s">
        <v>6130</v>
      </c>
      <c r="C235" s="147" t="s">
        <v>6325</v>
      </c>
      <c r="D235" s="148" t="s">
        <v>6160</v>
      </c>
      <c r="E235" s="149" t="s">
        <v>21427</v>
      </c>
      <c r="F235" s="161">
        <v>1</v>
      </c>
      <c r="G235" s="149" t="s">
        <v>21428</v>
      </c>
      <c r="H235" s="157">
        <v>2</v>
      </c>
      <c r="I235" s="156" t="s">
        <v>46</v>
      </c>
      <c r="J235" s="149" t="s">
        <v>21429</v>
      </c>
      <c r="K235" s="155">
        <v>1</v>
      </c>
      <c r="L235" s="152"/>
      <c r="M235" s="149" t="s">
        <v>21427</v>
      </c>
      <c r="N235" s="155">
        <v>1</v>
      </c>
      <c r="O235" s="152"/>
      <c r="P235" s="149" t="s">
        <v>21430</v>
      </c>
      <c r="Q235" s="157">
        <v>2</v>
      </c>
      <c r="R235" s="152"/>
      <c r="S235" s="149" t="s">
        <v>21431</v>
      </c>
      <c r="T235" s="158">
        <v>3</v>
      </c>
      <c r="U235" s="152"/>
      <c r="V235" s="149" t="s">
        <v>21432</v>
      </c>
      <c r="W235" s="158">
        <v>3</v>
      </c>
      <c r="X235" s="156" t="s">
        <v>46</v>
      </c>
      <c r="Y235" s="149" t="s">
        <v>21433</v>
      </c>
      <c r="Z235" s="158">
        <v>3</v>
      </c>
      <c r="AA235" s="152"/>
      <c r="AB235" s="154" t="s">
        <v>1181</v>
      </c>
    </row>
    <row r="236" spans="1:28" x14ac:dyDescent="0.2">
      <c r="A236" s="146" t="s">
        <v>6633</v>
      </c>
      <c r="B236" s="147" t="s">
        <v>6130</v>
      </c>
      <c r="C236" s="147" t="s">
        <v>6634</v>
      </c>
      <c r="D236" s="148" t="s">
        <v>6132</v>
      </c>
      <c r="E236" s="149" t="s">
        <v>6635</v>
      </c>
      <c r="F236" s="159">
        <v>3</v>
      </c>
      <c r="G236" s="149" t="s">
        <v>21434</v>
      </c>
      <c r="H236" s="151">
        <v>4</v>
      </c>
      <c r="I236" s="156" t="s">
        <v>55</v>
      </c>
      <c r="J236" s="149" t="s">
        <v>6636</v>
      </c>
      <c r="K236" s="158">
        <v>3</v>
      </c>
      <c r="L236" s="156" t="s">
        <v>46</v>
      </c>
      <c r="M236" s="149" t="s">
        <v>6635</v>
      </c>
      <c r="N236" s="158">
        <v>3</v>
      </c>
      <c r="O236" s="152"/>
      <c r="P236" s="149" t="s">
        <v>6637</v>
      </c>
      <c r="Q236" s="158">
        <v>3</v>
      </c>
      <c r="R236" s="156" t="s">
        <v>46</v>
      </c>
      <c r="S236" s="149" t="s">
        <v>6638</v>
      </c>
      <c r="T236" s="157">
        <v>2</v>
      </c>
      <c r="U236" s="152"/>
      <c r="V236" s="149" t="s">
        <v>47</v>
      </c>
      <c r="W236" s="153"/>
      <c r="X236" s="152"/>
      <c r="Y236" s="149" t="s">
        <v>47</v>
      </c>
      <c r="Z236" s="153"/>
      <c r="AA236" s="152"/>
      <c r="AB236" s="154" t="s">
        <v>1406</v>
      </c>
    </row>
    <row r="237" spans="1:28" x14ac:dyDescent="0.2">
      <c r="A237" s="146" t="s">
        <v>6639</v>
      </c>
      <c r="B237" s="147" t="s">
        <v>6314</v>
      </c>
      <c r="C237" s="147" t="s">
        <v>6277</v>
      </c>
      <c r="D237" s="148" t="s">
        <v>6132</v>
      </c>
      <c r="E237" s="149" t="s">
        <v>21435</v>
      </c>
      <c r="F237" s="159">
        <v>3</v>
      </c>
      <c r="G237" s="149" t="s">
        <v>21436</v>
      </c>
      <c r="H237" s="158">
        <v>3</v>
      </c>
      <c r="I237" s="152"/>
      <c r="J237" s="149" t="s">
        <v>21437</v>
      </c>
      <c r="K237" s="158">
        <v>3</v>
      </c>
      <c r="L237" s="152"/>
      <c r="M237" s="149" t="s">
        <v>21435</v>
      </c>
      <c r="N237" s="158">
        <v>3</v>
      </c>
      <c r="O237" s="156" t="s">
        <v>46</v>
      </c>
      <c r="P237" s="149" t="s">
        <v>21438</v>
      </c>
      <c r="Q237" s="158">
        <v>3</v>
      </c>
      <c r="R237" s="156" t="s">
        <v>46</v>
      </c>
      <c r="S237" s="149" t="s">
        <v>21439</v>
      </c>
      <c r="T237" s="155">
        <v>1</v>
      </c>
      <c r="U237" s="152"/>
      <c r="V237" s="149" t="s">
        <v>21440</v>
      </c>
      <c r="W237" s="155">
        <v>1</v>
      </c>
      <c r="X237" s="152"/>
      <c r="Y237" s="149" t="s">
        <v>21441</v>
      </c>
      <c r="Z237" s="155">
        <v>1</v>
      </c>
      <c r="AA237" s="152"/>
      <c r="AB237" s="154" t="s">
        <v>1358</v>
      </c>
    </row>
    <row r="238" spans="1:28" x14ac:dyDescent="0.2">
      <c r="A238" s="146" t="s">
        <v>6640</v>
      </c>
      <c r="B238" s="147" t="s">
        <v>6314</v>
      </c>
      <c r="C238" s="147" t="s">
        <v>6641</v>
      </c>
      <c r="D238" s="148" t="s">
        <v>6132</v>
      </c>
      <c r="E238" s="149" t="s">
        <v>6642</v>
      </c>
      <c r="F238" s="160">
        <v>2</v>
      </c>
      <c r="G238" s="149" t="s">
        <v>408</v>
      </c>
      <c r="H238" s="155">
        <v>1</v>
      </c>
      <c r="I238" s="156" t="s">
        <v>53</v>
      </c>
      <c r="J238" s="149" t="s">
        <v>6643</v>
      </c>
      <c r="K238" s="155">
        <v>1</v>
      </c>
      <c r="L238" s="156" t="s">
        <v>40</v>
      </c>
      <c r="M238" s="149" t="s">
        <v>6642</v>
      </c>
      <c r="N238" s="157">
        <v>2</v>
      </c>
      <c r="O238" s="152"/>
      <c r="P238" s="149" t="s">
        <v>6644</v>
      </c>
      <c r="Q238" s="157">
        <v>2</v>
      </c>
      <c r="R238" s="156" t="s">
        <v>40</v>
      </c>
      <c r="S238" s="149" t="s">
        <v>12275</v>
      </c>
      <c r="T238" s="157">
        <v>2</v>
      </c>
      <c r="U238" s="156" t="s">
        <v>40</v>
      </c>
      <c r="V238" s="149" t="s">
        <v>21442</v>
      </c>
      <c r="W238" s="155">
        <v>1</v>
      </c>
      <c r="X238" s="152"/>
      <c r="Y238" s="149" t="s">
        <v>47</v>
      </c>
      <c r="Z238" s="153"/>
      <c r="AA238" s="152"/>
      <c r="AB238" s="154" t="s">
        <v>1273</v>
      </c>
    </row>
    <row r="239" spans="1:28" x14ac:dyDescent="0.2">
      <c r="A239" s="146" t="s">
        <v>6645</v>
      </c>
      <c r="B239" s="147" t="s">
        <v>6314</v>
      </c>
      <c r="C239" s="147" t="s">
        <v>6646</v>
      </c>
      <c r="D239" s="148" t="s">
        <v>6163</v>
      </c>
      <c r="E239" s="149" t="s">
        <v>21443</v>
      </c>
      <c r="F239" s="150">
        <v>4</v>
      </c>
      <c r="G239" s="149" t="s">
        <v>21444</v>
      </c>
      <c r="H239" s="151">
        <v>4</v>
      </c>
      <c r="I239" s="152"/>
      <c r="J239" s="149" t="s">
        <v>21445</v>
      </c>
      <c r="K239" s="151">
        <v>4</v>
      </c>
      <c r="L239" s="152"/>
      <c r="M239" s="149" t="s">
        <v>21443</v>
      </c>
      <c r="N239" s="151">
        <v>4</v>
      </c>
      <c r="O239" s="152"/>
      <c r="P239" s="149" t="s">
        <v>21446</v>
      </c>
      <c r="Q239" s="158">
        <v>3</v>
      </c>
      <c r="R239" s="152"/>
      <c r="S239" s="149" t="s">
        <v>6647</v>
      </c>
      <c r="T239" s="155">
        <v>1</v>
      </c>
      <c r="U239" s="152"/>
      <c r="V239" s="149" t="s">
        <v>21447</v>
      </c>
      <c r="W239" s="155">
        <v>1</v>
      </c>
      <c r="X239" s="152"/>
      <c r="Y239" s="149" t="s">
        <v>47</v>
      </c>
      <c r="Z239" s="153"/>
      <c r="AA239" s="152"/>
      <c r="AB239" s="154" t="s">
        <v>1372</v>
      </c>
    </row>
    <row r="240" spans="1:28" x14ac:dyDescent="0.2">
      <c r="A240" s="146" t="s">
        <v>6648</v>
      </c>
      <c r="B240" s="147" t="s">
        <v>6314</v>
      </c>
      <c r="C240" s="147" t="s">
        <v>6649</v>
      </c>
      <c r="D240" s="148" t="s">
        <v>6136</v>
      </c>
      <c r="E240" s="149" t="s">
        <v>21448</v>
      </c>
      <c r="F240" s="159">
        <v>3</v>
      </c>
      <c r="G240" s="149" t="s">
        <v>21449</v>
      </c>
      <c r="H240" s="151">
        <v>4</v>
      </c>
      <c r="I240" s="156" t="s">
        <v>46</v>
      </c>
      <c r="J240" s="149" t="s">
        <v>21450</v>
      </c>
      <c r="K240" s="158">
        <v>3</v>
      </c>
      <c r="L240" s="156" t="s">
        <v>46</v>
      </c>
      <c r="M240" s="149" t="s">
        <v>21448</v>
      </c>
      <c r="N240" s="158">
        <v>3</v>
      </c>
      <c r="O240" s="156" t="s">
        <v>46</v>
      </c>
      <c r="P240" s="149" t="s">
        <v>21451</v>
      </c>
      <c r="Q240" s="151">
        <v>4</v>
      </c>
      <c r="R240" s="156" t="s">
        <v>55</v>
      </c>
      <c r="S240" s="149" t="s">
        <v>21452</v>
      </c>
      <c r="T240" s="158">
        <v>3</v>
      </c>
      <c r="U240" s="152"/>
      <c r="V240" s="149" t="s">
        <v>21453</v>
      </c>
      <c r="W240" s="158">
        <v>3</v>
      </c>
      <c r="X240" s="152"/>
      <c r="Y240" s="149" t="s">
        <v>6650</v>
      </c>
      <c r="Z240" s="158">
        <v>3</v>
      </c>
      <c r="AA240" s="152"/>
      <c r="AB240" s="154" t="s">
        <v>1212</v>
      </c>
    </row>
    <row r="241" spans="1:28" x14ac:dyDescent="0.2">
      <c r="A241" s="146" t="s">
        <v>6651</v>
      </c>
      <c r="B241" s="147" t="s">
        <v>6130</v>
      </c>
      <c r="C241" s="147" t="s">
        <v>6325</v>
      </c>
      <c r="D241" s="148" t="s">
        <v>6136</v>
      </c>
      <c r="E241" s="149" t="s">
        <v>11022</v>
      </c>
      <c r="F241" s="160">
        <v>2</v>
      </c>
      <c r="G241" s="149" t="s">
        <v>13336</v>
      </c>
      <c r="H241" s="157">
        <v>2</v>
      </c>
      <c r="I241" s="152"/>
      <c r="J241" s="149" t="s">
        <v>21454</v>
      </c>
      <c r="K241" s="157">
        <v>2</v>
      </c>
      <c r="L241" s="152"/>
      <c r="M241" s="149" t="s">
        <v>11022</v>
      </c>
      <c r="N241" s="157">
        <v>2</v>
      </c>
      <c r="O241" s="156" t="s">
        <v>46</v>
      </c>
      <c r="P241" s="149" t="s">
        <v>21455</v>
      </c>
      <c r="Q241" s="155">
        <v>1</v>
      </c>
      <c r="R241" s="152"/>
      <c r="S241" s="149" t="s">
        <v>21456</v>
      </c>
      <c r="T241" s="158">
        <v>3</v>
      </c>
      <c r="U241" s="152"/>
      <c r="V241" s="149" t="s">
        <v>21457</v>
      </c>
      <c r="W241" s="158">
        <v>3</v>
      </c>
      <c r="X241" s="152"/>
      <c r="Y241" s="149" t="s">
        <v>21458</v>
      </c>
      <c r="Z241" s="158">
        <v>3</v>
      </c>
      <c r="AA241" s="152"/>
      <c r="AB241" s="154" t="s">
        <v>1396</v>
      </c>
    </row>
    <row r="242" spans="1:28" x14ac:dyDescent="0.2">
      <c r="A242" s="146" t="s">
        <v>6652</v>
      </c>
      <c r="B242" s="147" t="s">
        <v>6314</v>
      </c>
      <c r="C242" s="147" t="s">
        <v>6653</v>
      </c>
      <c r="D242" s="148"/>
      <c r="E242" s="149" t="s">
        <v>21459</v>
      </c>
      <c r="F242" s="150">
        <v>4</v>
      </c>
      <c r="G242" s="149" t="s">
        <v>21460</v>
      </c>
      <c r="H242" s="151">
        <v>4</v>
      </c>
      <c r="I242" s="152"/>
      <c r="J242" s="149" t="s">
        <v>21461</v>
      </c>
      <c r="K242" s="151">
        <v>4</v>
      </c>
      <c r="L242" s="152"/>
      <c r="M242" s="149" t="s">
        <v>21459</v>
      </c>
      <c r="N242" s="151">
        <v>4</v>
      </c>
      <c r="O242" s="152"/>
      <c r="P242" s="149" t="s">
        <v>21462</v>
      </c>
      <c r="Q242" s="157">
        <v>2</v>
      </c>
      <c r="R242" s="156" t="s">
        <v>46</v>
      </c>
      <c r="S242" s="149" t="s">
        <v>47</v>
      </c>
      <c r="T242" s="153"/>
      <c r="U242" s="152"/>
      <c r="V242" s="149" t="s">
        <v>47</v>
      </c>
      <c r="W242" s="153"/>
      <c r="X242" s="152"/>
      <c r="Y242" s="149" t="s">
        <v>47</v>
      </c>
      <c r="Z242" s="153"/>
      <c r="AA242" s="152"/>
      <c r="AB242" s="154" t="s">
        <v>1456</v>
      </c>
    </row>
    <row r="243" spans="1:28" x14ac:dyDescent="0.2">
      <c r="A243" s="146" t="s">
        <v>6654</v>
      </c>
      <c r="B243" s="147" t="s">
        <v>6130</v>
      </c>
      <c r="C243" s="147" t="s">
        <v>6655</v>
      </c>
      <c r="D243" s="148"/>
      <c r="E243" s="149" t="s">
        <v>15472</v>
      </c>
      <c r="F243" s="161">
        <v>1</v>
      </c>
      <c r="G243" s="149" t="s">
        <v>6656</v>
      </c>
      <c r="H243" s="155">
        <v>1</v>
      </c>
      <c r="I243" s="152"/>
      <c r="J243" s="149" t="s">
        <v>21463</v>
      </c>
      <c r="K243" s="155">
        <v>1</v>
      </c>
      <c r="L243" s="152"/>
      <c r="M243" s="149" t="s">
        <v>15472</v>
      </c>
      <c r="N243" s="155">
        <v>1</v>
      </c>
      <c r="O243" s="152"/>
      <c r="P243" s="149" t="s">
        <v>6657</v>
      </c>
      <c r="Q243" s="155">
        <v>1</v>
      </c>
      <c r="R243" s="152"/>
      <c r="S243" s="149" t="s">
        <v>47</v>
      </c>
      <c r="T243" s="153"/>
      <c r="U243" s="152"/>
      <c r="V243" s="149" t="s">
        <v>47</v>
      </c>
      <c r="W243" s="153"/>
      <c r="X243" s="152"/>
      <c r="Y243" s="149" t="s">
        <v>47</v>
      </c>
      <c r="Z243" s="153"/>
      <c r="AA243" s="152"/>
      <c r="AB243" s="154" t="s">
        <v>1482</v>
      </c>
    </row>
    <row r="244" spans="1:28" x14ac:dyDescent="0.2">
      <c r="A244" s="146" t="s">
        <v>6658</v>
      </c>
      <c r="B244" s="147" t="s">
        <v>6130</v>
      </c>
      <c r="C244" s="147" t="s">
        <v>6659</v>
      </c>
      <c r="D244" s="148" t="s">
        <v>6160</v>
      </c>
      <c r="E244" s="149" t="s">
        <v>21464</v>
      </c>
      <c r="F244" s="159">
        <v>3</v>
      </c>
      <c r="G244" s="149" t="s">
        <v>265</v>
      </c>
      <c r="H244" s="157">
        <v>2</v>
      </c>
      <c r="I244" s="156" t="s">
        <v>40</v>
      </c>
      <c r="J244" s="149" t="s">
        <v>21465</v>
      </c>
      <c r="K244" s="158">
        <v>3</v>
      </c>
      <c r="L244" s="152"/>
      <c r="M244" s="149" t="s">
        <v>21464</v>
      </c>
      <c r="N244" s="158">
        <v>3</v>
      </c>
      <c r="O244" s="152"/>
      <c r="P244" s="149" t="s">
        <v>6660</v>
      </c>
      <c r="Q244" s="157">
        <v>2</v>
      </c>
      <c r="R244" s="156" t="s">
        <v>40</v>
      </c>
      <c r="S244" s="149" t="s">
        <v>6661</v>
      </c>
      <c r="T244" s="151">
        <v>4</v>
      </c>
      <c r="U244" s="152"/>
      <c r="V244" s="149" t="s">
        <v>680</v>
      </c>
      <c r="W244" s="151">
        <v>4</v>
      </c>
      <c r="X244" s="152"/>
      <c r="Y244" s="149" t="s">
        <v>47</v>
      </c>
      <c r="Z244" s="153"/>
      <c r="AA244" s="152"/>
      <c r="AB244" s="154" t="s">
        <v>1493</v>
      </c>
    </row>
    <row r="245" spans="1:28" x14ac:dyDescent="0.2">
      <c r="A245" s="146" t="s">
        <v>6662</v>
      </c>
      <c r="B245" s="147" t="s">
        <v>6130</v>
      </c>
      <c r="C245" s="147" t="s">
        <v>6277</v>
      </c>
      <c r="D245" s="148"/>
      <c r="E245" s="149" t="s">
        <v>21466</v>
      </c>
      <c r="F245" s="159">
        <v>3</v>
      </c>
      <c r="G245" s="149" t="s">
        <v>21467</v>
      </c>
      <c r="H245" s="158">
        <v>3</v>
      </c>
      <c r="I245" s="156" t="s">
        <v>40</v>
      </c>
      <c r="J245" s="149" t="s">
        <v>21468</v>
      </c>
      <c r="K245" s="151">
        <v>4</v>
      </c>
      <c r="L245" s="156" t="s">
        <v>46</v>
      </c>
      <c r="M245" s="149" t="s">
        <v>21466</v>
      </c>
      <c r="N245" s="158">
        <v>3</v>
      </c>
      <c r="O245" s="156" t="s">
        <v>46</v>
      </c>
      <c r="P245" s="149" t="s">
        <v>21469</v>
      </c>
      <c r="Q245" s="158">
        <v>3</v>
      </c>
      <c r="R245" s="156" t="s">
        <v>46</v>
      </c>
      <c r="S245" s="149" t="s">
        <v>21470</v>
      </c>
      <c r="T245" s="155">
        <v>1</v>
      </c>
      <c r="U245" s="152"/>
      <c r="V245" s="149" t="s">
        <v>21471</v>
      </c>
      <c r="W245" s="155">
        <v>1</v>
      </c>
      <c r="X245" s="152"/>
      <c r="Y245" s="149" t="s">
        <v>21472</v>
      </c>
      <c r="Z245" s="155">
        <v>1</v>
      </c>
      <c r="AA245" s="152"/>
      <c r="AB245" s="154" t="s">
        <v>1554</v>
      </c>
    </row>
    <row r="246" spans="1:28" x14ac:dyDescent="0.2">
      <c r="A246" s="146" t="s">
        <v>6663</v>
      </c>
      <c r="B246" s="147" t="s">
        <v>6314</v>
      </c>
      <c r="C246" s="147" t="s">
        <v>6540</v>
      </c>
      <c r="D246" s="148"/>
      <c r="E246" s="149" t="s">
        <v>21473</v>
      </c>
      <c r="F246" s="161">
        <v>1</v>
      </c>
      <c r="G246" s="149" t="s">
        <v>21474</v>
      </c>
      <c r="H246" s="157">
        <v>2</v>
      </c>
      <c r="I246" s="152"/>
      <c r="J246" s="149" t="s">
        <v>6664</v>
      </c>
      <c r="K246" s="157">
        <v>2</v>
      </c>
      <c r="L246" s="156" t="s">
        <v>46</v>
      </c>
      <c r="M246" s="149" t="s">
        <v>21473</v>
      </c>
      <c r="N246" s="155">
        <v>1</v>
      </c>
      <c r="O246" s="156" t="s">
        <v>40</v>
      </c>
      <c r="P246" s="149" t="s">
        <v>21475</v>
      </c>
      <c r="Q246" s="157">
        <v>2</v>
      </c>
      <c r="R246" s="152"/>
      <c r="S246" s="149" t="s">
        <v>47</v>
      </c>
      <c r="T246" s="153"/>
      <c r="U246" s="152"/>
      <c r="V246" s="149" t="s">
        <v>47</v>
      </c>
      <c r="W246" s="153"/>
      <c r="X246" s="152"/>
      <c r="Y246" s="149" t="s">
        <v>47</v>
      </c>
      <c r="Z246" s="153"/>
      <c r="AA246" s="152"/>
      <c r="AB246" s="154" t="s">
        <v>1579</v>
      </c>
    </row>
    <row r="247" spans="1:28" x14ac:dyDescent="0.2">
      <c r="A247" s="146" t="s">
        <v>6665</v>
      </c>
      <c r="B247" s="147" t="s">
        <v>6314</v>
      </c>
      <c r="C247" s="147" t="s">
        <v>6315</v>
      </c>
      <c r="D247" s="148"/>
      <c r="E247" s="149" t="s">
        <v>21476</v>
      </c>
      <c r="F247" s="160">
        <v>2</v>
      </c>
      <c r="G247" s="149" t="s">
        <v>21477</v>
      </c>
      <c r="H247" s="155">
        <v>1</v>
      </c>
      <c r="I247" s="156" t="s">
        <v>40</v>
      </c>
      <c r="J247" s="149" t="s">
        <v>6666</v>
      </c>
      <c r="K247" s="155">
        <v>1</v>
      </c>
      <c r="L247" s="156" t="s">
        <v>40</v>
      </c>
      <c r="M247" s="149" t="s">
        <v>21476</v>
      </c>
      <c r="N247" s="157">
        <v>2</v>
      </c>
      <c r="O247" s="152"/>
      <c r="P247" s="149" t="s">
        <v>6667</v>
      </c>
      <c r="Q247" s="155">
        <v>1</v>
      </c>
      <c r="R247" s="152"/>
      <c r="S247" s="149" t="s">
        <v>47</v>
      </c>
      <c r="T247" s="153"/>
      <c r="U247" s="152"/>
      <c r="V247" s="149" t="s">
        <v>47</v>
      </c>
      <c r="W247" s="153"/>
      <c r="X247" s="152"/>
      <c r="Y247" s="149" t="s">
        <v>47</v>
      </c>
      <c r="Z247" s="153"/>
      <c r="AA247" s="152"/>
      <c r="AB247" s="154" t="s">
        <v>1593</v>
      </c>
    </row>
    <row r="248" spans="1:28" x14ac:dyDescent="0.2">
      <c r="A248" s="146" t="s">
        <v>6668</v>
      </c>
      <c r="B248" s="147" t="s">
        <v>6314</v>
      </c>
      <c r="C248" s="147" t="s">
        <v>6540</v>
      </c>
      <c r="D248" s="148" t="s">
        <v>6132</v>
      </c>
      <c r="E248" s="149" t="s">
        <v>21478</v>
      </c>
      <c r="F248" s="160">
        <v>2</v>
      </c>
      <c r="G248" s="149" t="s">
        <v>21479</v>
      </c>
      <c r="H248" s="158">
        <v>3</v>
      </c>
      <c r="I248" s="156" t="s">
        <v>46</v>
      </c>
      <c r="J248" s="149" t="s">
        <v>15482</v>
      </c>
      <c r="K248" s="157">
        <v>2</v>
      </c>
      <c r="L248" s="156" t="s">
        <v>46</v>
      </c>
      <c r="M248" s="149" t="s">
        <v>21478</v>
      </c>
      <c r="N248" s="157">
        <v>2</v>
      </c>
      <c r="O248" s="152"/>
      <c r="P248" s="149" t="s">
        <v>6669</v>
      </c>
      <c r="Q248" s="157">
        <v>2</v>
      </c>
      <c r="R248" s="152"/>
      <c r="S248" s="149" t="s">
        <v>21480</v>
      </c>
      <c r="T248" s="157">
        <v>2</v>
      </c>
      <c r="U248" s="152"/>
      <c r="V248" s="149" t="s">
        <v>21481</v>
      </c>
      <c r="W248" s="155">
        <v>1</v>
      </c>
      <c r="X248" s="152"/>
      <c r="Y248" s="149" t="s">
        <v>6670</v>
      </c>
      <c r="Z248" s="155">
        <v>1</v>
      </c>
      <c r="AA248" s="152"/>
      <c r="AB248" s="154" t="s">
        <v>1619</v>
      </c>
    </row>
    <row r="249" spans="1:28" x14ac:dyDescent="0.2">
      <c r="A249" s="146" t="s">
        <v>6671</v>
      </c>
      <c r="B249" s="147" t="s">
        <v>6130</v>
      </c>
      <c r="C249" s="147" t="s">
        <v>6175</v>
      </c>
      <c r="D249" s="148"/>
      <c r="E249" s="149" t="s">
        <v>21482</v>
      </c>
      <c r="F249" s="159">
        <v>3</v>
      </c>
      <c r="G249" s="149" t="s">
        <v>21483</v>
      </c>
      <c r="H249" s="158">
        <v>3</v>
      </c>
      <c r="I249" s="152"/>
      <c r="J249" s="149" t="s">
        <v>21484</v>
      </c>
      <c r="K249" s="158">
        <v>3</v>
      </c>
      <c r="L249" s="152"/>
      <c r="M249" s="149" t="s">
        <v>21482</v>
      </c>
      <c r="N249" s="158">
        <v>3</v>
      </c>
      <c r="O249" s="152"/>
      <c r="P249" s="149" t="s">
        <v>21485</v>
      </c>
      <c r="Q249" s="158">
        <v>3</v>
      </c>
      <c r="R249" s="152"/>
      <c r="S249" s="149" t="s">
        <v>21486</v>
      </c>
      <c r="T249" s="158">
        <v>3</v>
      </c>
      <c r="U249" s="152"/>
      <c r="V249" s="149" t="s">
        <v>21487</v>
      </c>
      <c r="W249" s="158">
        <v>3</v>
      </c>
      <c r="X249" s="152"/>
      <c r="Y249" s="149" t="s">
        <v>21488</v>
      </c>
      <c r="Z249" s="157">
        <v>2</v>
      </c>
      <c r="AA249" s="152"/>
      <c r="AB249" s="154" t="s">
        <v>1659</v>
      </c>
    </row>
    <row r="250" spans="1:28" x14ac:dyDescent="0.2">
      <c r="A250" s="146" t="s">
        <v>6672</v>
      </c>
      <c r="B250" s="147" t="s">
        <v>6314</v>
      </c>
      <c r="C250" s="147" t="s">
        <v>6673</v>
      </c>
      <c r="D250" s="148"/>
      <c r="E250" s="149" t="s">
        <v>21489</v>
      </c>
      <c r="F250" s="161">
        <v>1</v>
      </c>
      <c r="G250" s="149" t="s">
        <v>21490</v>
      </c>
      <c r="H250" s="155">
        <v>1</v>
      </c>
      <c r="I250" s="152"/>
      <c r="J250" s="149" t="s">
        <v>21489</v>
      </c>
      <c r="K250" s="155">
        <v>1</v>
      </c>
      <c r="L250" s="152"/>
      <c r="M250" s="149" t="s">
        <v>21489</v>
      </c>
      <c r="N250" s="155">
        <v>1</v>
      </c>
      <c r="O250" s="152"/>
      <c r="P250" s="149" t="s">
        <v>21491</v>
      </c>
      <c r="Q250" s="155">
        <v>1</v>
      </c>
      <c r="R250" s="152"/>
      <c r="S250" s="149" t="s">
        <v>21492</v>
      </c>
      <c r="T250" s="155">
        <v>1</v>
      </c>
      <c r="U250" s="152"/>
      <c r="V250" s="149" t="s">
        <v>6674</v>
      </c>
      <c r="W250" s="155">
        <v>1</v>
      </c>
      <c r="X250" s="152"/>
      <c r="Y250" s="149" t="s">
        <v>21493</v>
      </c>
      <c r="Z250" s="155">
        <v>1</v>
      </c>
      <c r="AA250" s="152"/>
      <c r="AB250" s="154" t="s">
        <v>1685</v>
      </c>
    </row>
    <row r="251" spans="1:28" x14ac:dyDescent="0.2">
      <c r="A251" s="146" t="s">
        <v>6675</v>
      </c>
      <c r="B251" s="147" t="s">
        <v>6130</v>
      </c>
      <c r="C251" s="147" t="s">
        <v>6249</v>
      </c>
      <c r="D251" s="148" t="s">
        <v>6160</v>
      </c>
      <c r="E251" s="149" t="s">
        <v>6676</v>
      </c>
      <c r="F251" s="160">
        <v>2</v>
      </c>
      <c r="G251" s="149" t="s">
        <v>21494</v>
      </c>
      <c r="H251" s="155">
        <v>1</v>
      </c>
      <c r="I251" s="152"/>
      <c r="J251" s="149" t="s">
        <v>1961</v>
      </c>
      <c r="K251" s="157">
        <v>2</v>
      </c>
      <c r="L251" s="152"/>
      <c r="M251" s="149" t="s">
        <v>6676</v>
      </c>
      <c r="N251" s="157">
        <v>2</v>
      </c>
      <c r="O251" s="156" t="s">
        <v>40</v>
      </c>
      <c r="P251" s="149" t="s">
        <v>6677</v>
      </c>
      <c r="Q251" s="151">
        <v>4</v>
      </c>
      <c r="R251" s="152"/>
      <c r="S251" s="149" t="s">
        <v>21495</v>
      </c>
      <c r="T251" s="158">
        <v>3</v>
      </c>
      <c r="U251" s="156" t="s">
        <v>40</v>
      </c>
      <c r="V251" s="149" t="s">
        <v>21496</v>
      </c>
      <c r="W251" s="158">
        <v>3</v>
      </c>
      <c r="X251" s="152"/>
      <c r="Y251" s="149" t="s">
        <v>47</v>
      </c>
      <c r="Z251" s="153"/>
      <c r="AA251" s="152"/>
      <c r="AB251" s="154" t="s">
        <v>1719</v>
      </c>
    </row>
    <row r="252" spans="1:28" x14ac:dyDescent="0.2">
      <c r="A252" s="146" t="s">
        <v>6678</v>
      </c>
      <c r="B252" s="147" t="s">
        <v>6130</v>
      </c>
      <c r="C252" s="147" t="s">
        <v>6249</v>
      </c>
      <c r="D252" s="148" t="s">
        <v>6160</v>
      </c>
      <c r="E252" s="149" t="s">
        <v>21497</v>
      </c>
      <c r="F252" s="159">
        <v>3</v>
      </c>
      <c r="G252" s="149" t="s">
        <v>21498</v>
      </c>
      <c r="H252" s="151">
        <v>4</v>
      </c>
      <c r="I252" s="156" t="s">
        <v>55</v>
      </c>
      <c r="J252" s="149" t="s">
        <v>5325</v>
      </c>
      <c r="K252" s="158">
        <v>3</v>
      </c>
      <c r="L252" s="156" t="s">
        <v>46</v>
      </c>
      <c r="M252" s="149" t="s">
        <v>21497</v>
      </c>
      <c r="N252" s="158">
        <v>3</v>
      </c>
      <c r="O252" s="156" t="s">
        <v>46</v>
      </c>
      <c r="P252" s="149" t="s">
        <v>21499</v>
      </c>
      <c r="Q252" s="158">
        <v>3</v>
      </c>
      <c r="R252" s="152"/>
      <c r="S252" s="149" t="s">
        <v>21500</v>
      </c>
      <c r="T252" s="151">
        <v>4</v>
      </c>
      <c r="U252" s="152"/>
      <c r="V252" s="149" t="s">
        <v>21501</v>
      </c>
      <c r="W252" s="151">
        <v>4</v>
      </c>
      <c r="X252" s="152"/>
      <c r="Y252" s="149" t="s">
        <v>47</v>
      </c>
      <c r="Z252" s="153"/>
      <c r="AA252" s="152"/>
      <c r="AB252" s="154" t="s">
        <v>1724</v>
      </c>
    </row>
    <row r="253" spans="1:28" x14ac:dyDescent="0.2">
      <c r="A253" s="146" t="s">
        <v>6679</v>
      </c>
      <c r="B253" s="147" t="s">
        <v>6130</v>
      </c>
      <c r="C253" s="147" t="s">
        <v>6680</v>
      </c>
      <c r="D253" s="148" t="s">
        <v>6160</v>
      </c>
      <c r="E253" s="149" t="s">
        <v>21502</v>
      </c>
      <c r="F253" s="160">
        <v>2</v>
      </c>
      <c r="G253" s="149" t="s">
        <v>21503</v>
      </c>
      <c r="H253" s="157">
        <v>2</v>
      </c>
      <c r="I253" s="152"/>
      <c r="J253" s="149" t="s">
        <v>21504</v>
      </c>
      <c r="K253" s="157">
        <v>2</v>
      </c>
      <c r="L253" s="152"/>
      <c r="M253" s="149" t="s">
        <v>21502</v>
      </c>
      <c r="N253" s="157">
        <v>2</v>
      </c>
      <c r="O253" s="152"/>
      <c r="P253" s="149" t="s">
        <v>6681</v>
      </c>
      <c r="Q253" s="158">
        <v>3</v>
      </c>
      <c r="R253" s="152"/>
      <c r="S253" s="149" t="s">
        <v>6682</v>
      </c>
      <c r="T253" s="158">
        <v>3</v>
      </c>
      <c r="U253" s="152"/>
      <c r="V253" s="149" t="s">
        <v>6635</v>
      </c>
      <c r="W253" s="158">
        <v>3</v>
      </c>
      <c r="X253" s="152"/>
      <c r="Y253" s="149" t="s">
        <v>47</v>
      </c>
      <c r="Z253" s="153"/>
      <c r="AA253" s="152"/>
      <c r="AB253" s="154" t="s">
        <v>1754</v>
      </c>
    </row>
    <row r="254" spans="1:28" x14ac:dyDescent="0.2">
      <c r="A254" s="146" t="s">
        <v>21505</v>
      </c>
      <c r="B254" s="147" t="s">
        <v>6314</v>
      </c>
      <c r="C254" s="147" t="s">
        <v>6218</v>
      </c>
      <c r="D254" s="148" t="s">
        <v>6160</v>
      </c>
      <c r="E254" s="149" t="s">
        <v>11499</v>
      </c>
      <c r="F254" s="159">
        <v>3</v>
      </c>
      <c r="G254" s="149" t="s">
        <v>21506</v>
      </c>
      <c r="H254" s="151">
        <v>4</v>
      </c>
      <c r="I254" s="156" t="s">
        <v>55</v>
      </c>
      <c r="J254" s="149" t="s">
        <v>21507</v>
      </c>
      <c r="K254" s="157">
        <v>2</v>
      </c>
      <c r="L254" s="156" t="s">
        <v>46</v>
      </c>
      <c r="M254" s="149" t="s">
        <v>11499</v>
      </c>
      <c r="N254" s="158">
        <v>3</v>
      </c>
      <c r="O254" s="156" t="s">
        <v>55</v>
      </c>
      <c r="P254" s="149" t="s">
        <v>1882</v>
      </c>
      <c r="Q254" s="151">
        <v>4</v>
      </c>
      <c r="R254" s="156" t="s">
        <v>46</v>
      </c>
      <c r="S254" s="149" t="s">
        <v>21508</v>
      </c>
      <c r="T254" s="151">
        <v>4</v>
      </c>
      <c r="U254" s="152"/>
      <c r="V254" s="149" t="s">
        <v>18404</v>
      </c>
      <c r="W254" s="151">
        <v>4</v>
      </c>
      <c r="X254" s="152"/>
      <c r="Y254" s="149" t="s">
        <v>3895</v>
      </c>
      <c r="Z254" s="151">
        <v>4</v>
      </c>
      <c r="AA254" s="152"/>
      <c r="AB254" s="154" t="s">
        <v>1783</v>
      </c>
    </row>
    <row r="255" spans="1:28" x14ac:dyDescent="0.2">
      <c r="A255" s="146" t="s">
        <v>21509</v>
      </c>
      <c r="B255" s="147" t="s">
        <v>6314</v>
      </c>
      <c r="C255" s="147" t="s">
        <v>6157</v>
      </c>
      <c r="D255" s="148" t="s">
        <v>6170</v>
      </c>
      <c r="E255" s="149" t="s">
        <v>21510</v>
      </c>
      <c r="F255" s="150">
        <v>4</v>
      </c>
      <c r="G255" s="149" t="s">
        <v>21511</v>
      </c>
      <c r="H255" s="151">
        <v>4</v>
      </c>
      <c r="I255" s="152"/>
      <c r="J255" s="149" t="s">
        <v>21512</v>
      </c>
      <c r="K255" s="151">
        <v>4</v>
      </c>
      <c r="L255" s="152"/>
      <c r="M255" s="149" t="s">
        <v>21510</v>
      </c>
      <c r="N255" s="151">
        <v>4</v>
      </c>
      <c r="O255" s="152"/>
      <c r="P255" s="149" t="s">
        <v>21513</v>
      </c>
      <c r="Q255" s="151">
        <v>4</v>
      </c>
      <c r="R255" s="152"/>
      <c r="S255" s="149" t="s">
        <v>21514</v>
      </c>
      <c r="T255" s="151">
        <v>4</v>
      </c>
      <c r="U255" s="152"/>
      <c r="V255" s="149" t="s">
        <v>21515</v>
      </c>
      <c r="W255" s="151">
        <v>4</v>
      </c>
      <c r="X255" s="152"/>
      <c r="Y255" s="149" t="s">
        <v>47</v>
      </c>
      <c r="Z255" s="153"/>
      <c r="AA255" s="152"/>
      <c r="AB255" s="154" t="s">
        <v>1843</v>
      </c>
    </row>
    <row r="256" spans="1:28" x14ac:dyDescent="0.2">
      <c r="A256" s="146" t="s">
        <v>21516</v>
      </c>
      <c r="B256" s="147" t="s">
        <v>6130</v>
      </c>
      <c r="C256" s="147" t="s">
        <v>6683</v>
      </c>
      <c r="D256" s="148"/>
      <c r="E256" s="149" t="s">
        <v>12237</v>
      </c>
      <c r="F256" s="160">
        <v>2</v>
      </c>
      <c r="G256" s="149" t="s">
        <v>21517</v>
      </c>
      <c r="H256" s="157">
        <v>2</v>
      </c>
      <c r="I256" s="156" t="s">
        <v>46</v>
      </c>
      <c r="J256" s="149" t="s">
        <v>21518</v>
      </c>
      <c r="K256" s="155">
        <v>1</v>
      </c>
      <c r="L256" s="156" t="s">
        <v>40</v>
      </c>
      <c r="M256" s="149" t="s">
        <v>12237</v>
      </c>
      <c r="N256" s="157">
        <v>2</v>
      </c>
      <c r="O256" s="152"/>
      <c r="P256" s="149" t="s">
        <v>6684</v>
      </c>
      <c r="Q256" s="157">
        <v>2</v>
      </c>
      <c r="R256" s="152"/>
      <c r="S256" s="149" t="s">
        <v>47</v>
      </c>
      <c r="T256" s="153"/>
      <c r="U256" s="152"/>
      <c r="V256" s="149" t="s">
        <v>47</v>
      </c>
      <c r="W256" s="153"/>
      <c r="X256" s="152"/>
      <c r="Y256" s="149" t="s">
        <v>47</v>
      </c>
      <c r="Z256" s="153"/>
      <c r="AA256" s="152"/>
      <c r="AB256" s="154" t="s">
        <v>11083</v>
      </c>
    </row>
    <row r="257" spans="1:28" x14ac:dyDescent="0.2">
      <c r="A257" s="146" t="s">
        <v>6685</v>
      </c>
      <c r="B257" s="147" t="s">
        <v>6314</v>
      </c>
      <c r="C257" s="147" t="s">
        <v>6513</v>
      </c>
      <c r="D257" s="148" t="s">
        <v>6163</v>
      </c>
      <c r="E257" s="149" t="s">
        <v>3539</v>
      </c>
      <c r="F257" s="160">
        <v>2</v>
      </c>
      <c r="G257" s="149" t="s">
        <v>6686</v>
      </c>
      <c r="H257" s="158">
        <v>3</v>
      </c>
      <c r="I257" s="156" t="s">
        <v>46</v>
      </c>
      <c r="J257" s="149" t="s">
        <v>21519</v>
      </c>
      <c r="K257" s="157">
        <v>2</v>
      </c>
      <c r="L257" s="156" t="s">
        <v>40</v>
      </c>
      <c r="M257" s="149" t="s">
        <v>3539</v>
      </c>
      <c r="N257" s="157">
        <v>2</v>
      </c>
      <c r="O257" s="156" t="s">
        <v>40</v>
      </c>
      <c r="P257" s="149" t="s">
        <v>12217</v>
      </c>
      <c r="Q257" s="158">
        <v>3</v>
      </c>
      <c r="R257" s="156" t="s">
        <v>55</v>
      </c>
      <c r="S257" s="149" t="s">
        <v>6255</v>
      </c>
      <c r="T257" s="155">
        <v>1</v>
      </c>
      <c r="U257" s="152"/>
      <c r="V257" s="149" t="s">
        <v>21520</v>
      </c>
      <c r="W257" s="158">
        <v>3</v>
      </c>
      <c r="X257" s="152"/>
      <c r="Y257" s="149" t="s">
        <v>21521</v>
      </c>
      <c r="Z257" s="155">
        <v>1</v>
      </c>
      <c r="AA257" s="152"/>
      <c r="AB257" s="154" t="s">
        <v>1818</v>
      </c>
    </row>
    <row r="258" spans="1:28" x14ac:dyDescent="0.2">
      <c r="A258" s="146" t="s">
        <v>6687</v>
      </c>
      <c r="B258" s="147" t="s">
        <v>6130</v>
      </c>
      <c r="C258" s="147" t="s">
        <v>6236</v>
      </c>
      <c r="D258" s="148"/>
      <c r="E258" s="149" t="s">
        <v>21522</v>
      </c>
      <c r="F258" s="160">
        <v>2</v>
      </c>
      <c r="G258" s="149" t="s">
        <v>21523</v>
      </c>
      <c r="H258" s="157">
        <v>2</v>
      </c>
      <c r="I258" s="152"/>
      <c r="J258" s="149" t="s">
        <v>21524</v>
      </c>
      <c r="K258" s="157">
        <v>2</v>
      </c>
      <c r="L258" s="152"/>
      <c r="M258" s="149" t="s">
        <v>21522</v>
      </c>
      <c r="N258" s="157">
        <v>2</v>
      </c>
      <c r="O258" s="156" t="s">
        <v>40</v>
      </c>
      <c r="P258" s="149" t="s">
        <v>21525</v>
      </c>
      <c r="Q258" s="157">
        <v>2</v>
      </c>
      <c r="R258" s="156" t="s">
        <v>40</v>
      </c>
      <c r="S258" s="149" t="s">
        <v>47</v>
      </c>
      <c r="T258" s="153"/>
      <c r="U258" s="152"/>
      <c r="V258" s="149" t="s">
        <v>47</v>
      </c>
      <c r="W258" s="153"/>
      <c r="X258" s="152"/>
      <c r="Y258" s="149" t="s">
        <v>47</v>
      </c>
      <c r="Z258" s="153"/>
      <c r="AA258" s="152"/>
      <c r="AB258" s="154" t="s">
        <v>1920</v>
      </c>
    </row>
    <row r="259" spans="1:28" x14ac:dyDescent="0.2">
      <c r="A259" s="146" t="s">
        <v>6688</v>
      </c>
      <c r="B259" s="147" t="s">
        <v>6314</v>
      </c>
      <c r="C259" s="147" t="s">
        <v>6689</v>
      </c>
      <c r="D259" s="148" t="s">
        <v>6170</v>
      </c>
      <c r="E259" s="149" t="s">
        <v>3965</v>
      </c>
      <c r="F259" s="159">
        <v>3</v>
      </c>
      <c r="G259" s="149" t="s">
        <v>6690</v>
      </c>
      <c r="H259" s="151">
        <v>4</v>
      </c>
      <c r="I259" s="156" t="s">
        <v>55</v>
      </c>
      <c r="J259" s="149" t="s">
        <v>6367</v>
      </c>
      <c r="K259" s="158">
        <v>3</v>
      </c>
      <c r="L259" s="156" t="s">
        <v>46</v>
      </c>
      <c r="M259" s="149" t="s">
        <v>3965</v>
      </c>
      <c r="N259" s="158">
        <v>3</v>
      </c>
      <c r="O259" s="156" t="s">
        <v>46</v>
      </c>
      <c r="P259" s="149" t="s">
        <v>699</v>
      </c>
      <c r="Q259" s="158">
        <v>3</v>
      </c>
      <c r="R259" s="152"/>
      <c r="S259" s="149" t="s">
        <v>6691</v>
      </c>
      <c r="T259" s="151">
        <v>4</v>
      </c>
      <c r="U259" s="152"/>
      <c r="V259" s="149" t="s">
        <v>735</v>
      </c>
      <c r="W259" s="151">
        <v>4</v>
      </c>
      <c r="X259" s="152"/>
      <c r="Y259" s="149" t="s">
        <v>6692</v>
      </c>
      <c r="Z259" s="151">
        <v>4</v>
      </c>
      <c r="AA259" s="152"/>
      <c r="AB259" s="154" t="s">
        <v>1873</v>
      </c>
    </row>
    <row r="260" spans="1:28" x14ac:dyDescent="0.2">
      <c r="A260" s="146" t="s">
        <v>6693</v>
      </c>
      <c r="B260" s="147" t="s">
        <v>6314</v>
      </c>
      <c r="C260" s="147" t="s">
        <v>6236</v>
      </c>
      <c r="D260" s="148" t="s">
        <v>6132</v>
      </c>
      <c r="E260" s="149" t="s">
        <v>21526</v>
      </c>
      <c r="F260" s="160">
        <v>2</v>
      </c>
      <c r="G260" s="149" t="s">
        <v>21527</v>
      </c>
      <c r="H260" s="155">
        <v>1</v>
      </c>
      <c r="I260" s="156" t="s">
        <v>40</v>
      </c>
      <c r="J260" s="149" t="s">
        <v>21528</v>
      </c>
      <c r="K260" s="157">
        <v>2</v>
      </c>
      <c r="L260" s="152"/>
      <c r="M260" s="149" t="s">
        <v>21526</v>
      </c>
      <c r="N260" s="157">
        <v>2</v>
      </c>
      <c r="O260" s="156" t="s">
        <v>40</v>
      </c>
      <c r="P260" s="149" t="s">
        <v>9447</v>
      </c>
      <c r="Q260" s="157">
        <v>2</v>
      </c>
      <c r="R260" s="156" t="s">
        <v>40</v>
      </c>
      <c r="S260" s="149" t="s">
        <v>21529</v>
      </c>
      <c r="T260" s="157">
        <v>2</v>
      </c>
      <c r="U260" s="152"/>
      <c r="V260" s="149" t="s">
        <v>21530</v>
      </c>
      <c r="W260" s="158">
        <v>3</v>
      </c>
      <c r="X260" s="152"/>
      <c r="Y260" s="149" t="s">
        <v>21531</v>
      </c>
      <c r="Z260" s="151">
        <v>4</v>
      </c>
      <c r="AA260" s="152"/>
      <c r="AB260" s="154" t="s">
        <v>1902</v>
      </c>
    </row>
    <row r="261" spans="1:28" x14ac:dyDescent="0.2">
      <c r="A261" s="146" t="s">
        <v>6694</v>
      </c>
      <c r="B261" s="147" t="s">
        <v>6314</v>
      </c>
      <c r="C261" s="147" t="s">
        <v>6695</v>
      </c>
      <c r="D261" s="148" t="s">
        <v>6170</v>
      </c>
      <c r="E261" s="149" t="s">
        <v>3846</v>
      </c>
      <c r="F261" s="160">
        <v>2</v>
      </c>
      <c r="G261" s="149" t="s">
        <v>2852</v>
      </c>
      <c r="H261" s="158">
        <v>3</v>
      </c>
      <c r="I261" s="156" t="s">
        <v>40</v>
      </c>
      <c r="J261" s="149" t="s">
        <v>2688</v>
      </c>
      <c r="K261" s="151">
        <v>4</v>
      </c>
      <c r="L261" s="156" t="s">
        <v>46</v>
      </c>
      <c r="M261" s="149" t="s">
        <v>3846</v>
      </c>
      <c r="N261" s="157">
        <v>2</v>
      </c>
      <c r="O261" s="152"/>
      <c r="P261" s="149" t="s">
        <v>8317</v>
      </c>
      <c r="Q261" s="155">
        <v>1</v>
      </c>
      <c r="R261" s="156" t="s">
        <v>40</v>
      </c>
      <c r="S261" s="149" t="s">
        <v>21532</v>
      </c>
      <c r="T261" s="151">
        <v>4</v>
      </c>
      <c r="U261" s="152"/>
      <c r="V261" s="149" t="s">
        <v>21533</v>
      </c>
      <c r="W261" s="158">
        <v>3</v>
      </c>
      <c r="X261" s="156" t="s">
        <v>40</v>
      </c>
      <c r="Y261" s="149" t="s">
        <v>47</v>
      </c>
      <c r="Z261" s="153"/>
      <c r="AA261" s="152"/>
      <c r="AB261" s="154" t="s">
        <v>1938</v>
      </c>
    </row>
    <row r="262" spans="1:28" x14ac:dyDescent="0.2">
      <c r="A262" s="146" t="s">
        <v>6696</v>
      </c>
      <c r="B262" s="147" t="s">
        <v>6314</v>
      </c>
      <c r="C262" s="147" t="s">
        <v>6159</v>
      </c>
      <c r="D262" s="148" t="s">
        <v>6170</v>
      </c>
      <c r="E262" s="149" t="s">
        <v>21534</v>
      </c>
      <c r="F262" s="150">
        <v>4</v>
      </c>
      <c r="G262" s="149" t="s">
        <v>21535</v>
      </c>
      <c r="H262" s="151">
        <v>4</v>
      </c>
      <c r="I262" s="156" t="s">
        <v>55</v>
      </c>
      <c r="J262" s="149" t="s">
        <v>21536</v>
      </c>
      <c r="K262" s="151">
        <v>4</v>
      </c>
      <c r="L262" s="156" t="s">
        <v>46</v>
      </c>
      <c r="M262" s="149" t="s">
        <v>21534</v>
      </c>
      <c r="N262" s="151">
        <v>4</v>
      </c>
      <c r="O262" s="152"/>
      <c r="P262" s="149" t="s">
        <v>21537</v>
      </c>
      <c r="Q262" s="151">
        <v>4</v>
      </c>
      <c r="R262" s="152"/>
      <c r="S262" s="149" t="s">
        <v>21538</v>
      </c>
      <c r="T262" s="151">
        <v>4</v>
      </c>
      <c r="U262" s="152"/>
      <c r="V262" s="149" t="s">
        <v>47</v>
      </c>
      <c r="W262" s="153"/>
      <c r="X262" s="152"/>
      <c r="Y262" s="149" t="s">
        <v>47</v>
      </c>
      <c r="Z262" s="153"/>
      <c r="AA262" s="152"/>
      <c r="AB262" s="154" t="s">
        <v>1974</v>
      </c>
    </row>
    <row r="263" spans="1:28" x14ac:dyDescent="0.2">
      <c r="A263" s="146" t="s">
        <v>6697</v>
      </c>
      <c r="B263" s="147" t="s">
        <v>6314</v>
      </c>
      <c r="C263" s="147" t="s">
        <v>6159</v>
      </c>
      <c r="D263" s="148" t="s">
        <v>6136</v>
      </c>
      <c r="E263" s="149" t="s">
        <v>21539</v>
      </c>
      <c r="F263" s="159">
        <v>3</v>
      </c>
      <c r="G263" s="149" t="s">
        <v>21540</v>
      </c>
      <c r="H263" s="151">
        <v>4</v>
      </c>
      <c r="I263" s="156" t="s">
        <v>55</v>
      </c>
      <c r="J263" s="149" t="s">
        <v>21541</v>
      </c>
      <c r="K263" s="158">
        <v>3</v>
      </c>
      <c r="L263" s="156" t="s">
        <v>46</v>
      </c>
      <c r="M263" s="149" t="s">
        <v>21539</v>
      </c>
      <c r="N263" s="158">
        <v>3</v>
      </c>
      <c r="O263" s="152"/>
      <c r="P263" s="149" t="s">
        <v>21542</v>
      </c>
      <c r="Q263" s="151">
        <v>4</v>
      </c>
      <c r="R263" s="152"/>
      <c r="S263" s="149" t="s">
        <v>21543</v>
      </c>
      <c r="T263" s="157">
        <v>2</v>
      </c>
      <c r="U263" s="156" t="s">
        <v>46</v>
      </c>
      <c r="V263" s="149" t="s">
        <v>6698</v>
      </c>
      <c r="W263" s="155">
        <v>1</v>
      </c>
      <c r="X263" s="152"/>
      <c r="Y263" s="149" t="s">
        <v>47</v>
      </c>
      <c r="Z263" s="153"/>
      <c r="AA263" s="152"/>
      <c r="AB263" s="154" t="s">
        <v>1999</v>
      </c>
    </row>
    <row r="264" spans="1:28" x14ac:dyDescent="0.2">
      <c r="A264" s="146" t="s">
        <v>6699</v>
      </c>
      <c r="B264" s="147" t="s">
        <v>6314</v>
      </c>
      <c r="C264" s="147" t="s">
        <v>6159</v>
      </c>
      <c r="D264" s="148" t="s">
        <v>6136</v>
      </c>
      <c r="E264" s="149" t="s">
        <v>21544</v>
      </c>
      <c r="F264" s="159">
        <v>3</v>
      </c>
      <c r="G264" s="149" t="s">
        <v>21545</v>
      </c>
      <c r="H264" s="158">
        <v>3</v>
      </c>
      <c r="I264" s="156" t="s">
        <v>40</v>
      </c>
      <c r="J264" s="149" t="s">
        <v>21546</v>
      </c>
      <c r="K264" s="158">
        <v>3</v>
      </c>
      <c r="L264" s="152"/>
      <c r="M264" s="149" t="s">
        <v>21544</v>
      </c>
      <c r="N264" s="158">
        <v>3</v>
      </c>
      <c r="O264" s="152"/>
      <c r="P264" s="149" t="s">
        <v>21547</v>
      </c>
      <c r="Q264" s="158">
        <v>3</v>
      </c>
      <c r="R264" s="152"/>
      <c r="S264" s="149" t="s">
        <v>21548</v>
      </c>
      <c r="T264" s="157">
        <v>2</v>
      </c>
      <c r="U264" s="152"/>
      <c r="V264" s="149" t="s">
        <v>21549</v>
      </c>
      <c r="W264" s="157">
        <v>2</v>
      </c>
      <c r="X264" s="156" t="s">
        <v>40</v>
      </c>
      <c r="Y264" s="149" t="s">
        <v>47</v>
      </c>
      <c r="Z264" s="153"/>
      <c r="AA264" s="152"/>
      <c r="AB264" s="154" t="s">
        <v>2034</v>
      </c>
    </row>
    <row r="265" spans="1:28" x14ac:dyDescent="0.2">
      <c r="A265" s="146" t="s">
        <v>21550</v>
      </c>
      <c r="B265" s="147" t="s">
        <v>6130</v>
      </c>
      <c r="C265" s="147" t="s">
        <v>6203</v>
      </c>
      <c r="D265" s="148" t="s">
        <v>6160</v>
      </c>
      <c r="E265" s="149" t="s">
        <v>21551</v>
      </c>
      <c r="F265" s="159">
        <v>3</v>
      </c>
      <c r="G265" s="149" t="s">
        <v>21552</v>
      </c>
      <c r="H265" s="157">
        <v>2</v>
      </c>
      <c r="I265" s="152"/>
      <c r="J265" s="149" t="s">
        <v>21553</v>
      </c>
      <c r="K265" s="157">
        <v>2</v>
      </c>
      <c r="L265" s="156" t="s">
        <v>40</v>
      </c>
      <c r="M265" s="149" t="s">
        <v>21551</v>
      </c>
      <c r="N265" s="158">
        <v>3</v>
      </c>
      <c r="O265" s="156" t="s">
        <v>40</v>
      </c>
      <c r="P265" s="149" t="s">
        <v>21554</v>
      </c>
      <c r="Q265" s="158">
        <v>3</v>
      </c>
      <c r="R265" s="152"/>
      <c r="S265" s="149" t="s">
        <v>21555</v>
      </c>
      <c r="T265" s="158">
        <v>3</v>
      </c>
      <c r="U265" s="156" t="s">
        <v>40</v>
      </c>
      <c r="V265" s="149" t="s">
        <v>21556</v>
      </c>
      <c r="W265" s="158">
        <v>3</v>
      </c>
      <c r="X265" s="152"/>
      <c r="Y265" s="149" t="s">
        <v>47</v>
      </c>
      <c r="Z265" s="153"/>
      <c r="AA265" s="152"/>
      <c r="AB265" s="154" t="s">
        <v>2053</v>
      </c>
    </row>
    <row r="266" spans="1:28" x14ac:dyDescent="0.2">
      <c r="A266" s="146" t="s">
        <v>6700</v>
      </c>
      <c r="B266" s="147" t="s">
        <v>6130</v>
      </c>
      <c r="C266" s="147" t="s">
        <v>6203</v>
      </c>
      <c r="D266" s="148"/>
      <c r="E266" s="149" t="s">
        <v>21557</v>
      </c>
      <c r="F266" s="160">
        <v>2</v>
      </c>
      <c r="G266" s="149" t="s">
        <v>21558</v>
      </c>
      <c r="H266" s="151">
        <v>4</v>
      </c>
      <c r="I266" s="156" t="s">
        <v>44</v>
      </c>
      <c r="J266" s="149" t="s">
        <v>21559</v>
      </c>
      <c r="K266" s="157">
        <v>2</v>
      </c>
      <c r="L266" s="156" t="s">
        <v>46</v>
      </c>
      <c r="M266" s="149" t="s">
        <v>21557</v>
      </c>
      <c r="N266" s="157">
        <v>2</v>
      </c>
      <c r="O266" s="156" t="s">
        <v>46</v>
      </c>
      <c r="P266" s="149" t="s">
        <v>21560</v>
      </c>
      <c r="Q266" s="158">
        <v>3</v>
      </c>
      <c r="R266" s="156" t="s">
        <v>46</v>
      </c>
      <c r="S266" s="149" t="s">
        <v>47</v>
      </c>
      <c r="T266" s="153"/>
      <c r="U266" s="152"/>
      <c r="V266" s="149" t="s">
        <v>47</v>
      </c>
      <c r="W266" s="153"/>
      <c r="X266" s="152"/>
      <c r="Y266" s="149" t="s">
        <v>47</v>
      </c>
      <c r="Z266" s="153"/>
      <c r="AA266" s="152"/>
      <c r="AB266" s="154" t="s">
        <v>2063</v>
      </c>
    </row>
    <row r="267" spans="1:28" x14ac:dyDescent="0.2">
      <c r="A267" s="146" t="s">
        <v>6701</v>
      </c>
      <c r="B267" s="147" t="s">
        <v>6130</v>
      </c>
      <c r="C267" s="147" t="s">
        <v>6221</v>
      </c>
      <c r="D267" s="148" t="s">
        <v>6160</v>
      </c>
      <c r="E267" s="149" t="s">
        <v>6702</v>
      </c>
      <c r="F267" s="159">
        <v>3</v>
      </c>
      <c r="G267" s="149" t="s">
        <v>21561</v>
      </c>
      <c r="H267" s="157">
        <v>2</v>
      </c>
      <c r="I267" s="156" t="s">
        <v>40</v>
      </c>
      <c r="J267" s="149" t="s">
        <v>9620</v>
      </c>
      <c r="K267" s="157">
        <v>2</v>
      </c>
      <c r="L267" s="156" t="s">
        <v>40</v>
      </c>
      <c r="M267" s="149" t="s">
        <v>6702</v>
      </c>
      <c r="N267" s="158">
        <v>3</v>
      </c>
      <c r="O267" s="152"/>
      <c r="P267" s="149" t="s">
        <v>21562</v>
      </c>
      <c r="Q267" s="158">
        <v>3</v>
      </c>
      <c r="R267" s="156" t="s">
        <v>40</v>
      </c>
      <c r="S267" s="149" t="s">
        <v>21563</v>
      </c>
      <c r="T267" s="158">
        <v>3</v>
      </c>
      <c r="U267" s="152"/>
      <c r="V267" s="149" t="s">
        <v>2382</v>
      </c>
      <c r="W267" s="157">
        <v>2</v>
      </c>
      <c r="X267" s="156" t="s">
        <v>40</v>
      </c>
      <c r="Y267" s="149" t="s">
        <v>405</v>
      </c>
      <c r="Z267" s="158">
        <v>3</v>
      </c>
      <c r="AA267" s="152"/>
      <c r="AB267" s="154" t="s">
        <v>2076</v>
      </c>
    </row>
    <row r="268" spans="1:28" x14ac:dyDescent="0.2">
      <c r="A268" s="146" t="s">
        <v>6703</v>
      </c>
      <c r="B268" s="147" t="s">
        <v>6130</v>
      </c>
      <c r="C268" s="147" t="s">
        <v>6206</v>
      </c>
      <c r="D268" s="148" t="s">
        <v>6160</v>
      </c>
      <c r="E268" s="149" t="s">
        <v>21564</v>
      </c>
      <c r="F268" s="159">
        <v>3</v>
      </c>
      <c r="G268" s="149" t="s">
        <v>21565</v>
      </c>
      <c r="H268" s="157">
        <v>2</v>
      </c>
      <c r="I268" s="152"/>
      <c r="J268" s="149" t="s">
        <v>21566</v>
      </c>
      <c r="K268" s="158">
        <v>3</v>
      </c>
      <c r="L268" s="156" t="s">
        <v>46</v>
      </c>
      <c r="M268" s="149" t="s">
        <v>21564</v>
      </c>
      <c r="N268" s="158">
        <v>3</v>
      </c>
      <c r="O268" s="152"/>
      <c r="P268" s="149" t="s">
        <v>21567</v>
      </c>
      <c r="Q268" s="158">
        <v>3</v>
      </c>
      <c r="R268" s="156" t="s">
        <v>40</v>
      </c>
      <c r="S268" s="149" t="s">
        <v>21568</v>
      </c>
      <c r="T268" s="158">
        <v>3</v>
      </c>
      <c r="U268" s="152"/>
      <c r="V268" s="149" t="s">
        <v>21569</v>
      </c>
      <c r="W268" s="158">
        <v>3</v>
      </c>
      <c r="X268" s="152"/>
      <c r="Y268" s="149" t="s">
        <v>47</v>
      </c>
      <c r="Z268" s="153"/>
      <c r="AA268" s="152"/>
      <c r="AB268" s="154" t="s">
        <v>2120</v>
      </c>
    </row>
    <row r="269" spans="1:28" x14ac:dyDescent="0.2">
      <c r="A269" s="146" t="s">
        <v>6704</v>
      </c>
      <c r="B269" s="147" t="s">
        <v>6130</v>
      </c>
      <c r="C269" s="147" t="s">
        <v>6206</v>
      </c>
      <c r="D269" s="148" t="s">
        <v>6163</v>
      </c>
      <c r="E269" s="149" t="s">
        <v>21570</v>
      </c>
      <c r="F269" s="160">
        <v>2</v>
      </c>
      <c r="G269" s="149" t="s">
        <v>21571</v>
      </c>
      <c r="H269" s="151">
        <v>4</v>
      </c>
      <c r="I269" s="156" t="s">
        <v>44</v>
      </c>
      <c r="J269" s="149" t="s">
        <v>21572</v>
      </c>
      <c r="K269" s="157">
        <v>2</v>
      </c>
      <c r="L269" s="156" t="s">
        <v>40</v>
      </c>
      <c r="M269" s="149" t="s">
        <v>21570</v>
      </c>
      <c r="N269" s="157">
        <v>2</v>
      </c>
      <c r="O269" s="156" t="s">
        <v>40</v>
      </c>
      <c r="P269" s="149" t="s">
        <v>21573</v>
      </c>
      <c r="Q269" s="158">
        <v>3</v>
      </c>
      <c r="R269" s="156" t="s">
        <v>46</v>
      </c>
      <c r="S269" s="149" t="s">
        <v>21574</v>
      </c>
      <c r="T269" s="155">
        <v>1</v>
      </c>
      <c r="U269" s="152"/>
      <c r="V269" s="149" t="s">
        <v>21575</v>
      </c>
      <c r="W269" s="157">
        <v>2</v>
      </c>
      <c r="X269" s="152"/>
      <c r="Y269" s="149" t="s">
        <v>47</v>
      </c>
      <c r="Z269" s="153"/>
      <c r="AA269" s="152"/>
      <c r="AB269" s="154" t="s">
        <v>2149</v>
      </c>
    </row>
    <row r="270" spans="1:28" x14ac:dyDescent="0.2">
      <c r="A270" s="146" t="s">
        <v>6705</v>
      </c>
      <c r="B270" s="147" t="s">
        <v>6130</v>
      </c>
      <c r="C270" s="147" t="s">
        <v>6416</v>
      </c>
      <c r="D270" s="148" t="s">
        <v>6170</v>
      </c>
      <c r="E270" s="149" t="s">
        <v>21576</v>
      </c>
      <c r="F270" s="159">
        <v>3</v>
      </c>
      <c r="G270" s="149" t="s">
        <v>21577</v>
      </c>
      <c r="H270" s="151">
        <v>4</v>
      </c>
      <c r="I270" s="156" t="s">
        <v>46</v>
      </c>
      <c r="J270" s="149" t="s">
        <v>21578</v>
      </c>
      <c r="K270" s="158">
        <v>3</v>
      </c>
      <c r="L270" s="152"/>
      <c r="M270" s="149" t="s">
        <v>21576</v>
      </c>
      <c r="N270" s="158">
        <v>3</v>
      </c>
      <c r="O270" s="152"/>
      <c r="P270" s="149" t="s">
        <v>6706</v>
      </c>
      <c r="Q270" s="158">
        <v>3</v>
      </c>
      <c r="R270" s="156" t="s">
        <v>40</v>
      </c>
      <c r="S270" s="149" t="s">
        <v>21579</v>
      </c>
      <c r="T270" s="151">
        <v>4</v>
      </c>
      <c r="U270" s="152"/>
      <c r="V270" s="149" t="s">
        <v>21580</v>
      </c>
      <c r="W270" s="151">
        <v>4</v>
      </c>
      <c r="X270" s="152"/>
      <c r="Y270" s="149" t="s">
        <v>21581</v>
      </c>
      <c r="Z270" s="151">
        <v>4</v>
      </c>
      <c r="AA270" s="152"/>
      <c r="AB270" s="154" t="s">
        <v>2164</v>
      </c>
    </row>
    <row r="271" spans="1:28" x14ac:dyDescent="0.2">
      <c r="A271" s="146" t="s">
        <v>6707</v>
      </c>
      <c r="B271" s="147" t="s">
        <v>6314</v>
      </c>
      <c r="C271" s="147" t="s">
        <v>6157</v>
      </c>
      <c r="D271" s="148" t="s">
        <v>6160</v>
      </c>
      <c r="E271" s="149" t="s">
        <v>21582</v>
      </c>
      <c r="F271" s="150">
        <v>4</v>
      </c>
      <c r="G271" s="149" t="s">
        <v>21583</v>
      </c>
      <c r="H271" s="151">
        <v>4</v>
      </c>
      <c r="I271" s="152"/>
      <c r="J271" s="149" t="s">
        <v>21584</v>
      </c>
      <c r="K271" s="151">
        <v>4</v>
      </c>
      <c r="L271" s="152"/>
      <c r="M271" s="149" t="s">
        <v>21582</v>
      </c>
      <c r="N271" s="151">
        <v>4</v>
      </c>
      <c r="O271" s="152"/>
      <c r="P271" s="149" t="s">
        <v>21585</v>
      </c>
      <c r="Q271" s="151">
        <v>4</v>
      </c>
      <c r="R271" s="152"/>
      <c r="S271" s="149" t="s">
        <v>21586</v>
      </c>
      <c r="T271" s="158">
        <v>3</v>
      </c>
      <c r="U271" s="152"/>
      <c r="V271" s="149" t="s">
        <v>21587</v>
      </c>
      <c r="W271" s="151">
        <v>4</v>
      </c>
      <c r="X271" s="152"/>
      <c r="Y271" s="149" t="s">
        <v>47</v>
      </c>
      <c r="Z271" s="153"/>
      <c r="AA271" s="152"/>
      <c r="AB271" s="154" t="s">
        <v>2202</v>
      </c>
    </row>
    <row r="272" spans="1:28" x14ac:dyDescent="0.2">
      <c r="A272" s="146" t="s">
        <v>6708</v>
      </c>
      <c r="B272" s="147" t="s">
        <v>6314</v>
      </c>
      <c r="C272" s="147" t="s">
        <v>6157</v>
      </c>
      <c r="D272" s="148" t="s">
        <v>6132</v>
      </c>
      <c r="E272" s="149" t="s">
        <v>21588</v>
      </c>
      <c r="F272" s="159">
        <v>3</v>
      </c>
      <c r="G272" s="149" t="s">
        <v>21589</v>
      </c>
      <c r="H272" s="151">
        <v>4</v>
      </c>
      <c r="I272" s="156" t="s">
        <v>55</v>
      </c>
      <c r="J272" s="149" t="s">
        <v>21590</v>
      </c>
      <c r="K272" s="151">
        <v>4</v>
      </c>
      <c r="L272" s="156" t="s">
        <v>46</v>
      </c>
      <c r="M272" s="149" t="s">
        <v>21588</v>
      </c>
      <c r="N272" s="158">
        <v>3</v>
      </c>
      <c r="O272" s="156" t="s">
        <v>46</v>
      </c>
      <c r="P272" s="149" t="s">
        <v>21591</v>
      </c>
      <c r="Q272" s="158">
        <v>3</v>
      </c>
      <c r="R272" s="156" t="s">
        <v>46</v>
      </c>
      <c r="S272" s="149" t="s">
        <v>21592</v>
      </c>
      <c r="T272" s="157">
        <v>2</v>
      </c>
      <c r="U272" s="152"/>
      <c r="V272" s="149" t="s">
        <v>47</v>
      </c>
      <c r="W272" s="153"/>
      <c r="X272" s="152"/>
      <c r="Y272" s="149" t="s">
        <v>47</v>
      </c>
      <c r="Z272" s="153"/>
      <c r="AA272" s="152"/>
      <c r="AB272" s="154" t="s">
        <v>2253</v>
      </c>
    </row>
    <row r="273" spans="1:28" x14ac:dyDescent="0.2">
      <c r="A273" s="146" t="s">
        <v>6709</v>
      </c>
      <c r="B273" s="147" t="s">
        <v>6314</v>
      </c>
      <c r="C273" s="147" t="s">
        <v>6157</v>
      </c>
      <c r="D273" s="148" t="s">
        <v>6132</v>
      </c>
      <c r="E273" s="149" t="s">
        <v>21593</v>
      </c>
      <c r="F273" s="150">
        <v>4</v>
      </c>
      <c r="G273" s="149" t="s">
        <v>21594</v>
      </c>
      <c r="H273" s="151">
        <v>4</v>
      </c>
      <c r="I273" s="156" t="s">
        <v>46</v>
      </c>
      <c r="J273" s="149" t="s">
        <v>21595</v>
      </c>
      <c r="K273" s="151">
        <v>4</v>
      </c>
      <c r="L273" s="156" t="s">
        <v>46</v>
      </c>
      <c r="M273" s="149" t="s">
        <v>21593</v>
      </c>
      <c r="N273" s="151">
        <v>4</v>
      </c>
      <c r="O273" s="156" t="s">
        <v>46</v>
      </c>
      <c r="P273" s="149" t="s">
        <v>21596</v>
      </c>
      <c r="Q273" s="151">
        <v>4</v>
      </c>
      <c r="R273" s="156" t="s">
        <v>46</v>
      </c>
      <c r="S273" s="149" t="s">
        <v>21597</v>
      </c>
      <c r="T273" s="155">
        <v>1</v>
      </c>
      <c r="U273" s="152"/>
      <c r="V273" s="149" t="s">
        <v>47</v>
      </c>
      <c r="W273" s="153"/>
      <c r="X273" s="152"/>
      <c r="Y273" s="149" t="s">
        <v>47</v>
      </c>
      <c r="Z273" s="153"/>
      <c r="AA273" s="152"/>
      <c r="AB273" s="154" t="s">
        <v>2283</v>
      </c>
    </row>
    <row r="274" spans="1:28" x14ac:dyDescent="0.2">
      <c r="A274" s="146" t="s">
        <v>6710</v>
      </c>
      <c r="B274" s="147" t="s">
        <v>6314</v>
      </c>
      <c r="C274" s="147" t="s">
        <v>6711</v>
      </c>
      <c r="D274" s="148"/>
      <c r="E274" s="149" t="s">
        <v>21598</v>
      </c>
      <c r="F274" s="150">
        <v>4</v>
      </c>
      <c r="G274" s="149" t="s">
        <v>21599</v>
      </c>
      <c r="H274" s="151">
        <v>4</v>
      </c>
      <c r="I274" s="152"/>
      <c r="J274" s="149" t="s">
        <v>21600</v>
      </c>
      <c r="K274" s="151">
        <v>4</v>
      </c>
      <c r="L274" s="152"/>
      <c r="M274" s="149" t="s">
        <v>21598</v>
      </c>
      <c r="N274" s="151">
        <v>4</v>
      </c>
      <c r="O274" s="152"/>
      <c r="P274" s="149" t="s">
        <v>21601</v>
      </c>
      <c r="Q274" s="151">
        <v>4</v>
      </c>
      <c r="R274" s="152"/>
      <c r="S274" s="149" t="s">
        <v>47</v>
      </c>
      <c r="T274" s="153"/>
      <c r="U274" s="152"/>
      <c r="V274" s="149" t="s">
        <v>47</v>
      </c>
      <c r="W274" s="153"/>
      <c r="X274" s="152"/>
      <c r="Y274" s="149" t="s">
        <v>47</v>
      </c>
      <c r="Z274" s="153"/>
      <c r="AA274" s="152"/>
      <c r="AB274" s="154" t="s">
        <v>2300</v>
      </c>
    </row>
    <row r="275" spans="1:28" x14ac:dyDescent="0.2">
      <c r="A275" s="146" t="s">
        <v>6712</v>
      </c>
      <c r="B275" s="147" t="s">
        <v>6314</v>
      </c>
      <c r="C275" s="147" t="s">
        <v>6713</v>
      </c>
      <c r="D275" s="148" t="s">
        <v>6170</v>
      </c>
      <c r="E275" s="149" t="s">
        <v>21508</v>
      </c>
      <c r="F275" s="150">
        <v>4</v>
      </c>
      <c r="G275" s="149" t="s">
        <v>21602</v>
      </c>
      <c r="H275" s="158">
        <v>3</v>
      </c>
      <c r="I275" s="156" t="s">
        <v>40</v>
      </c>
      <c r="J275" s="149" t="s">
        <v>6714</v>
      </c>
      <c r="K275" s="151">
        <v>4</v>
      </c>
      <c r="L275" s="152"/>
      <c r="M275" s="149" t="s">
        <v>21508</v>
      </c>
      <c r="N275" s="151">
        <v>4</v>
      </c>
      <c r="O275" s="152"/>
      <c r="P275" s="149" t="s">
        <v>6463</v>
      </c>
      <c r="Q275" s="151">
        <v>4</v>
      </c>
      <c r="R275" s="152"/>
      <c r="S275" s="149" t="s">
        <v>21603</v>
      </c>
      <c r="T275" s="151">
        <v>4</v>
      </c>
      <c r="U275" s="152"/>
      <c r="V275" s="149" t="s">
        <v>21604</v>
      </c>
      <c r="W275" s="158">
        <v>3</v>
      </c>
      <c r="X275" s="152"/>
      <c r="Y275" s="149" t="s">
        <v>405</v>
      </c>
      <c r="Z275" s="158">
        <v>3</v>
      </c>
      <c r="AA275" s="152"/>
      <c r="AB275" s="154" t="s">
        <v>2315</v>
      </c>
    </row>
    <row r="276" spans="1:28" x14ac:dyDescent="0.2">
      <c r="A276" s="146" t="s">
        <v>6715</v>
      </c>
      <c r="B276" s="147" t="s">
        <v>6314</v>
      </c>
      <c r="C276" s="147" t="s">
        <v>6448</v>
      </c>
      <c r="D276" s="148" t="s">
        <v>6136</v>
      </c>
      <c r="E276" s="149" t="s">
        <v>21605</v>
      </c>
      <c r="F276" s="161">
        <v>1</v>
      </c>
      <c r="G276" s="149" t="s">
        <v>6716</v>
      </c>
      <c r="H276" s="151">
        <v>4</v>
      </c>
      <c r="I276" s="156" t="s">
        <v>46</v>
      </c>
      <c r="J276" s="149" t="s">
        <v>11660</v>
      </c>
      <c r="K276" s="155">
        <v>1</v>
      </c>
      <c r="L276" s="152"/>
      <c r="M276" s="149" t="s">
        <v>21605</v>
      </c>
      <c r="N276" s="155">
        <v>1</v>
      </c>
      <c r="O276" s="152"/>
      <c r="P276" s="149" t="s">
        <v>15061</v>
      </c>
      <c r="Q276" s="155">
        <v>1</v>
      </c>
      <c r="R276" s="152"/>
      <c r="S276" s="149" t="s">
        <v>21606</v>
      </c>
      <c r="T276" s="157">
        <v>2</v>
      </c>
      <c r="U276" s="152"/>
      <c r="V276" s="149" t="s">
        <v>21607</v>
      </c>
      <c r="W276" s="157">
        <v>2</v>
      </c>
      <c r="X276" s="152"/>
      <c r="Y276" s="149" t="s">
        <v>47</v>
      </c>
      <c r="Z276" s="153"/>
      <c r="AA276" s="152"/>
      <c r="AB276" s="154" t="s">
        <v>2349</v>
      </c>
    </row>
    <row r="277" spans="1:28" x14ac:dyDescent="0.2">
      <c r="A277" s="146" t="s">
        <v>6717</v>
      </c>
      <c r="B277" s="147" t="s">
        <v>6718</v>
      </c>
      <c r="C277" s="147" t="s">
        <v>6342</v>
      </c>
      <c r="D277" s="148" t="s">
        <v>6132</v>
      </c>
      <c r="E277" s="149" t="s">
        <v>21608</v>
      </c>
      <c r="F277" s="160">
        <v>2</v>
      </c>
      <c r="G277" s="149" t="s">
        <v>21609</v>
      </c>
      <c r="H277" s="155">
        <v>1</v>
      </c>
      <c r="I277" s="156" t="s">
        <v>53</v>
      </c>
      <c r="J277" s="149" t="s">
        <v>21610</v>
      </c>
      <c r="K277" s="157">
        <v>2</v>
      </c>
      <c r="L277" s="156" t="s">
        <v>40</v>
      </c>
      <c r="M277" s="149" t="s">
        <v>21608</v>
      </c>
      <c r="N277" s="157">
        <v>2</v>
      </c>
      <c r="O277" s="152"/>
      <c r="P277" s="149" t="s">
        <v>21611</v>
      </c>
      <c r="Q277" s="155">
        <v>1</v>
      </c>
      <c r="R277" s="152"/>
      <c r="S277" s="149" t="s">
        <v>21612</v>
      </c>
      <c r="T277" s="157">
        <v>2</v>
      </c>
      <c r="U277" s="152"/>
      <c r="V277" s="149" t="s">
        <v>21613</v>
      </c>
      <c r="W277" s="158">
        <v>3</v>
      </c>
      <c r="X277" s="152"/>
      <c r="Y277" s="149" t="s">
        <v>21614</v>
      </c>
      <c r="Z277" s="155">
        <v>1</v>
      </c>
      <c r="AA277" s="152"/>
      <c r="AB277" s="154" t="s">
        <v>2378</v>
      </c>
    </row>
    <row r="278" spans="1:28" x14ac:dyDescent="0.2">
      <c r="A278" s="146" t="s">
        <v>6719</v>
      </c>
      <c r="B278" s="147" t="s">
        <v>6718</v>
      </c>
      <c r="C278" s="147" t="s">
        <v>6342</v>
      </c>
      <c r="D278" s="148" t="s">
        <v>6163</v>
      </c>
      <c r="E278" s="149" t="s">
        <v>21615</v>
      </c>
      <c r="F278" s="160">
        <v>2</v>
      </c>
      <c r="G278" s="149" t="s">
        <v>21616</v>
      </c>
      <c r="H278" s="151">
        <v>4</v>
      </c>
      <c r="I278" s="156" t="s">
        <v>55</v>
      </c>
      <c r="J278" s="149" t="s">
        <v>21617</v>
      </c>
      <c r="K278" s="157">
        <v>2</v>
      </c>
      <c r="L278" s="152"/>
      <c r="M278" s="149" t="s">
        <v>21615</v>
      </c>
      <c r="N278" s="157">
        <v>2</v>
      </c>
      <c r="O278" s="152"/>
      <c r="P278" s="149" t="s">
        <v>12150</v>
      </c>
      <c r="Q278" s="157">
        <v>2</v>
      </c>
      <c r="R278" s="156" t="s">
        <v>46</v>
      </c>
      <c r="S278" s="149" t="s">
        <v>21618</v>
      </c>
      <c r="T278" s="155">
        <v>1</v>
      </c>
      <c r="U278" s="152"/>
      <c r="V278" s="149" t="s">
        <v>21619</v>
      </c>
      <c r="W278" s="158">
        <v>3</v>
      </c>
      <c r="X278" s="152"/>
      <c r="Y278" s="149" t="s">
        <v>12347</v>
      </c>
      <c r="Z278" s="157">
        <v>2</v>
      </c>
      <c r="AA278" s="152"/>
      <c r="AB278" s="154" t="s">
        <v>2424</v>
      </c>
    </row>
    <row r="279" spans="1:28" x14ac:dyDescent="0.2">
      <c r="A279" s="146" t="s">
        <v>6720</v>
      </c>
      <c r="B279" s="147" t="s">
        <v>6314</v>
      </c>
      <c r="C279" s="147" t="s">
        <v>6721</v>
      </c>
      <c r="D279" s="148" t="s">
        <v>6136</v>
      </c>
      <c r="E279" s="149" t="s">
        <v>6722</v>
      </c>
      <c r="F279" s="160">
        <v>2</v>
      </c>
      <c r="G279" s="149" t="s">
        <v>20987</v>
      </c>
      <c r="H279" s="157">
        <v>2</v>
      </c>
      <c r="I279" s="152"/>
      <c r="J279" s="149" t="s">
        <v>6722</v>
      </c>
      <c r="K279" s="157">
        <v>2</v>
      </c>
      <c r="L279" s="156" t="s">
        <v>53</v>
      </c>
      <c r="M279" s="149" t="s">
        <v>6722</v>
      </c>
      <c r="N279" s="157">
        <v>2</v>
      </c>
      <c r="O279" s="156" t="s">
        <v>53</v>
      </c>
      <c r="P279" s="149" t="s">
        <v>11131</v>
      </c>
      <c r="Q279" s="157">
        <v>2</v>
      </c>
      <c r="R279" s="152"/>
      <c r="S279" s="149" t="s">
        <v>21065</v>
      </c>
      <c r="T279" s="151">
        <v>4</v>
      </c>
      <c r="U279" s="152"/>
      <c r="V279" s="149" t="s">
        <v>699</v>
      </c>
      <c r="W279" s="158">
        <v>3</v>
      </c>
      <c r="X279" s="152"/>
      <c r="Y279" s="149" t="s">
        <v>6723</v>
      </c>
      <c r="Z279" s="151">
        <v>4</v>
      </c>
      <c r="AA279" s="152"/>
      <c r="AB279" s="154" t="s">
        <v>2452</v>
      </c>
    </row>
    <row r="280" spans="1:28" x14ac:dyDescent="0.2">
      <c r="A280" s="146" t="s">
        <v>6724</v>
      </c>
      <c r="B280" s="147" t="s">
        <v>6314</v>
      </c>
      <c r="C280" s="147" t="s">
        <v>6370</v>
      </c>
      <c r="D280" s="148" t="s">
        <v>6170</v>
      </c>
      <c r="E280" s="149" t="s">
        <v>21620</v>
      </c>
      <c r="F280" s="159">
        <v>3</v>
      </c>
      <c r="G280" s="149" t="s">
        <v>6725</v>
      </c>
      <c r="H280" s="157">
        <v>2</v>
      </c>
      <c r="I280" s="156" t="s">
        <v>53</v>
      </c>
      <c r="J280" s="149" t="s">
        <v>6726</v>
      </c>
      <c r="K280" s="151">
        <v>4</v>
      </c>
      <c r="L280" s="152"/>
      <c r="M280" s="149" t="s">
        <v>21620</v>
      </c>
      <c r="N280" s="158">
        <v>3</v>
      </c>
      <c r="O280" s="156" t="s">
        <v>40</v>
      </c>
      <c r="P280" s="149" t="s">
        <v>2069</v>
      </c>
      <c r="Q280" s="157">
        <v>2</v>
      </c>
      <c r="R280" s="152"/>
      <c r="S280" s="149" t="s">
        <v>6727</v>
      </c>
      <c r="T280" s="151">
        <v>4</v>
      </c>
      <c r="U280" s="152"/>
      <c r="V280" s="149" t="s">
        <v>6728</v>
      </c>
      <c r="W280" s="151">
        <v>4</v>
      </c>
      <c r="X280" s="152"/>
      <c r="Y280" s="149" t="s">
        <v>2382</v>
      </c>
      <c r="Z280" s="157">
        <v>2</v>
      </c>
      <c r="AA280" s="156" t="s">
        <v>40</v>
      </c>
      <c r="AB280" s="154" t="s">
        <v>2480</v>
      </c>
    </row>
    <row r="281" spans="1:28" x14ac:dyDescent="0.2">
      <c r="A281" s="146" t="s">
        <v>6729</v>
      </c>
      <c r="B281" s="147" t="s">
        <v>6314</v>
      </c>
      <c r="C281" s="147" t="s">
        <v>6730</v>
      </c>
      <c r="D281" s="148" t="s">
        <v>6136</v>
      </c>
      <c r="E281" s="149" t="s">
        <v>6185</v>
      </c>
      <c r="F281" s="160">
        <v>2</v>
      </c>
      <c r="G281" s="149" t="s">
        <v>19405</v>
      </c>
      <c r="H281" s="155">
        <v>1</v>
      </c>
      <c r="I281" s="156" t="s">
        <v>40</v>
      </c>
      <c r="J281" s="149" t="s">
        <v>6731</v>
      </c>
      <c r="K281" s="155">
        <v>1</v>
      </c>
      <c r="L281" s="156" t="s">
        <v>53</v>
      </c>
      <c r="M281" s="149" t="s">
        <v>6185</v>
      </c>
      <c r="N281" s="157">
        <v>2</v>
      </c>
      <c r="O281" s="156" t="s">
        <v>40</v>
      </c>
      <c r="P281" s="149" t="s">
        <v>21621</v>
      </c>
      <c r="Q281" s="157">
        <v>2</v>
      </c>
      <c r="R281" s="152"/>
      <c r="S281" s="149" t="s">
        <v>6732</v>
      </c>
      <c r="T281" s="157">
        <v>2</v>
      </c>
      <c r="U281" s="156" t="s">
        <v>40</v>
      </c>
      <c r="V281" s="149" t="s">
        <v>20988</v>
      </c>
      <c r="W281" s="157">
        <v>2</v>
      </c>
      <c r="X281" s="152"/>
      <c r="Y281" s="149" t="s">
        <v>47</v>
      </c>
      <c r="Z281" s="153"/>
      <c r="AA281" s="152"/>
      <c r="AB281" s="154" t="s">
        <v>2522</v>
      </c>
    </row>
    <row r="282" spans="1:28" x14ac:dyDescent="0.2">
      <c r="A282" s="146" t="s">
        <v>6733</v>
      </c>
      <c r="B282" s="147" t="s">
        <v>6314</v>
      </c>
      <c r="C282" s="147" t="s">
        <v>6734</v>
      </c>
      <c r="D282" s="148" t="s">
        <v>6132</v>
      </c>
      <c r="E282" s="149" t="s">
        <v>6735</v>
      </c>
      <c r="F282" s="159">
        <v>3</v>
      </c>
      <c r="G282" s="149" t="s">
        <v>21622</v>
      </c>
      <c r="H282" s="155">
        <v>1</v>
      </c>
      <c r="I282" s="152"/>
      <c r="J282" s="149" t="s">
        <v>21623</v>
      </c>
      <c r="K282" s="157">
        <v>2</v>
      </c>
      <c r="L282" s="152"/>
      <c r="M282" s="149" t="s">
        <v>6735</v>
      </c>
      <c r="N282" s="158">
        <v>3</v>
      </c>
      <c r="O282" s="152"/>
      <c r="P282" s="149" t="s">
        <v>6736</v>
      </c>
      <c r="Q282" s="157">
        <v>2</v>
      </c>
      <c r="R282" s="152"/>
      <c r="S282" s="149" t="s">
        <v>21622</v>
      </c>
      <c r="T282" s="155">
        <v>1</v>
      </c>
      <c r="U282" s="156" t="s">
        <v>40</v>
      </c>
      <c r="V282" s="149" t="s">
        <v>6736</v>
      </c>
      <c r="W282" s="157">
        <v>2</v>
      </c>
      <c r="X282" s="152"/>
      <c r="Y282" s="149" t="s">
        <v>6737</v>
      </c>
      <c r="Z282" s="158">
        <v>3</v>
      </c>
      <c r="AA282" s="152"/>
      <c r="AB282" s="154" t="s">
        <v>2561</v>
      </c>
    </row>
    <row r="283" spans="1:28" x14ac:dyDescent="0.2">
      <c r="A283" s="146" t="s">
        <v>6738</v>
      </c>
      <c r="B283" s="147" t="s">
        <v>6314</v>
      </c>
      <c r="C283" s="147" t="s">
        <v>6227</v>
      </c>
      <c r="D283" s="148" t="s">
        <v>6160</v>
      </c>
      <c r="E283" s="149" t="s">
        <v>21624</v>
      </c>
      <c r="F283" s="161">
        <v>1</v>
      </c>
      <c r="G283" s="149" t="s">
        <v>21625</v>
      </c>
      <c r="H283" s="157">
        <v>2</v>
      </c>
      <c r="I283" s="152"/>
      <c r="J283" s="149" t="s">
        <v>21626</v>
      </c>
      <c r="K283" s="155">
        <v>1</v>
      </c>
      <c r="L283" s="152"/>
      <c r="M283" s="149" t="s">
        <v>21624</v>
      </c>
      <c r="N283" s="155">
        <v>1</v>
      </c>
      <c r="O283" s="152"/>
      <c r="P283" s="149" t="s">
        <v>21627</v>
      </c>
      <c r="Q283" s="158">
        <v>3</v>
      </c>
      <c r="R283" s="152"/>
      <c r="S283" s="149" t="s">
        <v>21628</v>
      </c>
      <c r="T283" s="157">
        <v>2</v>
      </c>
      <c r="U283" s="152"/>
      <c r="V283" s="149" t="s">
        <v>21629</v>
      </c>
      <c r="W283" s="158">
        <v>3</v>
      </c>
      <c r="X283" s="152"/>
      <c r="Y283" s="149" t="s">
        <v>21630</v>
      </c>
      <c r="Z283" s="155">
        <v>1</v>
      </c>
      <c r="AA283" s="152"/>
      <c r="AB283" s="154" t="s">
        <v>2797</v>
      </c>
    </row>
    <row r="284" spans="1:28" x14ac:dyDescent="0.2">
      <c r="A284" s="146" t="s">
        <v>6739</v>
      </c>
      <c r="B284" s="147" t="s">
        <v>6314</v>
      </c>
      <c r="C284" s="147" t="s">
        <v>6227</v>
      </c>
      <c r="D284" s="148" t="s">
        <v>6160</v>
      </c>
      <c r="E284" s="149" t="s">
        <v>21631</v>
      </c>
      <c r="F284" s="150">
        <v>4</v>
      </c>
      <c r="G284" s="149" t="s">
        <v>21632</v>
      </c>
      <c r="H284" s="155">
        <v>1</v>
      </c>
      <c r="I284" s="156" t="s">
        <v>157</v>
      </c>
      <c r="J284" s="149" t="s">
        <v>21633</v>
      </c>
      <c r="K284" s="158">
        <v>3</v>
      </c>
      <c r="L284" s="156" t="s">
        <v>40</v>
      </c>
      <c r="M284" s="149" t="s">
        <v>21631</v>
      </c>
      <c r="N284" s="151">
        <v>4</v>
      </c>
      <c r="O284" s="152"/>
      <c r="P284" s="149" t="s">
        <v>21634</v>
      </c>
      <c r="Q284" s="157">
        <v>2</v>
      </c>
      <c r="R284" s="152"/>
      <c r="S284" s="149" t="s">
        <v>21635</v>
      </c>
      <c r="T284" s="151">
        <v>4</v>
      </c>
      <c r="U284" s="152"/>
      <c r="V284" s="149" t="s">
        <v>21636</v>
      </c>
      <c r="W284" s="158">
        <v>3</v>
      </c>
      <c r="X284" s="152"/>
      <c r="Y284" s="149" t="s">
        <v>21637</v>
      </c>
      <c r="Z284" s="151">
        <v>4</v>
      </c>
      <c r="AA284" s="152"/>
      <c r="AB284" s="154" t="s">
        <v>2598</v>
      </c>
    </row>
    <row r="285" spans="1:28" x14ac:dyDescent="0.2">
      <c r="A285" s="146" t="s">
        <v>6740</v>
      </c>
      <c r="B285" s="147" t="s">
        <v>6130</v>
      </c>
      <c r="C285" s="147" t="s">
        <v>6603</v>
      </c>
      <c r="D285" s="148" t="s">
        <v>6160</v>
      </c>
      <c r="E285" s="149" t="s">
        <v>21638</v>
      </c>
      <c r="F285" s="160">
        <v>2</v>
      </c>
      <c r="G285" s="149" t="s">
        <v>21639</v>
      </c>
      <c r="H285" s="155">
        <v>1</v>
      </c>
      <c r="I285" s="156" t="s">
        <v>40</v>
      </c>
      <c r="J285" s="149" t="s">
        <v>21640</v>
      </c>
      <c r="K285" s="157">
        <v>2</v>
      </c>
      <c r="L285" s="152"/>
      <c r="M285" s="149" t="s">
        <v>21638</v>
      </c>
      <c r="N285" s="157">
        <v>2</v>
      </c>
      <c r="O285" s="156" t="s">
        <v>40</v>
      </c>
      <c r="P285" s="149" t="s">
        <v>21641</v>
      </c>
      <c r="Q285" s="151">
        <v>4</v>
      </c>
      <c r="R285" s="152"/>
      <c r="S285" s="149" t="s">
        <v>21642</v>
      </c>
      <c r="T285" s="151">
        <v>4</v>
      </c>
      <c r="U285" s="152"/>
      <c r="V285" s="149" t="s">
        <v>21643</v>
      </c>
      <c r="W285" s="151">
        <v>4</v>
      </c>
      <c r="X285" s="152"/>
      <c r="Y285" s="149" t="s">
        <v>47</v>
      </c>
      <c r="Z285" s="153"/>
      <c r="AA285" s="152"/>
      <c r="AB285" s="154" t="s">
        <v>2655</v>
      </c>
    </row>
    <row r="286" spans="1:28" x14ac:dyDescent="0.2">
      <c r="A286" s="146" t="s">
        <v>6741</v>
      </c>
      <c r="B286" s="147" t="s">
        <v>6130</v>
      </c>
      <c r="C286" s="147" t="s">
        <v>6742</v>
      </c>
      <c r="D286" s="148" t="s">
        <v>6160</v>
      </c>
      <c r="E286" s="149" t="s">
        <v>4010</v>
      </c>
      <c r="F286" s="160">
        <v>2</v>
      </c>
      <c r="G286" s="149" t="s">
        <v>6743</v>
      </c>
      <c r="H286" s="155">
        <v>1</v>
      </c>
      <c r="I286" s="156" t="s">
        <v>40</v>
      </c>
      <c r="J286" s="149" t="s">
        <v>4009</v>
      </c>
      <c r="K286" s="155">
        <v>1</v>
      </c>
      <c r="L286" s="156" t="s">
        <v>40</v>
      </c>
      <c r="M286" s="149" t="s">
        <v>4010</v>
      </c>
      <c r="N286" s="157">
        <v>2</v>
      </c>
      <c r="O286" s="156" t="s">
        <v>46</v>
      </c>
      <c r="P286" s="149" t="s">
        <v>21377</v>
      </c>
      <c r="Q286" s="155">
        <v>1</v>
      </c>
      <c r="R286" s="156" t="s">
        <v>40</v>
      </c>
      <c r="S286" s="149" t="s">
        <v>21644</v>
      </c>
      <c r="T286" s="151">
        <v>4</v>
      </c>
      <c r="U286" s="152"/>
      <c r="V286" s="149" t="s">
        <v>47</v>
      </c>
      <c r="W286" s="153"/>
      <c r="X286" s="152"/>
      <c r="Y286" s="149" t="s">
        <v>47</v>
      </c>
      <c r="Z286" s="153"/>
      <c r="AA286" s="152"/>
      <c r="AB286" s="154" t="s">
        <v>2628</v>
      </c>
    </row>
    <row r="287" spans="1:28" x14ac:dyDescent="0.2">
      <c r="A287" s="146" t="s">
        <v>6744</v>
      </c>
      <c r="B287" s="147" t="s">
        <v>6130</v>
      </c>
      <c r="C287" s="147" t="s">
        <v>6742</v>
      </c>
      <c r="D287" s="148" t="s">
        <v>6160</v>
      </c>
      <c r="E287" s="149" t="s">
        <v>6745</v>
      </c>
      <c r="F287" s="161">
        <v>1</v>
      </c>
      <c r="G287" s="149" t="s">
        <v>4010</v>
      </c>
      <c r="H287" s="157">
        <v>2</v>
      </c>
      <c r="I287" s="156" t="s">
        <v>46</v>
      </c>
      <c r="J287" s="149" t="s">
        <v>6743</v>
      </c>
      <c r="K287" s="155">
        <v>1</v>
      </c>
      <c r="L287" s="152"/>
      <c r="M287" s="149" t="s">
        <v>6745</v>
      </c>
      <c r="N287" s="155">
        <v>1</v>
      </c>
      <c r="O287" s="152"/>
      <c r="P287" s="149" t="s">
        <v>6271</v>
      </c>
      <c r="Q287" s="155">
        <v>1</v>
      </c>
      <c r="R287" s="156" t="s">
        <v>40</v>
      </c>
      <c r="S287" s="149" t="s">
        <v>8846</v>
      </c>
      <c r="T287" s="151">
        <v>4</v>
      </c>
      <c r="U287" s="152"/>
      <c r="V287" s="149" t="s">
        <v>6746</v>
      </c>
      <c r="W287" s="158">
        <v>3</v>
      </c>
      <c r="X287" s="152"/>
      <c r="Y287" s="149" t="s">
        <v>47</v>
      </c>
      <c r="Z287" s="153"/>
      <c r="AA287" s="152"/>
      <c r="AB287" s="154" t="s">
        <v>2698</v>
      </c>
    </row>
    <row r="288" spans="1:28" x14ac:dyDescent="0.2">
      <c r="A288" s="146" t="s">
        <v>21645</v>
      </c>
      <c r="B288" s="147" t="s">
        <v>6130</v>
      </c>
      <c r="C288" s="147" t="s">
        <v>6192</v>
      </c>
      <c r="D288" s="148" t="s">
        <v>6160</v>
      </c>
      <c r="E288" s="149" t="s">
        <v>21646</v>
      </c>
      <c r="F288" s="159">
        <v>3</v>
      </c>
      <c r="G288" s="149" t="s">
        <v>21647</v>
      </c>
      <c r="H288" s="157">
        <v>2</v>
      </c>
      <c r="I288" s="152"/>
      <c r="J288" s="149" t="s">
        <v>21648</v>
      </c>
      <c r="K288" s="157">
        <v>2</v>
      </c>
      <c r="L288" s="156" t="s">
        <v>40</v>
      </c>
      <c r="M288" s="149" t="s">
        <v>21646</v>
      </c>
      <c r="N288" s="158">
        <v>3</v>
      </c>
      <c r="O288" s="152"/>
      <c r="P288" s="149" t="s">
        <v>21649</v>
      </c>
      <c r="Q288" s="151">
        <v>4</v>
      </c>
      <c r="R288" s="152"/>
      <c r="S288" s="149" t="s">
        <v>21650</v>
      </c>
      <c r="T288" s="151">
        <v>4</v>
      </c>
      <c r="U288" s="152"/>
      <c r="V288" s="149" t="s">
        <v>21651</v>
      </c>
      <c r="W288" s="151">
        <v>4</v>
      </c>
      <c r="X288" s="152"/>
      <c r="Y288" s="149" t="s">
        <v>47</v>
      </c>
      <c r="Z288" s="153"/>
      <c r="AA288" s="152"/>
      <c r="AB288" s="154" t="s">
        <v>2717</v>
      </c>
    </row>
    <row r="289" spans="1:28" x14ac:dyDescent="0.2">
      <c r="A289" s="146" t="s">
        <v>21652</v>
      </c>
      <c r="B289" s="147" t="s">
        <v>6130</v>
      </c>
      <c r="C289" s="147" t="s">
        <v>6747</v>
      </c>
      <c r="D289" s="148"/>
      <c r="E289" s="149" t="s">
        <v>10970</v>
      </c>
      <c r="F289" s="161">
        <v>1</v>
      </c>
      <c r="G289" s="149" t="s">
        <v>21653</v>
      </c>
      <c r="H289" s="155">
        <v>1</v>
      </c>
      <c r="I289" s="156" t="s">
        <v>53</v>
      </c>
      <c r="J289" s="149" t="s">
        <v>21654</v>
      </c>
      <c r="K289" s="157">
        <v>2</v>
      </c>
      <c r="L289" s="156" t="s">
        <v>40</v>
      </c>
      <c r="M289" s="149" t="s">
        <v>10970</v>
      </c>
      <c r="N289" s="155">
        <v>1</v>
      </c>
      <c r="O289" s="156" t="s">
        <v>53</v>
      </c>
      <c r="P289" s="149" t="s">
        <v>8947</v>
      </c>
      <c r="Q289" s="157">
        <v>2</v>
      </c>
      <c r="R289" s="152"/>
      <c r="S289" s="149" t="s">
        <v>6748</v>
      </c>
      <c r="T289" s="157">
        <v>2</v>
      </c>
      <c r="U289" s="152"/>
      <c r="V289" s="149" t="s">
        <v>6749</v>
      </c>
      <c r="W289" s="157">
        <v>2</v>
      </c>
      <c r="X289" s="156" t="s">
        <v>40</v>
      </c>
      <c r="Y289" s="149" t="s">
        <v>10059</v>
      </c>
      <c r="Z289" s="155">
        <v>1</v>
      </c>
      <c r="AA289" s="152"/>
      <c r="AB289" s="154" t="s">
        <v>2742</v>
      </c>
    </row>
    <row r="290" spans="1:28" x14ac:dyDescent="0.2">
      <c r="A290" s="146" t="s">
        <v>6750</v>
      </c>
      <c r="B290" s="147" t="s">
        <v>6130</v>
      </c>
      <c r="C290" s="147" t="s">
        <v>6131</v>
      </c>
      <c r="D290" s="148"/>
      <c r="E290" s="149" t="s">
        <v>21655</v>
      </c>
      <c r="F290" s="160">
        <v>2</v>
      </c>
      <c r="G290" s="149" t="s">
        <v>21656</v>
      </c>
      <c r="H290" s="157">
        <v>2</v>
      </c>
      <c r="I290" s="152"/>
      <c r="J290" s="149" t="s">
        <v>21657</v>
      </c>
      <c r="K290" s="157">
        <v>2</v>
      </c>
      <c r="L290" s="156" t="s">
        <v>40</v>
      </c>
      <c r="M290" s="149" t="s">
        <v>21655</v>
      </c>
      <c r="N290" s="157">
        <v>2</v>
      </c>
      <c r="O290" s="156" t="s">
        <v>40</v>
      </c>
      <c r="P290" s="149" t="s">
        <v>21658</v>
      </c>
      <c r="Q290" s="158">
        <v>3</v>
      </c>
      <c r="R290" s="152"/>
      <c r="S290" s="149" t="s">
        <v>47</v>
      </c>
      <c r="T290" s="153"/>
      <c r="U290" s="152"/>
      <c r="V290" s="149" t="s">
        <v>47</v>
      </c>
      <c r="W290" s="153"/>
      <c r="X290" s="152"/>
      <c r="Y290" s="149" t="s">
        <v>47</v>
      </c>
      <c r="Z290" s="153"/>
      <c r="AA290" s="152"/>
      <c r="AB290" s="154" t="s">
        <v>2753</v>
      </c>
    </row>
    <row r="291" spans="1:28" x14ac:dyDescent="0.2">
      <c r="A291" s="146" t="s">
        <v>21659</v>
      </c>
      <c r="B291" s="147" t="s">
        <v>6314</v>
      </c>
      <c r="C291" s="147" t="s">
        <v>6448</v>
      </c>
      <c r="D291" s="148" t="s">
        <v>6136</v>
      </c>
      <c r="E291" s="149" t="s">
        <v>21660</v>
      </c>
      <c r="F291" s="161">
        <v>1</v>
      </c>
      <c r="G291" s="149" t="s">
        <v>21661</v>
      </c>
      <c r="H291" s="158">
        <v>3</v>
      </c>
      <c r="I291" s="156" t="s">
        <v>46</v>
      </c>
      <c r="J291" s="149" t="s">
        <v>21662</v>
      </c>
      <c r="K291" s="157">
        <v>2</v>
      </c>
      <c r="L291" s="152"/>
      <c r="M291" s="149" t="s">
        <v>21660</v>
      </c>
      <c r="N291" s="155">
        <v>1</v>
      </c>
      <c r="O291" s="152"/>
      <c r="P291" s="149" t="s">
        <v>6751</v>
      </c>
      <c r="Q291" s="158">
        <v>3</v>
      </c>
      <c r="R291" s="152"/>
      <c r="S291" s="149" t="s">
        <v>21663</v>
      </c>
      <c r="T291" s="158">
        <v>3</v>
      </c>
      <c r="U291" s="152"/>
      <c r="V291" s="149" t="s">
        <v>6752</v>
      </c>
      <c r="W291" s="157">
        <v>2</v>
      </c>
      <c r="X291" s="152"/>
      <c r="Y291" s="149" t="s">
        <v>11202</v>
      </c>
      <c r="Z291" s="158">
        <v>3</v>
      </c>
      <c r="AA291" s="156" t="s">
        <v>46</v>
      </c>
      <c r="AB291" s="154" t="s">
        <v>2772</v>
      </c>
    </row>
    <row r="292" spans="1:28" x14ac:dyDescent="0.2">
      <c r="A292" s="146" t="s">
        <v>21664</v>
      </c>
      <c r="B292" s="147" t="s">
        <v>6314</v>
      </c>
      <c r="C292" s="147" t="s">
        <v>6448</v>
      </c>
      <c r="D292" s="148" t="s">
        <v>6160</v>
      </c>
      <c r="E292" s="149" t="s">
        <v>6753</v>
      </c>
      <c r="F292" s="150">
        <v>4</v>
      </c>
      <c r="G292" s="149" t="s">
        <v>21665</v>
      </c>
      <c r="H292" s="151">
        <v>4</v>
      </c>
      <c r="I292" s="156" t="s">
        <v>46</v>
      </c>
      <c r="J292" s="149" t="s">
        <v>21666</v>
      </c>
      <c r="K292" s="151">
        <v>4</v>
      </c>
      <c r="L292" s="152"/>
      <c r="M292" s="149" t="s">
        <v>6753</v>
      </c>
      <c r="N292" s="151">
        <v>4</v>
      </c>
      <c r="O292" s="152"/>
      <c r="P292" s="149" t="s">
        <v>4921</v>
      </c>
      <c r="Q292" s="151">
        <v>4</v>
      </c>
      <c r="R292" s="152"/>
      <c r="S292" s="149" t="s">
        <v>21667</v>
      </c>
      <c r="T292" s="158">
        <v>3</v>
      </c>
      <c r="U292" s="152"/>
      <c r="V292" s="149" t="s">
        <v>3046</v>
      </c>
      <c r="W292" s="158">
        <v>3</v>
      </c>
      <c r="X292" s="152"/>
      <c r="Y292" s="149" t="s">
        <v>21668</v>
      </c>
      <c r="Z292" s="158">
        <v>3</v>
      </c>
      <c r="AA292" s="152"/>
      <c r="AB292" s="154" t="s">
        <v>2759</v>
      </c>
    </row>
    <row r="293" spans="1:28" x14ac:dyDescent="0.2">
      <c r="A293" s="146" t="s">
        <v>6754</v>
      </c>
      <c r="B293" s="147" t="s">
        <v>6755</v>
      </c>
      <c r="C293" s="147" t="s">
        <v>6756</v>
      </c>
      <c r="D293" s="148"/>
      <c r="E293" s="149" t="s">
        <v>21669</v>
      </c>
      <c r="F293" s="159">
        <v>3</v>
      </c>
      <c r="G293" s="149" t="s">
        <v>21670</v>
      </c>
      <c r="H293" s="155">
        <v>1</v>
      </c>
      <c r="I293" s="156" t="s">
        <v>157</v>
      </c>
      <c r="J293" s="149" t="s">
        <v>6757</v>
      </c>
      <c r="K293" s="157">
        <v>2</v>
      </c>
      <c r="L293" s="156" t="s">
        <v>53</v>
      </c>
      <c r="M293" s="149" t="s">
        <v>21669</v>
      </c>
      <c r="N293" s="158">
        <v>3</v>
      </c>
      <c r="O293" s="156" t="s">
        <v>40</v>
      </c>
      <c r="P293" s="149" t="s">
        <v>6758</v>
      </c>
      <c r="Q293" s="157">
        <v>2</v>
      </c>
      <c r="R293" s="156" t="s">
        <v>53</v>
      </c>
      <c r="S293" s="149" t="s">
        <v>47</v>
      </c>
      <c r="T293" s="153"/>
      <c r="U293" s="152"/>
      <c r="V293" s="149" t="s">
        <v>47</v>
      </c>
      <c r="W293" s="153"/>
      <c r="X293" s="152"/>
      <c r="Y293" s="149" t="s">
        <v>47</v>
      </c>
      <c r="Z293" s="153"/>
      <c r="AA293" s="152"/>
      <c r="AB293" s="154" t="s">
        <v>2790</v>
      </c>
    </row>
    <row r="294" spans="1:28" x14ac:dyDescent="0.2">
      <c r="A294" s="146" t="s">
        <v>6759</v>
      </c>
      <c r="B294" s="147" t="s">
        <v>6130</v>
      </c>
      <c r="C294" s="147" t="s">
        <v>6229</v>
      </c>
      <c r="D294" s="148"/>
      <c r="E294" s="149" t="s">
        <v>21671</v>
      </c>
      <c r="F294" s="161">
        <v>1</v>
      </c>
      <c r="G294" s="149" t="s">
        <v>21672</v>
      </c>
      <c r="H294" s="155">
        <v>1</v>
      </c>
      <c r="I294" s="152"/>
      <c r="J294" s="149" t="s">
        <v>21673</v>
      </c>
      <c r="K294" s="155">
        <v>1</v>
      </c>
      <c r="L294" s="152"/>
      <c r="M294" s="149" t="s">
        <v>21671</v>
      </c>
      <c r="N294" s="155">
        <v>1</v>
      </c>
      <c r="O294" s="152"/>
      <c r="P294" s="149" t="s">
        <v>21674</v>
      </c>
      <c r="Q294" s="155">
        <v>1</v>
      </c>
      <c r="R294" s="152"/>
      <c r="S294" s="149" t="s">
        <v>47</v>
      </c>
      <c r="T294" s="153"/>
      <c r="U294" s="152"/>
      <c r="V294" s="149" t="s">
        <v>47</v>
      </c>
      <c r="W294" s="153"/>
      <c r="X294" s="152"/>
      <c r="Y294" s="149" t="s">
        <v>47</v>
      </c>
      <c r="Z294" s="153"/>
      <c r="AA294" s="152"/>
      <c r="AB294" s="154" t="s">
        <v>2791</v>
      </c>
    </row>
    <row r="295" spans="1:28" x14ac:dyDescent="0.2">
      <c r="A295" s="146" t="s">
        <v>6760</v>
      </c>
      <c r="B295" s="147" t="s">
        <v>6130</v>
      </c>
      <c r="C295" s="147" t="s">
        <v>6328</v>
      </c>
      <c r="D295" s="148"/>
      <c r="E295" s="149" t="s">
        <v>21675</v>
      </c>
      <c r="F295" s="161">
        <v>1</v>
      </c>
      <c r="G295" s="149" t="s">
        <v>21676</v>
      </c>
      <c r="H295" s="155">
        <v>1</v>
      </c>
      <c r="I295" s="152"/>
      <c r="J295" s="149" t="s">
        <v>21677</v>
      </c>
      <c r="K295" s="155">
        <v>1</v>
      </c>
      <c r="L295" s="152"/>
      <c r="M295" s="149" t="s">
        <v>21675</v>
      </c>
      <c r="N295" s="155">
        <v>1</v>
      </c>
      <c r="O295" s="152"/>
      <c r="P295" s="149" t="s">
        <v>21678</v>
      </c>
      <c r="Q295" s="155">
        <v>1</v>
      </c>
      <c r="R295" s="152"/>
      <c r="S295" s="149" t="s">
        <v>6761</v>
      </c>
      <c r="T295" s="158">
        <v>3</v>
      </c>
      <c r="U295" s="152"/>
      <c r="V295" s="149" t="s">
        <v>21679</v>
      </c>
      <c r="W295" s="155">
        <v>1</v>
      </c>
      <c r="X295" s="152"/>
      <c r="Y295" s="149" t="s">
        <v>21680</v>
      </c>
      <c r="Z295" s="158">
        <v>3</v>
      </c>
      <c r="AA295" s="152"/>
      <c r="AB295" s="154" t="s">
        <v>2815</v>
      </c>
    </row>
    <row r="296" spans="1:28" x14ac:dyDescent="0.2">
      <c r="A296" s="146" t="s">
        <v>21681</v>
      </c>
      <c r="B296" s="147" t="s">
        <v>6755</v>
      </c>
      <c r="C296" s="147" t="s">
        <v>6477</v>
      </c>
      <c r="D296" s="148"/>
      <c r="E296" s="149" t="s">
        <v>21682</v>
      </c>
      <c r="F296" s="150">
        <v>4</v>
      </c>
      <c r="G296" s="149" t="s">
        <v>21683</v>
      </c>
      <c r="H296" s="158">
        <v>3</v>
      </c>
      <c r="I296" s="156" t="s">
        <v>55</v>
      </c>
      <c r="J296" s="149" t="s">
        <v>21684</v>
      </c>
      <c r="K296" s="158">
        <v>3</v>
      </c>
      <c r="L296" s="156" t="s">
        <v>40</v>
      </c>
      <c r="M296" s="149" t="s">
        <v>21682</v>
      </c>
      <c r="N296" s="151">
        <v>4</v>
      </c>
      <c r="O296" s="152"/>
      <c r="P296" s="149" t="s">
        <v>21685</v>
      </c>
      <c r="Q296" s="151">
        <v>4</v>
      </c>
      <c r="R296" s="156" t="s">
        <v>55</v>
      </c>
      <c r="S296" s="149" t="s">
        <v>6762</v>
      </c>
      <c r="T296" s="158">
        <v>3</v>
      </c>
      <c r="U296" s="152"/>
      <c r="V296" s="149" t="s">
        <v>21686</v>
      </c>
      <c r="W296" s="151">
        <v>4</v>
      </c>
      <c r="X296" s="152"/>
      <c r="Y296" s="149" t="s">
        <v>47</v>
      </c>
      <c r="Z296" s="153"/>
      <c r="AA296" s="152"/>
      <c r="AB296" s="154" t="s">
        <v>6763</v>
      </c>
    </row>
    <row r="297" spans="1:28" x14ac:dyDescent="0.2">
      <c r="A297" s="146" t="s">
        <v>6764</v>
      </c>
      <c r="B297" s="147" t="s">
        <v>6130</v>
      </c>
      <c r="C297" s="147" t="s">
        <v>6206</v>
      </c>
      <c r="D297" s="148"/>
      <c r="E297" s="149" t="s">
        <v>47</v>
      </c>
      <c r="F297" s="152"/>
      <c r="G297" s="149" t="s">
        <v>21687</v>
      </c>
      <c r="H297" s="151">
        <v>4</v>
      </c>
      <c r="I297" s="156" t="s">
        <v>44</v>
      </c>
      <c r="J297" s="149" t="s">
        <v>21688</v>
      </c>
      <c r="K297" s="157">
        <v>2</v>
      </c>
      <c r="L297" s="152"/>
      <c r="M297" s="149" t="s">
        <v>47</v>
      </c>
      <c r="N297" s="153"/>
      <c r="O297" s="152"/>
      <c r="P297" s="149" t="s">
        <v>47</v>
      </c>
      <c r="Q297" s="153"/>
      <c r="R297" s="152"/>
      <c r="S297" s="149" t="s">
        <v>47</v>
      </c>
      <c r="T297" s="153"/>
      <c r="U297" s="152"/>
      <c r="V297" s="149" t="s">
        <v>47</v>
      </c>
      <c r="W297" s="153"/>
      <c r="X297" s="152"/>
      <c r="Y297" s="149" t="s">
        <v>47</v>
      </c>
      <c r="Z297" s="153"/>
      <c r="AA297" s="152"/>
      <c r="AB297" s="154" t="s">
        <v>2337</v>
      </c>
    </row>
    <row r="298" spans="1:28" x14ac:dyDescent="0.2">
      <c r="A298" s="146" t="s">
        <v>6765</v>
      </c>
      <c r="B298" s="147" t="s">
        <v>6130</v>
      </c>
      <c r="C298" s="147" t="s">
        <v>6766</v>
      </c>
      <c r="D298" s="148"/>
      <c r="E298" s="149" t="s">
        <v>21689</v>
      </c>
      <c r="F298" s="150">
        <v>4</v>
      </c>
      <c r="G298" s="149" t="s">
        <v>21690</v>
      </c>
      <c r="H298" s="158">
        <v>3</v>
      </c>
      <c r="I298" s="156" t="s">
        <v>40</v>
      </c>
      <c r="J298" s="149" t="s">
        <v>21691</v>
      </c>
      <c r="K298" s="158">
        <v>3</v>
      </c>
      <c r="L298" s="152"/>
      <c r="M298" s="149" t="s">
        <v>21689</v>
      </c>
      <c r="N298" s="151">
        <v>4</v>
      </c>
      <c r="O298" s="152"/>
      <c r="P298" s="149" t="s">
        <v>21692</v>
      </c>
      <c r="Q298" s="151">
        <v>4</v>
      </c>
      <c r="R298" s="152"/>
      <c r="S298" s="149" t="s">
        <v>21693</v>
      </c>
      <c r="T298" s="151">
        <v>4</v>
      </c>
      <c r="U298" s="152"/>
      <c r="V298" s="149" t="s">
        <v>21694</v>
      </c>
      <c r="W298" s="151">
        <v>4</v>
      </c>
      <c r="X298" s="152"/>
      <c r="Y298" s="149" t="s">
        <v>21695</v>
      </c>
      <c r="Z298" s="155">
        <v>1</v>
      </c>
      <c r="AA298" s="152"/>
      <c r="AB298" s="154" t="s">
        <v>2819</v>
      </c>
    </row>
    <row r="299" spans="1:28" x14ac:dyDescent="0.2">
      <c r="A299" s="146" t="s">
        <v>6767</v>
      </c>
      <c r="B299" s="147" t="s">
        <v>6130</v>
      </c>
      <c r="C299" s="147" t="s">
        <v>6766</v>
      </c>
      <c r="D299" s="148"/>
      <c r="E299" s="149" t="s">
        <v>21696</v>
      </c>
      <c r="F299" s="150">
        <v>4</v>
      </c>
      <c r="G299" s="149" t="s">
        <v>21697</v>
      </c>
      <c r="H299" s="155">
        <v>1</v>
      </c>
      <c r="I299" s="156" t="s">
        <v>157</v>
      </c>
      <c r="J299" s="149" t="s">
        <v>21698</v>
      </c>
      <c r="K299" s="158">
        <v>3</v>
      </c>
      <c r="L299" s="152"/>
      <c r="M299" s="149" t="s">
        <v>21696</v>
      </c>
      <c r="N299" s="151">
        <v>4</v>
      </c>
      <c r="O299" s="152"/>
      <c r="P299" s="149" t="s">
        <v>21699</v>
      </c>
      <c r="Q299" s="151">
        <v>4</v>
      </c>
      <c r="R299" s="152"/>
      <c r="S299" s="149" t="s">
        <v>21700</v>
      </c>
      <c r="T299" s="151">
        <v>4</v>
      </c>
      <c r="U299" s="152"/>
      <c r="V299" s="149" t="s">
        <v>21701</v>
      </c>
      <c r="W299" s="151">
        <v>4</v>
      </c>
      <c r="X299" s="152"/>
      <c r="Y299" s="149" t="s">
        <v>21702</v>
      </c>
      <c r="Z299" s="158">
        <v>3</v>
      </c>
      <c r="AA299" s="152"/>
      <c r="AB299" s="154" t="s">
        <v>2822</v>
      </c>
    </row>
    <row r="300" spans="1:28" x14ac:dyDescent="0.2">
      <c r="A300" s="146" t="s">
        <v>6768</v>
      </c>
      <c r="B300" s="147" t="s">
        <v>6130</v>
      </c>
      <c r="C300" s="147" t="s">
        <v>6277</v>
      </c>
      <c r="D300" s="148"/>
      <c r="E300" s="149" t="s">
        <v>21703</v>
      </c>
      <c r="F300" s="150">
        <v>4</v>
      </c>
      <c r="G300" s="149" t="s">
        <v>21704</v>
      </c>
      <c r="H300" s="151">
        <v>4</v>
      </c>
      <c r="I300" s="156" t="s">
        <v>46</v>
      </c>
      <c r="J300" s="149" t="s">
        <v>21705</v>
      </c>
      <c r="K300" s="158">
        <v>3</v>
      </c>
      <c r="L300" s="152"/>
      <c r="M300" s="149" t="s">
        <v>21703</v>
      </c>
      <c r="N300" s="151">
        <v>4</v>
      </c>
      <c r="O300" s="152"/>
      <c r="P300" s="149" t="s">
        <v>21706</v>
      </c>
      <c r="Q300" s="151">
        <v>4</v>
      </c>
      <c r="R300" s="152"/>
      <c r="S300" s="149" t="s">
        <v>21707</v>
      </c>
      <c r="T300" s="157">
        <v>2</v>
      </c>
      <c r="U300" s="152"/>
      <c r="V300" s="149" t="s">
        <v>21708</v>
      </c>
      <c r="W300" s="151">
        <v>4</v>
      </c>
      <c r="X300" s="156" t="s">
        <v>46</v>
      </c>
      <c r="Y300" s="149" t="s">
        <v>21709</v>
      </c>
      <c r="Z300" s="157">
        <v>2</v>
      </c>
      <c r="AA300" s="152"/>
      <c r="AB300" s="154" t="s">
        <v>2834</v>
      </c>
    </row>
    <row r="301" spans="1:28" x14ac:dyDescent="0.2">
      <c r="A301" s="146" t="s">
        <v>6769</v>
      </c>
      <c r="B301" s="147" t="s">
        <v>6130</v>
      </c>
      <c r="C301" s="147" t="s">
        <v>6653</v>
      </c>
      <c r="D301" s="148"/>
      <c r="E301" s="149" t="s">
        <v>21710</v>
      </c>
      <c r="F301" s="161">
        <v>1</v>
      </c>
      <c r="G301" s="149" t="s">
        <v>21711</v>
      </c>
      <c r="H301" s="157">
        <v>2</v>
      </c>
      <c r="I301" s="156" t="s">
        <v>46</v>
      </c>
      <c r="J301" s="149" t="s">
        <v>21712</v>
      </c>
      <c r="K301" s="157">
        <v>2</v>
      </c>
      <c r="L301" s="156" t="s">
        <v>46</v>
      </c>
      <c r="M301" s="149" t="s">
        <v>21710</v>
      </c>
      <c r="N301" s="155">
        <v>1</v>
      </c>
      <c r="O301" s="152"/>
      <c r="P301" s="149" t="s">
        <v>6770</v>
      </c>
      <c r="Q301" s="158">
        <v>3</v>
      </c>
      <c r="R301" s="152"/>
      <c r="S301" s="149" t="s">
        <v>21713</v>
      </c>
      <c r="T301" s="158">
        <v>3</v>
      </c>
      <c r="U301" s="152"/>
      <c r="V301" s="149" t="s">
        <v>6771</v>
      </c>
      <c r="W301" s="151">
        <v>4</v>
      </c>
      <c r="X301" s="152"/>
      <c r="Y301" s="149" t="s">
        <v>9606</v>
      </c>
      <c r="Z301" s="157">
        <v>2</v>
      </c>
      <c r="AA301" s="152"/>
      <c r="AB301" s="154" t="s">
        <v>2840</v>
      </c>
    </row>
    <row r="302" spans="1:28" x14ac:dyDescent="0.2">
      <c r="A302" s="146" t="s">
        <v>6772</v>
      </c>
      <c r="B302" s="147" t="s">
        <v>6130</v>
      </c>
      <c r="C302" s="147" t="s">
        <v>6296</v>
      </c>
      <c r="D302" s="148"/>
      <c r="E302" s="149" t="s">
        <v>6773</v>
      </c>
      <c r="F302" s="150">
        <v>4</v>
      </c>
      <c r="G302" s="149" t="s">
        <v>20978</v>
      </c>
      <c r="H302" s="151">
        <v>4</v>
      </c>
      <c r="I302" s="156" t="s">
        <v>46</v>
      </c>
      <c r="J302" s="149" t="s">
        <v>21714</v>
      </c>
      <c r="K302" s="151">
        <v>4</v>
      </c>
      <c r="L302" s="152"/>
      <c r="M302" s="149" t="s">
        <v>6773</v>
      </c>
      <c r="N302" s="151">
        <v>4</v>
      </c>
      <c r="O302" s="156" t="s">
        <v>46</v>
      </c>
      <c r="P302" s="149" t="s">
        <v>21715</v>
      </c>
      <c r="Q302" s="158">
        <v>3</v>
      </c>
      <c r="R302" s="152"/>
      <c r="S302" s="149" t="s">
        <v>21716</v>
      </c>
      <c r="T302" s="151">
        <v>4</v>
      </c>
      <c r="U302" s="152"/>
      <c r="V302" s="149" t="s">
        <v>47</v>
      </c>
      <c r="W302" s="153"/>
      <c r="X302" s="152"/>
      <c r="Y302" s="149" t="s">
        <v>47</v>
      </c>
      <c r="Z302" s="153"/>
      <c r="AA302" s="152"/>
      <c r="AB302" s="154" t="s">
        <v>2845</v>
      </c>
    </row>
    <row r="303" spans="1:28" x14ac:dyDescent="0.2">
      <c r="A303" s="146" t="s">
        <v>21717</v>
      </c>
      <c r="B303" s="147" t="s">
        <v>6130</v>
      </c>
      <c r="C303" s="147" t="s">
        <v>6157</v>
      </c>
      <c r="D303" s="148"/>
      <c r="E303" s="149" t="s">
        <v>47</v>
      </c>
      <c r="F303" s="152"/>
      <c r="G303" s="149" t="s">
        <v>21718</v>
      </c>
      <c r="H303" s="157">
        <v>2</v>
      </c>
      <c r="I303" s="156" t="s">
        <v>40</v>
      </c>
      <c r="J303" s="149" t="s">
        <v>47</v>
      </c>
      <c r="K303" s="153"/>
      <c r="L303" s="152"/>
      <c r="M303" s="149" t="s">
        <v>47</v>
      </c>
      <c r="N303" s="153"/>
      <c r="O303" s="152"/>
      <c r="P303" s="149" t="s">
        <v>47</v>
      </c>
      <c r="Q303" s="153"/>
      <c r="R303" s="152"/>
      <c r="S303" s="149" t="s">
        <v>47</v>
      </c>
      <c r="T303" s="153"/>
      <c r="U303" s="152"/>
      <c r="V303" s="149" t="s">
        <v>47</v>
      </c>
      <c r="W303" s="153"/>
      <c r="X303" s="152"/>
      <c r="Y303" s="149" t="s">
        <v>47</v>
      </c>
      <c r="Z303" s="153"/>
      <c r="AA303" s="152"/>
      <c r="AB303" s="154" t="s">
        <v>21719</v>
      </c>
    </row>
    <row r="304" spans="1:28" x14ac:dyDescent="0.2">
      <c r="A304" s="146" t="s">
        <v>6774</v>
      </c>
      <c r="B304" s="147" t="s">
        <v>6130</v>
      </c>
      <c r="C304" s="147" t="s">
        <v>6184</v>
      </c>
      <c r="D304" s="148" t="s">
        <v>6132</v>
      </c>
      <c r="E304" s="149" t="s">
        <v>6615</v>
      </c>
      <c r="F304" s="159">
        <v>3</v>
      </c>
      <c r="G304" s="149" t="s">
        <v>6775</v>
      </c>
      <c r="H304" s="155">
        <v>1</v>
      </c>
      <c r="I304" s="156" t="s">
        <v>53</v>
      </c>
      <c r="J304" s="149" t="s">
        <v>2559</v>
      </c>
      <c r="K304" s="157">
        <v>2</v>
      </c>
      <c r="L304" s="156" t="s">
        <v>40</v>
      </c>
      <c r="M304" s="149" t="s">
        <v>6615</v>
      </c>
      <c r="N304" s="158">
        <v>3</v>
      </c>
      <c r="O304" s="152"/>
      <c r="P304" s="149" t="s">
        <v>16210</v>
      </c>
      <c r="Q304" s="151">
        <v>4</v>
      </c>
      <c r="R304" s="152"/>
      <c r="S304" s="149" t="s">
        <v>21720</v>
      </c>
      <c r="T304" s="158">
        <v>3</v>
      </c>
      <c r="U304" s="152"/>
      <c r="V304" s="149" t="s">
        <v>21721</v>
      </c>
      <c r="W304" s="158">
        <v>3</v>
      </c>
      <c r="X304" s="152"/>
      <c r="Y304" s="149" t="s">
        <v>736</v>
      </c>
      <c r="Z304" s="151">
        <v>4</v>
      </c>
      <c r="AA304" s="152"/>
      <c r="AB304" s="154" t="s">
        <v>2853</v>
      </c>
    </row>
    <row r="305" spans="1:28" x14ac:dyDescent="0.2">
      <c r="A305" s="146" t="s">
        <v>6776</v>
      </c>
      <c r="B305" s="147" t="s">
        <v>6130</v>
      </c>
      <c r="C305" s="147" t="s">
        <v>6683</v>
      </c>
      <c r="D305" s="148" t="s">
        <v>6160</v>
      </c>
      <c r="E305" s="149" t="s">
        <v>6777</v>
      </c>
      <c r="F305" s="160">
        <v>2</v>
      </c>
      <c r="G305" s="149" t="s">
        <v>21722</v>
      </c>
      <c r="H305" s="155">
        <v>1</v>
      </c>
      <c r="I305" s="156" t="s">
        <v>53</v>
      </c>
      <c r="J305" s="149" t="s">
        <v>21723</v>
      </c>
      <c r="K305" s="157">
        <v>2</v>
      </c>
      <c r="L305" s="152"/>
      <c r="M305" s="149" t="s">
        <v>6777</v>
      </c>
      <c r="N305" s="157">
        <v>2</v>
      </c>
      <c r="O305" s="156" t="s">
        <v>40</v>
      </c>
      <c r="P305" s="149" t="s">
        <v>6463</v>
      </c>
      <c r="Q305" s="151">
        <v>4</v>
      </c>
      <c r="R305" s="152"/>
      <c r="S305" s="149" t="s">
        <v>3894</v>
      </c>
      <c r="T305" s="151">
        <v>4</v>
      </c>
      <c r="U305" s="152"/>
      <c r="V305" s="149" t="s">
        <v>47</v>
      </c>
      <c r="W305" s="153"/>
      <c r="X305" s="152"/>
      <c r="Y305" s="149" t="s">
        <v>47</v>
      </c>
      <c r="Z305" s="153"/>
      <c r="AA305" s="152"/>
      <c r="AB305" s="154" t="s">
        <v>2864</v>
      </c>
    </row>
    <row r="306" spans="1:28" x14ac:dyDescent="0.2">
      <c r="A306" s="146" t="s">
        <v>6778</v>
      </c>
      <c r="B306" s="147" t="s">
        <v>6130</v>
      </c>
      <c r="C306" s="147" t="s">
        <v>6157</v>
      </c>
      <c r="D306" s="148"/>
      <c r="E306" s="149" t="s">
        <v>21724</v>
      </c>
      <c r="F306" s="159">
        <v>3</v>
      </c>
      <c r="G306" s="149" t="s">
        <v>21725</v>
      </c>
      <c r="H306" s="151">
        <v>4</v>
      </c>
      <c r="I306" s="156" t="s">
        <v>55</v>
      </c>
      <c r="J306" s="149" t="s">
        <v>21726</v>
      </c>
      <c r="K306" s="157">
        <v>2</v>
      </c>
      <c r="L306" s="152"/>
      <c r="M306" s="149" t="s">
        <v>21724</v>
      </c>
      <c r="N306" s="158">
        <v>3</v>
      </c>
      <c r="O306" s="156" t="s">
        <v>46</v>
      </c>
      <c r="P306" s="149" t="s">
        <v>21727</v>
      </c>
      <c r="Q306" s="151">
        <v>4</v>
      </c>
      <c r="R306" s="152"/>
      <c r="S306" s="149" t="s">
        <v>21728</v>
      </c>
      <c r="T306" s="155">
        <v>1</v>
      </c>
      <c r="U306" s="152"/>
      <c r="V306" s="149" t="s">
        <v>47</v>
      </c>
      <c r="W306" s="153"/>
      <c r="X306" s="152"/>
      <c r="Y306" s="149" t="s">
        <v>47</v>
      </c>
      <c r="Z306" s="153"/>
      <c r="AA306" s="152"/>
      <c r="AB306" s="154" t="s">
        <v>2873</v>
      </c>
    </row>
    <row r="307" spans="1:28" x14ac:dyDescent="0.2">
      <c r="A307" s="146" t="s">
        <v>6779</v>
      </c>
      <c r="B307" s="147" t="s">
        <v>6130</v>
      </c>
      <c r="C307" s="147" t="s">
        <v>6172</v>
      </c>
      <c r="D307" s="148"/>
      <c r="E307" s="149" t="s">
        <v>21729</v>
      </c>
      <c r="F307" s="160">
        <v>2</v>
      </c>
      <c r="G307" s="149" t="s">
        <v>21730</v>
      </c>
      <c r="H307" s="158">
        <v>3</v>
      </c>
      <c r="I307" s="156" t="s">
        <v>55</v>
      </c>
      <c r="J307" s="149" t="s">
        <v>21731</v>
      </c>
      <c r="K307" s="155">
        <v>1</v>
      </c>
      <c r="L307" s="156" t="s">
        <v>40</v>
      </c>
      <c r="M307" s="149" t="s">
        <v>21729</v>
      </c>
      <c r="N307" s="157">
        <v>2</v>
      </c>
      <c r="O307" s="152"/>
      <c r="P307" s="149" t="s">
        <v>5841</v>
      </c>
      <c r="Q307" s="151">
        <v>4</v>
      </c>
      <c r="R307" s="152"/>
      <c r="S307" s="149" t="s">
        <v>47</v>
      </c>
      <c r="T307" s="153"/>
      <c r="U307" s="152"/>
      <c r="V307" s="149" t="s">
        <v>47</v>
      </c>
      <c r="W307" s="153"/>
      <c r="X307" s="152"/>
      <c r="Y307" s="149" t="s">
        <v>47</v>
      </c>
      <c r="Z307" s="153"/>
      <c r="AA307" s="152"/>
      <c r="AB307" s="154" t="s">
        <v>2883</v>
      </c>
    </row>
    <row r="308" spans="1:28" x14ac:dyDescent="0.2">
      <c r="A308" s="146" t="s">
        <v>21732</v>
      </c>
      <c r="B308" s="147" t="s">
        <v>6130</v>
      </c>
      <c r="C308" s="147" t="s">
        <v>6192</v>
      </c>
      <c r="D308" s="148"/>
      <c r="E308" s="149" t="s">
        <v>21733</v>
      </c>
      <c r="F308" s="159">
        <v>3</v>
      </c>
      <c r="G308" s="149" t="s">
        <v>21734</v>
      </c>
      <c r="H308" s="157">
        <v>2</v>
      </c>
      <c r="I308" s="152"/>
      <c r="J308" s="149" t="s">
        <v>21735</v>
      </c>
      <c r="K308" s="155">
        <v>1</v>
      </c>
      <c r="L308" s="156" t="s">
        <v>53</v>
      </c>
      <c r="M308" s="149" t="s">
        <v>21733</v>
      </c>
      <c r="N308" s="158">
        <v>3</v>
      </c>
      <c r="O308" s="156" t="s">
        <v>40</v>
      </c>
      <c r="P308" s="149" t="s">
        <v>21736</v>
      </c>
      <c r="Q308" s="151">
        <v>4</v>
      </c>
      <c r="R308" s="152"/>
      <c r="S308" s="149" t="s">
        <v>21737</v>
      </c>
      <c r="T308" s="158">
        <v>3</v>
      </c>
      <c r="U308" s="152"/>
      <c r="V308" s="149" t="s">
        <v>21738</v>
      </c>
      <c r="W308" s="157">
        <v>2</v>
      </c>
      <c r="X308" s="152"/>
      <c r="Y308" s="149" t="s">
        <v>21739</v>
      </c>
      <c r="Z308" s="155">
        <v>1</v>
      </c>
      <c r="AA308" s="152"/>
      <c r="AB308" s="154" t="s">
        <v>13094</v>
      </c>
    </row>
    <row r="309" spans="1:28" x14ac:dyDescent="0.2">
      <c r="A309" s="146" t="s">
        <v>6780</v>
      </c>
      <c r="B309" s="147" t="s">
        <v>6130</v>
      </c>
      <c r="C309" s="147" t="s">
        <v>6203</v>
      </c>
      <c r="D309" s="148" t="s">
        <v>6170</v>
      </c>
      <c r="E309" s="149" t="s">
        <v>21740</v>
      </c>
      <c r="F309" s="150">
        <v>4</v>
      </c>
      <c r="G309" s="149" t="s">
        <v>21741</v>
      </c>
      <c r="H309" s="155">
        <v>1</v>
      </c>
      <c r="I309" s="156" t="s">
        <v>40</v>
      </c>
      <c r="J309" s="149" t="s">
        <v>21742</v>
      </c>
      <c r="K309" s="158">
        <v>3</v>
      </c>
      <c r="L309" s="156" t="s">
        <v>40</v>
      </c>
      <c r="M309" s="149" t="s">
        <v>21740</v>
      </c>
      <c r="N309" s="151">
        <v>4</v>
      </c>
      <c r="O309" s="152"/>
      <c r="P309" s="149" t="s">
        <v>21743</v>
      </c>
      <c r="Q309" s="151">
        <v>4</v>
      </c>
      <c r="R309" s="152"/>
      <c r="S309" s="149" t="s">
        <v>21744</v>
      </c>
      <c r="T309" s="158">
        <v>3</v>
      </c>
      <c r="U309" s="152"/>
      <c r="V309" s="149" t="s">
        <v>47</v>
      </c>
      <c r="W309" s="153"/>
      <c r="X309" s="152"/>
      <c r="Y309" s="149" t="s">
        <v>47</v>
      </c>
      <c r="Z309" s="153"/>
      <c r="AA309" s="152"/>
      <c r="AB309" s="154" t="s">
        <v>3027</v>
      </c>
    </row>
    <row r="310" spans="1:28" x14ac:dyDescent="0.2">
      <c r="A310" s="146" t="s">
        <v>6781</v>
      </c>
      <c r="B310" s="147" t="s">
        <v>6314</v>
      </c>
      <c r="C310" s="147" t="s">
        <v>6782</v>
      </c>
      <c r="D310" s="148"/>
      <c r="E310" s="149" t="s">
        <v>47</v>
      </c>
      <c r="F310" s="152"/>
      <c r="G310" s="149" t="s">
        <v>21745</v>
      </c>
      <c r="H310" s="158">
        <v>3</v>
      </c>
      <c r="I310" s="156" t="s">
        <v>46</v>
      </c>
      <c r="J310" s="149" t="s">
        <v>21746</v>
      </c>
      <c r="K310" s="158">
        <v>3</v>
      </c>
      <c r="L310" s="152"/>
      <c r="M310" s="149" t="s">
        <v>47</v>
      </c>
      <c r="N310" s="153"/>
      <c r="O310" s="152"/>
      <c r="P310" s="149" t="s">
        <v>47</v>
      </c>
      <c r="Q310" s="153"/>
      <c r="R310" s="152"/>
      <c r="S310" s="149" t="s">
        <v>47</v>
      </c>
      <c r="T310" s="153"/>
      <c r="U310" s="152"/>
      <c r="V310" s="149" t="s">
        <v>47</v>
      </c>
      <c r="W310" s="153"/>
      <c r="X310" s="152"/>
      <c r="Y310" s="149" t="s">
        <v>47</v>
      </c>
      <c r="Z310" s="153"/>
      <c r="AA310" s="152"/>
      <c r="AB310" s="154" t="s">
        <v>6783</v>
      </c>
    </row>
    <row r="311" spans="1:28" x14ac:dyDescent="0.2">
      <c r="A311" s="146" t="s">
        <v>6784</v>
      </c>
      <c r="B311" s="147" t="s">
        <v>6130</v>
      </c>
      <c r="C311" s="147" t="s">
        <v>6157</v>
      </c>
      <c r="D311" s="148"/>
      <c r="E311" s="149" t="s">
        <v>21747</v>
      </c>
      <c r="F311" s="159">
        <v>3</v>
      </c>
      <c r="G311" s="149" t="s">
        <v>21748</v>
      </c>
      <c r="H311" s="157">
        <v>2</v>
      </c>
      <c r="I311" s="156" t="s">
        <v>40</v>
      </c>
      <c r="J311" s="149" t="s">
        <v>21749</v>
      </c>
      <c r="K311" s="158">
        <v>3</v>
      </c>
      <c r="L311" s="152"/>
      <c r="M311" s="149" t="s">
        <v>21747</v>
      </c>
      <c r="N311" s="158">
        <v>3</v>
      </c>
      <c r="O311" s="156" t="s">
        <v>40</v>
      </c>
      <c r="P311" s="149" t="s">
        <v>21750</v>
      </c>
      <c r="Q311" s="158">
        <v>3</v>
      </c>
      <c r="R311" s="152"/>
      <c r="S311" s="149" t="s">
        <v>47</v>
      </c>
      <c r="T311" s="153"/>
      <c r="U311" s="152"/>
      <c r="V311" s="149" t="s">
        <v>47</v>
      </c>
      <c r="W311" s="153"/>
      <c r="X311" s="152"/>
      <c r="Y311" s="149" t="s">
        <v>47</v>
      </c>
      <c r="Z311" s="153"/>
      <c r="AA311" s="152"/>
      <c r="AB311" s="154" t="s">
        <v>3083</v>
      </c>
    </row>
    <row r="312" spans="1:28" x14ac:dyDescent="0.2">
      <c r="A312" s="146" t="s">
        <v>6785</v>
      </c>
      <c r="B312" s="147" t="s">
        <v>6130</v>
      </c>
      <c r="C312" s="147" t="s">
        <v>6277</v>
      </c>
      <c r="D312" s="148"/>
      <c r="E312" s="149" t="s">
        <v>21751</v>
      </c>
      <c r="F312" s="160">
        <v>2</v>
      </c>
      <c r="G312" s="149" t="s">
        <v>21752</v>
      </c>
      <c r="H312" s="157">
        <v>2</v>
      </c>
      <c r="I312" s="156" t="s">
        <v>46</v>
      </c>
      <c r="J312" s="149" t="s">
        <v>21753</v>
      </c>
      <c r="K312" s="155">
        <v>1</v>
      </c>
      <c r="L312" s="152"/>
      <c r="M312" s="149" t="s">
        <v>21751</v>
      </c>
      <c r="N312" s="157">
        <v>2</v>
      </c>
      <c r="O312" s="152"/>
      <c r="P312" s="149" t="s">
        <v>47</v>
      </c>
      <c r="Q312" s="153"/>
      <c r="R312" s="152"/>
      <c r="S312" s="149" t="s">
        <v>47</v>
      </c>
      <c r="T312" s="153"/>
      <c r="U312" s="152"/>
      <c r="V312" s="149" t="s">
        <v>47</v>
      </c>
      <c r="W312" s="153"/>
      <c r="X312" s="152"/>
      <c r="Y312" s="149" t="s">
        <v>47</v>
      </c>
      <c r="Z312" s="153"/>
      <c r="AA312" s="152"/>
      <c r="AB312" s="154" t="s">
        <v>3033</v>
      </c>
    </row>
    <row r="313" spans="1:28" x14ac:dyDescent="0.2">
      <c r="A313" s="146" t="s">
        <v>6786</v>
      </c>
      <c r="B313" s="147" t="s">
        <v>6130</v>
      </c>
      <c r="C313" s="147" t="s">
        <v>6259</v>
      </c>
      <c r="D313" s="148" t="s">
        <v>6136</v>
      </c>
      <c r="E313" s="149" t="s">
        <v>21754</v>
      </c>
      <c r="F313" s="150">
        <v>4</v>
      </c>
      <c r="G313" s="149" t="s">
        <v>21755</v>
      </c>
      <c r="H313" s="151">
        <v>4</v>
      </c>
      <c r="I313" s="156" t="s">
        <v>46</v>
      </c>
      <c r="J313" s="149" t="s">
        <v>21756</v>
      </c>
      <c r="K313" s="158">
        <v>3</v>
      </c>
      <c r="L313" s="152"/>
      <c r="M313" s="149" t="s">
        <v>21754</v>
      </c>
      <c r="N313" s="151">
        <v>4</v>
      </c>
      <c r="O313" s="156" t="s">
        <v>46</v>
      </c>
      <c r="P313" s="149" t="s">
        <v>21757</v>
      </c>
      <c r="Q313" s="158">
        <v>3</v>
      </c>
      <c r="R313" s="152"/>
      <c r="S313" s="149" t="s">
        <v>21758</v>
      </c>
      <c r="T313" s="158">
        <v>3</v>
      </c>
      <c r="U313" s="156" t="s">
        <v>46</v>
      </c>
      <c r="V313" s="149" t="s">
        <v>47</v>
      </c>
      <c r="W313" s="153"/>
      <c r="X313" s="152"/>
      <c r="Y313" s="149" t="s">
        <v>47</v>
      </c>
      <c r="Z313" s="153"/>
      <c r="AA313" s="152"/>
      <c r="AB313" s="154" t="s">
        <v>3066</v>
      </c>
    </row>
    <row r="314" spans="1:28" x14ac:dyDescent="0.2">
      <c r="A314" s="146" t="s">
        <v>6787</v>
      </c>
      <c r="B314" s="147" t="s">
        <v>6130</v>
      </c>
      <c r="C314" s="147" t="s">
        <v>6259</v>
      </c>
      <c r="D314" s="148"/>
      <c r="E314" s="149" t="s">
        <v>21759</v>
      </c>
      <c r="F314" s="159">
        <v>3</v>
      </c>
      <c r="G314" s="149" t="s">
        <v>21760</v>
      </c>
      <c r="H314" s="157">
        <v>2</v>
      </c>
      <c r="I314" s="156" t="s">
        <v>40</v>
      </c>
      <c r="J314" s="149" t="s">
        <v>21761</v>
      </c>
      <c r="K314" s="158">
        <v>3</v>
      </c>
      <c r="L314" s="152"/>
      <c r="M314" s="149" t="s">
        <v>21759</v>
      </c>
      <c r="N314" s="158">
        <v>3</v>
      </c>
      <c r="O314" s="152"/>
      <c r="P314" s="149" t="s">
        <v>47</v>
      </c>
      <c r="Q314" s="153"/>
      <c r="R314" s="152"/>
      <c r="S314" s="149" t="s">
        <v>47</v>
      </c>
      <c r="T314" s="153"/>
      <c r="U314" s="152"/>
      <c r="V314" s="149" t="s">
        <v>47</v>
      </c>
      <c r="W314" s="153"/>
      <c r="X314" s="152"/>
      <c r="Y314" s="149" t="s">
        <v>47</v>
      </c>
      <c r="Z314" s="153"/>
      <c r="AA314" s="152"/>
      <c r="AB314" s="154" t="s">
        <v>3080</v>
      </c>
    </row>
    <row r="315" spans="1:28" x14ac:dyDescent="0.2">
      <c r="A315" s="146" t="s">
        <v>6788</v>
      </c>
      <c r="B315" s="147" t="s">
        <v>6130</v>
      </c>
      <c r="C315" s="147" t="s">
        <v>6277</v>
      </c>
      <c r="D315" s="148"/>
      <c r="E315" s="149" t="s">
        <v>21762</v>
      </c>
      <c r="F315" s="150">
        <v>4</v>
      </c>
      <c r="G315" s="149" t="s">
        <v>21763</v>
      </c>
      <c r="H315" s="151">
        <v>4</v>
      </c>
      <c r="I315" s="156" t="s">
        <v>46</v>
      </c>
      <c r="J315" s="149" t="s">
        <v>21764</v>
      </c>
      <c r="K315" s="151">
        <v>4</v>
      </c>
      <c r="L315" s="152"/>
      <c r="M315" s="149" t="s">
        <v>21762</v>
      </c>
      <c r="N315" s="151">
        <v>4</v>
      </c>
      <c r="O315" s="152"/>
      <c r="P315" s="149" t="s">
        <v>47</v>
      </c>
      <c r="Q315" s="153"/>
      <c r="R315" s="152"/>
      <c r="S315" s="149" t="s">
        <v>47</v>
      </c>
      <c r="T315" s="153"/>
      <c r="U315" s="152"/>
      <c r="V315" s="149" t="s">
        <v>47</v>
      </c>
      <c r="W315" s="153"/>
      <c r="X315" s="152"/>
      <c r="Y315" s="149" t="s">
        <v>47</v>
      </c>
      <c r="Z315" s="153"/>
      <c r="AA315" s="152"/>
      <c r="AB315" s="154" t="s">
        <v>3074</v>
      </c>
    </row>
    <row r="316" spans="1:28" x14ac:dyDescent="0.2">
      <c r="A316" s="146" t="s">
        <v>6789</v>
      </c>
      <c r="B316" s="147" t="s">
        <v>6130</v>
      </c>
      <c r="C316" s="147" t="s">
        <v>6315</v>
      </c>
      <c r="D316" s="148"/>
      <c r="E316" s="149" t="s">
        <v>21765</v>
      </c>
      <c r="F316" s="150">
        <v>4</v>
      </c>
      <c r="G316" s="149" t="s">
        <v>21766</v>
      </c>
      <c r="H316" s="151">
        <v>4</v>
      </c>
      <c r="I316" s="152"/>
      <c r="J316" s="149" t="s">
        <v>14874</v>
      </c>
      <c r="K316" s="151">
        <v>4</v>
      </c>
      <c r="L316" s="152"/>
      <c r="M316" s="149" t="s">
        <v>21765</v>
      </c>
      <c r="N316" s="151">
        <v>4</v>
      </c>
      <c r="O316" s="152"/>
      <c r="P316" s="149" t="s">
        <v>47</v>
      </c>
      <c r="Q316" s="153"/>
      <c r="R316" s="152"/>
      <c r="S316" s="149" t="s">
        <v>47</v>
      </c>
      <c r="T316" s="153"/>
      <c r="U316" s="152"/>
      <c r="V316" s="149" t="s">
        <v>47</v>
      </c>
      <c r="W316" s="153"/>
      <c r="X316" s="152"/>
      <c r="Y316" s="149" t="s">
        <v>47</v>
      </c>
      <c r="Z316" s="153"/>
      <c r="AA316" s="152"/>
      <c r="AB316" s="154" t="s">
        <v>3078</v>
      </c>
    </row>
    <row r="317" spans="1:28" x14ac:dyDescent="0.2">
      <c r="A317" s="146" t="s">
        <v>6790</v>
      </c>
      <c r="B317" s="147" t="s">
        <v>6130</v>
      </c>
      <c r="C317" s="147" t="s">
        <v>6206</v>
      </c>
      <c r="D317" s="148"/>
      <c r="E317" s="149" t="s">
        <v>21767</v>
      </c>
      <c r="F317" s="160">
        <v>2</v>
      </c>
      <c r="G317" s="149" t="s">
        <v>21768</v>
      </c>
      <c r="H317" s="158">
        <v>3</v>
      </c>
      <c r="I317" s="152"/>
      <c r="J317" s="149" t="s">
        <v>21769</v>
      </c>
      <c r="K317" s="158">
        <v>3</v>
      </c>
      <c r="L317" s="152"/>
      <c r="M317" s="149" t="s">
        <v>21767</v>
      </c>
      <c r="N317" s="157">
        <v>2</v>
      </c>
      <c r="O317" s="152"/>
      <c r="P317" s="149" t="s">
        <v>47</v>
      </c>
      <c r="Q317" s="153"/>
      <c r="R317" s="152"/>
      <c r="S317" s="149" t="s">
        <v>47</v>
      </c>
      <c r="T317" s="153"/>
      <c r="U317" s="152"/>
      <c r="V317" s="149" t="s">
        <v>47</v>
      </c>
      <c r="W317" s="153"/>
      <c r="X317" s="152"/>
      <c r="Y317" s="149" t="s">
        <v>47</v>
      </c>
      <c r="Z317" s="153"/>
      <c r="AA317" s="152"/>
      <c r="AB317" s="154" t="s">
        <v>3086</v>
      </c>
    </row>
    <row r="318" spans="1:28" x14ac:dyDescent="0.2">
      <c r="A318" s="146" t="s">
        <v>6791</v>
      </c>
      <c r="B318" s="147" t="s">
        <v>6130</v>
      </c>
      <c r="C318" s="147" t="s">
        <v>6157</v>
      </c>
      <c r="D318" s="148"/>
      <c r="E318" s="149" t="s">
        <v>21770</v>
      </c>
      <c r="F318" s="159">
        <v>3</v>
      </c>
      <c r="G318" s="149" t="s">
        <v>21771</v>
      </c>
      <c r="H318" s="157">
        <v>2</v>
      </c>
      <c r="I318" s="156" t="s">
        <v>53</v>
      </c>
      <c r="J318" s="149" t="s">
        <v>21772</v>
      </c>
      <c r="K318" s="158">
        <v>3</v>
      </c>
      <c r="L318" s="156" t="s">
        <v>40</v>
      </c>
      <c r="M318" s="149" t="s">
        <v>21770</v>
      </c>
      <c r="N318" s="158">
        <v>3</v>
      </c>
      <c r="O318" s="156" t="s">
        <v>40</v>
      </c>
      <c r="P318" s="149" t="s">
        <v>21773</v>
      </c>
      <c r="Q318" s="158">
        <v>3</v>
      </c>
      <c r="R318" s="152"/>
      <c r="S318" s="149" t="s">
        <v>47</v>
      </c>
      <c r="T318" s="153"/>
      <c r="U318" s="152"/>
      <c r="V318" s="149" t="s">
        <v>47</v>
      </c>
      <c r="W318" s="153"/>
      <c r="X318" s="152"/>
      <c r="Y318" s="149" t="s">
        <v>47</v>
      </c>
      <c r="Z318" s="153"/>
      <c r="AA318" s="152"/>
      <c r="AB318" s="154" t="s">
        <v>3091</v>
      </c>
    </row>
    <row r="319" spans="1:28" x14ac:dyDescent="0.2">
      <c r="A319" s="146" t="s">
        <v>6792</v>
      </c>
      <c r="B319" s="147" t="s">
        <v>6130</v>
      </c>
      <c r="C319" s="147" t="s">
        <v>6793</v>
      </c>
      <c r="D319" s="148"/>
      <c r="E319" s="149" t="s">
        <v>21774</v>
      </c>
      <c r="F319" s="150">
        <v>4</v>
      </c>
      <c r="G319" s="149" t="s">
        <v>21775</v>
      </c>
      <c r="H319" s="158">
        <v>3</v>
      </c>
      <c r="I319" s="152"/>
      <c r="J319" s="149" t="s">
        <v>21776</v>
      </c>
      <c r="K319" s="151">
        <v>4</v>
      </c>
      <c r="L319" s="152"/>
      <c r="M319" s="149" t="s">
        <v>21774</v>
      </c>
      <c r="N319" s="151">
        <v>4</v>
      </c>
      <c r="O319" s="156" t="s">
        <v>46</v>
      </c>
      <c r="P319" s="149" t="s">
        <v>9072</v>
      </c>
      <c r="Q319" s="158">
        <v>3</v>
      </c>
      <c r="R319" s="156" t="s">
        <v>46</v>
      </c>
      <c r="S319" s="149" t="s">
        <v>47</v>
      </c>
      <c r="T319" s="153"/>
      <c r="U319" s="152"/>
      <c r="V319" s="149" t="s">
        <v>47</v>
      </c>
      <c r="W319" s="153"/>
      <c r="X319" s="152"/>
      <c r="Y319" s="149" t="s">
        <v>47</v>
      </c>
      <c r="Z319" s="153"/>
      <c r="AA319" s="152"/>
      <c r="AB319" s="154" t="s">
        <v>3098</v>
      </c>
    </row>
    <row r="320" spans="1:28" x14ac:dyDescent="0.2">
      <c r="A320" s="146" t="s">
        <v>21777</v>
      </c>
      <c r="B320" s="147" t="s">
        <v>6130</v>
      </c>
      <c r="C320" s="147" t="s">
        <v>6328</v>
      </c>
      <c r="D320" s="148" t="s">
        <v>6160</v>
      </c>
      <c r="E320" s="149" t="s">
        <v>21778</v>
      </c>
      <c r="F320" s="160">
        <v>2</v>
      </c>
      <c r="G320" s="149" t="s">
        <v>6794</v>
      </c>
      <c r="H320" s="158">
        <v>3</v>
      </c>
      <c r="I320" s="156" t="s">
        <v>55</v>
      </c>
      <c r="J320" s="149" t="s">
        <v>21779</v>
      </c>
      <c r="K320" s="157">
        <v>2</v>
      </c>
      <c r="L320" s="156" t="s">
        <v>46</v>
      </c>
      <c r="M320" s="149" t="s">
        <v>21778</v>
      </c>
      <c r="N320" s="157">
        <v>2</v>
      </c>
      <c r="O320" s="156" t="s">
        <v>46</v>
      </c>
      <c r="P320" s="149" t="s">
        <v>21780</v>
      </c>
      <c r="Q320" s="157">
        <v>2</v>
      </c>
      <c r="R320" s="156" t="s">
        <v>46</v>
      </c>
      <c r="S320" s="149" t="s">
        <v>21781</v>
      </c>
      <c r="T320" s="157">
        <v>2</v>
      </c>
      <c r="U320" s="152"/>
      <c r="V320" s="149" t="s">
        <v>47</v>
      </c>
      <c r="W320" s="153"/>
      <c r="X320" s="152"/>
      <c r="Y320" s="149" t="s">
        <v>47</v>
      </c>
      <c r="Z320" s="153"/>
      <c r="AA320" s="152"/>
      <c r="AB320" s="154" t="s">
        <v>3112</v>
      </c>
    </row>
    <row r="321" spans="1:28" x14ac:dyDescent="0.2">
      <c r="A321" s="146" t="s">
        <v>6795</v>
      </c>
      <c r="B321" s="147" t="s">
        <v>6130</v>
      </c>
      <c r="C321" s="147" t="s">
        <v>6277</v>
      </c>
      <c r="D321" s="148" t="s">
        <v>6160</v>
      </c>
      <c r="E321" s="149" t="s">
        <v>21782</v>
      </c>
      <c r="F321" s="160">
        <v>2</v>
      </c>
      <c r="G321" s="149" t="s">
        <v>21783</v>
      </c>
      <c r="H321" s="158">
        <v>3</v>
      </c>
      <c r="I321" s="156" t="s">
        <v>55</v>
      </c>
      <c r="J321" s="149" t="s">
        <v>21784</v>
      </c>
      <c r="K321" s="157">
        <v>2</v>
      </c>
      <c r="L321" s="152"/>
      <c r="M321" s="149" t="s">
        <v>21782</v>
      </c>
      <c r="N321" s="157">
        <v>2</v>
      </c>
      <c r="O321" s="156" t="s">
        <v>40</v>
      </c>
      <c r="P321" s="149" t="s">
        <v>21785</v>
      </c>
      <c r="Q321" s="151">
        <v>4</v>
      </c>
      <c r="R321" s="152"/>
      <c r="S321" s="149" t="s">
        <v>21786</v>
      </c>
      <c r="T321" s="158">
        <v>3</v>
      </c>
      <c r="U321" s="152"/>
      <c r="V321" s="149" t="s">
        <v>21787</v>
      </c>
      <c r="W321" s="158">
        <v>3</v>
      </c>
      <c r="X321" s="152"/>
      <c r="Y321" s="149" t="s">
        <v>47</v>
      </c>
      <c r="Z321" s="153"/>
      <c r="AA321" s="152"/>
      <c r="AB321" s="154" t="s">
        <v>3119</v>
      </c>
    </row>
    <row r="322" spans="1:28" x14ac:dyDescent="0.2">
      <c r="A322" s="146" t="s">
        <v>21788</v>
      </c>
      <c r="B322" s="147" t="s">
        <v>6314</v>
      </c>
      <c r="C322" s="147" t="s">
        <v>6159</v>
      </c>
      <c r="D322" s="148" t="s">
        <v>6136</v>
      </c>
      <c r="E322" s="149" t="s">
        <v>21789</v>
      </c>
      <c r="F322" s="160">
        <v>2</v>
      </c>
      <c r="G322" s="149" t="s">
        <v>21790</v>
      </c>
      <c r="H322" s="157">
        <v>2</v>
      </c>
      <c r="I322" s="152"/>
      <c r="J322" s="149" t="s">
        <v>21791</v>
      </c>
      <c r="K322" s="157">
        <v>2</v>
      </c>
      <c r="L322" s="152"/>
      <c r="M322" s="149" t="s">
        <v>21789</v>
      </c>
      <c r="N322" s="157">
        <v>2</v>
      </c>
      <c r="O322" s="156" t="s">
        <v>40</v>
      </c>
      <c r="P322" s="149" t="s">
        <v>21792</v>
      </c>
      <c r="Q322" s="157">
        <v>2</v>
      </c>
      <c r="R322" s="152"/>
      <c r="S322" s="149" t="s">
        <v>21793</v>
      </c>
      <c r="T322" s="157">
        <v>2</v>
      </c>
      <c r="U322" s="152"/>
      <c r="V322" s="149" t="s">
        <v>47</v>
      </c>
      <c r="W322" s="153"/>
      <c r="X322" s="152"/>
      <c r="Y322" s="149" t="s">
        <v>47</v>
      </c>
      <c r="Z322" s="153"/>
      <c r="AA322" s="152"/>
      <c r="AB322" s="154" t="s">
        <v>3139</v>
      </c>
    </row>
    <row r="323" spans="1:28" x14ac:dyDescent="0.2">
      <c r="A323" s="146" t="s">
        <v>6796</v>
      </c>
      <c r="B323" s="147" t="s">
        <v>6130</v>
      </c>
      <c r="C323" s="147" t="s">
        <v>6203</v>
      </c>
      <c r="D323" s="148" t="s">
        <v>6132</v>
      </c>
      <c r="E323" s="149" t="s">
        <v>21794</v>
      </c>
      <c r="F323" s="160">
        <v>2</v>
      </c>
      <c r="G323" s="149" t="s">
        <v>21795</v>
      </c>
      <c r="H323" s="158">
        <v>3</v>
      </c>
      <c r="I323" s="156" t="s">
        <v>46</v>
      </c>
      <c r="J323" s="149" t="s">
        <v>21796</v>
      </c>
      <c r="K323" s="158">
        <v>3</v>
      </c>
      <c r="L323" s="156" t="s">
        <v>46</v>
      </c>
      <c r="M323" s="149" t="s">
        <v>21794</v>
      </c>
      <c r="N323" s="157">
        <v>2</v>
      </c>
      <c r="O323" s="152"/>
      <c r="P323" s="149" t="s">
        <v>21797</v>
      </c>
      <c r="Q323" s="157">
        <v>2</v>
      </c>
      <c r="R323" s="156" t="s">
        <v>46</v>
      </c>
      <c r="S323" s="149" t="s">
        <v>21798</v>
      </c>
      <c r="T323" s="157">
        <v>2</v>
      </c>
      <c r="U323" s="152"/>
      <c r="V323" s="149" t="s">
        <v>21799</v>
      </c>
      <c r="W323" s="155">
        <v>1</v>
      </c>
      <c r="X323" s="152"/>
      <c r="Y323" s="149" t="s">
        <v>47</v>
      </c>
      <c r="Z323" s="153"/>
      <c r="AA323" s="152"/>
      <c r="AB323" s="154" t="s">
        <v>3150</v>
      </c>
    </row>
    <row r="324" spans="1:28" x14ac:dyDescent="0.2">
      <c r="A324" s="146" t="s">
        <v>6797</v>
      </c>
      <c r="B324" s="147" t="s">
        <v>6130</v>
      </c>
      <c r="C324" s="147" t="s">
        <v>6206</v>
      </c>
      <c r="D324" s="148" t="s">
        <v>6136</v>
      </c>
      <c r="E324" s="149" t="s">
        <v>21800</v>
      </c>
      <c r="F324" s="160">
        <v>2</v>
      </c>
      <c r="G324" s="149" t="s">
        <v>21801</v>
      </c>
      <c r="H324" s="158">
        <v>3</v>
      </c>
      <c r="I324" s="156" t="s">
        <v>46</v>
      </c>
      <c r="J324" s="149" t="s">
        <v>21802</v>
      </c>
      <c r="K324" s="158">
        <v>3</v>
      </c>
      <c r="L324" s="152"/>
      <c r="M324" s="149" t="s">
        <v>21800</v>
      </c>
      <c r="N324" s="157">
        <v>2</v>
      </c>
      <c r="O324" s="152"/>
      <c r="P324" s="149" t="s">
        <v>21803</v>
      </c>
      <c r="Q324" s="157">
        <v>2</v>
      </c>
      <c r="R324" s="152"/>
      <c r="S324" s="149" t="s">
        <v>21804</v>
      </c>
      <c r="T324" s="157">
        <v>2</v>
      </c>
      <c r="U324" s="152"/>
      <c r="V324" s="149" t="s">
        <v>21805</v>
      </c>
      <c r="W324" s="157">
        <v>2</v>
      </c>
      <c r="X324" s="152"/>
      <c r="Y324" s="149" t="s">
        <v>47</v>
      </c>
      <c r="Z324" s="153"/>
      <c r="AA324" s="152"/>
      <c r="AB324" s="154" t="s">
        <v>3163</v>
      </c>
    </row>
    <row r="325" spans="1:28" x14ac:dyDescent="0.2">
      <c r="A325" s="146" t="s">
        <v>6798</v>
      </c>
      <c r="B325" s="147" t="s">
        <v>6130</v>
      </c>
      <c r="C325" s="147" t="s">
        <v>6342</v>
      </c>
      <c r="D325" s="148" t="s">
        <v>6132</v>
      </c>
      <c r="E325" s="149" t="s">
        <v>21806</v>
      </c>
      <c r="F325" s="159">
        <v>3</v>
      </c>
      <c r="G325" s="149" t="s">
        <v>21807</v>
      </c>
      <c r="H325" s="158">
        <v>3</v>
      </c>
      <c r="I325" s="152"/>
      <c r="J325" s="149" t="s">
        <v>21808</v>
      </c>
      <c r="K325" s="158">
        <v>3</v>
      </c>
      <c r="L325" s="152"/>
      <c r="M325" s="149" t="s">
        <v>21806</v>
      </c>
      <c r="N325" s="158">
        <v>3</v>
      </c>
      <c r="O325" s="152"/>
      <c r="P325" s="149" t="s">
        <v>21809</v>
      </c>
      <c r="Q325" s="158">
        <v>3</v>
      </c>
      <c r="R325" s="152"/>
      <c r="S325" s="149" t="s">
        <v>21810</v>
      </c>
      <c r="T325" s="157">
        <v>2</v>
      </c>
      <c r="U325" s="156" t="s">
        <v>40</v>
      </c>
      <c r="V325" s="149" t="s">
        <v>21811</v>
      </c>
      <c r="W325" s="158">
        <v>3</v>
      </c>
      <c r="X325" s="152"/>
      <c r="Y325" s="149" t="s">
        <v>47</v>
      </c>
      <c r="Z325" s="153"/>
      <c r="AA325" s="152"/>
      <c r="AB325" s="154" t="s">
        <v>3177</v>
      </c>
    </row>
    <row r="326" spans="1:28" x14ac:dyDescent="0.2">
      <c r="A326" s="146" t="s">
        <v>6799</v>
      </c>
      <c r="B326" s="147" t="s">
        <v>6130</v>
      </c>
      <c r="C326" s="147" t="s">
        <v>6227</v>
      </c>
      <c r="D326" s="148" t="s">
        <v>6132</v>
      </c>
      <c r="E326" s="149" t="s">
        <v>21812</v>
      </c>
      <c r="F326" s="160">
        <v>2</v>
      </c>
      <c r="G326" s="149" t="s">
        <v>21813</v>
      </c>
      <c r="H326" s="157">
        <v>2</v>
      </c>
      <c r="I326" s="156" t="s">
        <v>40</v>
      </c>
      <c r="J326" s="149" t="s">
        <v>21814</v>
      </c>
      <c r="K326" s="158">
        <v>3</v>
      </c>
      <c r="L326" s="152"/>
      <c r="M326" s="149" t="s">
        <v>21812</v>
      </c>
      <c r="N326" s="157">
        <v>2</v>
      </c>
      <c r="O326" s="152"/>
      <c r="P326" s="149" t="s">
        <v>21815</v>
      </c>
      <c r="Q326" s="158">
        <v>3</v>
      </c>
      <c r="R326" s="156" t="s">
        <v>46</v>
      </c>
      <c r="S326" s="149" t="s">
        <v>21816</v>
      </c>
      <c r="T326" s="157">
        <v>2</v>
      </c>
      <c r="U326" s="152"/>
      <c r="V326" s="149" t="s">
        <v>21817</v>
      </c>
      <c r="W326" s="157">
        <v>2</v>
      </c>
      <c r="X326" s="152"/>
      <c r="Y326" s="149" t="s">
        <v>47</v>
      </c>
      <c r="Z326" s="153"/>
      <c r="AA326" s="152"/>
      <c r="AB326" s="154" t="s">
        <v>3193</v>
      </c>
    </row>
    <row r="327" spans="1:28" x14ac:dyDescent="0.2">
      <c r="A327" s="146" t="s">
        <v>6800</v>
      </c>
      <c r="B327" s="147" t="s">
        <v>6130</v>
      </c>
      <c r="C327" s="147" t="s">
        <v>6236</v>
      </c>
      <c r="D327" s="148" t="s">
        <v>6160</v>
      </c>
      <c r="E327" s="149" t="s">
        <v>21818</v>
      </c>
      <c r="F327" s="150">
        <v>4</v>
      </c>
      <c r="G327" s="149" t="s">
        <v>21819</v>
      </c>
      <c r="H327" s="157">
        <v>2</v>
      </c>
      <c r="I327" s="156" t="s">
        <v>53</v>
      </c>
      <c r="J327" s="149" t="s">
        <v>21820</v>
      </c>
      <c r="K327" s="151">
        <v>4</v>
      </c>
      <c r="L327" s="152"/>
      <c r="M327" s="149" t="s">
        <v>21818</v>
      </c>
      <c r="N327" s="151">
        <v>4</v>
      </c>
      <c r="O327" s="152"/>
      <c r="P327" s="149" t="s">
        <v>21821</v>
      </c>
      <c r="Q327" s="158">
        <v>3</v>
      </c>
      <c r="R327" s="156" t="s">
        <v>40</v>
      </c>
      <c r="S327" s="149" t="s">
        <v>21822</v>
      </c>
      <c r="T327" s="151">
        <v>4</v>
      </c>
      <c r="U327" s="152"/>
      <c r="V327" s="149" t="s">
        <v>21823</v>
      </c>
      <c r="W327" s="158">
        <v>3</v>
      </c>
      <c r="X327" s="152"/>
      <c r="Y327" s="149" t="s">
        <v>47</v>
      </c>
      <c r="Z327" s="153"/>
      <c r="AA327" s="152"/>
      <c r="AB327" s="154" t="s">
        <v>3216</v>
      </c>
    </row>
    <row r="328" spans="1:28" x14ac:dyDescent="0.2">
      <c r="A328" s="146" t="s">
        <v>6801</v>
      </c>
      <c r="B328" s="147" t="s">
        <v>6314</v>
      </c>
      <c r="C328" s="147" t="s">
        <v>6157</v>
      </c>
      <c r="D328" s="148" t="s">
        <v>6132</v>
      </c>
      <c r="E328" s="149" t="s">
        <v>21824</v>
      </c>
      <c r="F328" s="159">
        <v>3</v>
      </c>
      <c r="G328" s="149" t="s">
        <v>21825</v>
      </c>
      <c r="H328" s="157">
        <v>2</v>
      </c>
      <c r="I328" s="156" t="s">
        <v>40</v>
      </c>
      <c r="J328" s="149" t="s">
        <v>21826</v>
      </c>
      <c r="K328" s="158">
        <v>3</v>
      </c>
      <c r="L328" s="156" t="s">
        <v>40</v>
      </c>
      <c r="M328" s="149" t="s">
        <v>21824</v>
      </c>
      <c r="N328" s="158">
        <v>3</v>
      </c>
      <c r="O328" s="152"/>
      <c r="P328" s="149" t="s">
        <v>21827</v>
      </c>
      <c r="Q328" s="157">
        <v>2</v>
      </c>
      <c r="R328" s="152"/>
      <c r="S328" s="149" t="s">
        <v>21828</v>
      </c>
      <c r="T328" s="155">
        <v>1</v>
      </c>
      <c r="U328" s="152"/>
      <c r="V328" s="149" t="s">
        <v>47</v>
      </c>
      <c r="W328" s="153"/>
      <c r="X328" s="152"/>
      <c r="Y328" s="149" t="s">
        <v>47</v>
      </c>
      <c r="Z328" s="153"/>
      <c r="AA328" s="152"/>
      <c r="AB328" s="154" t="s">
        <v>3232</v>
      </c>
    </row>
    <row r="329" spans="1:28" x14ac:dyDescent="0.2">
      <c r="A329" s="146" t="s">
        <v>6802</v>
      </c>
      <c r="B329" s="147" t="s">
        <v>6130</v>
      </c>
      <c r="C329" s="147" t="s">
        <v>6227</v>
      </c>
      <c r="D329" s="148" t="s">
        <v>6163</v>
      </c>
      <c r="E329" s="149" t="s">
        <v>21829</v>
      </c>
      <c r="F329" s="160">
        <v>2</v>
      </c>
      <c r="G329" s="149" t="s">
        <v>21830</v>
      </c>
      <c r="H329" s="158">
        <v>3</v>
      </c>
      <c r="I329" s="156" t="s">
        <v>46</v>
      </c>
      <c r="J329" s="149" t="s">
        <v>21831</v>
      </c>
      <c r="K329" s="157">
        <v>2</v>
      </c>
      <c r="L329" s="152"/>
      <c r="M329" s="149" t="s">
        <v>21829</v>
      </c>
      <c r="N329" s="157">
        <v>2</v>
      </c>
      <c r="O329" s="152"/>
      <c r="P329" s="149" t="s">
        <v>21832</v>
      </c>
      <c r="Q329" s="158">
        <v>3</v>
      </c>
      <c r="R329" s="156" t="s">
        <v>46</v>
      </c>
      <c r="S329" s="149" t="s">
        <v>21833</v>
      </c>
      <c r="T329" s="155">
        <v>1</v>
      </c>
      <c r="U329" s="152"/>
      <c r="V329" s="149" t="s">
        <v>47</v>
      </c>
      <c r="W329" s="153"/>
      <c r="X329" s="152"/>
      <c r="Y329" s="149" t="s">
        <v>47</v>
      </c>
      <c r="Z329" s="153"/>
      <c r="AA329" s="152"/>
      <c r="AB329" s="154" t="s">
        <v>3244</v>
      </c>
    </row>
    <row r="330" spans="1:28" x14ac:dyDescent="0.2">
      <c r="A330" s="146" t="s">
        <v>3042</v>
      </c>
      <c r="B330" s="147" t="s">
        <v>6130</v>
      </c>
      <c r="C330" s="147" t="s">
        <v>6659</v>
      </c>
      <c r="D330" s="148" t="s">
        <v>6136</v>
      </c>
      <c r="E330" s="149" t="s">
        <v>20928</v>
      </c>
      <c r="F330" s="159">
        <v>3</v>
      </c>
      <c r="G330" s="149" t="s">
        <v>21834</v>
      </c>
      <c r="H330" s="157">
        <v>2</v>
      </c>
      <c r="I330" s="156" t="s">
        <v>40</v>
      </c>
      <c r="J330" s="149" t="s">
        <v>21835</v>
      </c>
      <c r="K330" s="157">
        <v>2</v>
      </c>
      <c r="L330" s="156" t="s">
        <v>40</v>
      </c>
      <c r="M330" s="149" t="s">
        <v>20928</v>
      </c>
      <c r="N330" s="158">
        <v>3</v>
      </c>
      <c r="O330" s="152"/>
      <c r="P330" s="149" t="s">
        <v>6803</v>
      </c>
      <c r="Q330" s="157">
        <v>2</v>
      </c>
      <c r="R330" s="152"/>
      <c r="S330" s="149" t="s">
        <v>13514</v>
      </c>
      <c r="T330" s="158">
        <v>3</v>
      </c>
      <c r="U330" s="152"/>
      <c r="V330" s="149" t="s">
        <v>21836</v>
      </c>
      <c r="W330" s="157">
        <v>2</v>
      </c>
      <c r="X330" s="156" t="s">
        <v>40</v>
      </c>
      <c r="Y330" s="149" t="s">
        <v>452</v>
      </c>
      <c r="Z330" s="157">
        <v>2</v>
      </c>
      <c r="AA330" s="152"/>
      <c r="AB330" s="154" t="s">
        <v>3044</v>
      </c>
    </row>
    <row r="331" spans="1:28" x14ac:dyDescent="0.2">
      <c r="A331" s="146" t="s">
        <v>3048</v>
      </c>
      <c r="B331" s="147" t="s">
        <v>6130</v>
      </c>
      <c r="C331" s="147" t="s">
        <v>6659</v>
      </c>
      <c r="D331" s="148" t="s">
        <v>6170</v>
      </c>
      <c r="E331" s="149" t="s">
        <v>6804</v>
      </c>
      <c r="F331" s="160">
        <v>2</v>
      </c>
      <c r="G331" s="149" t="s">
        <v>21837</v>
      </c>
      <c r="H331" s="155">
        <v>1</v>
      </c>
      <c r="I331" s="156" t="s">
        <v>53</v>
      </c>
      <c r="J331" s="149" t="s">
        <v>6420</v>
      </c>
      <c r="K331" s="157">
        <v>2</v>
      </c>
      <c r="L331" s="156" t="s">
        <v>40</v>
      </c>
      <c r="M331" s="149" t="s">
        <v>6804</v>
      </c>
      <c r="N331" s="157">
        <v>2</v>
      </c>
      <c r="O331" s="152"/>
      <c r="P331" s="149" t="s">
        <v>6656</v>
      </c>
      <c r="Q331" s="155">
        <v>1</v>
      </c>
      <c r="R331" s="156" t="s">
        <v>40</v>
      </c>
      <c r="S331" s="149" t="s">
        <v>6805</v>
      </c>
      <c r="T331" s="151">
        <v>4</v>
      </c>
      <c r="U331" s="152"/>
      <c r="V331" s="149" t="s">
        <v>3911</v>
      </c>
      <c r="W331" s="151">
        <v>4</v>
      </c>
      <c r="X331" s="152"/>
      <c r="Y331" s="149" t="s">
        <v>47</v>
      </c>
      <c r="Z331" s="153"/>
      <c r="AA331" s="152"/>
      <c r="AB331" s="154" t="s">
        <v>3049</v>
      </c>
    </row>
    <row r="332" spans="1:28" x14ac:dyDescent="0.2">
      <c r="A332" s="146" t="s">
        <v>21838</v>
      </c>
      <c r="B332" s="147" t="s">
        <v>6130</v>
      </c>
      <c r="C332" s="147" t="s">
        <v>6659</v>
      </c>
      <c r="D332" s="148"/>
      <c r="E332" s="149" t="s">
        <v>6806</v>
      </c>
      <c r="F332" s="150">
        <v>4</v>
      </c>
      <c r="G332" s="149" t="s">
        <v>6807</v>
      </c>
      <c r="H332" s="155">
        <v>1</v>
      </c>
      <c r="I332" s="156" t="s">
        <v>53</v>
      </c>
      <c r="J332" s="149" t="s">
        <v>21839</v>
      </c>
      <c r="K332" s="158">
        <v>3</v>
      </c>
      <c r="L332" s="156" t="s">
        <v>40</v>
      </c>
      <c r="M332" s="149" t="s">
        <v>6806</v>
      </c>
      <c r="N332" s="151">
        <v>4</v>
      </c>
      <c r="O332" s="152"/>
      <c r="P332" s="149" t="s">
        <v>6808</v>
      </c>
      <c r="Q332" s="155">
        <v>1</v>
      </c>
      <c r="R332" s="156" t="s">
        <v>157</v>
      </c>
      <c r="S332" s="149" t="s">
        <v>47</v>
      </c>
      <c r="T332" s="153"/>
      <c r="U332" s="152"/>
      <c r="V332" s="149" t="s">
        <v>47</v>
      </c>
      <c r="W332" s="153"/>
      <c r="X332" s="152"/>
      <c r="Y332" s="149" t="s">
        <v>47</v>
      </c>
      <c r="Z332" s="153"/>
      <c r="AA332" s="152"/>
      <c r="AB332" s="154" t="s">
        <v>6809</v>
      </c>
    </row>
    <row r="333" spans="1:28" x14ac:dyDescent="0.2">
      <c r="A333" s="146" t="s">
        <v>6810</v>
      </c>
      <c r="B333" s="147" t="s">
        <v>6130</v>
      </c>
      <c r="C333" s="147" t="s">
        <v>6277</v>
      </c>
      <c r="D333" s="148"/>
      <c r="E333" s="149" t="s">
        <v>21840</v>
      </c>
      <c r="F333" s="161">
        <v>1</v>
      </c>
      <c r="G333" s="149" t="s">
        <v>21841</v>
      </c>
      <c r="H333" s="157">
        <v>2</v>
      </c>
      <c r="I333" s="156" t="s">
        <v>46</v>
      </c>
      <c r="J333" s="149" t="s">
        <v>21842</v>
      </c>
      <c r="K333" s="155">
        <v>1</v>
      </c>
      <c r="L333" s="152"/>
      <c r="M333" s="149" t="s">
        <v>21840</v>
      </c>
      <c r="N333" s="155">
        <v>1</v>
      </c>
      <c r="O333" s="152"/>
      <c r="P333" s="149" t="s">
        <v>21843</v>
      </c>
      <c r="Q333" s="157">
        <v>2</v>
      </c>
      <c r="R333" s="152"/>
      <c r="S333" s="149" t="s">
        <v>21844</v>
      </c>
      <c r="T333" s="158">
        <v>3</v>
      </c>
      <c r="U333" s="152"/>
      <c r="V333" s="149" t="s">
        <v>21845</v>
      </c>
      <c r="W333" s="158">
        <v>3</v>
      </c>
      <c r="X333" s="152"/>
      <c r="Y333" s="149" t="s">
        <v>6811</v>
      </c>
      <c r="Z333" s="155">
        <v>1</v>
      </c>
      <c r="AA333" s="152"/>
      <c r="AB333" s="154" t="s">
        <v>3051</v>
      </c>
    </row>
    <row r="334" spans="1:28" x14ac:dyDescent="0.2">
      <c r="A334" s="146" t="s">
        <v>6812</v>
      </c>
      <c r="B334" s="147" t="s">
        <v>6314</v>
      </c>
      <c r="C334" s="147" t="s">
        <v>6357</v>
      </c>
      <c r="D334" s="148"/>
      <c r="E334" s="149" t="s">
        <v>21846</v>
      </c>
      <c r="F334" s="150">
        <v>4</v>
      </c>
      <c r="G334" s="149" t="s">
        <v>6813</v>
      </c>
      <c r="H334" s="155">
        <v>1</v>
      </c>
      <c r="I334" s="156" t="s">
        <v>157</v>
      </c>
      <c r="J334" s="149" t="s">
        <v>21847</v>
      </c>
      <c r="K334" s="157">
        <v>2</v>
      </c>
      <c r="L334" s="156" t="s">
        <v>53</v>
      </c>
      <c r="M334" s="149" t="s">
        <v>21846</v>
      </c>
      <c r="N334" s="151">
        <v>4</v>
      </c>
      <c r="O334" s="152"/>
      <c r="P334" s="149" t="s">
        <v>6814</v>
      </c>
      <c r="Q334" s="151">
        <v>4</v>
      </c>
      <c r="R334" s="152"/>
      <c r="S334" s="149" t="s">
        <v>21848</v>
      </c>
      <c r="T334" s="155">
        <v>1</v>
      </c>
      <c r="U334" s="152"/>
      <c r="V334" s="149" t="s">
        <v>47</v>
      </c>
      <c r="W334" s="153"/>
      <c r="X334" s="152"/>
      <c r="Y334" s="149" t="s">
        <v>47</v>
      </c>
      <c r="Z334" s="153"/>
      <c r="AA334" s="152"/>
      <c r="AB334" s="154" t="s">
        <v>3056</v>
      </c>
    </row>
    <row r="335" spans="1:28" x14ac:dyDescent="0.2">
      <c r="A335" s="146" t="s">
        <v>6815</v>
      </c>
      <c r="B335" s="147" t="s">
        <v>6130</v>
      </c>
      <c r="C335" s="147" t="s">
        <v>6229</v>
      </c>
      <c r="D335" s="148"/>
      <c r="E335" s="149" t="s">
        <v>21849</v>
      </c>
      <c r="F335" s="161">
        <v>1</v>
      </c>
      <c r="G335" s="149" t="s">
        <v>21850</v>
      </c>
      <c r="H335" s="157">
        <v>2</v>
      </c>
      <c r="I335" s="156" t="s">
        <v>46</v>
      </c>
      <c r="J335" s="149" t="s">
        <v>21851</v>
      </c>
      <c r="K335" s="155">
        <v>1</v>
      </c>
      <c r="L335" s="152"/>
      <c r="M335" s="149" t="s">
        <v>21849</v>
      </c>
      <c r="N335" s="155">
        <v>1</v>
      </c>
      <c r="O335" s="152"/>
      <c r="P335" s="149" t="s">
        <v>21852</v>
      </c>
      <c r="Q335" s="155">
        <v>1</v>
      </c>
      <c r="R335" s="152"/>
      <c r="S335" s="149" t="s">
        <v>21853</v>
      </c>
      <c r="T335" s="157">
        <v>2</v>
      </c>
      <c r="U335" s="152"/>
      <c r="V335" s="149" t="s">
        <v>21854</v>
      </c>
      <c r="W335" s="155">
        <v>1</v>
      </c>
      <c r="X335" s="156" t="s">
        <v>40</v>
      </c>
      <c r="Y335" s="149" t="s">
        <v>21855</v>
      </c>
      <c r="Z335" s="155">
        <v>1</v>
      </c>
      <c r="AA335" s="152"/>
      <c r="AB335" s="154" t="s">
        <v>3060</v>
      </c>
    </row>
    <row r="336" spans="1:28" x14ac:dyDescent="0.2">
      <c r="A336" s="146" t="s">
        <v>6816</v>
      </c>
      <c r="B336" s="147" t="s">
        <v>6314</v>
      </c>
      <c r="C336" s="147" t="s">
        <v>6201</v>
      </c>
      <c r="D336" s="148" t="s">
        <v>6160</v>
      </c>
      <c r="E336" s="149" t="s">
        <v>6817</v>
      </c>
      <c r="F336" s="161">
        <v>1</v>
      </c>
      <c r="G336" s="149" t="s">
        <v>792</v>
      </c>
      <c r="H336" s="155">
        <v>1</v>
      </c>
      <c r="I336" s="152"/>
      <c r="J336" s="149" t="s">
        <v>21856</v>
      </c>
      <c r="K336" s="155">
        <v>1</v>
      </c>
      <c r="L336" s="152"/>
      <c r="M336" s="149" t="s">
        <v>6817</v>
      </c>
      <c r="N336" s="155">
        <v>1</v>
      </c>
      <c r="O336" s="156" t="s">
        <v>40</v>
      </c>
      <c r="P336" s="149" t="s">
        <v>9137</v>
      </c>
      <c r="Q336" s="151">
        <v>4</v>
      </c>
      <c r="R336" s="152"/>
      <c r="S336" s="149" t="s">
        <v>21857</v>
      </c>
      <c r="T336" s="157">
        <v>2</v>
      </c>
      <c r="U336" s="156" t="s">
        <v>40</v>
      </c>
      <c r="V336" s="149" t="s">
        <v>21858</v>
      </c>
      <c r="W336" s="158">
        <v>3</v>
      </c>
      <c r="X336" s="156" t="s">
        <v>40</v>
      </c>
      <c r="Y336" s="149" t="s">
        <v>47</v>
      </c>
      <c r="Z336" s="153"/>
      <c r="AA336" s="152"/>
      <c r="AB336" s="154" t="s">
        <v>3262</v>
      </c>
    </row>
    <row r="337" spans="1:28" x14ac:dyDescent="0.2">
      <c r="A337" s="146" t="s">
        <v>6818</v>
      </c>
      <c r="B337" s="147" t="s">
        <v>6314</v>
      </c>
      <c r="C337" s="147" t="s">
        <v>6159</v>
      </c>
      <c r="D337" s="148" t="s">
        <v>6160</v>
      </c>
      <c r="E337" s="149" t="s">
        <v>21859</v>
      </c>
      <c r="F337" s="150">
        <v>4</v>
      </c>
      <c r="G337" s="149" t="s">
        <v>21860</v>
      </c>
      <c r="H337" s="158">
        <v>3</v>
      </c>
      <c r="I337" s="156" t="s">
        <v>40</v>
      </c>
      <c r="J337" s="149" t="s">
        <v>21861</v>
      </c>
      <c r="K337" s="158">
        <v>3</v>
      </c>
      <c r="L337" s="156" t="s">
        <v>40</v>
      </c>
      <c r="M337" s="149" t="s">
        <v>21859</v>
      </c>
      <c r="N337" s="151">
        <v>4</v>
      </c>
      <c r="O337" s="152"/>
      <c r="P337" s="149" t="s">
        <v>21862</v>
      </c>
      <c r="Q337" s="151">
        <v>4</v>
      </c>
      <c r="R337" s="152"/>
      <c r="S337" s="149" t="s">
        <v>21863</v>
      </c>
      <c r="T337" s="158">
        <v>3</v>
      </c>
      <c r="U337" s="156" t="s">
        <v>46</v>
      </c>
      <c r="V337" s="149" t="s">
        <v>21864</v>
      </c>
      <c r="W337" s="158">
        <v>3</v>
      </c>
      <c r="X337" s="152"/>
      <c r="Y337" s="149" t="s">
        <v>47</v>
      </c>
      <c r="Z337" s="153"/>
      <c r="AA337" s="152"/>
      <c r="AB337" s="154" t="s">
        <v>3268</v>
      </c>
    </row>
    <row r="338" spans="1:28" x14ac:dyDescent="0.2">
      <c r="A338" s="146" t="s">
        <v>6819</v>
      </c>
      <c r="B338" s="147" t="s">
        <v>6314</v>
      </c>
      <c r="C338" s="147" t="s">
        <v>6157</v>
      </c>
      <c r="D338" s="148" t="s">
        <v>6170</v>
      </c>
      <c r="E338" s="149" t="s">
        <v>21865</v>
      </c>
      <c r="F338" s="150">
        <v>4</v>
      </c>
      <c r="G338" s="149" t="s">
        <v>21866</v>
      </c>
      <c r="H338" s="151">
        <v>4</v>
      </c>
      <c r="I338" s="152"/>
      <c r="J338" s="149" t="s">
        <v>21867</v>
      </c>
      <c r="K338" s="151">
        <v>4</v>
      </c>
      <c r="L338" s="152"/>
      <c r="M338" s="149" t="s">
        <v>21865</v>
      </c>
      <c r="N338" s="151">
        <v>4</v>
      </c>
      <c r="O338" s="152"/>
      <c r="P338" s="149" t="s">
        <v>21868</v>
      </c>
      <c r="Q338" s="151">
        <v>4</v>
      </c>
      <c r="R338" s="152"/>
      <c r="S338" s="149" t="s">
        <v>21869</v>
      </c>
      <c r="T338" s="151">
        <v>4</v>
      </c>
      <c r="U338" s="152"/>
      <c r="V338" s="149" t="s">
        <v>21870</v>
      </c>
      <c r="W338" s="151">
        <v>4</v>
      </c>
      <c r="X338" s="152"/>
      <c r="Y338" s="149" t="s">
        <v>47</v>
      </c>
      <c r="Z338" s="153"/>
      <c r="AA338" s="152"/>
      <c r="AB338" s="154" t="s">
        <v>3278</v>
      </c>
    </row>
    <row r="339" spans="1:28" x14ac:dyDescent="0.2">
      <c r="A339" s="146" t="s">
        <v>6820</v>
      </c>
      <c r="B339" s="147" t="s">
        <v>6130</v>
      </c>
      <c r="C339" s="147" t="s">
        <v>6201</v>
      </c>
      <c r="D339" s="148"/>
      <c r="E339" s="149" t="s">
        <v>21871</v>
      </c>
      <c r="F339" s="159">
        <v>3</v>
      </c>
      <c r="G339" s="149" t="s">
        <v>15755</v>
      </c>
      <c r="H339" s="151">
        <v>4</v>
      </c>
      <c r="I339" s="156" t="s">
        <v>55</v>
      </c>
      <c r="J339" s="149" t="s">
        <v>21872</v>
      </c>
      <c r="K339" s="158">
        <v>3</v>
      </c>
      <c r="L339" s="152"/>
      <c r="M339" s="149" t="s">
        <v>21871</v>
      </c>
      <c r="N339" s="158">
        <v>3</v>
      </c>
      <c r="O339" s="152"/>
      <c r="P339" s="149" t="s">
        <v>8081</v>
      </c>
      <c r="Q339" s="158">
        <v>3</v>
      </c>
      <c r="R339" s="156" t="s">
        <v>46</v>
      </c>
      <c r="S339" s="149" t="s">
        <v>21873</v>
      </c>
      <c r="T339" s="155">
        <v>1</v>
      </c>
      <c r="U339" s="152"/>
      <c r="V339" s="149" t="s">
        <v>6821</v>
      </c>
      <c r="W339" s="157">
        <v>2</v>
      </c>
      <c r="X339" s="156" t="s">
        <v>46</v>
      </c>
      <c r="Y339" s="149" t="s">
        <v>6822</v>
      </c>
      <c r="Z339" s="158">
        <v>3</v>
      </c>
      <c r="AA339" s="152"/>
      <c r="AB339" s="154" t="s">
        <v>3294</v>
      </c>
    </row>
    <row r="340" spans="1:28" x14ac:dyDescent="0.2">
      <c r="A340" s="146" t="s">
        <v>3314</v>
      </c>
      <c r="B340" s="147" t="s">
        <v>6130</v>
      </c>
      <c r="C340" s="147" t="s">
        <v>6157</v>
      </c>
      <c r="D340" s="148"/>
      <c r="E340" s="149" t="s">
        <v>21874</v>
      </c>
      <c r="F340" s="159">
        <v>3</v>
      </c>
      <c r="G340" s="149" t="s">
        <v>21875</v>
      </c>
      <c r="H340" s="157">
        <v>2</v>
      </c>
      <c r="I340" s="156" t="s">
        <v>40</v>
      </c>
      <c r="J340" s="149" t="s">
        <v>21876</v>
      </c>
      <c r="K340" s="157">
        <v>2</v>
      </c>
      <c r="L340" s="156" t="s">
        <v>40</v>
      </c>
      <c r="M340" s="149" t="s">
        <v>21874</v>
      </c>
      <c r="N340" s="158">
        <v>3</v>
      </c>
      <c r="O340" s="152"/>
      <c r="P340" s="149" t="s">
        <v>21877</v>
      </c>
      <c r="Q340" s="157">
        <v>2</v>
      </c>
      <c r="R340" s="152"/>
      <c r="S340" s="149" t="s">
        <v>21878</v>
      </c>
      <c r="T340" s="157">
        <v>2</v>
      </c>
      <c r="U340" s="152"/>
      <c r="V340" s="149" t="s">
        <v>21879</v>
      </c>
      <c r="W340" s="157">
        <v>2</v>
      </c>
      <c r="X340" s="156" t="s">
        <v>40</v>
      </c>
      <c r="Y340" s="149" t="s">
        <v>21880</v>
      </c>
      <c r="Z340" s="158">
        <v>3</v>
      </c>
      <c r="AA340" s="152"/>
      <c r="AB340" s="154" t="s">
        <v>3315</v>
      </c>
    </row>
    <row r="341" spans="1:28" x14ac:dyDescent="0.2">
      <c r="A341" s="146" t="s">
        <v>6823</v>
      </c>
      <c r="B341" s="147" t="s">
        <v>6130</v>
      </c>
      <c r="C341" s="147" t="s">
        <v>6169</v>
      </c>
      <c r="D341" s="148" t="s">
        <v>6136</v>
      </c>
      <c r="E341" s="149" t="s">
        <v>21881</v>
      </c>
      <c r="F341" s="161">
        <v>1</v>
      </c>
      <c r="G341" s="149" t="s">
        <v>21882</v>
      </c>
      <c r="H341" s="155">
        <v>1</v>
      </c>
      <c r="I341" s="156" t="s">
        <v>40</v>
      </c>
      <c r="J341" s="149" t="s">
        <v>21883</v>
      </c>
      <c r="K341" s="155">
        <v>1</v>
      </c>
      <c r="L341" s="152"/>
      <c r="M341" s="149" t="s">
        <v>21881</v>
      </c>
      <c r="N341" s="155">
        <v>1</v>
      </c>
      <c r="O341" s="156" t="s">
        <v>53</v>
      </c>
      <c r="P341" s="149" t="s">
        <v>21884</v>
      </c>
      <c r="Q341" s="158">
        <v>3</v>
      </c>
      <c r="R341" s="156" t="s">
        <v>40</v>
      </c>
      <c r="S341" s="149" t="s">
        <v>21885</v>
      </c>
      <c r="T341" s="158">
        <v>3</v>
      </c>
      <c r="U341" s="152"/>
      <c r="V341" s="149" t="s">
        <v>14752</v>
      </c>
      <c r="W341" s="155">
        <v>1</v>
      </c>
      <c r="X341" s="152"/>
      <c r="Y341" s="149" t="s">
        <v>47</v>
      </c>
      <c r="Z341" s="153"/>
      <c r="AA341" s="152"/>
      <c r="AB341" s="154" t="s">
        <v>3358</v>
      </c>
    </row>
    <row r="342" spans="1:28" x14ac:dyDescent="0.2">
      <c r="A342" s="146" t="s">
        <v>6824</v>
      </c>
      <c r="B342" s="147" t="s">
        <v>6130</v>
      </c>
      <c r="C342" s="147" t="s">
        <v>6169</v>
      </c>
      <c r="D342" s="148"/>
      <c r="E342" s="149" t="s">
        <v>21886</v>
      </c>
      <c r="F342" s="161">
        <v>1</v>
      </c>
      <c r="G342" s="149" t="s">
        <v>21887</v>
      </c>
      <c r="H342" s="158">
        <v>3</v>
      </c>
      <c r="I342" s="156" t="s">
        <v>55</v>
      </c>
      <c r="J342" s="149" t="s">
        <v>21888</v>
      </c>
      <c r="K342" s="155">
        <v>1</v>
      </c>
      <c r="L342" s="152"/>
      <c r="M342" s="149" t="s">
        <v>21886</v>
      </c>
      <c r="N342" s="155">
        <v>1</v>
      </c>
      <c r="O342" s="156" t="s">
        <v>40</v>
      </c>
      <c r="P342" s="149" t="s">
        <v>21889</v>
      </c>
      <c r="Q342" s="157">
        <v>2</v>
      </c>
      <c r="R342" s="156" t="s">
        <v>40</v>
      </c>
      <c r="S342" s="149" t="s">
        <v>47</v>
      </c>
      <c r="T342" s="153"/>
      <c r="U342" s="152"/>
      <c r="V342" s="149" t="s">
        <v>47</v>
      </c>
      <c r="W342" s="153"/>
      <c r="X342" s="152"/>
      <c r="Y342" s="149" t="s">
        <v>47</v>
      </c>
      <c r="Z342" s="153"/>
      <c r="AA342" s="152"/>
      <c r="AB342" s="154" t="s">
        <v>3360</v>
      </c>
    </row>
    <row r="343" spans="1:28" x14ac:dyDescent="0.2">
      <c r="A343" s="146" t="s">
        <v>6825</v>
      </c>
      <c r="B343" s="147" t="s">
        <v>6130</v>
      </c>
      <c r="C343" s="147" t="s">
        <v>6169</v>
      </c>
      <c r="D343" s="148"/>
      <c r="E343" s="149" t="s">
        <v>21890</v>
      </c>
      <c r="F343" s="150">
        <v>4</v>
      </c>
      <c r="G343" s="149" t="s">
        <v>21891</v>
      </c>
      <c r="H343" s="155">
        <v>1</v>
      </c>
      <c r="I343" s="156" t="s">
        <v>157</v>
      </c>
      <c r="J343" s="149" t="s">
        <v>21892</v>
      </c>
      <c r="K343" s="157">
        <v>2</v>
      </c>
      <c r="L343" s="152"/>
      <c r="M343" s="149" t="s">
        <v>21890</v>
      </c>
      <c r="N343" s="151">
        <v>4</v>
      </c>
      <c r="O343" s="152"/>
      <c r="P343" s="149" t="s">
        <v>6826</v>
      </c>
      <c r="Q343" s="151">
        <v>4</v>
      </c>
      <c r="R343" s="152"/>
      <c r="S343" s="149" t="s">
        <v>47</v>
      </c>
      <c r="T343" s="153"/>
      <c r="U343" s="152"/>
      <c r="V343" s="149" t="s">
        <v>47</v>
      </c>
      <c r="W343" s="153"/>
      <c r="X343" s="152"/>
      <c r="Y343" s="149" t="s">
        <v>47</v>
      </c>
      <c r="Z343" s="153"/>
      <c r="AA343" s="152"/>
      <c r="AB343" s="154" t="s">
        <v>3362</v>
      </c>
    </row>
    <row r="344" spans="1:28" x14ac:dyDescent="0.2">
      <c r="A344" s="146" t="s">
        <v>3363</v>
      </c>
      <c r="B344" s="147" t="s">
        <v>6130</v>
      </c>
      <c r="C344" s="147" t="s">
        <v>6229</v>
      </c>
      <c r="D344" s="148"/>
      <c r="E344" s="149" t="s">
        <v>21893</v>
      </c>
      <c r="F344" s="159">
        <v>3</v>
      </c>
      <c r="G344" s="149" t="s">
        <v>21894</v>
      </c>
      <c r="H344" s="155">
        <v>1</v>
      </c>
      <c r="I344" s="156" t="s">
        <v>40</v>
      </c>
      <c r="J344" s="149" t="s">
        <v>21895</v>
      </c>
      <c r="K344" s="157">
        <v>2</v>
      </c>
      <c r="L344" s="156" t="s">
        <v>46</v>
      </c>
      <c r="M344" s="149" t="s">
        <v>21893</v>
      </c>
      <c r="N344" s="158">
        <v>3</v>
      </c>
      <c r="O344" s="152"/>
      <c r="P344" s="149" t="s">
        <v>47</v>
      </c>
      <c r="Q344" s="153"/>
      <c r="R344" s="152"/>
      <c r="S344" s="149" t="s">
        <v>47</v>
      </c>
      <c r="T344" s="153"/>
      <c r="U344" s="152"/>
      <c r="V344" s="149" t="s">
        <v>47</v>
      </c>
      <c r="W344" s="153"/>
      <c r="X344" s="152"/>
      <c r="Y344" s="149" t="s">
        <v>47</v>
      </c>
      <c r="Z344" s="153"/>
      <c r="AA344" s="152"/>
      <c r="AB344" s="154" t="s">
        <v>3364</v>
      </c>
    </row>
    <row r="345" spans="1:28" x14ac:dyDescent="0.2">
      <c r="A345" s="146" t="s">
        <v>3368</v>
      </c>
      <c r="B345" s="147" t="s">
        <v>6130</v>
      </c>
      <c r="C345" s="147" t="s">
        <v>6277</v>
      </c>
      <c r="D345" s="148"/>
      <c r="E345" s="149" t="s">
        <v>21896</v>
      </c>
      <c r="F345" s="160">
        <v>2</v>
      </c>
      <c r="G345" s="149" t="s">
        <v>21897</v>
      </c>
      <c r="H345" s="157">
        <v>2</v>
      </c>
      <c r="I345" s="152"/>
      <c r="J345" s="149" t="s">
        <v>21898</v>
      </c>
      <c r="K345" s="157">
        <v>2</v>
      </c>
      <c r="L345" s="152"/>
      <c r="M345" s="149" t="s">
        <v>21896</v>
      </c>
      <c r="N345" s="157">
        <v>2</v>
      </c>
      <c r="O345" s="156" t="s">
        <v>40</v>
      </c>
      <c r="P345" s="149" t="s">
        <v>21899</v>
      </c>
      <c r="Q345" s="158">
        <v>3</v>
      </c>
      <c r="R345" s="152"/>
      <c r="S345" s="149" t="s">
        <v>21900</v>
      </c>
      <c r="T345" s="151">
        <v>4</v>
      </c>
      <c r="U345" s="156" t="s">
        <v>46</v>
      </c>
      <c r="V345" s="149" t="s">
        <v>47</v>
      </c>
      <c r="W345" s="153"/>
      <c r="X345" s="152"/>
      <c r="Y345" s="149" t="s">
        <v>47</v>
      </c>
      <c r="Z345" s="153"/>
      <c r="AA345" s="152"/>
      <c r="AB345" s="154" t="s">
        <v>3371</v>
      </c>
    </row>
    <row r="346" spans="1:28" x14ac:dyDescent="0.2">
      <c r="A346" s="146" t="s">
        <v>3372</v>
      </c>
      <c r="B346" s="147" t="s">
        <v>6130</v>
      </c>
      <c r="C346" s="147" t="s">
        <v>6167</v>
      </c>
      <c r="D346" s="148"/>
      <c r="E346" s="149" t="s">
        <v>1030</v>
      </c>
      <c r="F346" s="159">
        <v>3</v>
      </c>
      <c r="G346" s="149" t="s">
        <v>21901</v>
      </c>
      <c r="H346" s="157">
        <v>2</v>
      </c>
      <c r="I346" s="156" t="s">
        <v>40</v>
      </c>
      <c r="J346" s="149" t="s">
        <v>21902</v>
      </c>
      <c r="K346" s="158">
        <v>3</v>
      </c>
      <c r="L346" s="152"/>
      <c r="M346" s="149" t="s">
        <v>1030</v>
      </c>
      <c r="N346" s="158">
        <v>3</v>
      </c>
      <c r="O346" s="156" t="s">
        <v>40</v>
      </c>
      <c r="P346" s="149" t="s">
        <v>6827</v>
      </c>
      <c r="Q346" s="158">
        <v>3</v>
      </c>
      <c r="R346" s="152"/>
      <c r="S346" s="149" t="s">
        <v>21903</v>
      </c>
      <c r="T346" s="157">
        <v>2</v>
      </c>
      <c r="U346" s="152"/>
      <c r="V346" s="149" t="s">
        <v>47</v>
      </c>
      <c r="W346" s="153"/>
      <c r="X346" s="152"/>
      <c r="Y346" s="149" t="s">
        <v>47</v>
      </c>
      <c r="Z346" s="153"/>
      <c r="AA346" s="152"/>
      <c r="AB346" s="154" t="s">
        <v>3373</v>
      </c>
    </row>
    <row r="347" spans="1:28" x14ac:dyDescent="0.2">
      <c r="A347" s="146" t="s">
        <v>3374</v>
      </c>
      <c r="B347" s="147" t="s">
        <v>6130</v>
      </c>
      <c r="C347" s="147" t="s">
        <v>6191</v>
      </c>
      <c r="D347" s="148"/>
      <c r="E347" s="149" t="s">
        <v>21904</v>
      </c>
      <c r="F347" s="150">
        <v>4</v>
      </c>
      <c r="G347" s="149" t="s">
        <v>21905</v>
      </c>
      <c r="H347" s="157">
        <v>2</v>
      </c>
      <c r="I347" s="156" t="s">
        <v>40</v>
      </c>
      <c r="J347" s="149" t="s">
        <v>21906</v>
      </c>
      <c r="K347" s="158">
        <v>3</v>
      </c>
      <c r="L347" s="156" t="s">
        <v>40</v>
      </c>
      <c r="M347" s="149" t="s">
        <v>21904</v>
      </c>
      <c r="N347" s="151">
        <v>4</v>
      </c>
      <c r="O347" s="152"/>
      <c r="P347" s="149" t="s">
        <v>21907</v>
      </c>
      <c r="Q347" s="151">
        <v>4</v>
      </c>
      <c r="R347" s="152"/>
      <c r="S347" s="149" t="s">
        <v>21908</v>
      </c>
      <c r="T347" s="157">
        <v>2</v>
      </c>
      <c r="U347" s="152"/>
      <c r="V347" s="149" t="s">
        <v>47</v>
      </c>
      <c r="W347" s="153"/>
      <c r="X347" s="152"/>
      <c r="Y347" s="149" t="s">
        <v>47</v>
      </c>
      <c r="Z347" s="153"/>
      <c r="AA347" s="152"/>
      <c r="AB347" s="154" t="s">
        <v>3376</v>
      </c>
    </row>
    <row r="348" spans="1:28" x14ac:dyDescent="0.2">
      <c r="A348" s="146" t="s">
        <v>3377</v>
      </c>
      <c r="B348" s="147" t="s">
        <v>6130</v>
      </c>
      <c r="C348" s="147" t="s">
        <v>6167</v>
      </c>
      <c r="D348" s="148"/>
      <c r="E348" s="149" t="s">
        <v>21909</v>
      </c>
      <c r="F348" s="159">
        <v>3</v>
      </c>
      <c r="G348" s="149" t="s">
        <v>21910</v>
      </c>
      <c r="H348" s="157">
        <v>2</v>
      </c>
      <c r="I348" s="156" t="s">
        <v>40</v>
      </c>
      <c r="J348" s="149" t="s">
        <v>21911</v>
      </c>
      <c r="K348" s="158">
        <v>3</v>
      </c>
      <c r="L348" s="152"/>
      <c r="M348" s="149" t="s">
        <v>21909</v>
      </c>
      <c r="N348" s="158">
        <v>3</v>
      </c>
      <c r="O348" s="152"/>
      <c r="P348" s="149" t="s">
        <v>21912</v>
      </c>
      <c r="Q348" s="158">
        <v>3</v>
      </c>
      <c r="R348" s="152"/>
      <c r="S348" s="149" t="s">
        <v>12333</v>
      </c>
      <c r="T348" s="157">
        <v>2</v>
      </c>
      <c r="U348" s="152"/>
      <c r="V348" s="149" t="s">
        <v>47</v>
      </c>
      <c r="W348" s="153"/>
      <c r="X348" s="152"/>
      <c r="Y348" s="149" t="s">
        <v>47</v>
      </c>
      <c r="Z348" s="153"/>
      <c r="AA348" s="152"/>
      <c r="AB348" s="154" t="s">
        <v>3378</v>
      </c>
    </row>
    <row r="349" spans="1:28" x14ac:dyDescent="0.2">
      <c r="A349" s="146" t="s">
        <v>3379</v>
      </c>
      <c r="B349" s="147" t="s">
        <v>6130</v>
      </c>
      <c r="C349" s="147" t="s">
        <v>6167</v>
      </c>
      <c r="D349" s="148"/>
      <c r="E349" s="149" t="s">
        <v>21913</v>
      </c>
      <c r="F349" s="150">
        <v>4</v>
      </c>
      <c r="G349" s="149" t="s">
        <v>21914</v>
      </c>
      <c r="H349" s="157">
        <v>2</v>
      </c>
      <c r="I349" s="156" t="s">
        <v>40</v>
      </c>
      <c r="J349" s="149" t="s">
        <v>21915</v>
      </c>
      <c r="K349" s="158">
        <v>3</v>
      </c>
      <c r="L349" s="156" t="s">
        <v>40</v>
      </c>
      <c r="M349" s="149" t="s">
        <v>21913</v>
      </c>
      <c r="N349" s="151">
        <v>4</v>
      </c>
      <c r="O349" s="152"/>
      <c r="P349" s="149" t="s">
        <v>21916</v>
      </c>
      <c r="Q349" s="158">
        <v>3</v>
      </c>
      <c r="R349" s="152"/>
      <c r="S349" s="149" t="s">
        <v>6828</v>
      </c>
      <c r="T349" s="157">
        <v>2</v>
      </c>
      <c r="U349" s="152"/>
      <c r="V349" s="149" t="s">
        <v>47</v>
      </c>
      <c r="W349" s="153"/>
      <c r="X349" s="152"/>
      <c r="Y349" s="149" t="s">
        <v>47</v>
      </c>
      <c r="Z349" s="153"/>
      <c r="AA349" s="152"/>
      <c r="AB349" s="154" t="s">
        <v>3380</v>
      </c>
    </row>
    <row r="350" spans="1:28" x14ac:dyDescent="0.2">
      <c r="A350" s="146" t="s">
        <v>3381</v>
      </c>
      <c r="B350" s="147" t="s">
        <v>6130</v>
      </c>
      <c r="C350" s="147" t="s">
        <v>6167</v>
      </c>
      <c r="D350" s="148"/>
      <c r="E350" s="149" t="s">
        <v>21917</v>
      </c>
      <c r="F350" s="159">
        <v>3</v>
      </c>
      <c r="G350" s="149" t="s">
        <v>21918</v>
      </c>
      <c r="H350" s="157">
        <v>2</v>
      </c>
      <c r="I350" s="152"/>
      <c r="J350" s="149" t="s">
        <v>21919</v>
      </c>
      <c r="K350" s="158">
        <v>3</v>
      </c>
      <c r="L350" s="152"/>
      <c r="M350" s="149" t="s">
        <v>21917</v>
      </c>
      <c r="N350" s="158">
        <v>3</v>
      </c>
      <c r="O350" s="152"/>
      <c r="P350" s="149" t="s">
        <v>21920</v>
      </c>
      <c r="Q350" s="157">
        <v>2</v>
      </c>
      <c r="R350" s="156" t="s">
        <v>40</v>
      </c>
      <c r="S350" s="149" t="s">
        <v>21921</v>
      </c>
      <c r="T350" s="155">
        <v>1</v>
      </c>
      <c r="U350" s="152"/>
      <c r="V350" s="149" t="s">
        <v>47</v>
      </c>
      <c r="W350" s="153"/>
      <c r="X350" s="152"/>
      <c r="Y350" s="149" t="s">
        <v>47</v>
      </c>
      <c r="Z350" s="153"/>
      <c r="AA350" s="152"/>
      <c r="AB350" s="154" t="s">
        <v>3382</v>
      </c>
    </row>
    <row r="351" spans="1:28" x14ac:dyDescent="0.2">
      <c r="A351" s="146" t="s">
        <v>3383</v>
      </c>
      <c r="B351" s="147" t="s">
        <v>6130</v>
      </c>
      <c r="C351" s="147" t="s">
        <v>6167</v>
      </c>
      <c r="D351" s="148"/>
      <c r="E351" s="149" t="s">
        <v>21922</v>
      </c>
      <c r="F351" s="159">
        <v>3</v>
      </c>
      <c r="G351" s="149" t="s">
        <v>21923</v>
      </c>
      <c r="H351" s="157">
        <v>2</v>
      </c>
      <c r="I351" s="152"/>
      <c r="J351" s="149" t="s">
        <v>20597</v>
      </c>
      <c r="K351" s="157">
        <v>2</v>
      </c>
      <c r="L351" s="156" t="s">
        <v>40</v>
      </c>
      <c r="M351" s="149" t="s">
        <v>21922</v>
      </c>
      <c r="N351" s="158">
        <v>3</v>
      </c>
      <c r="O351" s="152"/>
      <c r="P351" s="149" t="s">
        <v>21924</v>
      </c>
      <c r="Q351" s="157">
        <v>2</v>
      </c>
      <c r="R351" s="152"/>
      <c r="S351" s="149" t="s">
        <v>21925</v>
      </c>
      <c r="T351" s="155">
        <v>1</v>
      </c>
      <c r="U351" s="152"/>
      <c r="V351" s="149" t="s">
        <v>47</v>
      </c>
      <c r="W351" s="153"/>
      <c r="X351" s="152"/>
      <c r="Y351" s="149" t="s">
        <v>47</v>
      </c>
      <c r="Z351" s="153"/>
      <c r="AA351" s="152"/>
      <c r="AB351" s="154" t="s">
        <v>3384</v>
      </c>
    </row>
    <row r="352" spans="1:28" x14ac:dyDescent="0.2">
      <c r="A352" s="146" t="s">
        <v>3385</v>
      </c>
      <c r="B352" s="147" t="s">
        <v>6130</v>
      </c>
      <c r="C352" s="147" t="s">
        <v>6829</v>
      </c>
      <c r="D352" s="148"/>
      <c r="E352" s="149" t="s">
        <v>21926</v>
      </c>
      <c r="F352" s="161">
        <v>1</v>
      </c>
      <c r="G352" s="149" t="s">
        <v>21927</v>
      </c>
      <c r="H352" s="157">
        <v>2</v>
      </c>
      <c r="I352" s="156" t="s">
        <v>46</v>
      </c>
      <c r="J352" s="149" t="s">
        <v>21928</v>
      </c>
      <c r="K352" s="155">
        <v>1</v>
      </c>
      <c r="L352" s="156" t="s">
        <v>40</v>
      </c>
      <c r="M352" s="149" t="s">
        <v>21926</v>
      </c>
      <c r="N352" s="155">
        <v>1</v>
      </c>
      <c r="O352" s="156" t="s">
        <v>40</v>
      </c>
      <c r="P352" s="149" t="s">
        <v>6830</v>
      </c>
      <c r="Q352" s="155">
        <v>1</v>
      </c>
      <c r="R352" s="152"/>
      <c r="S352" s="149" t="s">
        <v>47</v>
      </c>
      <c r="T352" s="153"/>
      <c r="U352" s="152"/>
      <c r="V352" s="149" t="s">
        <v>47</v>
      </c>
      <c r="W352" s="153"/>
      <c r="X352" s="152"/>
      <c r="Y352" s="149" t="s">
        <v>47</v>
      </c>
      <c r="Z352" s="153"/>
      <c r="AA352" s="152"/>
      <c r="AB352" s="154" t="s">
        <v>3386</v>
      </c>
    </row>
    <row r="353" spans="1:28" x14ac:dyDescent="0.2">
      <c r="A353" s="146" t="s">
        <v>6831</v>
      </c>
      <c r="B353" s="147" t="s">
        <v>6130</v>
      </c>
      <c r="C353" s="147" t="s">
        <v>6167</v>
      </c>
      <c r="D353" s="148"/>
      <c r="E353" s="149" t="s">
        <v>21929</v>
      </c>
      <c r="F353" s="150">
        <v>4</v>
      </c>
      <c r="G353" s="149" t="s">
        <v>21930</v>
      </c>
      <c r="H353" s="157">
        <v>2</v>
      </c>
      <c r="I353" s="156" t="s">
        <v>53</v>
      </c>
      <c r="J353" s="149" t="s">
        <v>21931</v>
      </c>
      <c r="K353" s="151">
        <v>4</v>
      </c>
      <c r="L353" s="152"/>
      <c r="M353" s="149" t="s">
        <v>21929</v>
      </c>
      <c r="N353" s="151">
        <v>4</v>
      </c>
      <c r="O353" s="152"/>
      <c r="P353" s="149" t="s">
        <v>21932</v>
      </c>
      <c r="Q353" s="158">
        <v>3</v>
      </c>
      <c r="R353" s="156" t="s">
        <v>40</v>
      </c>
      <c r="S353" s="149" t="s">
        <v>21933</v>
      </c>
      <c r="T353" s="151">
        <v>4</v>
      </c>
      <c r="U353" s="152"/>
      <c r="V353" s="149" t="s">
        <v>47</v>
      </c>
      <c r="W353" s="153"/>
      <c r="X353" s="152"/>
      <c r="Y353" s="149" t="s">
        <v>47</v>
      </c>
      <c r="Z353" s="153"/>
      <c r="AA353" s="152"/>
      <c r="AB353" s="154" t="s">
        <v>3389</v>
      </c>
    </row>
    <row r="354" spans="1:28" x14ac:dyDescent="0.2">
      <c r="A354" s="146" t="s">
        <v>3390</v>
      </c>
      <c r="B354" s="147" t="s">
        <v>6130</v>
      </c>
      <c r="C354" s="147" t="s">
        <v>6191</v>
      </c>
      <c r="D354" s="148"/>
      <c r="E354" s="149" t="s">
        <v>21934</v>
      </c>
      <c r="F354" s="160">
        <v>2</v>
      </c>
      <c r="G354" s="149" t="s">
        <v>21935</v>
      </c>
      <c r="H354" s="157">
        <v>2</v>
      </c>
      <c r="I354" s="152"/>
      <c r="J354" s="149" t="s">
        <v>6832</v>
      </c>
      <c r="K354" s="157">
        <v>2</v>
      </c>
      <c r="L354" s="152"/>
      <c r="M354" s="149" t="s">
        <v>21934</v>
      </c>
      <c r="N354" s="157">
        <v>2</v>
      </c>
      <c r="O354" s="156" t="s">
        <v>46</v>
      </c>
      <c r="P354" s="149" t="s">
        <v>21936</v>
      </c>
      <c r="Q354" s="155">
        <v>1</v>
      </c>
      <c r="R354" s="152"/>
      <c r="S354" s="149" t="s">
        <v>21937</v>
      </c>
      <c r="T354" s="155">
        <v>1</v>
      </c>
      <c r="U354" s="152"/>
      <c r="V354" s="149" t="s">
        <v>47</v>
      </c>
      <c r="W354" s="153"/>
      <c r="X354" s="152"/>
      <c r="Y354" s="149" t="s">
        <v>47</v>
      </c>
      <c r="Z354" s="153"/>
      <c r="AA354" s="152"/>
      <c r="AB354" s="154" t="s">
        <v>3391</v>
      </c>
    </row>
    <row r="355" spans="1:28" x14ac:dyDescent="0.2">
      <c r="A355" s="146" t="s">
        <v>3392</v>
      </c>
      <c r="B355" s="147" t="s">
        <v>6130</v>
      </c>
      <c r="C355" s="147" t="s">
        <v>6191</v>
      </c>
      <c r="D355" s="148"/>
      <c r="E355" s="149" t="s">
        <v>21938</v>
      </c>
      <c r="F355" s="161">
        <v>1</v>
      </c>
      <c r="G355" s="149" t="s">
        <v>6833</v>
      </c>
      <c r="H355" s="155">
        <v>1</v>
      </c>
      <c r="I355" s="156" t="s">
        <v>40</v>
      </c>
      <c r="J355" s="149" t="s">
        <v>21712</v>
      </c>
      <c r="K355" s="157">
        <v>2</v>
      </c>
      <c r="L355" s="156" t="s">
        <v>46</v>
      </c>
      <c r="M355" s="149" t="s">
        <v>21938</v>
      </c>
      <c r="N355" s="155">
        <v>1</v>
      </c>
      <c r="O355" s="152"/>
      <c r="P355" s="149" t="s">
        <v>21939</v>
      </c>
      <c r="Q355" s="155">
        <v>1</v>
      </c>
      <c r="R355" s="152"/>
      <c r="S355" s="149" t="s">
        <v>21940</v>
      </c>
      <c r="T355" s="155">
        <v>1</v>
      </c>
      <c r="U355" s="152"/>
      <c r="V355" s="149" t="s">
        <v>47</v>
      </c>
      <c r="W355" s="153"/>
      <c r="X355" s="152"/>
      <c r="Y355" s="149" t="s">
        <v>47</v>
      </c>
      <c r="Z355" s="153"/>
      <c r="AA355" s="152"/>
      <c r="AB355" s="154" t="s">
        <v>3393</v>
      </c>
    </row>
    <row r="356" spans="1:28" x14ac:dyDescent="0.2">
      <c r="A356" s="146" t="s">
        <v>3394</v>
      </c>
      <c r="B356" s="147" t="s">
        <v>6130</v>
      </c>
      <c r="C356" s="147" t="s">
        <v>6191</v>
      </c>
      <c r="D356" s="148"/>
      <c r="E356" s="149" t="s">
        <v>21941</v>
      </c>
      <c r="F356" s="159">
        <v>3</v>
      </c>
      <c r="G356" s="149" t="s">
        <v>21942</v>
      </c>
      <c r="H356" s="157">
        <v>2</v>
      </c>
      <c r="I356" s="156" t="s">
        <v>40</v>
      </c>
      <c r="J356" s="149" t="s">
        <v>21943</v>
      </c>
      <c r="K356" s="158">
        <v>3</v>
      </c>
      <c r="L356" s="152"/>
      <c r="M356" s="149" t="s">
        <v>21941</v>
      </c>
      <c r="N356" s="158">
        <v>3</v>
      </c>
      <c r="O356" s="156" t="s">
        <v>40</v>
      </c>
      <c r="P356" s="149" t="s">
        <v>21944</v>
      </c>
      <c r="Q356" s="158">
        <v>3</v>
      </c>
      <c r="R356" s="156" t="s">
        <v>40</v>
      </c>
      <c r="S356" s="149" t="s">
        <v>21945</v>
      </c>
      <c r="T356" s="158">
        <v>3</v>
      </c>
      <c r="U356" s="156" t="s">
        <v>46</v>
      </c>
      <c r="V356" s="149" t="s">
        <v>47</v>
      </c>
      <c r="W356" s="153"/>
      <c r="X356" s="152"/>
      <c r="Y356" s="149" t="s">
        <v>47</v>
      </c>
      <c r="Z356" s="153"/>
      <c r="AA356" s="152"/>
      <c r="AB356" s="154" t="s">
        <v>3395</v>
      </c>
    </row>
    <row r="357" spans="1:28" x14ac:dyDescent="0.2">
      <c r="A357" s="146" t="s">
        <v>3396</v>
      </c>
      <c r="B357" s="147" t="s">
        <v>6130</v>
      </c>
      <c r="C357" s="147" t="s">
        <v>6191</v>
      </c>
      <c r="D357" s="148"/>
      <c r="E357" s="149" t="s">
        <v>21946</v>
      </c>
      <c r="F357" s="160">
        <v>2</v>
      </c>
      <c r="G357" s="149" t="s">
        <v>21947</v>
      </c>
      <c r="H357" s="155">
        <v>1</v>
      </c>
      <c r="I357" s="156" t="s">
        <v>40</v>
      </c>
      <c r="J357" s="149" t="s">
        <v>21948</v>
      </c>
      <c r="K357" s="157">
        <v>2</v>
      </c>
      <c r="L357" s="152"/>
      <c r="M357" s="149" t="s">
        <v>21946</v>
      </c>
      <c r="N357" s="157">
        <v>2</v>
      </c>
      <c r="O357" s="156" t="s">
        <v>40</v>
      </c>
      <c r="P357" s="149" t="s">
        <v>21949</v>
      </c>
      <c r="Q357" s="155">
        <v>1</v>
      </c>
      <c r="R357" s="156" t="s">
        <v>40</v>
      </c>
      <c r="S357" s="149" t="s">
        <v>21950</v>
      </c>
      <c r="T357" s="157">
        <v>2</v>
      </c>
      <c r="U357" s="152"/>
      <c r="V357" s="149" t="s">
        <v>47</v>
      </c>
      <c r="W357" s="153"/>
      <c r="X357" s="152"/>
      <c r="Y357" s="149" t="s">
        <v>47</v>
      </c>
      <c r="Z357" s="153"/>
      <c r="AA357" s="152"/>
      <c r="AB357" s="154" t="s">
        <v>3397</v>
      </c>
    </row>
    <row r="358" spans="1:28" x14ac:dyDescent="0.2">
      <c r="A358" s="146" t="s">
        <v>3398</v>
      </c>
      <c r="B358" s="147" t="s">
        <v>6130</v>
      </c>
      <c r="C358" s="147" t="s">
        <v>6191</v>
      </c>
      <c r="D358" s="148"/>
      <c r="E358" s="149" t="s">
        <v>21951</v>
      </c>
      <c r="F358" s="161">
        <v>1</v>
      </c>
      <c r="G358" s="149" t="s">
        <v>1020</v>
      </c>
      <c r="H358" s="155">
        <v>1</v>
      </c>
      <c r="I358" s="152"/>
      <c r="J358" s="149" t="s">
        <v>21952</v>
      </c>
      <c r="K358" s="158">
        <v>3</v>
      </c>
      <c r="L358" s="156" t="s">
        <v>55</v>
      </c>
      <c r="M358" s="149" t="s">
        <v>21951</v>
      </c>
      <c r="N358" s="155">
        <v>1</v>
      </c>
      <c r="O358" s="156" t="s">
        <v>40</v>
      </c>
      <c r="P358" s="149" t="s">
        <v>21953</v>
      </c>
      <c r="Q358" s="155">
        <v>1</v>
      </c>
      <c r="R358" s="152"/>
      <c r="S358" s="149" t="s">
        <v>21954</v>
      </c>
      <c r="T358" s="155">
        <v>1</v>
      </c>
      <c r="U358" s="152"/>
      <c r="V358" s="149" t="s">
        <v>47</v>
      </c>
      <c r="W358" s="153"/>
      <c r="X358" s="152"/>
      <c r="Y358" s="149" t="s">
        <v>47</v>
      </c>
      <c r="Z358" s="153"/>
      <c r="AA358" s="152"/>
      <c r="AB358" s="154" t="s">
        <v>3399</v>
      </c>
    </row>
    <row r="359" spans="1:28" x14ac:dyDescent="0.2">
      <c r="A359" s="146" t="s">
        <v>3400</v>
      </c>
      <c r="B359" s="147" t="s">
        <v>6130</v>
      </c>
      <c r="C359" s="147" t="s">
        <v>6191</v>
      </c>
      <c r="D359" s="148"/>
      <c r="E359" s="149" t="s">
        <v>21955</v>
      </c>
      <c r="F359" s="161">
        <v>1</v>
      </c>
      <c r="G359" s="149" t="s">
        <v>9337</v>
      </c>
      <c r="H359" s="155">
        <v>1</v>
      </c>
      <c r="I359" s="152"/>
      <c r="J359" s="149" t="s">
        <v>21956</v>
      </c>
      <c r="K359" s="155">
        <v>1</v>
      </c>
      <c r="L359" s="152"/>
      <c r="M359" s="149" t="s">
        <v>21955</v>
      </c>
      <c r="N359" s="155">
        <v>1</v>
      </c>
      <c r="O359" s="152"/>
      <c r="P359" s="149" t="s">
        <v>21957</v>
      </c>
      <c r="Q359" s="155">
        <v>1</v>
      </c>
      <c r="R359" s="152"/>
      <c r="S359" s="149" t="s">
        <v>21958</v>
      </c>
      <c r="T359" s="155">
        <v>1</v>
      </c>
      <c r="U359" s="152"/>
      <c r="V359" s="149" t="s">
        <v>47</v>
      </c>
      <c r="W359" s="153"/>
      <c r="X359" s="152"/>
      <c r="Y359" s="149" t="s">
        <v>47</v>
      </c>
      <c r="Z359" s="153"/>
      <c r="AA359" s="152"/>
      <c r="AB359" s="154" t="s">
        <v>3401</v>
      </c>
    </row>
    <row r="360" spans="1:28" x14ac:dyDescent="0.2">
      <c r="A360" s="146" t="s">
        <v>3402</v>
      </c>
      <c r="B360" s="147" t="s">
        <v>6130</v>
      </c>
      <c r="C360" s="147" t="s">
        <v>6266</v>
      </c>
      <c r="D360" s="148"/>
      <c r="E360" s="149" t="s">
        <v>20939</v>
      </c>
      <c r="F360" s="159">
        <v>3</v>
      </c>
      <c r="G360" s="149" t="s">
        <v>21959</v>
      </c>
      <c r="H360" s="155">
        <v>1</v>
      </c>
      <c r="I360" s="156" t="s">
        <v>40</v>
      </c>
      <c r="J360" s="149" t="s">
        <v>21960</v>
      </c>
      <c r="K360" s="157">
        <v>2</v>
      </c>
      <c r="L360" s="156" t="s">
        <v>40</v>
      </c>
      <c r="M360" s="149" t="s">
        <v>20939</v>
      </c>
      <c r="N360" s="158">
        <v>3</v>
      </c>
      <c r="O360" s="156" t="s">
        <v>40</v>
      </c>
      <c r="P360" s="149" t="s">
        <v>21416</v>
      </c>
      <c r="Q360" s="158">
        <v>3</v>
      </c>
      <c r="R360" s="152"/>
      <c r="S360" s="149" t="s">
        <v>21961</v>
      </c>
      <c r="T360" s="157">
        <v>2</v>
      </c>
      <c r="U360" s="152"/>
      <c r="V360" s="149" t="s">
        <v>47</v>
      </c>
      <c r="W360" s="153"/>
      <c r="X360" s="152"/>
      <c r="Y360" s="149" t="s">
        <v>47</v>
      </c>
      <c r="Z360" s="153"/>
      <c r="AA360" s="152"/>
      <c r="AB360" s="154" t="s">
        <v>3403</v>
      </c>
    </row>
    <row r="361" spans="1:28" x14ac:dyDescent="0.2">
      <c r="A361" s="146" t="s">
        <v>6834</v>
      </c>
      <c r="B361" s="147" t="s">
        <v>6130</v>
      </c>
      <c r="C361" s="147" t="s">
        <v>6266</v>
      </c>
      <c r="D361" s="148"/>
      <c r="E361" s="149" t="s">
        <v>21962</v>
      </c>
      <c r="F361" s="160">
        <v>2</v>
      </c>
      <c r="G361" s="149" t="s">
        <v>21963</v>
      </c>
      <c r="H361" s="155">
        <v>1</v>
      </c>
      <c r="I361" s="156" t="s">
        <v>53</v>
      </c>
      <c r="J361" s="149" t="s">
        <v>21964</v>
      </c>
      <c r="K361" s="157">
        <v>2</v>
      </c>
      <c r="L361" s="152"/>
      <c r="M361" s="149" t="s">
        <v>21962</v>
      </c>
      <c r="N361" s="157">
        <v>2</v>
      </c>
      <c r="O361" s="156" t="s">
        <v>40</v>
      </c>
      <c r="P361" s="149" t="s">
        <v>11289</v>
      </c>
      <c r="Q361" s="157">
        <v>2</v>
      </c>
      <c r="R361" s="156" t="s">
        <v>40</v>
      </c>
      <c r="S361" s="149" t="s">
        <v>21965</v>
      </c>
      <c r="T361" s="158">
        <v>3</v>
      </c>
      <c r="U361" s="152"/>
      <c r="V361" s="149" t="s">
        <v>47</v>
      </c>
      <c r="W361" s="153"/>
      <c r="X361" s="152"/>
      <c r="Y361" s="149" t="s">
        <v>47</v>
      </c>
      <c r="Z361" s="153"/>
      <c r="AA361" s="152"/>
      <c r="AB361" s="154" t="s">
        <v>3405</v>
      </c>
    </row>
    <row r="362" spans="1:28" x14ac:dyDescent="0.2">
      <c r="A362" s="146" t="s">
        <v>6835</v>
      </c>
      <c r="B362" s="147" t="s">
        <v>6130</v>
      </c>
      <c r="C362" s="147" t="s">
        <v>6191</v>
      </c>
      <c r="D362" s="148"/>
      <c r="E362" s="149" t="s">
        <v>21966</v>
      </c>
      <c r="F362" s="160">
        <v>2</v>
      </c>
      <c r="G362" s="149" t="s">
        <v>21967</v>
      </c>
      <c r="H362" s="155">
        <v>1</v>
      </c>
      <c r="I362" s="156" t="s">
        <v>40</v>
      </c>
      <c r="J362" s="149" t="s">
        <v>21968</v>
      </c>
      <c r="K362" s="157">
        <v>2</v>
      </c>
      <c r="L362" s="152"/>
      <c r="M362" s="149" t="s">
        <v>21966</v>
      </c>
      <c r="N362" s="157">
        <v>2</v>
      </c>
      <c r="O362" s="152"/>
      <c r="P362" s="149" t="s">
        <v>21969</v>
      </c>
      <c r="Q362" s="155">
        <v>1</v>
      </c>
      <c r="R362" s="156" t="s">
        <v>40</v>
      </c>
      <c r="S362" s="149" t="s">
        <v>47</v>
      </c>
      <c r="T362" s="153"/>
      <c r="U362" s="152"/>
      <c r="V362" s="149" t="s">
        <v>47</v>
      </c>
      <c r="W362" s="153"/>
      <c r="X362" s="152"/>
      <c r="Y362" s="149" t="s">
        <v>47</v>
      </c>
      <c r="Z362" s="153"/>
      <c r="AA362" s="152"/>
      <c r="AB362" s="154" t="s">
        <v>3407</v>
      </c>
    </row>
    <row r="363" spans="1:28" x14ac:dyDescent="0.2">
      <c r="A363" s="146" t="s">
        <v>6836</v>
      </c>
      <c r="B363" s="147" t="s">
        <v>6130</v>
      </c>
      <c r="C363" s="147" t="s">
        <v>6196</v>
      </c>
      <c r="D363" s="148"/>
      <c r="E363" s="149" t="s">
        <v>21970</v>
      </c>
      <c r="F363" s="161">
        <v>1</v>
      </c>
      <c r="G363" s="149" t="s">
        <v>21971</v>
      </c>
      <c r="H363" s="155">
        <v>1</v>
      </c>
      <c r="I363" s="156" t="s">
        <v>40</v>
      </c>
      <c r="J363" s="149" t="s">
        <v>6837</v>
      </c>
      <c r="K363" s="155">
        <v>1</v>
      </c>
      <c r="L363" s="156" t="s">
        <v>40</v>
      </c>
      <c r="M363" s="149" t="s">
        <v>21970</v>
      </c>
      <c r="N363" s="155">
        <v>1</v>
      </c>
      <c r="O363" s="152"/>
      <c r="P363" s="149" t="s">
        <v>21972</v>
      </c>
      <c r="Q363" s="155">
        <v>1</v>
      </c>
      <c r="R363" s="156" t="s">
        <v>40</v>
      </c>
      <c r="S363" s="149" t="s">
        <v>47</v>
      </c>
      <c r="T363" s="153"/>
      <c r="U363" s="152"/>
      <c r="V363" s="149" t="s">
        <v>47</v>
      </c>
      <c r="W363" s="153"/>
      <c r="X363" s="152"/>
      <c r="Y363" s="149" t="s">
        <v>47</v>
      </c>
      <c r="Z363" s="153"/>
      <c r="AA363" s="152"/>
      <c r="AB363" s="154" t="s">
        <v>3409</v>
      </c>
    </row>
    <row r="364" spans="1:28" x14ac:dyDescent="0.2">
      <c r="A364" s="146" t="s">
        <v>3410</v>
      </c>
      <c r="B364" s="147" t="s">
        <v>6130</v>
      </c>
      <c r="C364" s="147" t="s">
        <v>6838</v>
      </c>
      <c r="D364" s="148"/>
      <c r="E364" s="149" t="s">
        <v>21973</v>
      </c>
      <c r="F364" s="160">
        <v>2</v>
      </c>
      <c r="G364" s="149" t="s">
        <v>6839</v>
      </c>
      <c r="H364" s="155">
        <v>1</v>
      </c>
      <c r="I364" s="152"/>
      <c r="J364" s="149" t="s">
        <v>21974</v>
      </c>
      <c r="K364" s="155">
        <v>1</v>
      </c>
      <c r="L364" s="156" t="s">
        <v>53</v>
      </c>
      <c r="M364" s="149" t="s">
        <v>21973</v>
      </c>
      <c r="N364" s="157">
        <v>2</v>
      </c>
      <c r="O364" s="156" t="s">
        <v>40</v>
      </c>
      <c r="P364" s="149" t="s">
        <v>6840</v>
      </c>
      <c r="Q364" s="157">
        <v>2</v>
      </c>
      <c r="R364" s="156" t="s">
        <v>40</v>
      </c>
      <c r="S364" s="149" t="s">
        <v>47</v>
      </c>
      <c r="T364" s="153"/>
      <c r="U364" s="152"/>
      <c r="V364" s="149" t="s">
        <v>47</v>
      </c>
      <c r="W364" s="153"/>
      <c r="X364" s="152"/>
      <c r="Y364" s="149" t="s">
        <v>47</v>
      </c>
      <c r="Z364" s="153"/>
      <c r="AA364" s="152"/>
      <c r="AB364" s="154" t="s">
        <v>3411</v>
      </c>
    </row>
    <row r="365" spans="1:28" x14ac:dyDescent="0.2">
      <c r="A365" s="146" t="s">
        <v>3412</v>
      </c>
      <c r="B365" s="147" t="s">
        <v>6130</v>
      </c>
      <c r="C365" s="147" t="s">
        <v>6838</v>
      </c>
      <c r="D365" s="148"/>
      <c r="E365" s="149" t="s">
        <v>21975</v>
      </c>
      <c r="F365" s="159">
        <v>3</v>
      </c>
      <c r="G365" s="149" t="s">
        <v>6841</v>
      </c>
      <c r="H365" s="155">
        <v>1</v>
      </c>
      <c r="I365" s="156" t="s">
        <v>40</v>
      </c>
      <c r="J365" s="149" t="s">
        <v>18537</v>
      </c>
      <c r="K365" s="155">
        <v>1</v>
      </c>
      <c r="L365" s="156" t="s">
        <v>53</v>
      </c>
      <c r="M365" s="149" t="s">
        <v>21975</v>
      </c>
      <c r="N365" s="158">
        <v>3</v>
      </c>
      <c r="O365" s="152"/>
      <c r="P365" s="149" t="s">
        <v>47</v>
      </c>
      <c r="Q365" s="153"/>
      <c r="R365" s="152"/>
      <c r="S365" s="149" t="s">
        <v>47</v>
      </c>
      <c r="T365" s="153"/>
      <c r="U365" s="152"/>
      <c r="V365" s="149" t="s">
        <v>47</v>
      </c>
      <c r="W365" s="153"/>
      <c r="X365" s="152"/>
      <c r="Y365" s="149" t="s">
        <v>47</v>
      </c>
      <c r="Z365" s="153"/>
      <c r="AA365" s="152"/>
      <c r="AB365" s="154" t="s">
        <v>3413</v>
      </c>
    </row>
    <row r="366" spans="1:28" x14ac:dyDescent="0.2">
      <c r="A366" s="146" t="s">
        <v>6842</v>
      </c>
      <c r="B366" s="147" t="s">
        <v>6130</v>
      </c>
      <c r="C366" s="147" t="s">
        <v>6221</v>
      </c>
      <c r="D366" s="148" t="s">
        <v>6163</v>
      </c>
      <c r="E366" s="149" t="s">
        <v>6843</v>
      </c>
      <c r="F366" s="161">
        <v>1</v>
      </c>
      <c r="G366" s="149" t="s">
        <v>21976</v>
      </c>
      <c r="H366" s="155">
        <v>1</v>
      </c>
      <c r="I366" s="152"/>
      <c r="J366" s="149" t="s">
        <v>3751</v>
      </c>
      <c r="K366" s="155">
        <v>1</v>
      </c>
      <c r="L366" s="152"/>
      <c r="M366" s="149" t="s">
        <v>6843</v>
      </c>
      <c r="N366" s="155">
        <v>1</v>
      </c>
      <c r="O366" s="152"/>
      <c r="P366" s="149" t="s">
        <v>21977</v>
      </c>
      <c r="Q366" s="155">
        <v>1</v>
      </c>
      <c r="R366" s="152"/>
      <c r="S366" s="149" t="s">
        <v>6844</v>
      </c>
      <c r="T366" s="155">
        <v>1</v>
      </c>
      <c r="U366" s="152"/>
      <c r="V366" s="149" t="s">
        <v>21978</v>
      </c>
      <c r="W366" s="155">
        <v>1</v>
      </c>
      <c r="X366" s="152"/>
      <c r="Y366" s="149" t="s">
        <v>47</v>
      </c>
      <c r="Z366" s="153"/>
      <c r="AA366" s="152"/>
      <c r="AB366" s="154" t="s">
        <v>783</v>
      </c>
    </row>
    <row r="367" spans="1:28" x14ac:dyDescent="0.2">
      <c r="A367" s="146" t="s">
        <v>6845</v>
      </c>
      <c r="B367" s="147" t="s">
        <v>6130</v>
      </c>
      <c r="C367" s="147" t="s">
        <v>6175</v>
      </c>
      <c r="D367" s="148"/>
      <c r="E367" s="149" t="s">
        <v>21979</v>
      </c>
      <c r="F367" s="159">
        <v>3</v>
      </c>
      <c r="G367" s="149" t="s">
        <v>21980</v>
      </c>
      <c r="H367" s="158">
        <v>3</v>
      </c>
      <c r="I367" s="152"/>
      <c r="J367" s="149" t="s">
        <v>21981</v>
      </c>
      <c r="K367" s="158">
        <v>3</v>
      </c>
      <c r="L367" s="152"/>
      <c r="M367" s="149" t="s">
        <v>21979</v>
      </c>
      <c r="N367" s="158">
        <v>3</v>
      </c>
      <c r="O367" s="152"/>
      <c r="P367" s="149" t="s">
        <v>21982</v>
      </c>
      <c r="Q367" s="158">
        <v>3</v>
      </c>
      <c r="R367" s="152"/>
      <c r="S367" s="149" t="s">
        <v>21983</v>
      </c>
      <c r="T367" s="158">
        <v>3</v>
      </c>
      <c r="U367" s="152"/>
      <c r="V367" s="149" t="s">
        <v>21984</v>
      </c>
      <c r="W367" s="151">
        <v>4</v>
      </c>
      <c r="X367" s="152"/>
      <c r="Y367" s="149" t="s">
        <v>47</v>
      </c>
      <c r="Z367" s="153"/>
      <c r="AA367" s="152"/>
      <c r="AB367" s="154" t="s">
        <v>3439</v>
      </c>
    </row>
    <row r="368" spans="1:28" x14ac:dyDescent="0.2">
      <c r="A368" s="146" t="s">
        <v>6846</v>
      </c>
      <c r="B368" s="147" t="s">
        <v>6755</v>
      </c>
      <c r="C368" s="147" t="s">
        <v>6847</v>
      </c>
      <c r="D368" s="148"/>
      <c r="E368" s="149" t="s">
        <v>21985</v>
      </c>
      <c r="F368" s="160">
        <v>2</v>
      </c>
      <c r="G368" s="149" t="s">
        <v>21986</v>
      </c>
      <c r="H368" s="157">
        <v>2</v>
      </c>
      <c r="I368" s="152"/>
      <c r="J368" s="149" t="s">
        <v>21985</v>
      </c>
      <c r="K368" s="157">
        <v>2</v>
      </c>
      <c r="L368" s="152"/>
      <c r="M368" s="149" t="s">
        <v>21985</v>
      </c>
      <c r="N368" s="157">
        <v>2</v>
      </c>
      <c r="O368" s="152"/>
      <c r="P368" s="149" t="s">
        <v>10725</v>
      </c>
      <c r="Q368" s="157">
        <v>2</v>
      </c>
      <c r="R368" s="152"/>
      <c r="S368" s="149" t="s">
        <v>12105</v>
      </c>
      <c r="T368" s="157">
        <v>2</v>
      </c>
      <c r="U368" s="152"/>
      <c r="V368" s="149" t="s">
        <v>47</v>
      </c>
      <c r="W368" s="153"/>
      <c r="X368" s="152"/>
      <c r="Y368" s="149" t="s">
        <v>47</v>
      </c>
      <c r="Z368" s="153"/>
      <c r="AA368" s="152"/>
      <c r="AB368" s="154" t="s">
        <v>3464</v>
      </c>
    </row>
    <row r="369" spans="1:28" x14ac:dyDescent="0.2">
      <c r="A369" s="146" t="s">
        <v>6848</v>
      </c>
      <c r="B369" s="147" t="s">
        <v>6314</v>
      </c>
      <c r="C369" s="147" t="s">
        <v>6673</v>
      </c>
      <c r="D369" s="148"/>
      <c r="E369" s="149" t="s">
        <v>21987</v>
      </c>
      <c r="F369" s="161">
        <v>1</v>
      </c>
      <c r="G369" s="149" t="s">
        <v>21988</v>
      </c>
      <c r="H369" s="157">
        <v>2</v>
      </c>
      <c r="I369" s="152"/>
      <c r="J369" s="149" t="s">
        <v>21989</v>
      </c>
      <c r="K369" s="157">
        <v>2</v>
      </c>
      <c r="L369" s="152"/>
      <c r="M369" s="149" t="s">
        <v>21987</v>
      </c>
      <c r="N369" s="155">
        <v>1</v>
      </c>
      <c r="O369" s="156" t="s">
        <v>40</v>
      </c>
      <c r="P369" s="149" t="s">
        <v>21990</v>
      </c>
      <c r="Q369" s="157">
        <v>2</v>
      </c>
      <c r="R369" s="152"/>
      <c r="S369" s="149" t="s">
        <v>6849</v>
      </c>
      <c r="T369" s="157">
        <v>2</v>
      </c>
      <c r="U369" s="152"/>
      <c r="V369" s="149" t="s">
        <v>6850</v>
      </c>
      <c r="W369" s="157">
        <v>2</v>
      </c>
      <c r="X369" s="152"/>
      <c r="Y369" s="149" t="s">
        <v>47</v>
      </c>
      <c r="Z369" s="153"/>
      <c r="AA369" s="152"/>
      <c r="AB369" s="154" t="s">
        <v>3485</v>
      </c>
    </row>
    <row r="370" spans="1:28" x14ac:dyDescent="0.2">
      <c r="A370" s="146" t="s">
        <v>21991</v>
      </c>
      <c r="B370" s="147" t="s">
        <v>6314</v>
      </c>
      <c r="C370" s="147" t="s">
        <v>6695</v>
      </c>
      <c r="D370" s="148" t="s">
        <v>6132</v>
      </c>
      <c r="E370" s="149" t="s">
        <v>19161</v>
      </c>
      <c r="F370" s="159">
        <v>3</v>
      </c>
      <c r="G370" s="149" t="s">
        <v>4848</v>
      </c>
      <c r="H370" s="157">
        <v>2</v>
      </c>
      <c r="I370" s="152"/>
      <c r="J370" s="149" t="s">
        <v>3846</v>
      </c>
      <c r="K370" s="157">
        <v>2</v>
      </c>
      <c r="L370" s="152"/>
      <c r="M370" s="149" t="s">
        <v>19161</v>
      </c>
      <c r="N370" s="158">
        <v>3</v>
      </c>
      <c r="O370" s="156" t="s">
        <v>40</v>
      </c>
      <c r="P370" s="149" t="s">
        <v>6851</v>
      </c>
      <c r="Q370" s="157">
        <v>2</v>
      </c>
      <c r="R370" s="152"/>
      <c r="S370" s="149" t="s">
        <v>6722</v>
      </c>
      <c r="T370" s="157">
        <v>2</v>
      </c>
      <c r="U370" s="156" t="s">
        <v>40</v>
      </c>
      <c r="V370" s="149" t="s">
        <v>6852</v>
      </c>
      <c r="W370" s="157">
        <v>2</v>
      </c>
      <c r="X370" s="152"/>
      <c r="Y370" s="149" t="s">
        <v>47</v>
      </c>
      <c r="Z370" s="153"/>
      <c r="AA370" s="152"/>
      <c r="AB370" s="154" t="s">
        <v>6853</v>
      </c>
    </row>
    <row r="371" spans="1:28" x14ac:dyDescent="0.2">
      <c r="A371" s="146" t="s">
        <v>21992</v>
      </c>
      <c r="B371" s="147" t="s">
        <v>6314</v>
      </c>
      <c r="C371" s="147" t="s">
        <v>6506</v>
      </c>
      <c r="D371" s="148"/>
      <c r="E371" s="149" t="s">
        <v>47</v>
      </c>
      <c r="F371" s="152"/>
      <c r="G371" s="149" t="s">
        <v>6854</v>
      </c>
      <c r="H371" s="151">
        <v>4</v>
      </c>
      <c r="I371" s="156" t="s">
        <v>44</v>
      </c>
      <c r="J371" s="149" t="s">
        <v>47</v>
      </c>
      <c r="K371" s="153"/>
      <c r="L371" s="152"/>
      <c r="M371" s="149" t="s">
        <v>47</v>
      </c>
      <c r="N371" s="153"/>
      <c r="O371" s="152"/>
      <c r="P371" s="149" t="s">
        <v>47</v>
      </c>
      <c r="Q371" s="153"/>
      <c r="R371" s="152"/>
      <c r="S371" s="149" t="s">
        <v>47</v>
      </c>
      <c r="T371" s="153"/>
      <c r="U371" s="152"/>
      <c r="V371" s="149" t="s">
        <v>47</v>
      </c>
      <c r="W371" s="153"/>
      <c r="X371" s="152"/>
      <c r="Y371" s="149" t="s">
        <v>47</v>
      </c>
      <c r="Z371" s="153"/>
      <c r="AA371" s="152"/>
      <c r="AB371" s="154" t="s">
        <v>21993</v>
      </c>
    </row>
    <row r="372" spans="1:28" x14ac:dyDescent="0.2">
      <c r="A372" s="146" t="s">
        <v>6855</v>
      </c>
      <c r="B372" s="147" t="s">
        <v>6130</v>
      </c>
      <c r="C372" s="147" t="s">
        <v>6583</v>
      </c>
      <c r="D372" s="148"/>
      <c r="E372" s="149" t="s">
        <v>21994</v>
      </c>
      <c r="F372" s="150">
        <v>4</v>
      </c>
      <c r="G372" s="149" t="s">
        <v>21995</v>
      </c>
      <c r="H372" s="151">
        <v>4</v>
      </c>
      <c r="I372" s="152"/>
      <c r="J372" s="149" t="s">
        <v>21996</v>
      </c>
      <c r="K372" s="151">
        <v>4</v>
      </c>
      <c r="L372" s="152"/>
      <c r="M372" s="149" t="s">
        <v>21994</v>
      </c>
      <c r="N372" s="151">
        <v>4</v>
      </c>
      <c r="O372" s="152"/>
      <c r="P372" s="149" t="s">
        <v>21997</v>
      </c>
      <c r="Q372" s="151">
        <v>4</v>
      </c>
      <c r="R372" s="152"/>
      <c r="S372" s="149" t="s">
        <v>21998</v>
      </c>
      <c r="T372" s="158">
        <v>3</v>
      </c>
      <c r="U372" s="152"/>
      <c r="V372" s="149" t="s">
        <v>21999</v>
      </c>
      <c r="W372" s="158">
        <v>3</v>
      </c>
      <c r="X372" s="152"/>
      <c r="Y372" s="149" t="s">
        <v>22000</v>
      </c>
      <c r="Z372" s="155">
        <v>1</v>
      </c>
      <c r="AA372" s="152"/>
      <c r="AB372" s="154" t="s">
        <v>3505</v>
      </c>
    </row>
    <row r="373" spans="1:28" x14ac:dyDescent="0.2">
      <c r="A373" s="146" t="s">
        <v>6856</v>
      </c>
      <c r="B373" s="147" t="s">
        <v>6130</v>
      </c>
      <c r="C373" s="147" t="s">
        <v>6169</v>
      </c>
      <c r="D373" s="148"/>
      <c r="E373" s="149" t="s">
        <v>22001</v>
      </c>
      <c r="F373" s="150">
        <v>4</v>
      </c>
      <c r="G373" s="149" t="s">
        <v>10458</v>
      </c>
      <c r="H373" s="151">
        <v>4</v>
      </c>
      <c r="I373" s="156" t="s">
        <v>46</v>
      </c>
      <c r="J373" s="149" t="s">
        <v>22002</v>
      </c>
      <c r="K373" s="151">
        <v>4</v>
      </c>
      <c r="L373" s="152"/>
      <c r="M373" s="149" t="s">
        <v>22001</v>
      </c>
      <c r="N373" s="151">
        <v>4</v>
      </c>
      <c r="O373" s="152"/>
      <c r="P373" s="149" t="s">
        <v>22003</v>
      </c>
      <c r="Q373" s="151">
        <v>4</v>
      </c>
      <c r="R373" s="152"/>
      <c r="S373" s="149" t="s">
        <v>22004</v>
      </c>
      <c r="T373" s="151">
        <v>4</v>
      </c>
      <c r="U373" s="152"/>
      <c r="V373" s="149" t="s">
        <v>22005</v>
      </c>
      <c r="W373" s="151">
        <v>4</v>
      </c>
      <c r="X373" s="152"/>
      <c r="Y373" s="149" t="s">
        <v>22006</v>
      </c>
      <c r="Z373" s="157">
        <v>2</v>
      </c>
      <c r="AA373" s="152"/>
      <c r="AB373" s="154" t="s">
        <v>3507</v>
      </c>
    </row>
    <row r="374" spans="1:28" x14ac:dyDescent="0.2">
      <c r="A374" s="146" t="s">
        <v>3489</v>
      </c>
      <c r="B374" s="147" t="s">
        <v>6130</v>
      </c>
      <c r="C374" s="147" t="s">
        <v>6196</v>
      </c>
      <c r="D374" s="148"/>
      <c r="E374" s="149" t="s">
        <v>22007</v>
      </c>
      <c r="F374" s="150">
        <v>4</v>
      </c>
      <c r="G374" s="149" t="s">
        <v>18222</v>
      </c>
      <c r="H374" s="151">
        <v>4</v>
      </c>
      <c r="I374" s="156" t="s">
        <v>46</v>
      </c>
      <c r="J374" s="149" t="s">
        <v>22008</v>
      </c>
      <c r="K374" s="151">
        <v>4</v>
      </c>
      <c r="L374" s="156" t="s">
        <v>46</v>
      </c>
      <c r="M374" s="149" t="s">
        <v>22007</v>
      </c>
      <c r="N374" s="151">
        <v>4</v>
      </c>
      <c r="O374" s="156" t="s">
        <v>46</v>
      </c>
      <c r="P374" s="149" t="s">
        <v>21847</v>
      </c>
      <c r="Q374" s="157">
        <v>2</v>
      </c>
      <c r="R374" s="152"/>
      <c r="S374" s="149" t="s">
        <v>47</v>
      </c>
      <c r="T374" s="153"/>
      <c r="U374" s="152"/>
      <c r="V374" s="149" t="s">
        <v>47</v>
      </c>
      <c r="W374" s="153"/>
      <c r="X374" s="152"/>
      <c r="Y374" s="149" t="s">
        <v>47</v>
      </c>
      <c r="Z374" s="153"/>
      <c r="AA374" s="152"/>
      <c r="AB374" s="154" t="s">
        <v>3490</v>
      </c>
    </row>
    <row r="375" spans="1:28" x14ac:dyDescent="0.2">
      <c r="A375" s="146" t="s">
        <v>3491</v>
      </c>
      <c r="B375" s="147" t="s">
        <v>6130</v>
      </c>
      <c r="C375" s="147" t="s">
        <v>6196</v>
      </c>
      <c r="D375" s="148"/>
      <c r="E375" s="149" t="s">
        <v>22009</v>
      </c>
      <c r="F375" s="159">
        <v>3</v>
      </c>
      <c r="G375" s="149" t="s">
        <v>18133</v>
      </c>
      <c r="H375" s="158">
        <v>3</v>
      </c>
      <c r="I375" s="152"/>
      <c r="J375" s="149" t="s">
        <v>22010</v>
      </c>
      <c r="K375" s="151">
        <v>4</v>
      </c>
      <c r="L375" s="156" t="s">
        <v>46</v>
      </c>
      <c r="M375" s="149" t="s">
        <v>22009</v>
      </c>
      <c r="N375" s="158">
        <v>3</v>
      </c>
      <c r="O375" s="152"/>
      <c r="P375" s="149" t="s">
        <v>22011</v>
      </c>
      <c r="Q375" s="157">
        <v>2</v>
      </c>
      <c r="R375" s="152"/>
      <c r="S375" s="149" t="s">
        <v>47</v>
      </c>
      <c r="T375" s="153"/>
      <c r="U375" s="152"/>
      <c r="V375" s="149" t="s">
        <v>47</v>
      </c>
      <c r="W375" s="153"/>
      <c r="X375" s="152"/>
      <c r="Y375" s="149" t="s">
        <v>47</v>
      </c>
      <c r="Z375" s="153"/>
      <c r="AA375" s="152"/>
      <c r="AB375" s="154" t="s">
        <v>3492</v>
      </c>
    </row>
    <row r="376" spans="1:28" x14ac:dyDescent="0.2">
      <c r="A376" s="146" t="s">
        <v>3493</v>
      </c>
      <c r="B376" s="147" t="s">
        <v>6130</v>
      </c>
      <c r="C376" s="147" t="s">
        <v>6838</v>
      </c>
      <c r="D376" s="148"/>
      <c r="E376" s="149" t="s">
        <v>6857</v>
      </c>
      <c r="F376" s="150">
        <v>4</v>
      </c>
      <c r="G376" s="149" t="s">
        <v>22012</v>
      </c>
      <c r="H376" s="151">
        <v>4</v>
      </c>
      <c r="I376" s="156" t="s">
        <v>46</v>
      </c>
      <c r="J376" s="149" t="s">
        <v>6858</v>
      </c>
      <c r="K376" s="151">
        <v>4</v>
      </c>
      <c r="L376" s="156" t="s">
        <v>46</v>
      </c>
      <c r="M376" s="149" t="s">
        <v>6857</v>
      </c>
      <c r="N376" s="151">
        <v>4</v>
      </c>
      <c r="O376" s="156" t="s">
        <v>46</v>
      </c>
      <c r="P376" s="149" t="s">
        <v>6859</v>
      </c>
      <c r="Q376" s="158">
        <v>3</v>
      </c>
      <c r="R376" s="156" t="s">
        <v>46</v>
      </c>
      <c r="S376" s="149" t="s">
        <v>47</v>
      </c>
      <c r="T376" s="153"/>
      <c r="U376" s="152"/>
      <c r="V376" s="149" t="s">
        <v>47</v>
      </c>
      <c r="W376" s="153"/>
      <c r="X376" s="152"/>
      <c r="Y376" s="149" t="s">
        <v>47</v>
      </c>
      <c r="Z376" s="153"/>
      <c r="AA376" s="152"/>
      <c r="AB376" s="154" t="s">
        <v>3494</v>
      </c>
    </row>
    <row r="377" spans="1:28" x14ac:dyDescent="0.2">
      <c r="A377" s="146" t="s">
        <v>3495</v>
      </c>
      <c r="B377" s="147" t="s">
        <v>6130</v>
      </c>
      <c r="C377" s="147" t="s">
        <v>6838</v>
      </c>
      <c r="D377" s="148"/>
      <c r="E377" s="149" t="s">
        <v>21016</v>
      </c>
      <c r="F377" s="150">
        <v>4</v>
      </c>
      <c r="G377" s="149" t="s">
        <v>22013</v>
      </c>
      <c r="H377" s="151">
        <v>4</v>
      </c>
      <c r="I377" s="156" t="s">
        <v>46</v>
      </c>
      <c r="J377" s="149" t="s">
        <v>5247</v>
      </c>
      <c r="K377" s="151">
        <v>4</v>
      </c>
      <c r="L377" s="156" t="s">
        <v>46</v>
      </c>
      <c r="M377" s="149" t="s">
        <v>21016</v>
      </c>
      <c r="N377" s="151">
        <v>4</v>
      </c>
      <c r="O377" s="156" t="s">
        <v>46</v>
      </c>
      <c r="P377" s="149" t="s">
        <v>6860</v>
      </c>
      <c r="Q377" s="158">
        <v>3</v>
      </c>
      <c r="R377" s="152"/>
      <c r="S377" s="149" t="s">
        <v>47</v>
      </c>
      <c r="T377" s="153"/>
      <c r="U377" s="152"/>
      <c r="V377" s="149" t="s">
        <v>47</v>
      </c>
      <c r="W377" s="153"/>
      <c r="X377" s="152"/>
      <c r="Y377" s="149" t="s">
        <v>47</v>
      </c>
      <c r="Z377" s="153"/>
      <c r="AA377" s="152"/>
      <c r="AB377" s="154" t="s">
        <v>3496</v>
      </c>
    </row>
    <row r="378" spans="1:28" x14ac:dyDescent="0.2">
      <c r="A378" s="146" t="s">
        <v>6861</v>
      </c>
      <c r="B378" s="147" t="s">
        <v>6130</v>
      </c>
      <c r="C378" s="147" t="s">
        <v>6277</v>
      </c>
      <c r="D378" s="148" t="s">
        <v>6136</v>
      </c>
      <c r="E378" s="149" t="s">
        <v>22014</v>
      </c>
      <c r="F378" s="159">
        <v>3</v>
      </c>
      <c r="G378" s="149" t="s">
        <v>22015</v>
      </c>
      <c r="H378" s="151">
        <v>4</v>
      </c>
      <c r="I378" s="156" t="s">
        <v>55</v>
      </c>
      <c r="J378" s="149" t="s">
        <v>22016</v>
      </c>
      <c r="K378" s="158">
        <v>3</v>
      </c>
      <c r="L378" s="156" t="s">
        <v>46</v>
      </c>
      <c r="M378" s="149" t="s">
        <v>22014</v>
      </c>
      <c r="N378" s="158">
        <v>3</v>
      </c>
      <c r="O378" s="156" t="s">
        <v>46</v>
      </c>
      <c r="P378" s="149" t="s">
        <v>22017</v>
      </c>
      <c r="Q378" s="158">
        <v>3</v>
      </c>
      <c r="R378" s="152"/>
      <c r="S378" s="149" t="s">
        <v>22018</v>
      </c>
      <c r="T378" s="157">
        <v>2</v>
      </c>
      <c r="U378" s="152"/>
      <c r="V378" s="149" t="s">
        <v>22019</v>
      </c>
      <c r="W378" s="155">
        <v>1</v>
      </c>
      <c r="X378" s="152"/>
      <c r="Y378" s="149" t="s">
        <v>22020</v>
      </c>
      <c r="Z378" s="157">
        <v>2</v>
      </c>
      <c r="AA378" s="152"/>
      <c r="AB378" s="154" t="s">
        <v>3503</v>
      </c>
    </row>
    <row r="379" spans="1:28" x14ac:dyDescent="0.2">
      <c r="A379" s="146" t="s">
        <v>6862</v>
      </c>
      <c r="B379" s="147" t="s">
        <v>6130</v>
      </c>
      <c r="C379" s="147" t="s">
        <v>6331</v>
      </c>
      <c r="D379" s="148"/>
      <c r="E379" s="149" t="s">
        <v>22021</v>
      </c>
      <c r="F379" s="161">
        <v>1</v>
      </c>
      <c r="G379" s="149" t="s">
        <v>6863</v>
      </c>
      <c r="H379" s="155">
        <v>1</v>
      </c>
      <c r="I379" s="152"/>
      <c r="J379" s="149" t="s">
        <v>22022</v>
      </c>
      <c r="K379" s="155">
        <v>1</v>
      </c>
      <c r="L379" s="152"/>
      <c r="M379" s="149" t="s">
        <v>22021</v>
      </c>
      <c r="N379" s="155">
        <v>1</v>
      </c>
      <c r="O379" s="152"/>
      <c r="P379" s="149" t="s">
        <v>22021</v>
      </c>
      <c r="Q379" s="155">
        <v>1</v>
      </c>
      <c r="R379" s="156" t="s">
        <v>53</v>
      </c>
      <c r="S379" s="149" t="s">
        <v>21305</v>
      </c>
      <c r="T379" s="155">
        <v>1</v>
      </c>
      <c r="U379" s="152"/>
      <c r="V379" s="149" t="s">
        <v>21977</v>
      </c>
      <c r="W379" s="155">
        <v>1</v>
      </c>
      <c r="X379" s="152"/>
      <c r="Y379" s="149" t="s">
        <v>22023</v>
      </c>
      <c r="Z379" s="155">
        <v>1</v>
      </c>
      <c r="AA379" s="152"/>
      <c r="AB379" s="154" t="s">
        <v>3542</v>
      </c>
    </row>
    <row r="380" spans="1:28" x14ac:dyDescent="0.2">
      <c r="A380" s="146" t="s">
        <v>6864</v>
      </c>
      <c r="B380" s="147" t="s">
        <v>6130</v>
      </c>
      <c r="C380" s="147" t="s">
        <v>6277</v>
      </c>
      <c r="D380" s="148"/>
      <c r="E380" s="149" t="s">
        <v>22024</v>
      </c>
      <c r="F380" s="150">
        <v>4</v>
      </c>
      <c r="G380" s="149" t="s">
        <v>22025</v>
      </c>
      <c r="H380" s="155">
        <v>1</v>
      </c>
      <c r="I380" s="156" t="s">
        <v>53</v>
      </c>
      <c r="J380" s="149" t="s">
        <v>22026</v>
      </c>
      <c r="K380" s="158">
        <v>3</v>
      </c>
      <c r="L380" s="152"/>
      <c r="M380" s="149" t="s">
        <v>22024</v>
      </c>
      <c r="N380" s="151">
        <v>4</v>
      </c>
      <c r="O380" s="152"/>
      <c r="P380" s="149" t="s">
        <v>22027</v>
      </c>
      <c r="Q380" s="151">
        <v>4</v>
      </c>
      <c r="R380" s="152"/>
      <c r="S380" s="149" t="s">
        <v>22028</v>
      </c>
      <c r="T380" s="151">
        <v>4</v>
      </c>
      <c r="U380" s="152"/>
      <c r="V380" s="149" t="s">
        <v>22029</v>
      </c>
      <c r="W380" s="155">
        <v>1</v>
      </c>
      <c r="X380" s="152"/>
      <c r="Y380" s="149" t="s">
        <v>47</v>
      </c>
      <c r="Z380" s="153"/>
      <c r="AA380" s="152"/>
      <c r="AB380" s="154" t="s">
        <v>3549</v>
      </c>
    </row>
    <row r="381" spans="1:28" x14ac:dyDescent="0.2">
      <c r="A381" s="146" t="s">
        <v>3550</v>
      </c>
      <c r="B381" s="147" t="s">
        <v>6130</v>
      </c>
      <c r="C381" s="147" t="s">
        <v>6838</v>
      </c>
      <c r="D381" s="148"/>
      <c r="E381" s="149" t="s">
        <v>5818</v>
      </c>
      <c r="F381" s="159">
        <v>3</v>
      </c>
      <c r="G381" s="149" t="s">
        <v>22030</v>
      </c>
      <c r="H381" s="158">
        <v>3</v>
      </c>
      <c r="I381" s="156" t="s">
        <v>46</v>
      </c>
      <c r="J381" s="149" t="s">
        <v>11667</v>
      </c>
      <c r="K381" s="157">
        <v>2</v>
      </c>
      <c r="L381" s="156" t="s">
        <v>46</v>
      </c>
      <c r="M381" s="149" t="s">
        <v>5818</v>
      </c>
      <c r="N381" s="158">
        <v>3</v>
      </c>
      <c r="O381" s="156" t="s">
        <v>40</v>
      </c>
      <c r="P381" s="149" t="s">
        <v>47</v>
      </c>
      <c r="Q381" s="153"/>
      <c r="R381" s="152"/>
      <c r="S381" s="149" t="s">
        <v>47</v>
      </c>
      <c r="T381" s="153"/>
      <c r="U381" s="152"/>
      <c r="V381" s="149" t="s">
        <v>47</v>
      </c>
      <c r="W381" s="153"/>
      <c r="X381" s="152"/>
      <c r="Y381" s="149" t="s">
        <v>47</v>
      </c>
      <c r="Z381" s="153"/>
      <c r="AA381" s="152"/>
      <c r="AB381" s="154" t="s">
        <v>3551</v>
      </c>
    </row>
    <row r="382" spans="1:28" x14ac:dyDescent="0.2">
      <c r="A382" s="146" t="s">
        <v>6865</v>
      </c>
      <c r="B382" s="147" t="s">
        <v>6130</v>
      </c>
      <c r="C382" s="147" t="s">
        <v>6229</v>
      </c>
      <c r="D382" s="148"/>
      <c r="E382" s="149" t="s">
        <v>22031</v>
      </c>
      <c r="F382" s="150">
        <v>4</v>
      </c>
      <c r="G382" s="149" t="s">
        <v>15908</v>
      </c>
      <c r="H382" s="157">
        <v>2</v>
      </c>
      <c r="I382" s="152"/>
      <c r="J382" s="149" t="s">
        <v>22032</v>
      </c>
      <c r="K382" s="157">
        <v>2</v>
      </c>
      <c r="L382" s="152"/>
      <c r="M382" s="149" t="s">
        <v>22031</v>
      </c>
      <c r="N382" s="151">
        <v>4</v>
      </c>
      <c r="O382" s="152"/>
      <c r="P382" s="149" t="s">
        <v>47</v>
      </c>
      <c r="Q382" s="153"/>
      <c r="R382" s="152"/>
      <c r="S382" s="149" t="s">
        <v>47</v>
      </c>
      <c r="T382" s="153"/>
      <c r="U382" s="152"/>
      <c r="V382" s="149" t="s">
        <v>47</v>
      </c>
      <c r="W382" s="153"/>
      <c r="X382" s="152"/>
      <c r="Y382" s="149" t="s">
        <v>47</v>
      </c>
      <c r="Z382" s="153"/>
      <c r="AA382" s="152"/>
      <c r="AB382" s="154" t="s">
        <v>3553</v>
      </c>
    </row>
    <row r="383" spans="1:28" x14ac:dyDescent="0.2">
      <c r="A383" s="146" t="s">
        <v>3554</v>
      </c>
      <c r="B383" s="147" t="s">
        <v>6130</v>
      </c>
      <c r="C383" s="147" t="s">
        <v>6829</v>
      </c>
      <c r="D383" s="148"/>
      <c r="E383" s="149" t="s">
        <v>22033</v>
      </c>
      <c r="F383" s="150">
        <v>4</v>
      </c>
      <c r="G383" s="149" t="s">
        <v>22034</v>
      </c>
      <c r="H383" s="155">
        <v>1</v>
      </c>
      <c r="I383" s="156" t="s">
        <v>157</v>
      </c>
      <c r="J383" s="149" t="s">
        <v>22035</v>
      </c>
      <c r="K383" s="151">
        <v>4</v>
      </c>
      <c r="L383" s="152"/>
      <c r="M383" s="149" t="s">
        <v>22033</v>
      </c>
      <c r="N383" s="151">
        <v>4</v>
      </c>
      <c r="O383" s="152"/>
      <c r="P383" s="149" t="s">
        <v>47</v>
      </c>
      <c r="Q383" s="153"/>
      <c r="R383" s="152"/>
      <c r="S383" s="149" t="s">
        <v>47</v>
      </c>
      <c r="T383" s="153"/>
      <c r="U383" s="152"/>
      <c r="V383" s="149" t="s">
        <v>47</v>
      </c>
      <c r="W383" s="153"/>
      <c r="X383" s="152"/>
      <c r="Y383" s="149" t="s">
        <v>47</v>
      </c>
      <c r="Z383" s="153"/>
      <c r="AA383" s="152"/>
      <c r="AB383" s="154" t="s">
        <v>3555</v>
      </c>
    </row>
    <row r="384" spans="1:28" x14ac:dyDescent="0.2">
      <c r="A384" s="146" t="s">
        <v>6866</v>
      </c>
      <c r="B384" s="147" t="s">
        <v>6130</v>
      </c>
      <c r="C384" s="147" t="s">
        <v>6277</v>
      </c>
      <c r="D384" s="148"/>
      <c r="E384" s="149" t="s">
        <v>22036</v>
      </c>
      <c r="F384" s="159">
        <v>3</v>
      </c>
      <c r="G384" s="149" t="s">
        <v>22037</v>
      </c>
      <c r="H384" s="155">
        <v>1</v>
      </c>
      <c r="I384" s="156" t="s">
        <v>53</v>
      </c>
      <c r="J384" s="149" t="s">
        <v>22038</v>
      </c>
      <c r="K384" s="158">
        <v>3</v>
      </c>
      <c r="L384" s="152"/>
      <c r="M384" s="149" t="s">
        <v>22036</v>
      </c>
      <c r="N384" s="158">
        <v>3</v>
      </c>
      <c r="O384" s="152"/>
      <c r="P384" s="149" t="s">
        <v>47</v>
      </c>
      <c r="Q384" s="153"/>
      <c r="R384" s="152"/>
      <c r="S384" s="149" t="s">
        <v>47</v>
      </c>
      <c r="T384" s="153"/>
      <c r="U384" s="152"/>
      <c r="V384" s="149" t="s">
        <v>47</v>
      </c>
      <c r="W384" s="153"/>
      <c r="X384" s="152"/>
      <c r="Y384" s="149" t="s">
        <v>47</v>
      </c>
      <c r="Z384" s="153"/>
      <c r="AA384" s="152"/>
      <c r="AB384" s="154" t="s">
        <v>3557</v>
      </c>
    </row>
    <row r="385" spans="1:28" x14ac:dyDescent="0.2">
      <c r="A385" s="146" t="s">
        <v>22039</v>
      </c>
      <c r="B385" s="147" t="s">
        <v>6130</v>
      </c>
      <c r="C385" s="147" t="s">
        <v>6838</v>
      </c>
      <c r="D385" s="148"/>
      <c r="E385" s="149" t="s">
        <v>47</v>
      </c>
      <c r="F385" s="152"/>
      <c r="G385" s="149" t="s">
        <v>47</v>
      </c>
      <c r="H385" s="153"/>
      <c r="I385" s="152"/>
      <c r="J385" s="149" t="s">
        <v>47</v>
      </c>
      <c r="K385" s="153"/>
      <c r="L385" s="152"/>
      <c r="M385" s="149" t="s">
        <v>47</v>
      </c>
      <c r="N385" s="153"/>
      <c r="O385" s="152"/>
      <c r="P385" s="149" t="s">
        <v>47</v>
      </c>
      <c r="Q385" s="153"/>
      <c r="R385" s="152"/>
      <c r="S385" s="149" t="s">
        <v>47</v>
      </c>
      <c r="T385" s="153"/>
      <c r="U385" s="152"/>
      <c r="V385" s="149" t="s">
        <v>47</v>
      </c>
      <c r="W385" s="153"/>
      <c r="X385" s="152"/>
      <c r="Y385" s="149" t="s">
        <v>47</v>
      </c>
      <c r="Z385" s="153"/>
      <c r="AA385" s="152"/>
      <c r="AB385" s="154" t="s">
        <v>14930</v>
      </c>
    </row>
    <row r="386" spans="1:28" x14ac:dyDescent="0.2">
      <c r="A386" s="146" t="s">
        <v>6867</v>
      </c>
      <c r="B386" s="147" t="s">
        <v>6130</v>
      </c>
      <c r="C386" s="147" t="s">
        <v>6277</v>
      </c>
      <c r="D386" s="148"/>
      <c r="E386" s="149" t="s">
        <v>47</v>
      </c>
      <c r="F386" s="152"/>
      <c r="G386" s="149" t="s">
        <v>22040</v>
      </c>
      <c r="H386" s="157">
        <v>2</v>
      </c>
      <c r="I386" s="152"/>
      <c r="J386" s="149" t="s">
        <v>22041</v>
      </c>
      <c r="K386" s="157">
        <v>2</v>
      </c>
      <c r="L386" s="152"/>
      <c r="M386" s="149" t="s">
        <v>47</v>
      </c>
      <c r="N386" s="153"/>
      <c r="O386" s="152"/>
      <c r="P386" s="149" t="s">
        <v>47</v>
      </c>
      <c r="Q386" s="153"/>
      <c r="R386" s="152"/>
      <c r="S386" s="149" t="s">
        <v>47</v>
      </c>
      <c r="T386" s="153"/>
      <c r="U386" s="152"/>
      <c r="V386" s="149" t="s">
        <v>47</v>
      </c>
      <c r="W386" s="153"/>
      <c r="X386" s="152"/>
      <c r="Y386" s="149" t="s">
        <v>47</v>
      </c>
      <c r="Z386" s="153"/>
      <c r="AA386" s="152"/>
      <c r="AB386" s="154" t="s">
        <v>3559</v>
      </c>
    </row>
    <row r="387" spans="1:28" x14ac:dyDescent="0.2">
      <c r="A387" s="146" t="s">
        <v>3560</v>
      </c>
      <c r="B387" s="147" t="s">
        <v>6130</v>
      </c>
      <c r="C387" s="147" t="s">
        <v>6838</v>
      </c>
      <c r="D387" s="148"/>
      <c r="E387" s="149" t="s">
        <v>11983</v>
      </c>
      <c r="F387" s="150">
        <v>4</v>
      </c>
      <c r="G387" s="149" t="s">
        <v>22042</v>
      </c>
      <c r="H387" s="157">
        <v>2</v>
      </c>
      <c r="I387" s="156" t="s">
        <v>40</v>
      </c>
      <c r="J387" s="149" t="s">
        <v>2214</v>
      </c>
      <c r="K387" s="157">
        <v>2</v>
      </c>
      <c r="L387" s="152"/>
      <c r="M387" s="149" t="s">
        <v>11983</v>
      </c>
      <c r="N387" s="151">
        <v>4</v>
      </c>
      <c r="O387" s="152"/>
      <c r="P387" s="149" t="s">
        <v>47</v>
      </c>
      <c r="Q387" s="153"/>
      <c r="R387" s="152"/>
      <c r="S387" s="149" t="s">
        <v>47</v>
      </c>
      <c r="T387" s="153"/>
      <c r="U387" s="152"/>
      <c r="V387" s="149" t="s">
        <v>47</v>
      </c>
      <c r="W387" s="153"/>
      <c r="X387" s="152"/>
      <c r="Y387" s="149" t="s">
        <v>47</v>
      </c>
      <c r="Z387" s="153"/>
      <c r="AA387" s="152"/>
      <c r="AB387" s="154" t="s">
        <v>3561</v>
      </c>
    </row>
    <row r="388" spans="1:28" x14ac:dyDescent="0.2">
      <c r="A388" s="146" t="s">
        <v>6868</v>
      </c>
      <c r="B388" s="147" t="s">
        <v>6130</v>
      </c>
      <c r="C388" s="147" t="s">
        <v>6192</v>
      </c>
      <c r="D388" s="148"/>
      <c r="E388" s="149" t="s">
        <v>22043</v>
      </c>
      <c r="F388" s="150">
        <v>4</v>
      </c>
      <c r="G388" s="149" t="s">
        <v>22044</v>
      </c>
      <c r="H388" s="155">
        <v>1</v>
      </c>
      <c r="I388" s="156" t="s">
        <v>53</v>
      </c>
      <c r="J388" s="149" t="s">
        <v>22045</v>
      </c>
      <c r="K388" s="157">
        <v>2</v>
      </c>
      <c r="L388" s="156" t="s">
        <v>40</v>
      </c>
      <c r="M388" s="149" t="s">
        <v>22043</v>
      </c>
      <c r="N388" s="151">
        <v>4</v>
      </c>
      <c r="O388" s="152"/>
      <c r="P388" s="149" t="s">
        <v>47</v>
      </c>
      <c r="Q388" s="153"/>
      <c r="R388" s="152"/>
      <c r="S388" s="149" t="s">
        <v>47</v>
      </c>
      <c r="T388" s="153"/>
      <c r="U388" s="152"/>
      <c r="V388" s="149" t="s">
        <v>47</v>
      </c>
      <c r="W388" s="153"/>
      <c r="X388" s="152"/>
      <c r="Y388" s="149" t="s">
        <v>47</v>
      </c>
      <c r="Z388" s="153"/>
      <c r="AA388" s="152"/>
      <c r="AB388" s="154" t="s">
        <v>3563</v>
      </c>
    </row>
    <row r="389" spans="1:28" x14ac:dyDescent="0.2">
      <c r="A389" s="146" t="s">
        <v>22046</v>
      </c>
      <c r="B389" s="147" t="s">
        <v>6130</v>
      </c>
      <c r="C389" s="147" t="s">
        <v>6838</v>
      </c>
      <c r="D389" s="148"/>
      <c r="E389" s="149" t="s">
        <v>47</v>
      </c>
      <c r="F389" s="152"/>
      <c r="G389" s="149" t="s">
        <v>47</v>
      </c>
      <c r="H389" s="153"/>
      <c r="I389" s="152"/>
      <c r="J389" s="149" t="s">
        <v>47</v>
      </c>
      <c r="K389" s="153"/>
      <c r="L389" s="152"/>
      <c r="M389" s="149" t="s">
        <v>47</v>
      </c>
      <c r="N389" s="153"/>
      <c r="O389" s="152"/>
      <c r="P389" s="149" t="s">
        <v>47</v>
      </c>
      <c r="Q389" s="153"/>
      <c r="R389" s="152"/>
      <c r="S389" s="149" t="s">
        <v>47</v>
      </c>
      <c r="T389" s="153"/>
      <c r="U389" s="152"/>
      <c r="V389" s="149" t="s">
        <v>47</v>
      </c>
      <c r="W389" s="153"/>
      <c r="X389" s="152"/>
      <c r="Y389" s="149" t="s">
        <v>47</v>
      </c>
      <c r="Z389" s="153"/>
      <c r="AA389" s="152"/>
      <c r="AB389" s="154" t="s">
        <v>14940</v>
      </c>
    </row>
    <row r="390" spans="1:28" x14ac:dyDescent="0.2">
      <c r="A390" s="146" t="s">
        <v>6869</v>
      </c>
      <c r="B390" s="147" t="s">
        <v>6130</v>
      </c>
      <c r="C390" s="147" t="s">
        <v>6229</v>
      </c>
      <c r="D390" s="148"/>
      <c r="E390" s="149" t="s">
        <v>47</v>
      </c>
      <c r="F390" s="152"/>
      <c r="G390" s="149" t="s">
        <v>22047</v>
      </c>
      <c r="H390" s="157">
        <v>2</v>
      </c>
      <c r="I390" s="156" t="s">
        <v>40</v>
      </c>
      <c r="J390" s="149" t="s">
        <v>22048</v>
      </c>
      <c r="K390" s="151">
        <v>4</v>
      </c>
      <c r="L390" s="152"/>
      <c r="M390" s="149" t="s">
        <v>47</v>
      </c>
      <c r="N390" s="153"/>
      <c r="O390" s="152"/>
      <c r="P390" s="149" t="s">
        <v>47</v>
      </c>
      <c r="Q390" s="153"/>
      <c r="R390" s="152"/>
      <c r="S390" s="149" t="s">
        <v>47</v>
      </c>
      <c r="T390" s="153"/>
      <c r="U390" s="152"/>
      <c r="V390" s="149" t="s">
        <v>47</v>
      </c>
      <c r="W390" s="153"/>
      <c r="X390" s="152"/>
      <c r="Y390" s="149" t="s">
        <v>47</v>
      </c>
      <c r="Z390" s="153"/>
      <c r="AA390" s="152"/>
      <c r="AB390" s="154" t="s">
        <v>3565</v>
      </c>
    </row>
    <row r="391" spans="1:28" x14ac:dyDescent="0.2">
      <c r="A391" s="146" t="s">
        <v>3566</v>
      </c>
      <c r="B391" s="147" t="s">
        <v>6130</v>
      </c>
      <c r="C391" s="147" t="s">
        <v>6838</v>
      </c>
      <c r="D391" s="148"/>
      <c r="E391" s="149" t="s">
        <v>47</v>
      </c>
      <c r="F391" s="152"/>
      <c r="G391" s="149" t="s">
        <v>22049</v>
      </c>
      <c r="H391" s="151">
        <v>4</v>
      </c>
      <c r="I391" s="156" t="s">
        <v>46</v>
      </c>
      <c r="J391" s="149" t="s">
        <v>22050</v>
      </c>
      <c r="K391" s="151">
        <v>4</v>
      </c>
      <c r="L391" s="152"/>
      <c r="M391" s="149" t="s">
        <v>47</v>
      </c>
      <c r="N391" s="153"/>
      <c r="O391" s="152"/>
      <c r="P391" s="149" t="s">
        <v>47</v>
      </c>
      <c r="Q391" s="153"/>
      <c r="R391" s="152"/>
      <c r="S391" s="149" t="s">
        <v>47</v>
      </c>
      <c r="T391" s="153"/>
      <c r="U391" s="152"/>
      <c r="V391" s="149" t="s">
        <v>47</v>
      </c>
      <c r="W391" s="153"/>
      <c r="X391" s="152"/>
      <c r="Y391" s="149" t="s">
        <v>47</v>
      </c>
      <c r="Z391" s="153"/>
      <c r="AA391" s="152"/>
      <c r="AB391" s="154" t="s">
        <v>3567</v>
      </c>
    </row>
    <row r="392" spans="1:28" x14ac:dyDescent="0.2">
      <c r="A392" s="146" t="s">
        <v>22051</v>
      </c>
      <c r="B392" s="147" t="s">
        <v>6130</v>
      </c>
      <c r="C392" s="147" t="s">
        <v>6838</v>
      </c>
      <c r="D392" s="148"/>
      <c r="E392" s="149" t="s">
        <v>47</v>
      </c>
      <c r="F392" s="152"/>
      <c r="G392" s="149" t="s">
        <v>47</v>
      </c>
      <c r="H392" s="153"/>
      <c r="I392" s="152"/>
      <c r="J392" s="149" t="s">
        <v>47</v>
      </c>
      <c r="K392" s="153"/>
      <c r="L392" s="152"/>
      <c r="M392" s="149" t="s">
        <v>47</v>
      </c>
      <c r="N392" s="153"/>
      <c r="O392" s="152"/>
      <c r="P392" s="149" t="s">
        <v>47</v>
      </c>
      <c r="Q392" s="153"/>
      <c r="R392" s="152"/>
      <c r="S392" s="149" t="s">
        <v>47</v>
      </c>
      <c r="T392" s="153"/>
      <c r="U392" s="152"/>
      <c r="V392" s="149" t="s">
        <v>47</v>
      </c>
      <c r="W392" s="153"/>
      <c r="X392" s="152"/>
      <c r="Y392" s="149" t="s">
        <v>47</v>
      </c>
      <c r="Z392" s="153"/>
      <c r="AA392" s="152"/>
      <c r="AB392" s="154" t="s">
        <v>14946</v>
      </c>
    </row>
    <row r="393" spans="1:28" x14ac:dyDescent="0.2">
      <c r="A393" s="146" t="s">
        <v>3577</v>
      </c>
      <c r="B393" s="147" t="s">
        <v>6130</v>
      </c>
      <c r="C393" s="147" t="s">
        <v>6169</v>
      </c>
      <c r="D393" s="148" t="s">
        <v>6132</v>
      </c>
      <c r="E393" s="149" t="s">
        <v>22052</v>
      </c>
      <c r="F393" s="159">
        <v>3</v>
      </c>
      <c r="G393" s="149" t="s">
        <v>22053</v>
      </c>
      <c r="H393" s="158">
        <v>3</v>
      </c>
      <c r="I393" s="156" t="s">
        <v>46</v>
      </c>
      <c r="J393" s="149" t="s">
        <v>22054</v>
      </c>
      <c r="K393" s="157">
        <v>2</v>
      </c>
      <c r="L393" s="152"/>
      <c r="M393" s="149" t="s">
        <v>22052</v>
      </c>
      <c r="N393" s="158">
        <v>3</v>
      </c>
      <c r="O393" s="152"/>
      <c r="P393" s="149" t="s">
        <v>6870</v>
      </c>
      <c r="Q393" s="158">
        <v>3</v>
      </c>
      <c r="R393" s="152"/>
      <c r="S393" s="149" t="s">
        <v>22055</v>
      </c>
      <c r="T393" s="155">
        <v>1</v>
      </c>
      <c r="U393" s="152"/>
      <c r="V393" s="149" t="s">
        <v>22056</v>
      </c>
      <c r="W393" s="155">
        <v>1</v>
      </c>
      <c r="X393" s="152"/>
      <c r="Y393" s="149" t="s">
        <v>22057</v>
      </c>
      <c r="Z393" s="155">
        <v>1</v>
      </c>
      <c r="AA393" s="152"/>
      <c r="AB393" s="154" t="s">
        <v>3579</v>
      </c>
    </row>
    <row r="394" spans="1:28" x14ac:dyDescent="0.2">
      <c r="A394" s="146" t="s">
        <v>6871</v>
      </c>
      <c r="B394" s="147" t="s">
        <v>6130</v>
      </c>
      <c r="C394" s="147" t="s">
        <v>6872</v>
      </c>
      <c r="D394" s="148" t="s">
        <v>6160</v>
      </c>
      <c r="E394" s="149" t="s">
        <v>22058</v>
      </c>
      <c r="F394" s="160">
        <v>2</v>
      </c>
      <c r="G394" s="149" t="s">
        <v>22059</v>
      </c>
      <c r="H394" s="157">
        <v>2</v>
      </c>
      <c r="I394" s="156" t="s">
        <v>40</v>
      </c>
      <c r="J394" s="149" t="s">
        <v>22059</v>
      </c>
      <c r="K394" s="157">
        <v>2</v>
      </c>
      <c r="L394" s="152"/>
      <c r="M394" s="149" t="s">
        <v>22058</v>
      </c>
      <c r="N394" s="157">
        <v>2</v>
      </c>
      <c r="O394" s="152"/>
      <c r="P394" s="149" t="s">
        <v>6873</v>
      </c>
      <c r="Q394" s="157">
        <v>2</v>
      </c>
      <c r="R394" s="152"/>
      <c r="S394" s="149" t="s">
        <v>22060</v>
      </c>
      <c r="T394" s="158">
        <v>3</v>
      </c>
      <c r="U394" s="152"/>
      <c r="V394" s="149" t="s">
        <v>21835</v>
      </c>
      <c r="W394" s="157">
        <v>2</v>
      </c>
      <c r="X394" s="152"/>
      <c r="Y394" s="149" t="s">
        <v>47</v>
      </c>
      <c r="Z394" s="153"/>
      <c r="AA394" s="152"/>
      <c r="AB394" s="154" t="s">
        <v>3586</v>
      </c>
    </row>
    <row r="395" spans="1:28" x14ac:dyDescent="0.2">
      <c r="A395" s="146" t="s">
        <v>6874</v>
      </c>
      <c r="B395" s="147" t="s">
        <v>6130</v>
      </c>
      <c r="C395" s="147" t="s">
        <v>6583</v>
      </c>
      <c r="D395" s="148" t="s">
        <v>6132</v>
      </c>
      <c r="E395" s="149" t="s">
        <v>22061</v>
      </c>
      <c r="F395" s="160">
        <v>2</v>
      </c>
      <c r="G395" s="149" t="s">
        <v>22062</v>
      </c>
      <c r="H395" s="155">
        <v>1</v>
      </c>
      <c r="I395" s="152"/>
      <c r="J395" s="149" t="s">
        <v>22063</v>
      </c>
      <c r="K395" s="155">
        <v>1</v>
      </c>
      <c r="L395" s="152"/>
      <c r="M395" s="149" t="s">
        <v>22061</v>
      </c>
      <c r="N395" s="157">
        <v>2</v>
      </c>
      <c r="O395" s="152"/>
      <c r="P395" s="149" t="s">
        <v>22064</v>
      </c>
      <c r="Q395" s="158">
        <v>3</v>
      </c>
      <c r="R395" s="156" t="s">
        <v>46</v>
      </c>
      <c r="S395" s="149" t="s">
        <v>22065</v>
      </c>
      <c r="T395" s="155">
        <v>1</v>
      </c>
      <c r="U395" s="152"/>
      <c r="V395" s="149" t="s">
        <v>22066</v>
      </c>
      <c r="W395" s="155">
        <v>1</v>
      </c>
      <c r="X395" s="152"/>
      <c r="Y395" s="149" t="s">
        <v>22067</v>
      </c>
      <c r="Z395" s="155">
        <v>1</v>
      </c>
      <c r="AA395" s="152"/>
      <c r="AB395" s="154" t="s">
        <v>3590</v>
      </c>
    </row>
    <row r="396" spans="1:28" x14ac:dyDescent="0.2">
      <c r="A396" s="146" t="s">
        <v>6875</v>
      </c>
      <c r="B396" s="147" t="s">
        <v>6130</v>
      </c>
      <c r="C396" s="147" t="s">
        <v>6277</v>
      </c>
      <c r="D396" s="148" t="s">
        <v>6163</v>
      </c>
      <c r="E396" s="149" t="s">
        <v>22068</v>
      </c>
      <c r="F396" s="159">
        <v>3</v>
      </c>
      <c r="G396" s="149" t="s">
        <v>22069</v>
      </c>
      <c r="H396" s="158">
        <v>3</v>
      </c>
      <c r="I396" s="156" t="s">
        <v>40</v>
      </c>
      <c r="J396" s="149" t="s">
        <v>22070</v>
      </c>
      <c r="K396" s="151">
        <v>4</v>
      </c>
      <c r="L396" s="156" t="s">
        <v>46</v>
      </c>
      <c r="M396" s="149" t="s">
        <v>22068</v>
      </c>
      <c r="N396" s="158">
        <v>3</v>
      </c>
      <c r="O396" s="156" t="s">
        <v>46</v>
      </c>
      <c r="P396" s="149" t="s">
        <v>22071</v>
      </c>
      <c r="Q396" s="158">
        <v>3</v>
      </c>
      <c r="R396" s="156" t="s">
        <v>46</v>
      </c>
      <c r="S396" s="149" t="s">
        <v>22072</v>
      </c>
      <c r="T396" s="155">
        <v>1</v>
      </c>
      <c r="U396" s="152"/>
      <c r="V396" s="149" t="s">
        <v>22073</v>
      </c>
      <c r="W396" s="155">
        <v>1</v>
      </c>
      <c r="X396" s="152"/>
      <c r="Y396" s="149" t="s">
        <v>22074</v>
      </c>
      <c r="Z396" s="155">
        <v>1</v>
      </c>
      <c r="AA396" s="152"/>
      <c r="AB396" s="154" t="s">
        <v>3608</v>
      </c>
    </row>
    <row r="397" spans="1:28" x14ac:dyDescent="0.2">
      <c r="A397" s="146" t="s">
        <v>6876</v>
      </c>
      <c r="B397" s="147" t="s">
        <v>6130</v>
      </c>
      <c r="C397" s="147" t="s">
        <v>6583</v>
      </c>
      <c r="D397" s="148"/>
      <c r="E397" s="149" t="s">
        <v>22075</v>
      </c>
      <c r="F397" s="150">
        <v>4</v>
      </c>
      <c r="G397" s="149" t="s">
        <v>22076</v>
      </c>
      <c r="H397" s="158">
        <v>3</v>
      </c>
      <c r="I397" s="152"/>
      <c r="J397" s="149" t="s">
        <v>22077</v>
      </c>
      <c r="K397" s="158">
        <v>3</v>
      </c>
      <c r="L397" s="152"/>
      <c r="M397" s="149" t="s">
        <v>22075</v>
      </c>
      <c r="N397" s="151">
        <v>4</v>
      </c>
      <c r="O397" s="152"/>
      <c r="P397" s="149" t="s">
        <v>22078</v>
      </c>
      <c r="Q397" s="158">
        <v>3</v>
      </c>
      <c r="R397" s="152"/>
      <c r="S397" s="149" t="s">
        <v>22079</v>
      </c>
      <c r="T397" s="157">
        <v>2</v>
      </c>
      <c r="U397" s="156" t="s">
        <v>40</v>
      </c>
      <c r="V397" s="149" t="s">
        <v>22080</v>
      </c>
      <c r="W397" s="158">
        <v>3</v>
      </c>
      <c r="X397" s="152"/>
      <c r="Y397" s="149" t="s">
        <v>47</v>
      </c>
      <c r="Z397" s="153"/>
      <c r="AA397" s="152"/>
      <c r="AB397" s="154" t="s">
        <v>3621</v>
      </c>
    </row>
    <row r="398" spans="1:28" x14ac:dyDescent="0.2">
      <c r="A398" s="146" t="s">
        <v>6877</v>
      </c>
      <c r="B398" s="147" t="s">
        <v>6130</v>
      </c>
      <c r="C398" s="147" t="s">
        <v>6157</v>
      </c>
      <c r="D398" s="148"/>
      <c r="E398" s="149" t="s">
        <v>22081</v>
      </c>
      <c r="F398" s="150">
        <v>4</v>
      </c>
      <c r="G398" s="149" t="s">
        <v>22082</v>
      </c>
      <c r="H398" s="151">
        <v>4</v>
      </c>
      <c r="I398" s="152"/>
      <c r="J398" s="149" t="s">
        <v>22083</v>
      </c>
      <c r="K398" s="151">
        <v>4</v>
      </c>
      <c r="L398" s="152"/>
      <c r="M398" s="149" t="s">
        <v>22081</v>
      </c>
      <c r="N398" s="151">
        <v>4</v>
      </c>
      <c r="O398" s="152"/>
      <c r="P398" s="149" t="s">
        <v>22084</v>
      </c>
      <c r="Q398" s="158">
        <v>3</v>
      </c>
      <c r="R398" s="152"/>
      <c r="S398" s="149" t="s">
        <v>22085</v>
      </c>
      <c r="T398" s="157">
        <v>2</v>
      </c>
      <c r="U398" s="152"/>
      <c r="V398" s="149" t="s">
        <v>22086</v>
      </c>
      <c r="W398" s="157">
        <v>2</v>
      </c>
      <c r="X398" s="152"/>
      <c r="Y398" s="149" t="s">
        <v>47</v>
      </c>
      <c r="Z398" s="153"/>
      <c r="AA398" s="152"/>
      <c r="AB398" s="154" t="s">
        <v>3629</v>
      </c>
    </row>
    <row r="399" spans="1:28" x14ac:dyDescent="0.2">
      <c r="A399" s="146" t="s">
        <v>6878</v>
      </c>
      <c r="B399" s="147" t="s">
        <v>6130</v>
      </c>
      <c r="C399" s="147" t="s">
        <v>6879</v>
      </c>
      <c r="D399" s="148"/>
      <c r="E399" s="149" t="s">
        <v>6880</v>
      </c>
      <c r="F399" s="159">
        <v>3</v>
      </c>
      <c r="G399" s="149" t="s">
        <v>6881</v>
      </c>
      <c r="H399" s="158">
        <v>3</v>
      </c>
      <c r="I399" s="156" t="s">
        <v>55</v>
      </c>
      <c r="J399" s="149" t="s">
        <v>6880</v>
      </c>
      <c r="K399" s="158">
        <v>3</v>
      </c>
      <c r="L399" s="156" t="s">
        <v>46</v>
      </c>
      <c r="M399" s="149" t="s">
        <v>6880</v>
      </c>
      <c r="N399" s="158">
        <v>3</v>
      </c>
      <c r="O399" s="152"/>
      <c r="P399" s="149" t="s">
        <v>6881</v>
      </c>
      <c r="Q399" s="158">
        <v>3</v>
      </c>
      <c r="R399" s="156" t="s">
        <v>46</v>
      </c>
      <c r="S399" s="149" t="s">
        <v>6882</v>
      </c>
      <c r="T399" s="157">
        <v>2</v>
      </c>
      <c r="U399" s="152"/>
      <c r="V399" s="149" t="s">
        <v>22087</v>
      </c>
      <c r="W399" s="158">
        <v>3</v>
      </c>
      <c r="X399" s="152"/>
      <c r="Y399" s="149" t="s">
        <v>8876</v>
      </c>
      <c r="Z399" s="155">
        <v>1</v>
      </c>
      <c r="AA399" s="152"/>
      <c r="AB399" s="154" t="s">
        <v>3670</v>
      </c>
    </row>
    <row r="400" spans="1:28" x14ac:dyDescent="0.2">
      <c r="A400" s="146" t="s">
        <v>3630</v>
      </c>
      <c r="B400" s="147" t="s">
        <v>6130</v>
      </c>
      <c r="C400" s="147" t="s">
        <v>6192</v>
      </c>
      <c r="D400" s="148"/>
      <c r="E400" s="149" t="s">
        <v>22088</v>
      </c>
      <c r="F400" s="161">
        <v>1</v>
      </c>
      <c r="G400" s="149" t="s">
        <v>22089</v>
      </c>
      <c r="H400" s="157">
        <v>2</v>
      </c>
      <c r="I400" s="156" t="s">
        <v>46</v>
      </c>
      <c r="J400" s="149" t="s">
        <v>22090</v>
      </c>
      <c r="K400" s="155">
        <v>1</v>
      </c>
      <c r="L400" s="152"/>
      <c r="M400" s="149" t="s">
        <v>22088</v>
      </c>
      <c r="N400" s="155">
        <v>1</v>
      </c>
      <c r="O400" s="152"/>
      <c r="P400" s="149" t="s">
        <v>22091</v>
      </c>
      <c r="Q400" s="155">
        <v>1</v>
      </c>
      <c r="R400" s="152"/>
      <c r="S400" s="149" t="s">
        <v>22092</v>
      </c>
      <c r="T400" s="157">
        <v>2</v>
      </c>
      <c r="U400" s="152"/>
      <c r="V400" s="149" t="s">
        <v>22093</v>
      </c>
      <c r="W400" s="155">
        <v>1</v>
      </c>
      <c r="X400" s="152"/>
      <c r="Y400" s="149" t="s">
        <v>22094</v>
      </c>
      <c r="Z400" s="157">
        <v>2</v>
      </c>
      <c r="AA400" s="152"/>
      <c r="AB400" s="154" t="s">
        <v>3631</v>
      </c>
    </row>
    <row r="401" spans="1:28" x14ac:dyDescent="0.2">
      <c r="A401" s="146" t="s">
        <v>6883</v>
      </c>
      <c r="B401" s="147" t="s">
        <v>6130</v>
      </c>
      <c r="C401" s="147" t="s">
        <v>6169</v>
      </c>
      <c r="D401" s="148"/>
      <c r="E401" s="149" t="s">
        <v>22095</v>
      </c>
      <c r="F401" s="150">
        <v>4</v>
      </c>
      <c r="G401" s="149" t="s">
        <v>22096</v>
      </c>
      <c r="H401" s="158">
        <v>3</v>
      </c>
      <c r="I401" s="156" t="s">
        <v>40</v>
      </c>
      <c r="J401" s="149" t="s">
        <v>22097</v>
      </c>
      <c r="K401" s="151">
        <v>4</v>
      </c>
      <c r="L401" s="152"/>
      <c r="M401" s="149" t="s">
        <v>22095</v>
      </c>
      <c r="N401" s="151">
        <v>4</v>
      </c>
      <c r="O401" s="156" t="s">
        <v>46</v>
      </c>
      <c r="P401" s="149" t="s">
        <v>6884</v>
      </c>
      <c r="Q401" s="158">
        <v>3</v>
      </c>
      <c r="R401" s="156" t="s">
        <v>46</v>
      </c>
      <c r="S401" s="149" t="s">
        <v>22098</v>
      </c>
      <c r="T401" s="158">
        <v>3</v>
      </c>
      <c r="U401" s="152"/>
      <c r="V401" s="149" t="s">
        <v>22099</v>
      </c>
      <c r="W401" s="158">
        <v>3</v>
      </c>
      <c r="X401" s="152"/>
      <c r="Y401" s="149" t="s">
        <v>47</v>
      </c>
      <c r="Z401" s="153"/>
      <c r="AA401" s="152"/>
      <c r="AB401" s="154" t="s">
        <v>3637</v>
      </c>
    </row>
    <row r="402" spans="1:28" x14ac:dyDescent="0.2">
      <c r="A402" s="146" t="s">
        <v>3640</v>
      </c>
      <c r="B402" s="147" t="s">
        <v>6130</v>
      </c>
      <c r="C402" s="147" t="s">
        <v>6191</v>
      </c>
      <c r="D402" s="148"/>
      <c r="E402" s="149" t="s">
        <v>6885</v>
      </c>
      <c r="F402" s="159">
        <v>3</v>
      </c>
      <c r="G402" s="149" t="s">
        <v>22100</v>
      </c>
      <c r="H402" s="157">
        <v>2</v>
      </c>
      <c r="I402" s="156" t="s">
        <v>40</v>
      </c>
      <c r="J402" s="149" t="s">
        <v>6886</v>
      </c>
      <c r="K402" s="157">
        <v>2</v>
      </c>
      <c r="L402" s="156" t="s">
        <v>40</v>
      </c>
      <c r="M402" s="149" t="s">
        <v>6885</v>
      </c>
      <c r="N402" s="158">
        <v>3</v>
      </c>
      <c r="O402" s="152"/>
      <c r="P402" s="149" t="s">
        <v>22101</v>
      </c>
      <c r="Q402" s="155">
        <v>1</v>
      </c>
      <c r="R402" s="156" t="s">
        <v>40</v>
      </c>
      <c r="S402" s="149" t="s">
        <v>22102</v>
      </c>
      <c r="T402" s="155">
        <v>1</v>
      </c>
      <c r="U402" s="152"/>
      <c r="V402" s="149" t="s">
        <v>47</v>
      </c>
      <c r="W402" s="153"/>
      <c r="X402" s="152"/>
      <c r="Y402" s="149" t="s">
        <v>47</v>
      </c>
      <c r="Z402" s="153"/>
      <c r="AA402" s="152"/>
      <c r="AB402" s="154" t="s">
        <v>3641</v>
      </c>
    </row>
    <row r="403" spans="1:28" x14ac:dyDescent="0.2">
      <c r="A403" s="146" t="s">
        <v>6887</v>
      </c>
      <c r="B403" s="147" t="s">
        <v>6130</v>
      </c>
      <c r="C403" s="147" t="s">
        <v>6191</v>
      </c>
      <c r="D403" s="148"/>
      <c r="E403" s="149" t="s">
        <v>22103</v>
      </c>
      <c r="F403" s="159">
        <v>3</v>
      </c>
      <c r="G403" s="149" t="s">
        <v>16312</v>
      </c>
      <c r="H403" s="157">
        <v>2</v>
      </c>
      <c r="I403" s="156" t="s">
        <v>40</v>
      </c>
      <c r="J403" s="149" t="s">
        <v>20837</v>
      </c>
      <c r="K403" s="157">
        <v>2</v>
      </c>
      <c r="L403" s="156" t="s">
        <v>40</v>
      </c>
      <c r="M403" s="149" t="s">
        <v>22103</v>
      </c>
      <c r="N403" s="158">
        <v>3</v>
      </c>
      <c r="O403" s="156" t="s">
        <v>46</v>
      </c>
      <c r="P403" s="149" t="s">
        <v>22104</v>
      </c>
      <c r="Q403" s="155">
        <v>1</v>
      </c>
      <c r="R403" s="156" t="s">
        <v>40</v>
      </c>
      <c r="S403" s="149" t="s">
        <v>22105</v>
      </c>
      <c r="T403" s="157">
        <v>2</v>
      </c>
      <c r="U403" s="152"/>
      <c r="V403" s="149" t="s">
        <v>47</v>
      </c>
      <c r="W403" s="153"/>
      <c r="X403" s="152"/>
      <c r="Y403" s="149" t="s">
        <v>47</v>
      </c>
      <c r="Z403" s="153"/>
      <c r="AA403" s="152"/>
      <c r="AB403" s="154" t="s">
        <v>3639</v>
      </c>
    </row>
    <row r="404" spans="1:28" x14ac:dyDescent="0.2">
      <c r="A404" s="146" t="s">
        <v>6888</v>
      </c>
      <c r="B404" s="147" t="s">
        <v>6130</v>
      </c>
      <c r="C404" s="147" t="s">
        <v>6191</v>
      </c>
      <c r="D404" s="148"/>
      <c r="E404" s="149" t="s">
        <v>22106</v>
      </c>
      <c r="F404" s="161">
        <v>1</v>
      </c>
      <c r="G404" s="149" t="s">
        <v>22107</v>
      </c>
      <c r="H404" s="157">
        <v>2</v>
      </c>
      <c r="I404" s="152"/>
      <c r="J404" s="149" t="s">
        <v>22108</v>
      </c>
      <c r="K404" s="155">
        <v>1</v>
      </c>
      <c r="L404" s="152"/>
      <c r="M404" s="149" t="s">
        <v>22106</v>
      </c>
      <c r="N404" s="155">
        <v>1</v>
      </c>
      <c r="O404" s="152"/>
      <c r="P404" s="149" t="s">
        <v>22109</v>
      </c>
      <c r="Q404" s="155">
        <v>1</v>
      </c>
      <c r="R404" s="152"/>
      <c r="S404" s="149" t="s">
        <v>22110</v>
      </c>
      <c r="T404" s="155">
        <v>1</v>
      </c>
      <c r="U404" s="152"/>
      <c r="V404" s="149" t="s">
        <v>47</v>
      </c>
      <c r="W404" s="153"/>
      <c r="X404" s="152"/>
      <c r="Y404" s="149" t="s">
        <v>47</v>
      </c>
      <c r="Z404" s="153"/>
      <c r="AA404" s="152"/>
      <c r="AB404" s="154" t="s">
        <v>3643</v>
      </c>
    </row>
    <row r="405" spans="1:28" x14ac:dyDescent="0.2">
      <c r="A405" s="146" t="s">
        <v>3644</v>
      </c>
      <c r="B405" s="147" t="s">
        <v>6130</v>
      </c>
      <c r="C405" s="147" t="s">
        <v>6196</v>
      </c>
      <c r="D405" s="148"/>
      <c r="E405" s="149" t="s">
        <v>22111</v>
      </c>
      <c r="F405" s="161">
        <v>1</v>
      </c>
      <c r="G405" s="149" t="s">
        <v>22112</v>
      </c>
      <c r="H405" s="155">
        <v>1</v>
      </c>
      <c r="I405" s="152"/>
      <c r="J405" s="149" t="s">
        <v>22113</v>
      </c>
      <c r="K405" s="155">
        <v>1</v>
      </c>
      <c r="L405" s="152"/>
      <c r="M405" s="149" t="s">
        <v>22111</v>
      </c>
      <c r="N405" s="155">
        <v>1</v>
      </c>
      <c r="O405" s="152"/>
      <c r="P405" s="149" t="s">
        <v>22114</v>
      </c>
      <c r="Q405" s="155">
        <v>1</v>
      </c>
      <c r="R405" s="152"/>
      <c r="S405" s="149" t="s">
        <v>47</v>
      </c>
      <c r="T405" s="153"/>
      <c r="U405" s="152"/>
      <c r="V405" s="149" t="s">
        <v>47</v>
      </c>
      <c r="W405" s="153"/>
      <c r="X405" s="152"/>
      <c r="Y405" s="149" t="s">
        <v>47</v>
      </c>
      <c r="Z405" s="153"/>
      <c r="AA405" s="152"/>
      <c r="AB405" s="154" t="s">
        <v>3645</v>
      </c>
    </row>
    <row r="406" spans="1:28" x14ac:dyDescent="0.2">
      <c r="A406" s="146" t="s">
        <v>3646</v>
      </c>
      <c r="B406" s="147" t="s">
        <v>6130</v>
      </c>
      <c r="C406" s="147" t="s">
        <v>6266</v>
      </c>
      <c r="D406" s="148"/>
      <c r="E406" s="149" t="s">
        <v>22115</v>
      </c>
      <c r="F406" s="159">
        <v>3</v>
      </c>
      <c r="G406" s="149" t="s">
        <v>22116</v>
      </c>
      <c r="H406" s="155">
        <v>1</v>
      </c>
      <c r="I406" s="156" t="s">
        <v>53</v>
      </c>
      <c r="J406" s="149" t="s">
        <v>22117</v>
      </c>
      <c r="K406" s="157">
        <v>2</v>
      </c>
      <c r="L406" s="156" t="s">
        <v>53</v>
      </c>
      <c r="M406" s="149" t="s">
        <v>22115</v>
      </c>
      <c r="N406" s="158">
        <v>3</v>
      </c>
      <c r="O406" s="152"/>
      <c r="P406" s="149" t="s">
        <v>22118</v>
      </c>
      <c r="Q406" s="158">
        <v>3</v>
      </c>
      <c r="R406" s="152"/>
      <c r="S406" s="149" t="s">
        <v>22119</v>
      </c>
      <c r="T406" s="157">
        <v>2</v>
      </c>
      <c r="U406" s="152"/>
      <c r="V406" s="149" t="s">
        <v>47</v>
      </c>
      <c r="W406" s="153"/>
      <c r="X406" s="152"/>
      <c r="Y406" s="149" t="s">
        <v>47</v>
      </c>
      <c r="Z406" s="153"/>
      <c r="AA406" s="152"/>
      <c r="AB406" s="154" t="s">
        <v>3647</v>
      </c>
    </row>
    <row r="407" spans="1:28" x14ac:dyDescent="0.2">
      <c r="A407" s="146" t="s">
        <v>3648</v>
      </c>
      <c r="B407" s="147" t="s">
        <v>6130</v>
      </c>
      <c r="C407" s="147" t="s">
        <v>6266</v>
      </c>
      <c r="D407" s="148"/>
      <c r="E407" s="149" t="s">
        <v>22120</v>
      </c>
      <c r="F407" s="161">
        <v>1</v>
      </c>
      <c r="G407" s="149" t="s">
        <v>6889</v>
      </c>
      <c r="H407" s="155">
        <v>1</v>
      </c>
      <c r="I407" s="152"/>
      <c r="J407" s="149" t="s">
        <v>22121</v>
      </c>
      <c r="K407" s="155">
        <v>1</v>
      </c>
      <c r="L407" s="152"/>
      <c r="M407" s="149" t="s">
        <v>22120</v>
      </c>
      <c r="N407" s="155">
        <v>1</v>
      </c>
      <c r="O407" s="152"/>
      <c r="P407" s="149" t="s">
        <v>22122</v>
      </c>
      <c r="Q407" s="155">
        <v>1</v>
      </c>
      <c r="R407" s="156" t="s">
        <v>40</v>
      </c>
      <c r="S407" s="149" t="s">
        <v>22123</v>
      </c>
      <c r="T407" s="157">
        <v>2</v>
      </c>
      <c r="U407" s="152"/>
      <c r="V407" s="149" t="s">
        <v>47</v>
      </c>
      <c r="W407" s="153"/>
      <c r="X407" s="152"/>
      <c r="Y407" s="149" t="s">
        <v>47</v>
      </c>
      <c r="Z407" s="153"/>
      <c r="AA407" s="152"/>
      <c r="AB407" s="154" t="s">
        <v>3649</v>
      </c>
    </row>
    <row r="408" spans="1:28" x14ac:dyDescent="0.2">
      <c r="A408" s="146" t="s">
        <v>3650</v>
      </c>
      <c r="B408" s="147" t="s">
        <v>6130</v>
      </c>
      <c r="C408" s="147" t="s">
        <v>6838</v>
      </c>
      <c r="D408" s="148"/>
      <c r="E408" s="149" t="s">
        <v>8207</v>
      </c>
      <c r="F408" s="161">
        <v>1</v>
      </c>
      <c r="G408" s="149" t="s">
        <v>6890</v>
      </c>
      <c r="H408" s="155">
        <v>1</v>
      </c>
      <c r="I408" s="156" t="s">
        <v>53</v>
      </c>
      <c r="J408" s="149" t="s">
        <v>6891</v>
      </c>
      <c r="K408" s="157">
        <v>2</v>
      </c>
      <c r="L408" s="152"/>
      <c r="M408" s="149" t="s">
        <v>8207</v>
      </c>
      <c r="N408" s="155">
        <v>1</v>
      </c>
      <c r="O408" s="156" t="s">
        <v>40</v>
      </c>
      <c r="P408" s="149" t="s">
        <v>6892</v>
      </c>
      <c r="Q408" s="158">
        <v>3</v>
      </c>
      <c r="R408" s="156" t="s">
        <v>46</v>
      </c>
      <c r="S408" s="149" t="s">
        <v>47</v>
      </c>
      <c r="T408" s="153"/>
      <c r="U408" s="152"/>
      <c r="V408" s="149" t="s">
        <v>47</v>
      </c>
      <c r="W408" s="153"/>
      <c r="X408" s="152"/>
      <c r="Y408" s="149" t="s">
        <v>47</v>
      </c>
      <c r="Z408" s="153"/>
      <c r="AA408" s="152"/>
      <c r="AB408" s="154" t="s">
        <v>3651</v>
      </c>
    </row>
    <row r="409" spans="1:28" x14ac:dyDescent="0.2">
      <c r="A409" s="146" t="s">
        <v>6893</v>
      </c>
      <c r="B409" s="147" t="s">
        <v>6130</v>
      </c>
      <c r="C409" s="147" t="s">
        <v>6894</v>
      </c>
      <c r="D409" s="148"/>
      <c r="E409" s="149" t="s">
        <v>22124</v>
      </c>
      <c r="F409" s="161">
        <v>1</v>
      </c>
      <c r="G409" s="149" t="s">
        <v>22125</v>
      </c>
      <c r="H409" s="151">
        <v>4</v>
      </c>
      <c r="I409" s="156" t="s">
        <v>44</v>
      </c>
      <c r="J409" s="149" t="s">
        <v>22126</v>
      </c>
      <c r="K409" s="155">
        <v>1</v>
      </c>
      <c r="L409" s="152"/>
      <c r="M409" s="149" t="s">
        <v>22124</v>
      </c>
      <c r="N409" s="155">
        <v>1</v>
      </c>
      <c r="O409" s="152"/>
      <c r="P409" s="149" t="s">
        <v>22127</v>
      </c>
      <c r="Q409" s="155">
        <v>1</v>
      </c>
      <c r="R409" s="152"/>
      <c r="S409" s="149" t="s">
        <v>47</v>
      </c>
      <c r="T409" s="153"/>
      <c r="U409" s="152"/>
      <c r="V409" s="149" t="s">
        <v>47</v>
      </c>
      <c r="W409" s="153"/>
      <c r="X409" s="152"/>
      <c r="Y409" s="149" t="s">
        <v>47</v>
      </c>
      <c r="Z409" s="153"/>
      <c r="AA409" s="152"/>
      <c r="AB409" s="154" t="s">
        <v>3653</v>
      </c>
    </row>
    <row r="410" spans="1:28" x14ac:dyDescent="0.2">
      <c r="A410" s="146" t="s">
        <v>3654</v>
      </c>
      <c r="B410" s="147" t="s">
        <v>6130</v>
      </c>
      <c r="C410" s="147" t="s">
        <v>6266</v>
      </c>
      <c r="D410" s="148"/>
      <c r="E410" s="149" t="s">
        <v>22128</v>
      </c>
      <c r="F410" s="160">
        <v>2</v>
      </c>
      <c r="G410" s="149" t="s">
        <v>22129</v>
      </c>
      <c r="H410" s="155">
        <v>1</v>
      </c>
      <c r="I410" s="156" t="s">
        <v>53</v>
      </c>
      <c r="J410" s="149" t="s">
        <v>22130</v>
      </c>
      <c r="K410" s="155">
        <v>1</v>
      </c>
      <c r="L410" s="156" t="s">
        <v>53</v>
      </c>
      <c r="M410" s="149" t="s">
        <v>22128</v>
      </c>
      <c r="N410" s="157">
        <v>2</v>
      </c>
      <c r="O410" s="156" t="s">
        <v>40</v>
      </c>
      <c r="P410" s="149" t="s">
        <v>22131</v>
      </c>
      <c r="Q410" s="158">
        <v>3</v>
      </c>
      <c r="R410" s="156" t="s">
        <v>40</v>
      </c>
      <c r="S410" s="149" t="s">
        <v>22132</v>
      </c>
      <c r="T410" s="157">
        <v>2</v>
      </c>
      <c r="U410" s="152"/>
      <c r="V410" s="149" t="s">
        <v>47</v>
      </c>
      <c r="W410" s="153"/>
      <c r="X410" s="152"/>
      <c r="Y410" s="149" t="s">
        <v>47</v>
      </c>
      <c r="Z410" s="153"/>
      <c r="AA410" s="152"/>
      <c r="AB410" s="154" t="s">
        <v>3655</v>
      </c>
    </row>
    <row r="411" spans="1:28" x14ac:dyDescent="0.2">
      <c r="A411" s="146" t="s">
        <v>3656</v>
      </c>
      <c r="B411" s="147" t="s">
        <v>6130</v>
      </c>
      <c r="C411" s="147" t="s">
        <v>6838</v>
      </c>
      <c r="D411" s="148"/>
      <c r="E411" s="149" t="s">
        <v>6895</v>
      </c>
      <c r="F411" s="160">
        <v>2</v>
      </c>
      <c r="G411" s="149" t="s">
        <v>22133</v>
      </c>
      <c r="H411" s="158">
        <v>3</v>
      </c>
      <c r="I411" s="156" t="s">
        <v>55</v>
      </c>
      <c r="J411" s="149" t="s">
        <v>18540</v>
      </c>
      <c r="K411" s="155">
        <v>1</v>
      </c>
      <c r="L411" s="152"/>
      <c r="M411" s="149" t="s">
        <v>6895</v>
      </c>
      <c r="N411" s="157">
        <v>2</v>
      </c>
      <c r="O411" s="152"/>
      <c r="P411" s="149" t="s">
        <v>22134</v>
      </c>
      <c r="Q411" s="151">
        <v>4</v>
      </c>
      <c r="R411" s="152"/>
      <c r="S411" s="149" t="s">
        <v>47</v>
      </c>
      <c r="T411" s="153"/>
      <c r="U411" s="152"/>
      <c r="V411" s="149" t="s">
        <v>47</v>
      </c>
      <c r="W411" s="153"/>
      <c r="X411" s="152"/>
      <c r="Y411" s="149" t="s">
        <v>47</v>
      </c>
      <c r="Z411" s="153"/>
      <c r="AA411" s="152"/>
      <c r="AB411" s="154" t="s">
        <v>3657</v>
      </c>
    </row>
    <row r="412" spans="1:28" x14ac:dyDescent="0.2">
      <c r="A412" s="146" t="s">
        <v>3658</v>
      </c>
      <c r="B412" s="147" t="s">
        <v>6130</v>
      </c>
      <c r="C412" s="147" t="s">
        <v>6131</v>
      </c>
      <c r="D412" s="148"/>
      <c r="E412" s="149" t="s">
        <v>22135</v>
      </c>
      <c r="F412" s="150">
        <v>4</v>
      </c>
      <c r="G412" s="149" t="s">
        <v>22136</v>
      </c>
      <c r="H412" s="158">
        <v>3</v>
      </c>
      <c r="I412" s="156" t="s">
        <v>40</v>
      </c>
      <c r="J412" s="149" t="s">
        <v>22137</v>
      </c>
      <c r="K412" s="151">
        <v>4</v>
      </c>
      <c r="L412" s="152"/>
      <c r="M412" s="149" t="s">
        <v>22135</v>
      </c>
      <c r="N412" s="151">
        <v>4</v>
      </c>
      <c r="O412" s="152"/>
      <c r="P412" s="149" t="s">
        <v>22138</v>
      </c>
      <c r="Q412" s="151">
        <v>4</v>
      </c>
      <c r="R412" s="152"/>
      <c r="S412" s="149" t="s">
        <v>47</v>
      </c>
      <c r="T412" s="153"/>
      <c r="U412" s="152"/>
      <c r="V412" s="149" t="s">
        <v>47</v>
      </c>
      <c r="W412" s="153"/>
      <c r="X412" s="152"/>
      <c r="Y412" s="149" t="s">
        <v>47</v>
      </c>
      <c r="Z412" s="153"/>
      <c r="AA412" s="152"/>
      <c r="AB412" s="154" t="s">
        <v>3659</v>
      </c>
    </row>
    <row r="413" spans="1:28" x14ac:dyDescent="0.2">
      <c r="A413" s="146" t="s">
        <v>6896</v>
      </c>
      <c r="B413" s="147" t="s">
        <v>6130</v>
      </c>
      <c r="C413" s="147" t="s">
        <v>6131</v>
      </c>
      <c r="D413" s="148"/>
      <c r="E413" s="149" t="s">
        <v>22139</v>
      </c>
      <c r="F413" s="150">
        <v>4</v>
      </c>
      <c r="G413" s="149" t="s">
        <v>22140</v>
      </c>
      <c r="H413" s="157">
        <v>2</v>
      </c>
      <c r="I413" s="156" t="s">
        <v>53</v>
      </c>
      <c r="J413" s="149" t="s">
        <v>22141</v>
      </c>
      <c r="K413" s="158">
        <v>3</v>
      </c>
      <c r="L413" s="156" t="s">
        <v>40</v>
      </c>
      <c r="M413" s="149" t="s">
        <v>22139</v>
      </c>
      <c r="N413" s="151">
        <v>4</v>
      </c>
      <c r="O413" s="152"/>
      <c r="P413" s="149" t="s">
        <v>22142</v>
      </c>
      <c r="Q413" s="151">
        <v>4</v>
      </c>
      <c r="R413" s="152"/>
      <c r="S413" s="149" t="s">
        <v>47</v>
      </c>
      <c r="T413" s="153"/>
      <c r="U413" s="152"/>
      <c r="V413" s="149" t="s">
        <v>47</v>
      </c>
      <c r="W413" s="153"/>
      <c r="X413" s="152"/>
      <c r="Y413" s="149" t="s">
        <v>47</v>
      </c>
      <c r="Z413" s="153"/>
      <c r="AA413" s="152"/>
      <c r="AB413" s="154" t="s">
        <v>3661</v>
      </c>
    </row>
    <row r="414" spans="1:28" x14ac:dyDescent="0.2">
      <c r="A414" s="146" t="s">
        <v>6897</v>
      </c>
      <c r="B414" s="147" t="s">
        <v>6130</v>
      </c>
      <c r="C414" s="147" t="s">
        <v>6362</v>
      </c>
      <c r="D414" s="148"/>
      <c r="E414" s="149" t="s">
        <v>6898</v>
      </c>
      <c r="F414" s="159">
        <v>3</v>
      </c>
      <c r="G414" s="149" t="s">
        <v>6899</v>
      </c>
      <c r="H414" s="151">
        <v>4</v>
      </c>
      <c r="I414" s="156" t="s">
        <v>46</v>
      </c>
      <c r="J414" s="149" t="s">
        <v>6900</v>
      </c>
      <c r="K414" s="158">
        <v>3</v>
      </c>
      <c r="L414" s="156" t="s">
        <v>40</v>
      </c>
      <c r="M414" s="149" t="s">
        <v>6898</v>
      </c>
      <c r="N414" s="158">
        <v>3</v>
      </c>
      <c r="O414" s="152"/>
      <c r="P414" s="149" t="s">
        <v>6901</v>
      </c>
      <c r="Q414" s="158">
        <v>3</v>
      </c>
      <c r="R414" s="152"/>
      <c r="S414" s="149" t="s">
        <v>22143</v>
      </c>
      <c r="T414" s="158">
        <v>3</v>
      </c>
      <c r="U414" s="156" t="s">
        <v>46</v>
      </c>
      <c r="V414" s="149" t="s">
        <v>6902</v>
      </c>
      <c r="W414" s="158">
        <v>3</v>
      </c>
      <c r="X414" s="152"/>
      <c r="Y414" s="149" t="s">
        <v>22144</v>
      </c>
      <c r="Z414" s="158">
        <v>3</v>
      </c>
      <c r="AA414" s="152"/>
      <c r="AB414" s="154" t="s">
        <v>3673</v>
      </c>
    </row>
    <row r="415" spans="1:28" x14ac:dyDescent="0.2">
      <c r="A415" s="146" t="s">
        <v>6903</v>
      </c>
      <c r="B415" s="147" t="s">
        <v>6130</v>
      </c>
      <c r="C415" s="147" t="s">
        <v>6192</v>
      </c>
      <c r="D415" s="148" t="s">
        <v>6160</v>
      </c>
      <c r="E415" s="149" t="s">
        <v>22145</v>
      </c>
      <c r="F415" s="159">
        <v>3</v>
      </c>
      <c r="G415" s="149" t="s">
        <v>22146</v>
      </c>
      <c r="H415" s="157">
        <v>2</v>
      </c>
      <c r="I415" s="152"/>
      <c r="J415" s="149" t="s">
        <v>22147</v>
      </c>
      <c r="K415" s="157">
        <v>2</v>
      </c>
      <c r="L415" s="156" t="s">
        <v>40</v>
      </c>
      <c r="M415" s="149" t="s">
        <v>22145</v>
      </c>
      <c r="N415" s="158">
        <v>3</v>
      </c>
      <c r="O415" s="152"/>
      <c r="P415" s="149" t="s">
        <v>22148</v>
      </c>
      <c r="Q415" s="151">
        <v>4</v>
      </c>
      <c r="R415" s="152"/>
      <c r="S415" s="149" t="s">
        <v>22149</v>
      </c>
      <c r="T415" s="151">
        <v>4</v>
      </c>
      <c r="U415" s="152"/>
      <c r="V415" s="149" t="s">
        <v>22150</v>
      </c>
      <c r="W415" s="158">
        <v>3</v>
      </c>
      <c r="X415" s="152"/>
      <c r="Y415" s="149" t="s">
        <v>47</v>
      </c>
      <c r="Z415" s="153"/>
      <c r="AA415" s="152"/>
      <c r="AB415" s="154" t="s">
        <v>3679</v>
      </c>
    </row>
    <row r="416" spans="1:28" x14ac:dyDescent="0.2">
      <c r="A416" s="146" t="s">
        <v>6904</v>
      </c>
      <c r="B416" s="147" t="s">
        <v>6130</v>
      </c>
      <c r="C416" s="147" t="s">
        <v>6195</v>
      </c>
      <c r="D416" s="148" t="s">
        <v>6170</v>
      </c>
      <c r="E416" s="149" t="s">
        <v>22151</v>
      </c>
      <c r="F416" s="159">
        <v>3</v>
      </c>
      <c r="G416" s="149" t="s">
        <v>6905</v>
      </c>
      <c r="H416" s="155">
        <v>1</v>
      </c>
      <c r="I416" s="156" t="s">
        <v>53</v>
      </c>
      <c r="J416" s="149" t="s">
        <v>22152</v>
      </c>
      <c r="K416" s="158">
        <v>3</v>
      </c>
      <c r="L416" s="152"/>
      <c r="M416" s="149" t="s">
        <v>22151</v>
      </c>
      <c r="N416" s="158">
        <v>3</v>
      </c>
      <c r="O416" s="156" t="s">
        <v>40</v>
      </c>
      <c r="P416" s="149" t="s">
        <v>6906</v>
      </c>
      <c r="Q416" s="151">
        <v>4</v>
      </c>
      <c r="R416" s="152"/>
      <c r="S416" s="149" t="s">
        <v>22153</v>
      </c>
      <c r="T416" s="151">
        <v>4</v>
      </c>
      <c r="U416" s="152"/>
      <c r="V416" s="149" t="s">
        <v>47</v>
      </c>
      <c r="W416" s="153"/>
      <c r="X416" s="152"/>
      <c r="Y416" s="149" t="s">
        <v>47</v>
      </c>
      <c r="Z416" s="153"/>
      <c r="AA416" s="152"/>
      <c r="AB416" s="154" t="s">
        <v>3693</v>
      </c>
    </row>
    <row r="417" spans="1:28" x14ac:dyDescent="0.2">
      <c r="A417" s="146" t="s">
        <v>6907</v>
      </c>
      <c r="B417" s="147" t="s">
        <v>6130</v>
      </c>
      <c r="C417" s="147" t="s">
        <v>6191</v>
      </c>
      <c r="D417" s="148" t="s">
        <v>6170</v>
      </c>
      <c r="E417" s="149" t="s">
        <v>22154</v>
      </c>
      <c r="F417" s="160">
        <v>2</v>
      </c>
      <c r="G417" s="149" t="s">
        <v>22155</v>
      </c>
      <c r="H417" s="155">
        <v>1</v>
      </c>
      <c r="I417" s="156" t="s">
        <v>53</v>
      </c>
      <c r="J417" s="149" t="s">
        <v>22156</v>
      </c>
      <c r="K417" s="157">
        <v>2</v>
      </c>
      <c r="L417" s="156" t="s">
        <v>40</v>
      </c>
      <c r="M417" s="149" t="s">
        <v>22154</v>
      </c>
      <c r="N417" s="157">
        <v>2</v>
      </c>
      <c r="O417" s="156" t="s">
        <v>40</v>
      </c>
      <c r="P417" s="149" t="s">
        <v>22157</v>
      </c>
      <c r="Q417" s="158">
        <v>3</v>
      </c>
      <c r="R417" s="156" t="s">
        <v>40</v>
      </c>
      <c r="S417" s="149" t="s">
        <v>22158</v>
      </c>
      <c r="T417" s="151">
        <v>4</v>
      </c>
      <c r="U417" s="152"/>
      <c r="V417" s="149" t="s">
        <v>22159</v>
      </c>
      <c r="W417" s="151">
        <v>4</v>
      </c>
      <c r="X417" s="152"/>
      <c r="Y417" s="149" t="s">
        <v>47</v>
      </c>
      <c r="Z417" s="153"/>
      <c r="AA417" s="152"/>
      <c r="AB417" s="154" t="s">
        <v>3695</v>
      </c>
    </row>
    <row r="418" spans="1:28" x14ac:dyDescent="0.2">
      <c r="A418" s="146" t="s">
        <v>6908</v>
      </c>
      <c r="B418" s="147" t="s">
        <v>6130</v>
      </c>
      <c r="C418" s="147" t="s">
        <v>6167</v>
      </c>
      <c r="D418" s="148"/>
      <c r="E418" s="149" t="s">
        <v>22160</v>
      </c>
      <c r="F418" s="150">
        <v>4</v>
      </c>
      <c r="G418" s="149" t="s">
        <v>22161</v>
      </c>
      <c r="H418" s="157">
        <v>2</v>
      </c>
      <c r="I418" s="156" t="s">
        <v>40</v>
      </c>
      <c r="J418" s="149" t="s">
        <v>22162</v>
      </c>
      <c r="K418" s="157">
        <v>2</v>
      </c>
      <c r="L418" s="156" t="s">
        <v>40</v>
      </c>
      <c r="M418" s="149" t="s">
        <v>22160</v>
      </c>
      <c r="N418" s="151">
        <v>4</v>
      </c>
      <c r="O418" s="152"/>
      <c r="P418" s="149" t="s">
        <v>22163</v>
      </c>
      <c r="Q418" s="151">
        <v>4</v>
      </c>
      <c r="R418" s="152"/>
      <c r="S418" s="149" t="s">
        <v>22164</v>
      </c>
      <c r="T418" s="158">
        <v>3</v>
      </c>
      <c r="U418" s="152"/>
      <c r="V418" s="149" t="s">
        <v>20998</v>
      </c>
      <c r="W418" s="158">
        <v>3</v>
      </c>
      <c r="X418" s="152"/>
      <c r="Y418" s="149" t="s">
        <v>18798</v>
      </c>
      <c r="Z418" s="158">
        <v>3</v>
      </c>
      <c r="AA418" s="152"/>
      <c r="AB418" s="154" t="s">
        <v>3699</v>
      </c>
    </row>
    <row r="419" spans="1:28" x14ac:dyDescent="0.2">
      <c r="A419" s="146" t="s">
        <v>6909</v>
      </c>
      <c r="B419" s="147" t="s">
        <v>6130</v>
      </c>
      <c r="C419" s="147" t="s">
        <v>6583</v>
      </c>
      <c r="D419" s="148"/>
      <c r="E419" s="149" t="s">
        <v>22165</v>
      </c>
      <c r="F419" s="159">
        <v>3</v>
      </c>
      <c r="G419" s="149" t="s">
        <v>22166</v>
      </c>
      <c r="H419" s="155">
        <v>1</v>
      </c>
      <c r="I419" s="156" t="s">
        <v>157</v>
      </c>
      <c r="J419" s="149" t="s">
        <v>22167</v>
      </c>
      <c r="K419" s="158">
        <v>3</v>
      </c>
      <c r="L419" s="156" t="s">
        <v>40</v>
      </c>
      <c r="M419" s="149" t="s">
        <v>22165</v>
      </c>
      <c r="N419" s="158">
        <v>3</v>
      </c>
      <c r="O419" s="156" t="s">
        <v>40</v>
      </c>
      <c r="P419" s="149" t="s">
        <v>22168</v>
      </c>
      <c r="Q419" s="158">
        <v>3</v>
      </c>
      <c r="R419" s="156" t="s">
        <v>40</v>
      </c>
      <c r="S419" s="149" t="s">
        <v>22169</v>
      </c>
      <c r="T419" s="151">
        <v>4</v>
      </c>
      <c r="U419" s="152"/>
      <c r="V419" s="149" t="s">
        <v>22170</v>
      </c>
      <c r="W419" s="151">
        <v>4</v>
      </c>
      <c r="X419" s="152"/>
      <c r="Y419" s="149" t="s">
        <v>22171</v>
      </c>
      <c r="Z419" s="151">
        <v>4</v>
      </c>
      <c r="AA419" s="152"/>
      <c r="AB419" s="154" t="s">
        <v>3705</v>
      </c>
    </row>
    <row r="420" spans="1:28" x14ac:dyDescent="0.2">
      <c r="A420" s="146" t="s">
        <v>6910</v>
      </c>
      <c r="B420" s="147" t="s">
        <v>6130</v>
      </c>
      <c r="C420" s="147" t="s">
        <v>6229</v>
      </c>
      <c r="D420" s="148"/>
      <c r="E420" s="149" t="s">
        <v>22172</v>
      </c>
      <c r="F420" s="150">
        <v>4</v>
      </c>
      <c r="G420" s="149" t="s">
        <v>22173</v>
      </c>
      <c r="H420" s="158">
        <v>3</v>
      </c>
      <c r="I420" s="156" t="s">
        <v>40</v>
      </c>
      <c r="J420" s="149" t="s">
        <v>22174</v>
      </c>
      <c r="K420" s="158">
        <v>3</v>
      </c>
      <c r="L420" s="156" t="s">
        <v>40</v>
      </c>
      <c r="M420" s="149" t="s">
        <v>22172</v>
      </c>
      <c r="N420" s="151">
        <v>4</v>
      </c>
      <c r="O420" s="152"/>
      <c r="P420" s="149" t="s">
        <v>22175</v>
      </c>
      <c r="Q420" s="151">
        <v>4</v>
      </c>
      <c r="R420" s="152"/>
      <c r="S420" s="149" t="s">
        <v>22176</v>
      </c>
      <c r="T420" s="157">
        <v>2</v>
      </c>
      <c r="U420" s="152"/>
      <c r="V420" s="149" t="s">
        <v>22177</v>
      </c>
      <c r="W420" s="158">
        <v>3</v>
      </c>
      <c r="X420" s="152"/>
      <c r="Y420" s="149" t="s">
        <v>22178</v>
      </c>
      <c r="Z420" s="157">
        <v>2</v>
      </c>
      <c r="AA420" s="152"/>
      <c r="AB420" s="154" t="s">
        <v>3709</v>
      </c>
    </row>
    <row r="421" spans="1:28" x14ac:dyDescent="0.2">
      <c r="A421" s="146" t="s">
        <v>15298</v>
      </c>
      <c r="B421" s="147" t="s">
        <v>6130</v>
      </c>
      <c r="C421" s="147" t="s">
        <v>6192</v>
      </c>
      <c r="D421" s="148"/>
      <c r="E421" s="149" t="s">
        <v>47</v>
      </c>
      <c r="F421" s="152"/>
      <c r="G421" s="149" t="s">
        <v>47</v>
      </c>
      <c r="H421" s="153"/>
      <c r="I421" s="152"/>
      <c r="J421" s="149" t="s">
        <v>47</v>
      </c>
      <c r="K421" s="153"/>
      <c r="L421" s="152"/>
      <c r="M421" s="149" t="s">
        <v>47</v>
      </c>
      <c r="N421" s="153"/>
      <c r="O421" s="152"/>
      <c r="P421" s="149" t="s">
        <v>47</v>
      </c>
      <c r="Q421" s="153"/>
      <c r="R421" s="152"/>
      <c r="S421" s="149" t="s">
        <v>47</v>
      </c>
      <c r="T421" s="153"/>
      <c r="U421" s="152"/>
      <c r="V421" s="149" t="s">
        <v>47</v>
      </c>
      <c r="W421" s="153"/>
      <c r="X421" s="152"/>
      <c r="Y421" s="149" t="s">
        <v>47</v>
      </c>
      <c r="Z421" s="153"/>
      <c r="AA421" s="152"/>
      <c r="AB421" s="154" t="s">
        <v>15300</v>
      </c>
    </row>
    <row r="422" spans="1:28" x14ac:dyDescent="0.2">
      <c r="A422" s="146" t="s">
        <v>6911</v>
      </c>
      <c r="B422" s="147" t="s">
        <v>6130</v>
      </c>
      <c r="C422" s="147" t="s">
        <v>6131</v>
      </c>
      <c r="D422" s="148"/>
      <c r="E422" s="149" t="s">
        <v>22179</v>
      </c>
      <c r="F422" s="159">
        <v>3</v>
      </c>
      <c r="G422" s="149" t="s">
        <v>22180</v>
      </c>
      <c r="H422" s="155">
        <v>1</v>
      </c>
      <c r="I422" s="156" t="s">
        <v>53</v>
      </c>
      <c r="J422" s="149" t="s">
        <v>22181</v>
      </c>
      <c r="K422" s="157">
        <v>2</v>
      </c>
      <c r="L422" s="156" t="s">
        <v>40</v>
      </c>
      <c r="M422" s="149" t="s">
        <v>22179</v>
      </c>
      <c r="N422" s="158">
        <v>3</v>
      </c>
      <c r="O422" s="156" t="s">
        <v>40</v>
      </c>
      <c r="P422" s="149" t="s">
        <v>22182</v>
      </c>
      <c r="Q422" s="158">
        <v>3</v>
      </c>
      <c r="R422" s="152"/>
      <c r="S422" s="149" t="s">
        <v>22183</v>
      </c>
      <c r="T422" s="158">
        <v>3</v>
      </c>
      <c r="U422" s="152"/>
      <c r="V422" s="149" t="s">
        <v>22184</v>
      </c>
      <c r="W422" s="151">
        <v>4</v>
      </c>
      <c r="X422" s="152"/>
      <c r="Y422" s="149" t="s">
        <v>22185</v>
      </c>
      <c r="Z422" s="151">
        <v>4</v>
      </c>
      <c r="AA422" s="152"/>
      <c r="AB422" s="154" t="s">
        <v>3713</v>
      </c>
    </row>
    <row r="423" spans="1:28" x14ac:dyDescent="0.2">
      <c r="A423" s="146" t="s">
        <v>6912</v>
      </c>
      <c r="B423" s="147" t="s">
        <v>6130</v>
      </c>
      <c r="C423" s="147" t="s">
        <v>6131</v>
      </c>
      <c r="D423" s="148" t="s">
        <v>6160</v>
      </c>
      <c r="E423" s="149" t="s">
        <v>22186</v>
      </c>
      <c r="F423" s="159">
        <v>3</v>
      </c>
      <c r="G423" s="149" t="s">
        <v>22187</v>
      </c>
      <c r="H423" s="157">
        <v>2</v>
      </c>
      <c r="I423" s="156" t="s">
        <v>40</v>
      </c>
      <c r="J423" s="149" t="s">
        <v>22188</v>
      </c>
      <c r="K423" s="157">
        <v>2</v>
      </c>
      <c r="L423" s="156" t="s">
        <v>40</v>
      </c>
      <c r="M423" s="149" t="s">
        <v>22186</v>
      </c>
      <c r="N423" s="158">
        <v>3</v>
      </c>
      <c r="O423" s="156" t="s">
        <v>40</v>
      </c>
      <c r="P423" s="149" t="s">
        <v>22189</v>
      </c>
      <c r="Q423" s="158">
        <v>3</v>
      </c>
      <c r="R423" s="152"/>
      <c r="S423" s="149" t="s">
        <v>22190</v>
      </c>
      <c r="T423" s="151">
        <v>4</v>
      </c>
      <c r="U423" s="152"/>
      <c r="V423" s="149" t="s">
        <v>22191</v>
      </c>
      <c r="W423" s="151">
        <v>4</v>
      </c>
      <c r="X423" s="152"/>
      <c r="Y423" s="149" t="s">
        <v>22192</v>
      </c>
      <c r="Z423" s="151">
        <v>4</v>
      </c>
      <c r="AA423" s="152"/>
      <c r="AB423" s="154" t="s">
        <v>3715</v>
      </c>
    </row>
    <row r="424" spans="1:28" x14ac:dyDescent="0.2">
      <c r="A424" s="146" t="s">
        <v>6913</v>
      </c>
      <c r="B424" s="147" t="s">
        <v>6130</v>
      </c>
      <c r="C424" s="147" t="s">
        <v>6131</v>
      </c>
      <c r="D424" s="148" t="s">
        <v>6170</v>
      </c>
      <c r="E424" s="149" t="s">
        <v>22193</v>
      </c>
      <c r="F424" s="159">
        <v>3</v>
      </c>
      <c r="G424" s="149" t="s">
        <v>22194</v>
      </c>
      <c r="H424" s="157">
        <v>2</v>
      </c>
      <c r="I424" s="156" t="s">
        <v>40</v>
      </c>
      <c r="J424" s="149" t="s">
        <v>22195</v>
      </c>
      <c r="K424" s="158">
        <v>3</v>
      </c>
      <c r="L424" s="152"/>
      <c r="M424" s="149" t="s">
        <v>22193</v>
      </c>
      <c r="N424" s="158">
        <v>3</v>
      </c>
      <c r="O424" s="156" t="s">
        <v>40</v>
      </c>
      <c r="P424" s="149" t="s">
        <v>22196</v>
      </c>
      <c r="Q424" s="151">
        <v>4</v>
      </c>
      <c r="R424" s="152"/>
      <c r="S424" s="149" t="s">
        <v>22197</v>
      </c>
      <c r="T424" s="151">
        <v>4</v>
      </c>
      <c r="U424" s="152"/>
      <c r="V424" s="149" t="s">
        <v>47</v>
      </c>
      <c r="W424" s="153"/>
      <c r="X424" s="152"/>
      <c r="Y424" s="149" t="s">
        <v>47</v>
      </c>
      <c r="Z424" s="153"/>
      <c r="AA424" s="152"/>
      <c r="AB424" s="154" t="s">
        <v>3719</v>
      </c>
    </row>
    <row r="425" spans="1:28" x14ac:dyDescent="0.2">
      <c r="A425" s="146" t="s">
        <v>6914</v>
      </c>
      <c r="B425" s="147" t="s">
        <v>6130</v>
      </c>
      <c r="C425" s="147" t="s">
        <v>6131</v>
      </c>
      <c r="D425" s="148" t="s">
        <v>6136</v>
      </c>
      <c r="E425" s="149" t="s">
        <v>22198</v>
      </c>
      <c r="F425" s="160">
        <v>2</v>
      </c>
      <c r="G425" s="149" t="s">
        <v>22199</v>
      </c>
      <c r="H425" s="157">
        <v>2</v>
      </c>
      <c r="I425" s="156" t="s">
        <v>40</v>
      </c>
      <c r="J425" s="149" t="s">
        <v>22200</v>
      </c>
      <c r="K425" s="157">
        <v>2</v>
      </c>
      <c r="L425" s="152"/>
      <c r="M425" s="149" t="s">
        <v>22198</v>
      </c>
      <c r="N425" s="157">
        <v>2</v>
      </c>
      <c r="O425" s="156" t="s">
        <v>40</v>
      </c>
      <c r="P425" s="149" t="s">
        <v>22201</v>
      </c>
      <c r="Q425" s="158">
        <v>3</v>
      </c>
      <c r="R425" s="152"/>
      <c r="S425" s="149" t="s">
        <v>22202</v>
      </c>
      <c r="T425" s="158">
        <v>3</v>
      </c>
      <c r="U425" s="152"/>
      <c r="V425" s="149" t="s">
        <v>47</v>
      </c>
      <c r="W425" s="153"/>
      <c r="X425" s="152"/>
      <c r="Y425" s="149" t="s">
        <v>47</v>
      </c>
      <c r="Z425" s="153"/>
      <c r="AA425" s="152"/>
      <c r="AB425" s="154" t="s">
        <v>3720</v>
      </c>
    </row>
    <row r="426" spans="1:28" x14ac:dyDescent="0.2">
      <c r="A426" s="146" t="s">
        <v>6915</v>
      </c>
      <c r="B426" s="147" t="s">
        <v>6130</v>
      </c>
      <c r="C426" s="147" t="s">
        <v>6131</v>
      </c>
      <c r="D426" s="148" t="s">
        <v>6160</v>
      </c>
      <c r="E426" s="149" t="s">
        <v>20224</v>
      </c>
      <c r="F426" s="159">
        <v>3</v>
      </c>
      <c r="G426" s="149" t="s">
        <v>22203</v>
      </c>
      <c r="H426" s="155">
        <v>1</v>
      </c>
      <c r="I426" s="156" t="s">
        <v>53</v>
      </c>
      <c r="J426" s="149" t="s">
        <v>22204</v>
      </c>
      <c r="K426" s="157">
        <v>2</v>
      </c>
      <c r="L426" s="156" t="s">
        <v>40</v>
      </c>
      <c r="M426" s="149" t="s">
        <v>20224</v>
      </c>
      <c r="N426" s="158">
        <v>3</v>
      </c>
      <c r="O426" s="156" t="s">
        <v>40</v>
      </c>
      <c r="P426" s="149" t="s">
        <v>22205</v>
      </c>
      <c r="Q426" s="158">
        <v>3</v>
      </c>
      <c r="R426" s="152"/>
      <c r="S426" s="149" t="s">
        <v>22206</v>
      </c>
      <c r="T426" s="158">
        <v>3</v>
      </c>
      <c r="U426" s="152"/>
      <c r="V426" s="149" t="s">
        <v>47</v>
      </c>
      <c r="W426" s="153"/>
      <c r="X426" s="152"/>
      <c r="Y426" s="149" t="s">
        <v>47</v>
      </c>
      <c r="Z426" s="153"/>
      <c r="AA426" s="152"/>
      <c r="AB426" s="154" t="s">
        <v>3721</v>
      </c>
    </row>
    <row r="427" spans="1:28" x14ac:dyDescent="0.2">
      <c r="A427" s="146" t="s">
        <v>3722</v>
      </c>
      <c r="B427" s="147" t="s">
        <v>6130</v>
      </c>
      <c r="C427" s="147" t="s">
        <v>6131</v>
      </c>
      <c r="D427" s="148"/>
      <c r="E427" s="149" t="s">
        <v>22207</v>
      </c>
      <c r="F427" s="159">
        <v>3</v>
      </c>
      <c r="G427" s="149" t="s">
        <v>22208</v>
      </c>
      <c r="H427" s="157">
        <v>2</v>
      </c>
      <c r="I427" s="152"/>
      <c r="J427" s="149" t="s">
        <v>22209</v>
      </c>
      <c r="K427" s="157">
        <v>2</v>
      </c>
      <c r="L427" s="156" t="s">
        <v>40</v>
      </c>
      <c r="M427" s="149" t="s">
        <v>22207</v>
      </c>
      <c r="N427" s="158">
        <v>3</v>
      </c>
      <c r="O427" s="152"/>
      <c r="P427" s="149" t="s">
        <v>22210</v>
      </c>
      <c r="Q427" s="158">
        <v>3</v>
      </c>
      <c r="R427" s="152"/>
      <c r="S427" s="149" t="s">
        <v>47</v>
      </c>
      <c r="T427" s="153"/>
      <c r="U427" s="152"/>
      <c r="V427" s="149" t="s">
        <v>47</v>
      </c>
      <c r="W427" s="153"/>
      <c r="X427" s="152"/>
      <c r="Y427" s="149" t="s">
        <v>47</v>
      </c>
      <c r="Z427" s="153"/>
      <c r="AA427" s="152"/>
      <c r="AB427" s="154" t="s">
        <v>3723</v>
      </c>
    </row>
    <row r="428" spans="1:28" x14ac:dyDescent="0.2">
      <c r="A428" s="146" t="s">
        <v>3724</v>
      </c>
      <c r="B428" s="147" t="s">
        <v>6130</v>
      </c>
      <c r="C428" s="147" t="s">
        <v>6229</v>
      </c>
      <c r="D428" s="148" t="s">
        <v>6170</v>
      </c>
      <c r="E428" s="149" t="s">
        <v>22211</v>
      </c>
      <c r="F428" s="160">
        <v>2</v>
      </c>
      <c r="G428" s="149" t="s">
        <v>22212</v>
      </c>
      <c r="H428" s="157">
        <v>2</v>
      </c>
      <c r="I428" s="156" t="s">
        <v>46</v>
      </c>
      <c r="J428" s="149" t="s">
        <v>22213</v>
      </c>
      <c r="K428" s="155">
        <v>1</v>
      </c>
      <c r="L428" s="156" t="s">
        <v>40</v>
      </c>
      <c r="M428" s="149" t="s">
        <v>22211</v>
      </c>
      <c r="N428" s="157">
        <v>2</v>
      </c>
      <c r="O428" s="156" t="s">
        <v>40</v>
      </c>
      <c r="P428" s="149" t="s">
        <v>22214</v>
      </c>
      <c r="Q428" s="151">
        <v>4</v>
      </c>
      <c r="R428" s="152"/>
      <c r="S428" s="149" t="s">
        <v>22215</v>
      </c>
      <c r="T428" s="151">
        <v>4</v>
      </c>
      <c r="U428" s="152"/>
      <c r="V428" s="149" t="s">
        <v>22216</v>
      </c>
      <c r="W428" s="151">
        <v>4</v>
      </c>
      <c r="X428" s="152"/>
      <c r="Y428" s="149" t="s">
        <v>47</v>
      </c>
      <c r="Z428" s="153"/>
      <c r="AA428" s="152"/>
      <c r="AB428" s="154" t="s">
        <v>3725</v>
      </c>
    </row>
    <row r="429" spans="1:28" x14ac:dyDescent="0.2">
      <c r="A429" s="146" t="s">
        <v>6916</v>
      </c>
      <c r="B429" s="147" t="s">
        <v>6130</v>
      </c>
      <c r="C429" s="147" t="s">
        <v>6917</v>
      </c>
      <c r="D429" s="148"/>
      <c r="E429" s="149" t="s">
        <v>22217</v>
      </c>
      <c r="F429" s="160">
        <v>2</v>
      </c>
      <c r="G429" s="149" t="s">
        <v>22218</v>
      </c>
      <c r="H429" s="151">
        <v>4</v>
      </c>
      <c r="I429" s="156" t="s">
        <v>55</v>
      </c>
      <c r="J429" s="149" t="s">
        <v>6918</v>
      </c>
      <c r="K429" s="157">
        <v>2</v>
      </c>
      <c r="L429" s="156" t="s">
        <v>46</v>
      </c>
      <c r="M429" s="149" t="s">
        <v>22217</v>
      </c>
      <c r="N429" s="157">
        <v>2</v>
      </c>
      <c r="O429" s="156" t="s">
        <v>46</v>
      </c>
      <c r="P429" s="149" t="s">
        <v>22219</v>
      </c>
      <c r="Q429" s="155">
        <v>1</v>
      </c>
      <c r="R429" s="152"/>
      <c r="S429" s="149" t="s">
        <v>6919</v>
      </c>
      <c r="T429" s="158">
        <v>3</v>
      </c>
      <c r="U429" s="152"/>
      <c r="V429" s="149" t="s">
        <v>8943</v>
      </c>
      <c r="W429" s="155">
        <v>1</v>
      </c>
      <c r="X429" s="152"/>
      <c r="Y429" s="149" t="s">
        <v>47</v>
      </c>
      <c r="Z429" s="153"/>
      <c r="AA429" s="152"/>
      <c r="AB429" s="154" t="s">
        <v>3727</v>
      </c>
    </row>
    <row r="430" spans="1:28" x14ac:dyDescent="0.2">
      <c r="A430" s="146" t="s">
        <v>6920</v>
      </c>
      <c r="B430" s="147" t="s">
        <v>6130</v>
      </c>
      <c r="C430" s="147" t="s">
        <v>6921</v>
      </c>
      <c r="D430" s="148"/>
      <c r="E430" s="149" t="s">
        <v>22220</v>
      </c>
      <c r="F430" s="150">
        <v>4</v>
      </c>
      <c r="G430" s="149" t="s">
        <v>22221</v>
      </c>
      <c r="H430" s="157">
        <v>2</v>
      </c>
      <c r="I430" s="156" t="s">
        <v>53</v>
      </c>
      <c r="J430" s="149" t="s">
        <v>15022</v>
      </c>
      <c r="K430" s="151">
        <v>4</v>
      </c>
      <c r="L430" s="156" t="s">
        <v>55</v>
      </c>
      <c r="M430" s="149" t="s">
        <v>22220</v>
      </c>
      <c r="N430" s="151">
        <v>4</v>
      </c>
      <c r="O430" s="152"/>
      <c r="P430" s="149" t="s">
        <v>22222</v>
      </c>
      <c r="Q430" s="155">
        <v>1</v>
      </c>
      <c r="R430" s="156" t="s">
        <v>40</v>
      </c>
      <c r="S430" s="149" t="s">
        <v>22223</v>
      </c>
      <c r="T430" s="158">
        <v>3</v>
      </c>
      <c r="U430" s="152"/>
      <c r="V430" s="149" t="s">
        <v>6922</v>
      </c>
      <c r="W430" s="155">
        <v>1</v>
      </c>
      <c r="X430" s="152"/>
      <c r="Y430" s="149" t="s">
        <v>22224</v>
      </c>
      <c r="Z430" s="157">
        <v>2</v>
      </c>
      <c r="AA430" s="152"/>
      <c r="AB430" s="154" t="s">
        <v>6923</v>
      </c>
    </row>
    <row r="431" spans="1:28" x14ac:dyDescent="0.2">
      <c r="A431" s="146" t="s">
        <v>6924</v>
      </c>
      <c r="B431" s="147" t="s">
        <v>6130</v>
      </c>
      <c r="C431" s="147" t="s">
        <v>6921</v>
      </c>
      <c r="D431" s="148"/>
      <c r="E431" s="149" t="s">
        <v>22225</v>
      </c>
      <c r="F431" s="150">
        <v>4</v>
      </c>
      <c r="G431" s="149" t="s">
        <v>22226</v>
      </c>
      <c r="H431" s="155">
        <v>1</v>
      </c>
      <c r="I431" s="156" t="s">
        <v>157</v>
      </c>
      <c r="J431" s="149" t="s">
        <v>22227</v>
      </c>
      <c r="K431" s="151">
        <v>4</v>
      </c>
      <c r="L431" s="152"/>
      <c r="M431" s="149" t="s">
        <v>22225</v>
      </c>
      <c r="N431" s="151">
        <v>4</v>
      </c>
      <c r="O431" s="152"/>
      <c r="P431" s="149" t="s">
        <v>22228</v>
      </c>
      <c r="Q431" s="151">
        <v>4</v>
      </c>
      <c r="R431" s="152"/>
      <c r="S431" s="149" t="s">
        <v>22229</v>
      </c>
      <c r="T431" s="151">
        <v>4</v>
      </c>
      <c r="U431" s="152"/>
      <c r="V431" s="149" t="s">
        <v>22230</v>
      </c>
      <c r="W431" s="158">
        <v>3</v>
      </c>
      <c r="X431" s="152"/>
      <c r="Y431" s="149" t="s">
        <v>22231</v>
      </c>
      <c r="Z431" s="151">
        <v>4</v>
      </c>
      <c r="AA431" s="152"/>
      <c r="AB431" s="154" t="s">
        <v>6925</v>
      </c>
    </row>
    <row r="432" spans="1:28" x14ac:dyDescent="0.2">
      <c r="A432" s="146" t="s">
        <v>6926</v>
      </c>
      <c r="B432" s="147" t="s">
        <v>6130</v>
      </c>
      <c r="C432" s="147" t="s">
        <v>6747</v>
      </c>
      <c r="D432" s="148" t="s">
        <v>6163</v>
      </c>
      <c r="E432" s="149" t="s">
        <v>22232</v>
      </c>
      <c r="F432" s="161">
        <v>1</v>
      </c>
      <c r="G432" s="149" t="s">
        <v>6927</v>
      </c>
      <c r="H432" s="155">
        <v>1</v>
      </c>
      <c r="I432" s="156" t="s">
        <v>40</v>
      </c>
      <c r="J432" s="149" t="s">
        <v>22233</v>
      </c>
      <c r="K432" s="155">
        <v>1</v>
      </c>
      <c r="L432" s="156" t="s">
        <v>40</v>
      </c>
      <c r="M432" s="149" t="s">
        <v>22232</v>
      </c>
      <c r="N432" s="155">
        <v>1</v>
      </c>
      <c r="O432" s="156" t="s">
        <v>40</v>
      </c>
      <c r="P432" s="149" t="s">
        <v>18449</v>
      </c>
      <c r="Q432" s="157">
        <v>2</v>
      </c>
      <c r="R432" s="152"/>
      <c r="S432" s="149" t="s">
        <v>22234</v>
      </c>
      <c r="T432" s="155">
        <v>1</v>
      </c>
      <c r="U432" s="152"/>
      <c r="V432" s="149" t="s">
        <v>22235</v>
      </c>
      <c r="W432" s="157">
        <v>2</v>
      </c>
      <c r="X432" s="152"/>
      <c r="Y432" s="149" t="s">
        <v>18752</v>
      </c>
      <c r="Z432" s="155">
        <v>1</v>
      </c>
      <c r="AA432" s="152"/>
      <c r="AB432" s="154" t="s">
        <v>3731</v>
      </c>
    </row>
    <row r="433" spans="1:28" x14ac:dyDescent="0.2">
      <c r="A433" s="146" t="s">
        <v>6928</v>
      </c>
      <c r="B433" s="147" t="s">
        <v>6130</v>
      </c>
      <c r="C433" s="147" t="s">
        <v>6203</v>
      </c>
      <c r="D433" s="148"/>
      <c r="E433" s="149" t="s">
        <v>22236</v>
      </c>
      <c r="F433" s="160">
        <v>2</v>
      </c>
      <c r="G433" s="149" t="s">
        <v>22237</v>
      </c>
      <c r="H433" s="158">
        <v>3</v>
      </c>
      <c r="I433" s="152"/>
      <c r="J433" s="149" t="s">
        <v>22238</v>
      </c>
      <c r="K433" s="157">
        <v>2</v>
      </c>
      <c r="L433" s="156" t="s">
        <v>40</v>
      </c>
      <c r="M433" s="149" t="s">
        <v>22236</v>
      </c>
      <c r="N433" s="157">
        <v>2</v>
      </c>
      <c r="O433" s="152"/>
      <c r="P433" s="149" t="s">
        <v>22239</v>
      </c>
      <c r="Q433" s="155">
        <v>1</v>
      </c>
      <c r="R433" s="156" t="s">
        <v>40</v>
      </c>
      <c r="S433" s="149" t="s">
        <v>22240</v>
      </c>
      <c r="T433" s="158">
        <v>3</v>
      </c>
      <c r="U433" s="152"/>
      <c r="V433" s="149" t="s">
        <v>22241</v>
      </c>
      <c r="W433" s="157">
        <v>2</v>
      </c>
      <c r="X433" s="152"/>
      <c r="Y433" s="149" t="s">
        <v>22242</v>
      </c>
      <c r="Z433" s="158">
        <v>3</v>
      </c>
      <c r="AA433" s="152"/>
      <c r="AB433" s="154" t="s">
        <v>6929</v>
      </c>
    </row>
    <row r="434" spans="1:28" x14ac:dyDescent="0.2">
      <c r="A434" s="146" t="s">
        <v>6930</v>
      </c>
      <c r="B434" s="147" t="s">
        <v>6130</v>
      </c>
      <c r="C434" s="147" t="s">
        <v>6583</v>
      </c>
      <c r="D434" s="148"/>
      <c r="E434" s="149" t="s">
        <v>22243</v>
      </c>
      <c r="F434" s="159">
        <v>3</v>
      </c>
      <c r="G434" s="149" t="s">
        <v>22244</v>
      </c>
      <c r="H434" s="158">
        <v>3</v>
      </c>
      <c r="I434" s="156" t="s">
        <v>55</v>
      </c>
      <c r="J434" s="149" t="s">
        <v>22245</v>
      </c>
      <c r="K434" s="155">
        <v>1</v>
      </c>
      <c r="L434" s="156" t="s">
        <v>40</v>
      </c>
      <c r="M434" s="149" t="s">
        <v>22243</v>
      </c>
      <c r="N434" s="158">
        <v>3</v>
      </c>
      <c r="O434" s="156" t="s">
        <v>46</v>
      </c>
      <c r="P434" s="149" t="s">
        <v>47</v>
      </c>
      <c r="Q434" s="153"/>
      <c r="R434" s="152"/>
      <c r="S434" s="149" t="s">
        <v>47</v>
      </c>
      <c r="T434" s="153"/>
      <c r="U434" s="152"/>
      <c r="V434" s="149" t="s">
        <v>47</v>
      </c>
      <c r="W434" s="153"/>
      <c r="X434" s="152"/>
      <c r="Y434" s="149" t="s">
        <v>47</v>
      </c>
      <c r="Z434" s="153"/>
      <c r="AA434" s="152"/>
      <c r="AB434" s="154" t="s">
        <v>6931</v>
      </c>
    </row>
    <row r="435" spans="1:28" x14ac:dyDescent="0.2">
      <c r="A435" s="146" t="s">
        <v>6932</v>
      </c>
      <c r="B435" s="147" t="s">
        <v>6130</v>
      </c>
      <c r="C435" s="147" t="s">
        <v>6829</v>
      </c>
      <c r="D435" s="148"/>
      <c r="E435" s="149" t="s">
        <v>22246</v>
      </c>
      <c r="F435" s="159">
        <v>3</v>
      </c>
      <c r="G435" s="149" t="s">
        <v>22247</v>
      </c>
      <c r="H435" s="157">
        <v>2</v>
      </c>
      <c r="I435" s="156" t="s">
        <v>40</v>
      </c>
      <c r="J435" s="149" t="s">
        <v>22248</v>
      </c>
      <c r="K435" s="158">
        <v>3</v>
      </c>
      <c r="L435" s="152"/>
      <c r="M435" s="149" t="s">
        <v>22246</v>
      </c>
      <c r="N435" s="158">
        <v>3</v>
      </c>
      <c r="O435" s="152"/>
      <c r="P435" s="149" t="s">
        <v>22249</v>
      </c>
      <c r="Q435" s="158">
        <v>3</v>
      </c>
      <c r="R435" s="152"/>
      <c r="S435" s="149" t="s">
        <v>22250</v>
      </c>
      <c r="T435" s="158">
        <v>3</v>
      </c>
      <c r="U435" s="152"/>
      <c r="V435" s="149" t="s">
        <v>47</v>
      </c>
      <c r="W435" s="153"/>
      <c r="X435" s="152"/>
      <c r="Y435" s="149" t="s">
        <v>47</v>
      </c>
      <c r="Z435" s="153"/>
      <c r="AA435" s="152"/>
      <c r="AB435" s="154" t="s">
        <v>3741</v>
      </c>
    </row>
    <row r="436" spans="1:28" x14ac:dyDescent="0.2">
      <c r="A436" s="146" t="s">
        <v>6933</v>
      </c>
      <c r="B436" s="147" t="s">
        <v>6130</v>
      </c>
      <c r="C436" s="147" t="s">
        <v>6229</v>
      </c>
      <c r="D436" s="148"/>
      <c r="E436" s="149" t="s">
        <v>22251</v>
      </c>
      <c r="F436" s="161">
        <v>1</v>
      </c>
      <c r="G436" s="149" t="s">
        <v>22252</v>
      </c>
      <c r="H436" s="155">
        <v>1</v>
      </c>
      <c r="I436" s="152"/>
      <c r="J436" s="149" t="s">
        <v>22253</v>
      </c>
      <c r="K436" s="155">
        <v>1</v>
      </c>
      <c r="L436" s="152"/>
      <c r="M436" s="149" t="s">
        <v>22251</v>
      </c>
      <c r="N436" s="155">
        <v>1</v>
      </c>
      <c r="O436" s="152"/>
      <c r="P436" s="149" t="s">
        <v>22254</v>
      </c>
      <c r="Q436" s="155">
        <v>1</v>
      </c>
      <c r="R436" s="152"/>
      <c r="S436" s="149" t="s">
        <v>47</v>
      </c>
      <c r="T436" s="153"/>
      <c r="U436" s="152"/>
      <c r="V436" s="149" t="s">
        <v>47</v>
      </c>
      <c r="W436" s="153"/>
      <c r="X436" s="152"/>
      <c r="Y436" s="149" t="s">
        <v>47</v>
      </c>
      <c r="Z436" s="153"/>
      <c r="AA436" s="152"/>
      <c r="AB436" s="154" t="s">
        <v>3819</v>
      </c>
    </row>
    <row r="437" spans="1:28" x14ac:dyDescent="0.2">
      <c r="A437" s="146" t="s">
        <v>6934</v>
      </c>
      <c r="B437" s="147" t="s">
        <v>6130</v>
      </c>
      <c r="C437" s="147" t="s">
        <v>6935</v>
      </c>
      <c r="D437" s="148"/>
      <c r="E437" s="149" t="s">
        <v>22255</v>
      </c>
      <c r="F437" s="160">
        <v>2</v>
      </c>
      <c r="G437" s="149" t="s">
        <v>6936</v>
      </c>
      <c r="H437" s="158">
        <v>3</v>
      </c>
      <c r="I437" s="156" t="s">
        <v>46</v>
      </c>
      <c r="J437" s="149" t="s">
        <v>22256</v>
      </c>
      <c r="K437" s="157">
        <v>2</v>
      </c>
      <c r="L437" s="152"/>
      <c r="M437" s="149" t="s">
        <v>22255</v>
      </c>
      <c r="N437" s="157">
        <v>2</v>
      </c>
      <c r="O437" s="156" t="s">
        <v>46</v>
      </c>
      <c r="P437" s="149" t="s">
        <v>22257</v>
      </c>
      <c r="Q437" s="157">
        <v>2</v>
      </c>
      <c r="R437" s="156" t="s">
        <v>46</v>
      </c>
      <c r="S437" s="149" t="s">
        <v>22258</v>
      </c>
      <c r="T437" s="155">
        <v>1</v>
      </c>
      <c r="U437" s="152"/>
      <c r="V437" s="149" t="s">
        <v>5390</v>
      </c>
      <c r="W437" s="155">
        <v>1</v>
      </c>
      <c r="X437" s="152"/>
      <c r="Y437" s="149" t="s">
        <v>47</v>
      </c>
      <c r="Z437" s="153"/>
      <c r="AA437" s="152"/>
      <c r="AB437" s="154" t="s">
        <v>3828</v>
      </c>
    </row>
    <row r="438" spans="1:28" x14ac:dyDescent="0.2">
      <c r="A438" s="146" t="s">
        <v>6937</v>
      </c>
      <c r="B438" s="147" t="s">
        <v>6130</v>
      </c>
      <c r="C438" s="147" t="s">
        <v>6167</v>
      </c>
      <c r="D438" s="148"/>
      <c r="E438" s="149" t="s">
        <v>22259</v>
      </c>
      <c r="F438" s="159">
        <v>3</v>
      </c>
      <c r="G438" s="149" t="s">
        <v>22260</v>
      </c>
      <c r="H438" s="155">
        <v>1</v>
      </c>
      <c r="I438" s="156" t="s">
        <v>53</v>
      </c>
      <c r="J438" s="149" t="s">
        <v>22261</v>
      </c>
      <c r="K438" s="157">
        <v>2</v>
      </c>
      <c r="L438" s="156" t="s">
        <v>40</v>
      </c>
      <c r="M438" s="149" t="s">
        <v>22259</v>
      </c>
      <c r="N438" s="158">
        <v>3</v>
      </c>
      <c r="O438" s="156" t="s">
        <v>40</v>
      </c>
      <c r="P438" s="149" t="s">
        <v>22262</v>
      </c>
      <c r="Q438" s="151">
        <v>4</v>
      </c>
      <c r="R438" s="152"/>
      <c r="S438" s="149" t="s">
        <v>22263</v>
      </c>
      <c r="T438" s="151">
        <v>4</v>
      </c>
      <c r="U438" s="152"/>
      <c r="V438" s="149" t="s">
        <v>22264</v>
      </c>
      <c r="W438" s="151">
        <v>4</v>
      </c>
      <c r="X438" s="152"/>
      <c r="Y438" s="149" t="s">
        <v>18797</v>
      </c>
      <c r="Z438" s="157">
        <v>2</v>
      </c>
      <c r="AA438" s="152"/>
      <c r="AB438" s="154" t="s">
        <v>3836</v>
      </c>
    </row>
    <row r="439" spans="1:28" x14ac:dyDescent="0.2">
      <c r="A439" s="146" t="s">
        <v>6938</v>
      </c>
      <c r="B439" s="147" t="s">
        <v>6130</v>
      </c>
      <c r="C439" s="147" t="s">
        <v>6829</v>
      </c>
      <c r="D439" s="148"/>
      <c r="E439" s="149" t="s">
        <v>22265</v>
      </c>
      <c r="F439" s="161">
        <v>1</v>
      </c>
      <c r="G439" s="149" t="s">
        <v>22266</v>
      </c>
      <c r="H439" s="155">
        <v>1</v>
      </c>
      <c r="I439" s="152"/>
      <c r="J439" s="149" t="s">
        <v>22267</v>
      </c>
      <c r="K439" s="155">
        <v>1</v>
      </c>
      <c r="L439" s="152"/>
      <c r="M439" s="149" t="s">
        <v>22265</v>
      </c>
      <c r="N439" s="155">
        <v>1</v>
      </c>
      <c r="O439" s="156" t="s">
        <v>40</v>
      </c>
      <c r="P439" s="149" t="s">
        <v>47</v>
      </c>
      <c r="Q439" s="153"/>
      <c r="R439" s="152"/>
      <c r="S439" s="149" t="s">
        <v>47</v>
      </c>
      <c r="T439" s="153"/>
      <c r="U439" s="152"/>
      <c r="V439" s="149" t="s">
        <v>47</v>
      </c>
      <c r="W439" s="153"/>
      <c r="X439" s="152"/>
      <c r="Y439" s="149" t="s">
        <v>47</v>
      </c>
      <c r="Z439" s="153"/>
      <c r="AA439" s="152"/>
      <c r="AB439" s="154" t="s">
        <v>3839</v>
      </c>
    </row>
    <row r="440" spans="1:28" x14ac:dyDescent="0.2">
      <c r="A440" s="146" t="s">
        <v>6939</v>
      </c>
      <c r="B440" s="147" t="s">
        <v>6130</v>
      </c>
      <c r="C440" s="147" t="s">
        <v>6175</v>
      </c>
      <c r="D440" s="148"/>
      <c r="E440" s="149" t="s">
        <v>22268</v>
      </c>
      <c r="F440" s="159">
        <v>3</v>
      </c>
      <c r="G440" s="149" t="s">
        <v>22269</v>
      </c>
      <c r="H440" s="158">
        <v>3</v>
      </c>
      <c r="I440" s="152"/>
      <c r="J440" s="149" t="s">
        <v>22270</v>
      </c>
      <c r="K440" s="158">
        <v>3</v>
      </c>
      <c r="L440" s="152"/>
      <c r="M440" s="149" t="s">
        <v>22268</v>
      </c>
      <c r="N440" s="158">
        <v>3</v>
      </c>
      <c r="O440" s="152"/>
      <c r="P440" s="149" t="s">
        <v>22271</v>
      </c>
      <c r="Q440" s="158">
        <v>3</v>
      </c>
      <c r="R440" s="152"/>
      <c r="S440" s="149" t="s">
        <v>22272</v>
      </c>
      <c r="T440" s="158">
        <v>3</v>
      </c>
      <c r="U440" s="152"/>
      <c r="V440" s="149" t="s">
        <v>22273</v>
      </c>
      <c r="W440" s="158">
        <v>3</v>
      </c>
      <c r="X440" s="156" t="s">
        <v>40</v>
      </c>
      <c r="Y440" s="149" t="s">
        <v>22274</v>
      </c>
      <c r="Z440" s="151">
        <v>4</v>
      </c>
      <c r="AA440" s="152"/>
      <c r="AB440" s="154" t="s">
        <v>3843</v>
      </c>
    </row>
    <row r="441" spans="1:28" x14ac:dyDescent="0.2">
      <c r="A441" s="146" t="s">
        <v>6940</v>
      </c>
      <c r="B441" s="147" t="s">
        <v>6130</v>
      </c>
      <c r="C441" s="147" t="s">
        <v>6416</v>
      </c>
      <c r="D441" s="148" t="s">
        <v>6170</v>
      </c>
      <c r="E441" s="149" t="s">
        <v>22275</v>
      </c>
      <c r="F441" s="159">
        <v>3</v>
      </c>
      <c r="G441" s="149" t="s">
        <v>6941</v>
      </c>
      <c r="H441" s="151">
        <v>4</v>
      </c>
      <c r="I441" s="156" t="s">
        <v>55</v>
      </c>
      <c r="J441" s="149" t="s">
        <v>22276</v>
      </c>
      <c r="K441" s="158">
        <v>3</v>
      </c>
      <c r="L441" s="156" t="s">
        <v>46</v>
      </c>
      <c r="M441" s="149" t="s">
        <v>22275</v>
      </c>
      <c r="N441" s="158">
        <v>3</v>
      </c>
      <c r="O441" s="152"/>
      <c r="P441" s="149" t="s">
        <v>22277</v>
      </c>
      <c r="Q441" s="158">
        <v>3</v>
      </c>
      <c r="R441" s="156" t="s">
        <v>40</v>
      </c>
      <c r="S441" s="149" t="s">
        <v>22278</v>
      </c>
      <c r="T441" s="151">
        <v>4</v>
      </c>
      <c r="U441" s="152"/>
      <c r="V441" s="149" t="s">
        <v>6942</v>
      </c>
      <c r="W441" s="151">
        <v>4</v>
      </c>
      <c r="X441" s="152"/>
      <c r="Y441" s="149" t="s">
        <v>22279</v>
      </c>
      <c r="Z441" s="151">
        <v>4</v>
      </c>
      <c r="AA441" s="152"/>
      <c r="AB441" s="154" t="s">
        <v>3864</v>
      </c>
    </row>
    <row r="442" spans="1:28" x14ac:dyDescent="0.2">
      <c r="A442" s="146" t="s">
        <v>6943</v>
      </c>
      <c r="B442" s="147" t="s">
        <v>6130</v>
      </c>
      <c r="C442" s="147" t="s">
        <v>6766</v>
      </c>
      <c r="D442" s="148"/>
      <c r="E442" s="149" t="s">
        <v>22280</v>
      </c>
      <c r="F442" s="159">
        <v>3</v>
      </c>
      <c r="G442" s="149" t="s">
        <v>22281</v>
      </c>
      <c r="H442" s="155">
        <v>1</v>
      </c>
      <c r="I442" s="156" t="s">
        <v>53</v>
      </c>
      <c r="J442" s="149" t="s">
        <v>6944</v>
      </c>
      <c r="K442" s="157">
        <v>2</v>
      </c>
      <c r="L442" s="156" t="s">
        <v>40</v>
      </c>
      <c r="M442" s="149" t="s">
        <v>22280</v>
      </c>
      <c r="N442" s="158">
        <v>3</v>
      </c>
      <c r="O442" s="156" t="s">
        <v>40</v>
      </c>
      <c r="P442" s="149" t="s">
        <v>22282</v>
      </c>
      <c r="Q442" s="151">
        <v>4</v>
      </c>
      <c r="R442" s="152"/>
      <c r="S442" s="149" t="s">
        <v>22283</v>
      </c>
      <c r="T442" s="158">
        <v>3</v>
      </c>
      <c r="U442" s="152"/>
      <c r="V442" s="149" t="s">
        <v>22284</v>
      </c>
      <c r="W442" s="158">
        <v>3</v>
      </c>
      <c r="X442" s="152"/>
      <c r="Y442" s="149" t="s">
        <v>22285</v>
      </c>
      <c r="Z442" s="157">
        <v>2</v>
      </c>
      <c r="AA442" s="156" t="s">
        <v>40</v>
      </c>
      <c r="AB442" s="154" t="s">
        <v>4175</v>
      </c>
    </row>
    <row r="443" spans="1:28" x14ac:dyDescent="0.2">
      <c r="A443" s="146" t="s">
        <v>6945</v>
      </c>
      <c r="B443" s="147" t="s">
        <v>6130</v>
      </c>
      <c r="C443" s="147" t="s">
        <v>6766</v>
      </c>
      <c r="D443" s="148"/>
      <c r="E443" s="149" t="s">
        <v>22286</v>
      </c>
      <c r="F443" s="159">
        <v>3</v>
      </c>
      <c r="G443" s="149" t="s">
        <v>22287</v>
      </c>
      <c r="H443" s="157">
        <v>2</v>
      </c>
      <c r="I443" s="156" t="s">
        <v>40</v>
      </c>
      <c r="J443" s="149" t="s">
        <v>22288</v>
      </c>
      <c r="K443" s="158">
        <v>3</v>
      </c>
      <c r="L443" s="156" t="s">
        <v>40</v>
      </c>
      <c r="M443" s="149" t="s">
        <v>22286</v>
      </c>
      <c r="N443" s="158">
        <v>3</v>
      </c>
      <c r="O443" s="156" t="s">
        <v>40</v>
      </c>
      <c r="P443" s="149" t="s">
        <v>22289</v>
      </c>
      <c r="Q443" s="158">
        <v>3</v>
      </c>
      <c r="R443" s="152"/>
      <c r="S443" s="149" t="s">
        <v>22290</v>
      </c>
      <c r="T443" s="151">
        <v>4</v>
      </c>
      <c r="U443" s="152"/>
      <c r="V443" s="149" t="s">
        <v>22291</v>
      </c>
      <c r="W443" s="151">
        <v>4</v>
      </c>
      <c r="X443" s="152"/>
      <c r="Y443" s="149" t="s">
        <v>22292</v>
      </c>
      <c r="Z443" s="158">
        <v>3</v>
      </c>
      <c r="AA443" s="152"/>
      <c r="AB443" s="154" t="s">
        <v>6946</v>
      </c>
    </row>
    <row r="444" spans="1:28" x14ac:dyDescent="0.2">
      <c r="A444" s="146" t="s">
        <v>22293</v>
      </c>
      <c r="B444" s="147" t="s">
        <v>6130</v>
      </c>
      <c r="C444" s="147" t="s">
        <v>6203</v>
      </c>
      <c r="D444" s="148" t="s">
        <v>6132</v>
      </c>
      <c r="E444" s="149" t="s">
        <v>22294</v>
      </c>
      <c r="F444" s="160">
        <v>2</v>
      </c>
      <c r="G444" s="149" t="s">
        <v>22295</v>
      </c>
      <c r="H444" s="158">
        <v>3</v>
      </c>
      <c r="I444" s="156" t="s">
        <v>55</v>
      </c>
      <c r="J444" s="149" t="s">
        <v>22296</v>
      </c>
      <c r="K444" s="157">
        <v>2</v>
      </c>
      <c r="L444" s="152"/>
      <c r="M444" s="149" t="s">
        <v>22294</v>
      </c>
      <c r="N444" s="157">
        <v>2</v>
      </c>
      <c r="O444" s="152"/>
      <c r="P444" s="149" t="s">
        <v>22297</v>
      </c>
      <c r="Q444" s="157">
        <v>2</v>
      </c>
      <c r="R444" s="152"/>
      <c r="S444" s="149" t="s">
        <v>22298</v>
      </c>
      <c r="T444" s="157">
        <v>2</v>
      </c>
      <c r="U444" s="152"/>
      <c r="V444" s="149" t="s">
        <v>22299</v>
      </c>
      <c r="W444" s="158">
        <v>3</v>
      </c>
      <c r="X444" s="156" t="s">
        <v>46</v>
      </c>
      <c r="Y444" s="149" t="s">
        <v>4668</v>
      </c>
      <c r="Z444" s="158">
        <v>3</v>
      </c>
      <c r="AA444" s="152"/>
      <c r="AB444" s="154" t="s">
        <v>3865</v>
      </c>
    </row>
    <row r="445" spans="1:28" x14ac:dyDescent="0.2">
      <c r="A445" s="146" t="s">
        <v>22300</v>
      </c>
      <c r="B445" s="147" t="s">
        <v>6130</v>
      </c>
      <c r="C445" s="147" t="s">
        <v>6206</v>
      </c>
      <c r="D445" s="148" t="s">
        <v>6136</v>
      </c>
      <c r="E445" s="149" t="s">
        <v>22301</v>
      </c>
      <c r="F445" s="159">
        <v>3</v>
      </c>
      <c r="G445" s="149" t="s">
        <v>22302</v>
      </c>
      <c r="H445" s="151">
        <v>4</v>
      </c>
      <c r="I445" s="156" t="s">
        <v>55</v>
      </c>
      <c r="J445" s="149" t="s">
        <v>22303</v>
      </c>
      <c r="K445" s="158">
        <v>3</v>
      </c>
      <c r="L445" s="152"/>
      <c r="M445" s="149" t="s">
        <v>22301</v>
      </c>
      <c r="N445" s="158">
        <v>3</v>
      </c>
      <c r="O445" s="156" t="s">
        <v>46</v>
      </c>
      <c r="P445" s="149" t="s">
        <v>22304</v>
      </c>
      <c r="Q445" s="158">
        <v>3</v>
      </c>
      <c r="R445" s="152"/>
      <c r="S445" s="149" t="s">
        <v>22305</v>
      </c>
      <c r="T445" s="158">
        <v>3</v>
      </c>
      <c r="U445" s="152"/>
      <c r="V445" s="149" t="s">
        <v>22306</v>
      </c>
      <c r="W445" s="158">
        <v>3</v>
      </c>
      <c r="X445" s="152"/>
      <c r="Y445" s="149" t="s">
        <v>22307</v>
      </c>
      <c r="Z445" s="158">
        <v>3</v>
      </c>
      <c r="AA445" s="152"/>
      <c r="AB445" s="154" t="s">
        <v>3866</v>
      </c>
    </row>
    <row r="446" spans="1:28" x14ac:dyDescent="0.2">
      <c r="A446" s="146" t="s">
        <v>22308</v>
      </c>
      <c r="B446" s="147" t="s">
        <v>6130</v>
      </c>
      <c r="C446" s="147" t="s">
        <v>6213</v>
      </c>
      <c r="D446" s="148" t="s">
        <v>6136</v>
      </c>
      <c r="E446" s="149" t="s">
        <v>20686</v>
      </c>
      <c r="F446" s="160">
        <v>2</v>
      </c>
      <c r="G446" s="149" t="s">
        <v>18141</v>
      </c>
      <c r="H446" s="158">
        <v>3</v>
      </c>
      <c r="I446" s="156" t="s">
        <v>46</v>
      </c>
      <c r="J446" s="149" t="s">
        <v>22309</v>
      </c>
      <c r="K446" s="157">
        <v>2</v>
      </c>
      <c r="L446" s="152"/>
      <c r="M446" s="149" t="s">
        <v>20686</v>
      </c>
      <c r="N446" s="157">
        <v>2</v>
      </c>
      <c r="O446" s="152"/>
      <c r="P446" s="149" t="s">
        <v>12222</v>
      </c>
      <c r="Q446" s="158">
        <v>3</v>
      </c>
      <c r="R446" s="152"/>
      <c r="S446" s="149" t="s">
        <v>22310</v>
      </c>
      <c r="T446" s="157">
        <v>2</v>
      </c>
      <c r="U446" s="152"/>
      <c r="V446" s="149" t="s">
        <v>22311</v>
      </c>
      <c r="W446" s="157">
        <v>2</v>
      </c>
      <c r="X446" s="152"/>
      <c r="Y446" s="149" t="s">
        <v>22312</v>
      </c>
      <c r="Z446" s="157">
        <v>2</v>
      </c>
      <c r="AA446" s="156" t="s">
        <v>40</v>
      </c>
      <c r="AB446" s="154" t="s">
        <v>3868</v>
      </c>
    </row>
    <row r="447" spans="1:28" x14ac:dyDescent="0.2">
      <c r="A447" s="146" t="s">
        <v>6947</v>
      </c>
      <c r="B447" s="147" t="s">
        <v>6948</v>
      </c>
      <c r="C447" s="147" t="s">
        <v>6917</v>
      </c>
      <c r="D447" s="148"/>
      <c r="E447" s="149" t="s">
        <v>6949</v>
      </c>
      <c r="F447" s="161">
        <v>1</v>
      </c>
      <c r="G447" s="149" t="s">
        <v>21295</v>
      </c>
      <c r="H447" s="158">
        <v>3</v>
      </c>
      <c r="I447" s="156" t="s">
        <v>55</v>
      </c>
      <c r="J447" s="149" t="s">
        <v>1511</v>
      </c>
      <c r="K447" s="155">
        <v>1</v>
      </c>
      <c r="L447" s="152"/>
      <c r="M447" s="149" t="s">
        <v>6949</v>
      </c>
      <c r="N447" s="155">
        <v>1</v>
      </c>
      <c r="O447" s="152"/>
      <c r="P447" s="149" t="s">
        <v>22313</v>
      </c>
      <c r="Q447" s="155">
        <v>1</v>
      </c>
      <c r="R447" s="152"/>
      <c r="S447" s="149" t="s">
        <v>47</v>
      </c>
      <c r="T447" s="153"/>
      <c r="U447" s="152"/>
      <c r="V447" s="149" t="s">
        <v>47</v>
      </c>
      <c r="W447" s="153"/>
      <c r="X447" s="152"/>
      <c r="Y447" s="149" t="s">
        <v>47</v>
      </c>
      <c r="Z447" s="153"/>
      <c r="AA447" s="152"/>
      <c r="AB447" s="154" t="s">
        <v>6950</v>
      </c>
    </row>
    <row r="448" spans="1:28" x14ac:dyDescent="0.2">
      <c r="A448" s="146" t="s">
        <v>6951</v>
      </c>
      <c r="B448" s="147" t="s">
        <v>6948</v>
      </c>
      <c r="C448" s="147" t="s">
        <v>6917</v>
      </c>
      <c r="D448" s="148"/>
      <c r="E448" s="149" t="s">
        <v>6952</v>
      </c>
      <c r="F448" s="161">
        <v>1</v>
      </c>
      <c r="G448" s="149" t="s">
        <v>22314</v>
      </c>
      <c r="H448" s="157">
        <v>2</v>
      </c>
      <c r="I448" s="156" t="s">
        <v>53</v>
      </c>
      <c r="J448" s="149" t="s">
        <v>1163</v>
      </c>
      <c r="K448" s="155">
        <v>1</v>
      </c>
      <c r="L448" s="152"/>
      <c r="M448" s="149" t="s">
        <v>6952</v>
      </c>
      <c r="N448" s="155">
        <v>1</v>
      </c>
      <c r="O448" s="152"/>
      <c r="P448" s="149" t="s">
        <v>22315</v>
      </c>
      <c r="Q448" s="155">
        <v>1</v>
      </c>
      <c r="R448" s="152"/>
      <c r="S448" s="149" t="s">
        <v>22316</v>
      </c>
      <c r="T448" s="151">
        <v>4</v>
      </c>
      <c r="U448" s="152"/>
      <c r="V448" s="149" t="s">
        <v>47</v>
      </c>
      <c r="W448" s="153"/>
      <c r="X448" s="152"/>
      <c r="Y448" s="149" t="s">
        <v>47</v>
      </c>
      <c r="Z448" s="153"/>
      <c r="AA448" s="152"/>
      <c r="AB448" s="154" t="s">
        <v>6953</v>
      </c>
    </row>
    <row r="449" spans="1:28" x14ac:dyDescent="0.2">
      <c r="A449" s="146" t="s">
        <v>6954</v>
      </c>
      <c r="B449" s="147" t="s">
        <v>6948</v>
      </c>
      <c r="C449" s="147" t="s">
        <v>6955</v>
      </c>
      <c r="D449" s="148"/>
      <c r="E449" s="149" t="s">
        <v>22317</v>
      </c>
      <c r="F449" s="161">
        <v>1</v>
      </c>
      <c r="G449" s="149" t="s">
        <v>22318</v>
      </c>
      <c r="H449" s="151">
        <v>4</v>
      </c>
      <c r="I449" s="156" t="s">
        <v>44</v>
      </c>
      <c r="J449" s="149" t="s">
        <v>22319</v>
      </c>
      <c r="K449" s="157">
        <v>2</v>
      </c>
      <c r="L449" s="156" t="s">
        <v>46</v>
      </c>
      <c r="M449" s="149" t="s">
        <v>22317</v>
      </c>
      <c r="N449" s="155">
        <v>1</v>
      </c>
      <c r="O449" s="156" t="s">
        <v>40</v>
      </c>
      <c r="P449" s="149" t="s">
        <v>6956</v>
      </c>
      <c r="Q449" s="151">
        <v>4</v>
      </c>
      <c r="R449" s="152"/>
      <c r="S449" s="149" t="s">
        <v>22320</v>
      </c>
      <c r="T449" s="151">
        <v>4</v>
      </c>
      <c r="U449" s="152"/>
      <c r="V449" s="149" t="s">
        <v>47</v>
      </c>
      <c r="W449" s="153"/>
      <c r="X449" s="152"/>
      <c r="Y449" s="149" t="s">
        <v>47</v>
      </c>
      <c r="Z449" s="153"/>
      <c r="AA449" s="152"/>
      <c r="AB449" s="154" t="s">
        <v>6957</v>
      </c>
    </row>
    <row r="450" spans="1:28" x14ac:dyDescent="0.2">
      <c r="A450" s="146" t="s">
        <v>6958</v>
      </c>
      <c r="B450" s="147" t="s">
        <v>6948</v>
      </c>
      <c r="C450" s="147" t="s">
        <v>6955</v>
      </c>
      <c r="D450" s="148"/>
      <c r="E450" s="149" t="s">
        <v>6959</v>
      </c>
      <c r="F450" s="150">
        <v>4</v>
      </c>
      <c r="G450" s="149" t="s">
        <v>22321</v>
      </c>
      <c r="H450" s="157">
        <v>2</v>
      </c>
      <c r="I450" s="156" t="s">
        <v>53</v>
      </c>
      <c r="J450" s="149" t="s">
        <v>22322</v>
      </c>
      <c r="K450" s="151">
        <v>4</v>
      </c>
      <c r="L450" s="152"/>
      <c r="M450" s="149" t="s">
        <v>6959</v>
      </c>
      <c r="N450" s="151">
        <v>4</v>
      </c>
      <c r="O450" s="152"/>
      <c r="P450" s="149" t="s">
        <v>22323</v>
      </c>
      <c r="Q450" s="157">
        <v>2</v>
      </c>
      <c r="R450" s="156" t="s">
        <v>40</v>
      </c>
      <c r="S450" s="149" t="s">
        <v>6960</v>
      </c>
      <c r="T450" s="158">
        <v>3</v>
      </c>
      <c r="U450" s="156" t="s">
        <v>40</v>
      </c>
      <c r="V450" s="149" t="s">
        <v>47</v>
      </c>
      <c r="W450" s="153"/>
      <c r="X450" s="152"/>
      <c r="Y450" s="149" t="s">
        <v>47</v>
      </c>
      <c r="Z450" s="153"/>
      <c r="AA450" s="152"/>
      <c r="AB450" s="154" t="s">
        <v>6961</v>
      </c>
    </row>
    <row r="451" spans="1:28" x14ac:dyDescent="0.2">
      <c r="A451" s="146" t="s">
        <v>6962</v>
      </c>
      <c r="B451" s="147" t="s">
        <v>6948</v>
      </c>
      <c r="C451" s="147" t="s">
        <v>6963</v>
      </c>
      <c r="D451" s="148"/>
      <c r="E451" s="149" t="s">
        <v>22324</v>
      </c>
      <c r="F451" s="160">
        <v>2</v>
      </c>
      <c r="G451" s="149" t="s">
        <v>22325</v>
      </c>
      <c r="H451" s="158">
        <v>3</v>
      </c>
      <c r="I451" s="152"/>
      <c r="J451" s="149" t="s">
        <v>11131</v>
      </c>
      <c r="K451" s="157">
        <v>2</v>
      </c>
      <c r="L451" s="152"/>
      <c r="M451" s="149" t="s">
        <v>22324</v>
      </c>
      <c r="N451" s="157">
        <v>2</v>
      </c>
      <c r="O451" s="156" t="s">
        <v>46</v>
      </c>
      <c r="P451" s="149" t="s">
        <v>6964</v>
      </c>
      <c r="Q451" s="155">
        <v>1</v>
      </c>
      <c r="R451" s="156" t="s">
        <v>40</v>
      </c>
      <c r="S451" s="149" t="s">
        <v>22326</v>
      </c>
      <c r="T451" s="157">
        <v>2</v>
      </c>
      <c r="U451" s="152"/>
      <c r="V451" s="149" t="s">
        <v>47</v>
      </c>
      <c r="W451" s="153"/>
      <c r="X451" s="152"/>
      <c r="Y451" s="149" t="s">
        <v>47</v>
      </c>
      <c r="Z451" s="153"/>
      <c r="AA451" s="152"/>
      <c r="AB451" s="154" t="s">
        <v>6965</v>
      </c>
    </row>
    <row r="452" spans="1:28" x14ac:dyDescent="0.2">
      <c r="A452" s="146" t="s">
        <v>6966</v>
      </c>
      <c r="B452" s="147" t="s">
        <v>6948</v>
      </c>
      <c r="C452" s="147" t="s">
        <v>6967</v>
      </c>
      <c r="D452" s="148"/>
      <c r="E452" s="149" t="s">
        <v>6968</v>
      </c>
      <c r="F452" s="161">
        <v>1</v>
      </c>
      <c r="G452" s="149" t="s">
        <v>22327</v>
      </c>
      <c r="H452" s="157">
        <v>2</v>
      </c>
      <c r="I452" s="156" t="s">
        <v>53</v>
      </c>
      <c r="J452" s="149" t="s">
        <v>22328</v>
      </c>
      <c r="K452" s="157">
        <v>2</v>
      </c>
      <c r="L452" s="152"/>
      <c r="M452" s="149" t="s">
        <v>6968</v>
      </c>
      <c r="N452" s="155">
        <v>1</v>
      </c>
      <c r="O452" s="152"/>
      <c r="P452" s="149" t="s">
        <v>6968</v>
      </c>
      <c r="Q452" s="155">
        <v>1</v>
      </c>
      <c r="R452" s="156" t="s">
        <v>40</v>
      </c>
      <c r="S452" s="149" t="s">
        <v>22329</v>
      </c>
      <c r="T452" s="157">
        <v>2</v>
      </c>
      <c r="U452" s="152"/>
      <c r="V452" s="149" t="s">
        <v>47</v>
      </c>
      <c r="W452" s="153"/>
      <c r="X452" s="152"/>
      <c r="Y452" s="149" t="s">
        <v>47</v>
      </c>
      <c r="Z452" s="153"/>
      <c r="AA452" s="152"/>
      <c r="AB452" s="154" t="s">
        <v>6969</v>
      </c>
    </row>
    <row r="453" spans="1:28" x14ac:dyDescent="0.2">
      <c r="A453" s="146" t="s">
        <v>6970</v>
      </c>
      <c r="B453" s="147" t="s">
        <v>6130</v>
      </c>
      <c r="C453" s="147" t="s">
        <v>6192</v>
      </c>
      <c r="D453" s="148"/>
      <c r="E453" s="149" t="s">
        <v>22330</v>
      </c>
      <c r="F453" s="160">
        <v>2</v>
      </c>
      <c r="G453" s="149" t="s">
        <v>22331</v>
      </c>
      <c r="H453" s="158">
        <v>3</v>
      </c>
      <c r="I453" s="152"/>
      <c r="J453" s="149" t="s">
        <v>22332</v>
      </c>
      <c r="K453" s="157">
        <v>2</v>
      </c>
      <c r="L453" s="152"/>
      <c r="M453" s="149" t="s">
        <v>22330</v>
      </c>
      <c r="N453" s="157">
        <v>2</v>
      </c>
      <c r="O453" s="152"/>
      <c r="P453" s="149" t="s">
        <v>22333</v>
      </c>
      <c r="Q453" s="157">
        <v>2</v>
      </c>
      <c r="R453" s="156" t="s">
        <v>46</v>
      </c>
      <c r="S453" s="149" t="s">
        <v>22334</v>
      </c>
      <c r="T453" s="155">
        <v>1</v>
      </c>
      <c r="U453" s="152"/>
      <c r="V453" s="149" t="s">
        <v>22335</v>
      </c>
      <c r="W453" s="155">
        <v>1</v>
      </c>
      <c r="X453" s="152"/>
      <c r="Y453" s="149" t="s">
        <v>47</v>
      </c>
      <c r="Z453" s="153"/>
      <c r="AA453" s="152"/>
      <c r="AB453" s="154" t="s">
        <v>3917</v>
      </c>
    </row>
    <row r="454" spans="1:28" x14ac:dyDescent="0.2">
      <c r="A454" s="146" t="s">
        <v>3918</v>
      </c>
      <c r="B454" s="147" t="s">
        <v>6130</v>
      </c>
      <c r="C454" s="147" t="s">
        <v>6829</v>
      </c>
      <c r="D454" s="148"/>
      <c r="E454" s="149" t="s">
        <v>22336</v>
      </c>
      <c r="F454" s="150">
        <v>4</v>
      </c>
      <c r="G454" s="149" t="s">
        <v>22337</v>
      </c>
      <c r="H454" s="157">
        <v>2</v>
      </c>
      <c r="I454" s="156" t="s">
        <v>53</v>
      </c>
      <c r="J454" s="149" t="s">
        <v>22338</v>
      </c>
      <c r="K454" s="158">
        <v>3</v>
      </c>
      <c r="L454" s="156" t="s">
        <v>40</v>
      </c>
      <c r="M454" s="149" t="s">
        <v>22336</v>
      </c>
      <c r="N454" s="151">
        <v>4</v>
      </c>
      <c r="O454" s="152"/>
      <c r="P454" s="149" t="s">
        <v>22339</v>
      </c>
      <c r="Q454" s="151">
        <v>4</v>
      </c>
      <c r="R454" s="152"/>
      <c r="S454" s="149" t="s">
        <v>22340</v>
      </c>
      <c r="T454" s="158">
        <v>3</v>
      </c>
      <c r="U454" s="152"/>
      <c r="V454" s="149" t="s">
        <v>47</v>
      </c>
      <c r="W454" s="153"/>
      <c r="X454" s="152"/>
      <c r="Y454" s="149" t="s">
        <v>47</v>
      </c>
      <c r="Z454" s="153"/>
      <c r="AA454" s="152"/>
      <c r="AB454" s="154" t="s">
        <v>3919</v>
      </c>
    </row>
    <row r="455" spans="1:28" x14ac:dyDescent="0.2">
      <c r="A455" s="146" t="s">
        <v>6971</v>
      </c>
      <c r="B455" s="147" t="s">
        <v>6130</v>
      </c>
      <c r="C455" s="147" t="s">
        <v>6203</v>
      </c>
      <c r="D455" s="148"/>
      <c r="E455" s="149" t="s">
        <v>22341</v>
      </c>
      <c r="F455" s="161">
        <v>1</v>
      </c>
      <c r="G455" s="149" t="s">
        <v>22342</v>
      </c>
      <c r="H455" s="157">
        <v>2</v>
      </c>
      <c r="I455" s="156" t="s">
        <v>46</v>
      </c>
      <c r="J455" s="149" t="s">
        <v>22343</v>
      </c>
      <c r="K455" s="155">
        <v>1</v>
      </c>
      <c r="L455" s="152"/>
      <c r="M455" s="149" t="s">
        <v>22341</v>
      </c>
      <c r="N455" s="155">
        <v>1</v>
      </c>
      <c r="O455" s="152"/>
      <c r="P455" s="149" t="s">
        <v>22344</v>
      </c>
      <c r="Q455" s="155">
        <v>1</v>
      </c>
      <c r="R455" s="152"/>
      <c r="S455" s="149" t="s">
        <v>47</v>
      </c>
      <c r="T455" s="153"/>
      <c r="U455" s="152"/>
      <c r="V455" s="149" t="s">
        <v>47</v>
      </c>
      <c r="W455" s="153"/>
      <c r="X455" s="152"/>
      <c r="Y455" s="149" t="s">
        <v>47</v>
      </c>
      <c r="Z455" s="153"/>
      <c r="AA455" s="152"/>
      <c r="AB455" s="154" t="s">
        <v>3922</v>
      </c>
    </row>
    <row r="456" spans="1:28" x14ac:dyDescent="0.2">
      <c r="A456" s="146" t="s">
        <v>6972</v>
      </c>
      <c r="B456" s="147" t="s">
        <v>6130</v>
      </c>
      <c r="C456" s="147" t="s">
        <v>6192</v>
      </c>
      <c r="D456" s="148"/>
      <c r="E456" s="149" t="s">
        <v>22345</v>
      </c>
      <c r="F456" s="161">
        <v>1</v>
      </c>
      <c r="G456" s="149" t="s">
        <v>22346</v>
      </c>
      <c r="H456" s="155">
        <v>1</v>
      </c>
      <c r="I456" s="152"/>
      <c r="J456" s="149" t="s">
        <v>22347</v>
      </c>
      <c r="K456" s="155">
        <v>1</v>
      </c>
      <c r="L456" s="152"/>
      <c r="M456" s="149" t="s">
        <v>22345</v>
      </c>
      <c r="N456" s="155">
        <v>1</v>
      </c>
      <c r="O456" s="152"/>
      <c r="P456" s="149" t="s">
        <v>22348</v>
      </c>
      <c r="Q456" s="157">
        <v>2</v>
      </c>
      <c r="R456" s="152"/>
      <c r="S456" s="149" t="s">
        <v>47</v>
      </c>
      <c r="T456" s="153"/>
      <c r="U456" s="152"/>
      <c r="V456" s="149" t="s">
        <v>47</v>
      </c>
      <c r="W456" s="153"/>
      <c r="X456" s="152"/>
      <c r="Y456" s="149" t="s">
        <v>47</v>
      </c>
      <c r="Z456" s="153"/>
      <c r="AA456" s="152"/>
      <c r="AB456" s="154" t="s">
        <v>3924</v>
      </c>
    </row>
    <row r="457" spans="1:28" x14ac:dyDescent="0.2">
      <c r="A457" s="146" t="s">
        <v>22349</v>
      </c>
      <c r="B457" s="147" t="s">
        <v>6130</v>
      </c>
      <c r="C457" s="147" t="s">
        <v>6169</v>
      </c>
      <c r="D457" s="148" t="s">
        <v>6170</v>
      </c>
      <c r="E457" s="149" t="s">
        <v>22350</v>
      </c>
      <c r="F457" s="159">
        <v>3</v>
      </c>
      <c r="G457" s="149" t="s">
        <v>22351</v>
      </c>
      <c r="H457" s="158">
        <v>3</v>
      </c>
      <c r="I457" s="156" t="s">
        <v>40</v>
      </c>
      <c r="J457" s="149" t="s">
        <v>22352</v>
      </c>
      <c r="K457" s="151">
        <v>4</v>
      </c>
      <c r="L457" s="152"/>
      <c r="M457" s="149" t="s">
        <v>22350</v>
      </c>
      <c r="N457" s="158">
        <v>3</v>
      </c>
      <c r="O457" s="156" t="s">
        <v>40</v>
      </c>
      <c r="P457" s="149" t="s">
        <v>22353</v>
      </c>
      <c r="Q457" s="151">
        <v>4</v>
      </c>
      <c r="R457" s="152"/>
      <c r="S457" s="149" t="s">
        <v>22354</v>
      </c>
      <c r="T457" s="151">
        <v>4</v>
      </c>
      <c r="U457" s="152"/>
      <c r="V457" s="149" t="s">
        <v>22355</v>
      </c>
      <c r="W457" s="151">
        <v>4</v>
      </c>
      <c r="X457" s="152"/>
      <c r="Y457" s="149" t="s">
        <v>47</v>
      </c>
      <c r="Z457" s="153"/>
      <c r="AA457" s="152"/>
      <c r="AB457" s="154" t="s">
        <v>3933</v>
      </c>
    </row>
    <row r="458" spans="1:28" x14ac:dyDescent="0.2">
      <c r="A458" s="146" t="s">
        <v>6973</v>
      </c>
      <c r="B458" s="147" t="s">
        <v>6130</v>
      </c>
      <c r="C458" s="147" t="s">
        <v>6175</v>
      </c>
      <c r="D458" s="148"/>
      <c r="E458" s="149" t="s">
        <v>22356</v>
      </c>
      <c r="F458" s="159">
        <v>3</v>
      </c>
      <c r="G458" s="149" t="s">
        <v>22357</v>
      </c>
      <c r="H458" s="157">
        <v>2</v>
      </c>
      <c r="I458" s="156" t="s">
        <v>40</v>
      </c>
      <c r="J458" s="149" t="s">
        <v>22358</v>
      </c>
      <c r="K458" s="158">
        <v>3</v>
      </c>
      <c r="L458" s="152"/>
      <c r="M458" s="149" t="s">
        <v>22356</v>
      </c>
      <c r="N458" s="158">
        <v>3</v>
      </c>
      <c r="O458" s="152"/>
      <c r="P458" s="149" t="s">
        <v>22359</v>
      </c>
      <c r="Q458" s="158">
        <v>3</v>
      </c>
      <c r="R458" s="152"/>
      <c r="S458" s="149" t="s">
        <v>22360</v>
      </c>
      <c r="T458" s="158">
        <v>3</v>
      </c>
      <c r="U458" s="152"/>
      <c r="V458" s="149" t="s">
        <v>22361</v>
      </c>
      <c r="W458" s="158">
        <v>3</v>
      </c>
      <c r="X458" s="152"/>
      <c r="Y458" s="149" t="s">
        <v>22362</v>
      </c>
      <c r="Z458" s="157">
        <v>2</v>
      </c>
      <c r="AA458" s="152"/>
      <c r="AB458" s="154" t="s">
        <v>3938</v>
      </c>
    </row>
    <row r="459" spans="1:28" x14ac:dyDescent="0.2">
      <c r="A459" s="146" t="s">
        <v>6974</v>
      </c>
      <c r="B459" s="147" t="s">
        <v>6130</v>
      </c>
      <c r="C459" s="147" t="s">
        <v>6169</v>
      </c>
      <c r="D459" s="148"/>
      <c r="E459" s="149" t="s">
        <v>47</v>
      </c>
      <c r="F459" s="152"/>
      <c r="G459" s="149" t="s">
        <v>22363</v>
      </c>
      <c r="H459" s="157">
        <v>2</v>
      </c>
      <c r="I459" s="156" t="s">
        <v>40</v>
      </c>
      <c r="J459" s="149" t="s">
        <v>22364</v>
      </c>
      <c r="K459" s="158">
        <v>3</v>
      </c>
      <c r="L459" s="152"/>
      <c r="M459" s="149" t="s">
        <v>47</v>
      </c>
      <c r="N459" s="153"/>
      <c r="O459" s="152"/>
      <c r="P459" s="149" t="s">
        <v>47</v>
      </c>
      <c r="Q459" s="153"/>
      <c r="R459" s="152"/>
      <c r="S459" s="149" t="s">
        <v>47</v>
      </c>
      <c r="T459" s="153"/>
      <c r="U459" s="152"/>
      <c r="V459" s="149" t="s">
        <v>47</v>
      </c>
      <c r="W459" s="153"/>
      <c r="X459" s="152"/>
      <c r="Y459" s="149" t="s">
        <v>47</v>
      </c>
      <c r="Z459" s="153"/>
      <c r="AA459" s="152"/>
      <c r="AB459" s="154" t="s">
        <v>3946</v>
      </c>
    </row>
    <row r="460" spans="1:28" x14ac:dyDescent="0.2">
      <c r="A460" s="146" t="s">
        <v>6975</v>
      </c>
      <c r="B460" s="147" t="s">
        <v>6130</v>
      </c>
      <c r="C460" s="147" t="s">
        <v>6175</v>
      </c>
      <c r="D460" s="148"/>
      <c r="E460" s="149" t="s">
        <v>22365</v>
      </c>
      <c r="F460" s="150">
        <v>4</v>
      </c>
      <c r="G460" s="149" t="s">
        <v>22366</v>
      </c>
      <c r="H460" s="151">
        <v>4</v>
      </c>
      <c r="I460" s="152"/>
      <c r="J460" s="149" t="s">
        <v>22367</v>
      </c>
      <c r="K460" s="151">
        <v>4</v>
      </c>
      <c r="L460" s="152"/>
      <c r="M460" s="149" t="s">
        <v>22365</v>
      </c>
      <c r="N460" s="151">
        <v>4</v>
      </c>
      <c r="O460" s="152"/>
      <c r="P460" s="149" t="s">
        <v>22368</v>
      </c>
      <c r="Q460" s="151">
        <v>4</v>
      </c>
      <c r="R460" s="152"/>
      <c r="S460" s="149" t="s">
        <v>22369</v>
      </c>
      <c r="T460" s="151">
        <v>4</v>
      </c>
      <c r="U460" s="152"/>
      <c r="V460" s="149" t="s">
        <v>22370</v>
      </c>
      <c r="W460" s="151">
        <v>4</v>
      </c>
      <c r="X460" s="152"/>
      <c r="Y460" s="149" t="s">
        <v>22371</v>
      </c>
      <c r="Z460" s="151">
        <v>4</v>
      </c>
      <c r="AA460" s="152"/>
      <c r="AB460" s="154" t="s">
        <v>3952</v>
      </c>
    </row>
    <row r="461" spans="1:28" x14ac:dyDescent="0.2">
      <c r="A461" s="146" t="s">
        <v>6976</v>
      </c>
      <c r="B461" s="147" t="s">
        <v>6130</v>
      </c>
      <c r="C461" s="147" t="s">
        <v>6175</v>
      </c>
      <c r="D461" s="148"/>
      <c r="E461" s="149" t="s">
        <v>22372</v>
      </c>
      <c r="F461" s="150">
        <v>4</v>
      </c>
      <c r="G461" s="149" t="s">
        <v>22373</v>
      </c>
      <c r="H461" s="155">
        <v>1</v>
      </c>
      <c r="I461" s="156" t="s">
        <v>157</v>
      </c>
      <c r="J461" s="149" t="s">
        <v>22374</v>
      </c>
      <c r="K461" s="155">
        <v>1</v>
      </c>
      <c r="L461" s="152"/>
      <c r="M461" s="149" t="s">
        <v>22372</v>
      </c>
      <c r="N461" s="151">
        <v>4</v>
      </c>
      <c r="O461" s="152"/>
      <c r="P461" s="149" t="s">
        <v>22375</v>
      </c>
      <c r="Q461" s="151">
        <v>4</v>
      </c>
      <c r="R461" s="152"/>
      <c r="S461" s="149" t="s">
        <v>6977</v>
      </c>
      <c r="T461" s="151">
        <v>4</v>
      </c>
      <c r="U461" s="152"/>
      <c r="V461" s="149" t="s">
        <v>22376</v>
      </c>
      <c r="W461" s="155">
        <v>1</v>
      </c>
      <c r="X461" s="152"/>
      <c r="Y461" s="149" t="s">
        <v>47</v>
      </c>
      <c r="Z461" s="153"/>
      <c r="AA461" s="152"/>
      <c r="AB461" s="154" t="s">
        <v>3959</v>
      </c>
    </row>
    <row r="462" spans="1:28" x14ac:dyDescent="0.2">
      <c r="A462" s="146" t="s">
        <v>6978</v>
      </c>
      <c r="B462" s="147" t="s">
        <v>6130</v>
      </c>
      <c r="C462" s="147" t="s">
        <v>6175</v>
      </c>
      <c r="D462" s="148"/>
      <c r="E462" s="149" t="s">
        <v>22377</v>
      </c>
      <c r="F462" s="159">
        <v>3</v>
      </c>
      <c r="G462" s="149" t="s">
        <v>22378</v>
      </c>
      <c r="H462" s="158">
        <v>3</v>
      </c>
      <c r="I462" s="152"/>
      <c r="J462" s="149" t="s">
        <v>22379</v>
      </c>
      <c r="K462" s="158">
        <v>3</v>
      </c>
      <c r="L462" s="152"/>
      <c r="M462" s="149" t="s">
        <v>22377</v>
      </c>
      <c r="N462" s="158">
        <v>3</v>
      </c>
      <c r="O462" s="152"/>
      <c r="P462" s="149" t="s">
        <v>22380</v>
      </c>
      <c r="Q462" s="158">
        <v>3</v>
      </c>
      <c r="R462" s="152"/>
      <c r="S462" s="149" t="s">
        <v>22381</v>
      </c>
      <c r="T462" s="158">
        <v>3</v>
      </c>
      <c r="U462" s="152"/>
      <c r="V462" s="149" t="s">
        <v>22382</v>
      </c>
      <c r="W462" s="151">
        <v>4</v>
      </c>
      <c r="X462" s="152"/>
      <c r="Y462" s="149" t="s">
        <v>22383</v>
      </c>
      <c r="Z462" s="158">
        <v>3</v>
      </c>
      <c r="AA462" s="152"/>
      <c r="AB462" s="154" t="s">
        <v>3961</v>
      </c>
    </row>
    <row r="463" spans="1:28" x14ac:dyDescent="0.2">
      <c r="A463" s="146" t="s">
        <v>22384</v>
      </c>
      <c r="B463" s="147" t="s">
        <v>6314</v>
      </c>
      <c r="C463" s="147" t="s">
        <v>6506</v>
      </c>
      <c r="D463" s="148"/>
      <c r="E463" s="149" t="s">
        <v>47</v>
      </c>
      <c r="F463" s="152"/>
      <c r="G463" s="149" t="s">
        <v>22385</v>
      </c>
      <c r="H463" s="151">
        <v>4</v>
      </c>
      <c r="I463" s="156" t="s">
        <v>44</v>
      </c>
      <c r="J463" s="149" t="s">
        <v>47</v>
      </c>
      <c r="K463" s="153"/>
      <c r="L463" s="152"/>
      <c r="M463" s="149" t="s">
        <v>47</v>
      </c>
      <c r="N463" s="153"/>
      <c r="O463" s="152"/>
      <c r="P463" s="149" t="s">
        <v>47</v>
      </c>
      <c r="Q463" s="153"/>
      <c r="R463" s="152"/>
      <c r="S463" s="149" t="s">
        <v>47</v>
      </c>
      <c r="T463" s="153"/>
      <c r="U463" s="152"/>
      <c r="V463" s="149" t="s">
        <v>47</v>
      </c>
      <c r="W463" s="153"/>
      <c r="X463" s="152"/>
      <c r="Y463" s="149" t="s">
        <v>47</v>
      </c>
      <c r="Z463" s="153"/>
      <c r="AA463" s="152"/>
      <c r="AB463" s="154" t="s">
        <v>22386</v>
      </c>
    </row>
    <row r="464" spans="1:28" x14ac:dyDescent="0.2">
      <c r="A464" s="146" t="s">
        <v>6979</v>
      </c>
      <c r="B464" s="147" t="s">
        <v>6314</v>
      </c>
      <c r="C464" s="147" t="s">
        <v>6673</v>
      </c>
      <c r="D464" s="148"/>
      <c r="E464" s="149" t="s">
        <v>22387</v>
      </c>
      <c r="F464" s="161">
        <v>1</v>
      </c>
      <c r="G464" s="149" t="s">
        <v>22388</v>
      </c>
      <c r="H464" s="155">
        <v>1</v>
      </c>
      <c r="I464" s="152"/>
      <c r="J464" s="149" t="s">
        <v>6980</v>
      </c>
      <c r="K464" s="155">
        <v>1</v>
      </c>
      <c r="L464" s="156" t="s">
        <v>40</v>
      </c>
      <c r="M464" s="149" t="s">
        <v>22387</v>
      </c>
      <c r="N464" s="155">
        <v>1</v>
      </c>
      <c r="O464" s="156" t="s">
        <v>40</v>
      </c>
      <c r="P464" s="149" t="s">
        <v>22389</v>
      </c>
      <c r="Q464" s="157">
        <v>2</v>
      </c>
      <c r="R464" s="152"/>
      <c r="S464" s="149" t="s">
        <v>22390</v>
      </c>
      <c r="T464" s="157">
        <v>2</v>
      </c>
      <c r="U464" s="152"/>
      <c r="V464" s="149" t="s">
        <v>22391</v>
      </c>
      <c r="W464" s="157">
        <v>2</v>
      </c>
      <c r="X464" s="152"/>
      <c r="Y464" s="149" t="s">
        <v>6981</v>
      </c>
      <c r="Z464" s="157">
        <v>2</v>
      </c>
      <c r="AA464" s="152"/>
      <c r="AB464" s="154" t="s">
        <v>3994</v>
      </c>
    </row>
    <row r="465" spans="1:28" x14ac:dyDescent="0.2">
      <c r="A465" s="146" t="s">
        <v>6982</v>
      </c>
      <c r="B465" s="147" t="s">
        <v>6130</v>
      </c>
      <c r="C465" s="147" t="s">
        <v>6206</v>
      </c>
      <c r="D465" s="148" t="s">
        <v>6160</v>
      </c>
      <c r="E465" s="149" t="s">
        <v>22392</v>
      </c>
      <c r="F465" s="161">
        <v>1</v>
      </c>
      <c r="G465" s="149" t="s">
        <v>22393</v>
      </c>
      <c r="H465" s="151">
        <v>4</v>
      </c>
      <c r="I465" s="156" t="s">
        <v>44</v>
      </c>
      <c r="J465" s="149" t="s">
        <v>22394</v>
      </c>
      <c r="K465" s="155">
        <v>1</v>
      </c>
      <c r="L465" s="152"/>
      <c r="M465" s="149" t="s">
        <v>22392</v>
      </c>
      <c r="N465" s="155">
        <v>1</v>
      </c>
      <c r="O465" s="152"/>
      <c r="P465" s="149" t="s">
        <v>22395</v>
      </c>
      <c r="Q465" s="151">
        <v>4</v>
      </c>
      <c r="R465" s="152"/>
      <c r="S465" s="149" t="s">
        <v>22396</v>
      </c>
      <c r="T465" s="158">
        <v>3</v>
      </c>
      <c r="U465" s="152"/>
      <c r="V465" s="149" t="s">
        <v>22397</v>
      </c>
      <c r="W465" s="157">
        <v>2</v>
      </c>
      <c r="X465" s="156" t="s">
        <v>46</v>
      </c>
      <c r="Y465" s="149" t="s">
        <v>22398</v>
      </c>
      <c r="Z465" s="157">
        <v>2</v>
      </c>
      <c r="AA465" s="152"/>
      <c r="AB465" s="154" t="s">
        <v>3998</v>
      </c>
    </row>
    <row r="466" spans="1:28" x14ac:dyDescent="0.2">
      <c r="A466" s="146" t="s">
        <v>4001</v>
      </c>
      <c r="B466" s="147" t="s">
        <v>6130</v>
      </c>
      <c r="C466" s="147" t="s">
        <v>6229</v>
      </c>
      <c r="D466" s="148"/>
      <c r="E466" s="149" t="s">
        <v>47</v>
      </c>
      <c r="F466" s="152"/>
      <c r="G466" s="149" t="s">
        <v>22399</v>
      </c>
      <c r="H466" s="151">
        <v>4</v>
      </c>
      <c r="I466" s="156" t="s">
        <v>44</v>
      </c>
      <c r="J466" s="149" t="s">
        <v>47</v>
      </c>
      <c r="K466" s="153"/>
      <c r="L466" s="152"/>
      <c r="M466" s="149" t="s">
        <v>47</v>
      </c>
      <c r="N466" s="153"/>
      <c r="O466" s="152"/>
      <c r="P466" s="149" t="s">
        <v>47</v>
      </c>
      <c r="Q466" s="153"/>
      <c r="R466" s="152"/>
      <c r="S466" s="149" t="s">
        <v>47</v>
      </c>
      <c r="T466" s="153"/>
      <c r="U466" s="152"/>
      <c r="V466" s="149" t="s">
        <v>47</v>
      </c>
      <c r="W466" s="153"/>
      <c r="X466" s="152"/>
      <c r="Y466" s="149" t="s">
        <v>47</v>
      </c>
      <c r="Z466" s="153"/>
      <c r="AA466" s="152"/>
      <c r="AB466" s="154" t="s">
        <v>4002</v>
      </c>
    </row>
    <row r="467" spans="1:28" x14ac:dyDescent="0.2">
      <c r="A467" s="146" t="s">
        <v>6983</v>
      </c>
      <c r="B467" s="147" t="s">
        <v>6130</v>
      </c>
      <c r="C467" s="147" t="s">
        <v>6229</v>
      </c>
      <c r="D467" s="148" t="s">
        <v>6132</v>
      </c>
      <c r="E467" s="149" t="s">
        <v>22400</v>
      </c>
      <c r="F467" s="161">
        <v>1</v>
      </c>
      <c r="G467" s="149" t="s">
        <v>22401</v>
      </c>
      <c r="H467" s="157">
        <v>2</v>
      </c>
      <c r="I467" s="156" t="s">
        <v>46</v>
      </c>
      <c r="J467" s="149" t="s">
        <v>22402</v>
      </c>
      <c r="K467" s="155">
        <v>1</v>
      </c>
      <c r="L467" s="156" t="s">
        <v>40</v>
      </c>
      <c r="M467" s="149" t="s">
        <v>22400</v>
      </c>
      <c r="N467" s="155">
        <v>1</v>
      </c>
      <c r="O467" s="156" t="s">
        <v>40</v>
      </c>
      <c r="P467" s="149" t="s">
        <v>22403</v>
      </c>
      <c r="Q467" s="158">
        <v>3</v>
      </c>
      <c r="R467" s="152"/>
      <c r="S467" s="149" t="s">
        <v>22404</v>
      </c>
      <c r="T467" s="157">
        <v>2</v>
      </c>
      <c r="U467" s="152"/>
      <c r="V467" s="149" t="s">
        <v>22405</v>
      </c>
      <c r="W467" s="157">
        <v>2</v>
      </c>
      <c r="X467" s="152"/>
      <c r="Y467" s="149" t="s">
        <v>22406</v>
      </c>
      <c r="Z467" s="158">
        <v>3</v>
      </c>
      <c r="AA467" s="152"/>
      <c r="AB467" s="154" t="s">
        <v>4006</v>
      </c>
    </row>
    <row r="468" spans="1:28" x14ac:dyDescent="0.2">
      <c r="A468" s="146" t="s">
        <v>6984</v>
      </c>
      <c r="B468" s="147" t="s">
        <v>6130</v>
      </c>
      <c r="C468" s="147" t="s">
        <v>6829</v>
      </c>
      <c r="D468" s="148"/>
      <c r="E468" s="149" t="s">
        <v>22407</v>
      </c>
      <c r="F468" s="159">
        <v>3</v>
      </c>
      <c r="G468" s="149" t="s">
        <v>22408</v>
      </c>
      <c r="H468" s="157">
        <v>2</v>
      </c>
      <c r="I468" s="156" t="s">
        <v>40</v>
      </c>
      <c r="J468" s="149" t="s">
        <v>22409</v>
      </c>
      <c r="K468" s="158">
        <v>3</v>
      </c>
      <c r="L468" s="156" t="s">
        <v>40</v>
      </c>
      <c r="M468" s="149" t="s">
        <v>22407</v>
      </c>
      <c r="N468" s="158">
        <v>3</v>
      </c>
      <c r="O468" s="152"/>
      <c r="P468" s="149" t="s">
        <v>22410</v>
      </c>
      <c r="Q468" s="158">
        <v>3</v>
      </c>
      <c r="R468" s="152"/>
      <c r="S468" s="149" t="s">
        <v>22411</v>
      </c>
      <c r="T468" s="158">
        <v>3</v>
      </c>
      <c r="U468" s="156" t="s">
        <v>40</v>
      </c>
      <c r="V468" s="149" t="s">
        <v>47</v>
      </c>
      <c r="W468" s="153"/>
      <c r="X468" s="152"/>
      <c r="Y468" s="149" t="s">
        <v>47</v>
      </c>
      <c r="Z468" s="153"/>
      <c r="AA468" s="152"/>
      <c r="AB468" s="154" t="s">
        <v>4027</v>
      </c>
    </row>
    <row r="469" spans="1:28" x14ac:dyDescent="0.2">
      <c r="A469" s="146" t="s">
        <v>6985</v>
      </c>
      <c r="B469" s="147" t="s">
        <v>6130</v>
      </c>
      <c r="C469" s="147" t="s">
        <v>6829</v>
      </c>
      <c r="D469" s="148"/>
      <c r="E469" s="149" t="s">
        <v>22412</v>
      </c>
      <c r="F469" s="160">
        <v>2</v>
      </c>
      <c r="G469" s="149" t="s">
        <v>22413</v>
      </c>
      <c r="H469" s="157">
        <v>2</v>
      </c>
      <c r="I469" s="152"/>
      <c r="J469" s="149" t="s">
        <v>22414</v>
      </c>
      <c r="K469" s="157">
        <v>2</v>
      </c>
      <c r="L469" s="156" t="s">
        <v>40</v>
      </c>
      <c r="M469" s="149" t="s">
        <v>22412</v>
      </c>
      <c r="N469" s="157">
        <v>2</v>
      </c>
      <c r="O469" s="152"/>
      <c r="P469" s="149" t="s">
        <v>11699</v>
      </c>
      <c r="Q469" s="157">
        <v>2</v>
      </c>
      <c r="R469" s="152"/>
      <c r="S469" s="149" t="s">
        <v>22415</v>
      </c>
      <c r="T469" s="155">
        <v>1</v>
      </c>
      <c r="U469" s="152"/>
      <c r="V469" s="149" t="s">
        <v>47</v>
      </c>
      <c r="W469" s="153"/>
      <c r="X469" s="152"/>
      <c r="Y469" s="149" t="s">
        <v>47</v>
      </c>
      <c r="Z469" s="153"/>
      <c r="AA469" s="152"/>
      <c r="AB469" s="154" t="s">
        <v>4029</v>
      </c>
    </row>
    <row r="470" spans="1:28" x14ac:dyDescent="0.2">
      <c r="A470" s="146" t="s">
        <v>6986</v>
      </c>
      <c r="B470" s="147" t="s">
        <v>6130</v>
      </c>
      <c r="C470" s="147" t="s">
        <v>6157</v>
      </c>
      <c r="D470" s="148" t="s">
        <v>6163</v>
      </c>
      <c r="E470" s="149" t="s">
        <v>22416</v>
      </c>
      <c r="F470" s="159">
        <v>3</v>
      </c>
      <c r="G470" s="149" t="s">
        <v>22417</v>
      </c>
      <c r="H470" s="157">
        <v>2</v>
      </c>
      <c r="I470" s="156" t="s">
        <v>40</v>
      </c>
      <c r="J470" s="149" t="s">
        <v>22418</v>
      </c>
      <c r="K470" s="158">
        <v>3</v>
      </c>
      <c r="L470" s="152"/>
      <c r="M470" s="149" t="s">
        <v>22416</v>
      </c>
      <c r="N470" s="158">
        <v>3</v>
      </c>
      <c r="O470" s="152"/>
      <c r="P470" s="149" t="s">
        <v>22419</v>
      </c>
      <c r="Q470" s="158">
        <v>3</v>
      </c>
      <c r="R470" s="152"/>
      <c r="S470" s="149" t="s">
        <v>22420</v>
      </c>
      <c r="T470" s="155">
        <v>1</v>
      </c>
      <c r="U470" s="152"/>
      <c r="V470" s="149" t="s">
        <v>47</v>
      </c>
      <c r="W470" s="153"/>
      <c r="X470" s="152"/>
      <c r="Y470" s="149" t="s">
        <v>47</v>
      </c>
      <c r="Z470" s="153"/>
      <c r="AA470" s="152"/>
      <c r="AB470" s="154" t="s">
        <v>6987</v>
      </c>
    </row>
    <row r="471" spans="1:28" x14ac:dyDescent="0.2">
      <c r="A471" s="146" t="s">
        <v>6988</v>
      </c>
      <c r="B471" s="147" t="s">
        <v>6130</v>
      </c>
      <c r="C471" s="147" t="s">
        <v>6339</v>
      </c>
      <c r="D471" s="148" t="s">
        <v>6132</v>
      </c>
      <c r="E471" s="149" t="s">
        <v>11510</v>
      </c>
      <c r="F471" s="160">
        <v>2</v>
      </c>
      <c r="G471" s="149" t="s">
        <v>2069</v>
      </c>
      <c r="H471" s="157">
        <v>2</v>
      </c>
      <c r="I471" s="156" t="s">
        <v>46</v>
      </c>
      <c r="J471" s="149" t="s">
        <v>22421</v>
      </c>
      <c r="K471" s="157">
        <v>2</v>
      </c>
      <c r="L471" s="156" t="s">
        <v>46</v>
      </c>
      <c r="M471" s="149" t="s">
        <v>11510</v>
      </c>
      <c r="N471" s="157">
        <v>2</v>
      </c>
      <c r="O471" s="156" t="s">
        <v>46</v>
      </c>
      <c r="P471" s="149" t="s">
        <v>22422</v>
      </c>
      <c r="Q471" s="157">
        <v>2</v>
      </c>
      <c r="R471" s="152"/>
      <c r="S471" s="149" t="s">
        <v>22423</v>
      </c>
      <c r="T471" s="157">
        <v>2</v>
      </c>
      <c r="U471" s="152"/>
      <c r="V471" s="149" t="s">
        <v>5394</v>
      </c>
      <c r="W471" s="157">
        <v>2</v>
      </c>
      <c r="X471" s="152"/>
      <c r="Y471" s="149" t="s">
        <v>47</v>
      </c>
      <c r="Z471" s="153"/>
      <c r="AA471" s="152"/>
      <c r="AB471" s="154" t="s">
        <v>6989</v>
      </c>
    </row>
    <row r="472" spans="1:28" x14ac:dyDescent="0.2">
      <c r="A472" s="146" t="s">
        <v>6990</v>
      </c>
      <c r="B472" s="147" t="s">
        <v>6130</v>
      </c>
      <c r="C472" s="147" t="s">
        <v>6339</v>
      </c>
      <c r="D472" s="148" t="s">
        <v>6163</v>
      </c>
      <c r="E472" s="149" t="s">
        <v>6991</v>
      </c>
      <c r="F472" s="159">
        <v>3</v>
      </c>
      <c r="G472" s="149" t="s">
        <v>6371</v>
      </c>
      <c r="H472" s="158">
        <v>3</v>
      </c>
      <c r="I472" s="156" t="s">
        <v>55</v>
      </c>
      <c r="J472" s="149" t="s">
        <v>22424</v>
      </c>
      <c r="K472" s="157">
        <v>2</v>
      </c>
      <c r="L472" s="156" t="s">
        <v>46</v>
      </c>
      <c r="M472" s="149" t="s">
        <v>6991</v>
      </c>
      <c r="N472" s="158">
        <v>3</v>
      </c>
      <c r="O472" s="152"/>
      <c r="P472" s="149" t="s">
        <v>6992</v>
      </c>
      <c r="Q472" s="158">
        <v>3</v>
      </c>
      <c r="R472" s="152"/>
      <c r="S472" s="149" t="s">
        <v>21239</v>
      </c>
      <c r="T472" s="157">
        <v>2</v>
      </c>
      <c r="U472" s="152"/>
      <c r="V472" s="149" t="s">
        <v>6993</v>
      </c>
      <c r="W472" s="155">
        <v>1</v>
      </c>
      <c r="X472" s="152"/>
      <c r="Y472" s="149" t="s">
        <v>47</v>
      </c>
      <c r="Z472" s="153"/>
      <c r="AA472" s="152"/>
      <c r="AB472" s="154" t="s">
        <v>6994</v>
      </c>
    </row>
    <row r="473" spans="1:28" x14ac:dyDescent="0.2">
      <c r="A473" s="146" t="s">
        <v>6995</v>
      </c>
      <c r="B473" s="147" t="s">
        <v>6130</v>
      </c>
      <c r="C473" s="147" t="s">
        <v>6331</v>
      </c>
      <c r="D473" s="148" t="s">
        <v>6163</v>
      </c>
      <c r="E473" s="149" t="s">
        <v>22425</v>
      </c>
      <c r="F473" s="160">
        <v>2</v>
      </c>
      <c r="G473" s="149" t="s">
        <v>22426</v>
      </c>
      <c r="H473" s="158">
        <v>3</v>
      </c>
      <c r="I473" s="156" t="s">
        <v>46</v>
      </c>
      <c r="J473" s="149" t="s">
        <v>21986</v>
      </c>
      <c r="K473" s="157">
        <v>2</v>
      </c>
      <c r="L473" s="156" t="s">
        <v>46</v>
      </c>
      <c r="M473" s="149" t="s">
        <v>22425</v>
      </c>
      <c r="N473" s="157">
        <v>2</v>
      </c>
      <c r="O473" s="156" t="s">
        <v>46</v>
      </c>
      <c r="P473" s="149" t="s">
        <v>12237</v>
      </c>
      <c r="Q473" s="157">
        <v>2</v>
      </c>
      <c r="R473" s="152"/>
      <c r="S473" s="149" t="s">
        <v>22427</v>
      </c>
      <c r="T473" s="155">
        <v>1</v>
      </c>
      <c r="U473" s="152"/>
      <c r="V473" s="149" t="s">
        <v>47</v>
      </c>
      <c r="W473" s="153"/>
      <c r="X473" s="152"/>
      <c r="Y473" s="149" t="s">
        <v>47</v>
      </c>
      <c r="Z473" s="153"/>
      <c r="AA473" s="152"/>
      <c r="AB473" s="154" t="s">
        <v>6996</v>
      </c>
    </row>
    <row r="474" spans="1:28" x14ac:dyDescent="0.2">
      <c r="A474" s="146" t="s">
        <v>6997</v>
      </c>
      <c r="B474" s="147" t="s">
        <v>6130</v>
      </c>
      <c r="C474" s="147" t="s">
        <v>6328</v>
      </c>
      <c r="D474" s="148" t="s">
        <v>6163</v>
      </c>
      <c r="E474" s="149" t="s">
        <v>22428</v>
      </c>
      <c r="F474" s="160">
        <v>2</v>
      </c>
      <c r="G474" s="149" t="s">
        <v>6998</v>
      </c>
      <c r="H474" s="157">
        <v>2</v>
      </c>
      <c r="I474" s="156" t="s">
        <v>46</v>
      </c>
      <c r="J474" s="149" t="s">
        <v>22429</v>
      </c>
      <c r="K474" s="155">
        <v>1</v>
      </c>
      <c r="L474" s="152"/>
      <c r="M474" s="149" t="s">
        <v>22428</v>
      </c>
      <c r="N474" s="157">
        <v>2</v>
      </c>
      <c r="O474" s="152"/>
      <c r="P474" s="149" t="s">
        <v>22430</v>
      </c>
      <c r="Q474" s="157">
        <v>2</v>
      </c>
      <c r="R474" s="152"/>
      <c r="S474" s="149" t="s">
        <v>22431</v>
      </c>
      <c r="T474" s="155">
        <v>1</v>
      </c>
      <c r="U474" s="152"/>
      <c r="V474" s="149" t="s">
        <v>22432</v>
      </c>
      <c r="W474" s="155">
        <v>1</v>
      </c>
      <c r="X474" s="152"/>
      <c r="Y474" s="149" t="s">
        <v>47</v>
      </c>
      <c r="Z474" s="153"/>
      <c r="AA474" s="152"/>
      <c r="AB474" s="154" t="s">
        <v>6999</v>
      </c>
    </row>
    <row r="475" spans="1:28" x14ac:dyDescent="0.2">
      <c r="A475" s="146" t="s">
        <v>7000</v>
      </c>
      <c r="B475" s="147" t="s">
        <v>6130</v>
      </c>
      <c r="C475" s="147" t="s">
        <v>6331</v>
      </c>
      <c r="D475" s="148" t="s">
        <v>6132</v>
      </c>
      <c r="E475" s="149" t="s">
        <v>7001</v>
      </c>
      <c r="F475" s="159">
        <v>3</v>
      </c>
      <c r="G475" s="149" t="s">
        <v>7002</v>
      </c>
      <c r="H475" s="158">
        <v>3</v>
      </c>
      <c r="I475" s="156" t="s">
        <v>46</v>
      </c>
      <c r="J475" s="149" t="s">
        <v>7003</v>
      </c>
      <c r="K475" s="157">
        <v>2</v>
      </c>
      <c r="L475" s="152"/>
      <c r="M475" s="149" t="s">
        <v>7001</v>
      </c>
      <c r="N475" s="158">
        <v>3</v>
      </c>
      <c r="O475" s="152"/>
      <c r="P475" s="149" t="s">
        <v>11511</v>
      </c>
      <c r="Q475" s="157">
        <v>2</v>
      </c>
      <c r="R475" s="152"/>
      <c r="S475" s="149" t="s">
        <v>7004</v>
      </c>
      <c r="T475" s="157">
        <v>2</v>
      </c>
      <c r="U475" s="152"/>
      <c r="V475" s="149" t="s">
        <v>20713</v>
      </c>
      <c r="W475" s="157">
        <v>2</v>
      </c>
      <c r="X475" s="152"/>
      <c r="Y475" s="149" t="s">
        <v>47</v>
      </c>
      <c r="Z475" s="153"/>
      <c r="AA475" s="152"/>
      <c r="AB475" s="154" t="s">
        <v>7005</v>
      </c>
    </row>
    <row r="476" spans="1:28" x14ac:dyDescent="0.2">
      <c r="A476" s="146" t="s">
        <v>7006</v>
      </c>
      <c r="B476" s="147" t="s">
        <v>6130</v>
      </c>
      <c r="C476" s="147" t="s">
        <v>6513</v>
      </c>
      <c r="D476" s="148" t="s">
        <v>6136</v>
      </c>
      <c r="E476" s="149" t="s">
        <v>22433</v>
      </c>
      <c r="F476" s="160">
        <v>2</v>
      </c>
      <c r="G476" s="149" t="s">
        <v>22434</v>
      </c>
      <c r="H476" s="151">
        <v>4</v>
      </c>
      <c r="I476" s="156" t="s">
        <v>46</v>
      </c>
      <c r="J476" s="149" t="s">
        <v>22435</v>
      </c>
      <c r="K476" s="157">
        <v>2</v>
      </c>
      <c r="L476" s="152"/>
      <c r="M476" s="149" t="s">
        <v>22433</v>
      </c>
      <c r="N476" s="157">
        <v>2</v>
      </c>
      <c r="O476" s="156" t="s">
        <v>46</v>
      </c>
      <c r="P476" s="149" t="s">
        <v>9829</v>
      </c>
      <c r="Q476" s="157">
        <v>2</v>
      </c>
      <c r="R476" s="152"/>
      <c r="S476" s="149" t="s">
        <v>21089</v>
      </c>
      <c r="T476" s="158">
        <v>3</v>
      </c>
      <c r="U476" s="152"/>
      <c r="V476" s="149" t="s">
        <v>22436</v>
      </c>
      <c r="W476" s="157">
        <v>2</v>
      </c>
      <c r="X476" s="152"/>
      <c r="Y476" s="149" t="s">
        <v>47</v>
      </c>
      <c r="Z476" s="153"/>
      <c r="AA476" s="152"/>
      <c r="AB476" s="154" t="s">
        <v>7007</v>
      </c>
    </row>
    <row r="477" spans="1:28" x14ac:dyDescent="0.2">
      <c r="A477" s="146" t="s">
        <v>7008</v>
      </c>
      <c r="B477" s="147" t="s">
        <v>6130</v>
      </c>
      <c r="C477" s="147" t="s">
        <v>6349</v>
      </c>
      <c r="D477" s="148"/>
      <c r="E477" s="149" t="s">
        <v>22437</v>
      </c>
      <c r="F477" s="160">
        <v>2</v>
      </c>
      <c r="G477" s="149" t="s">
        <v>22438</v>
      </c>
      <c r="H477" s="157">
        <v>2</v>
      </c>
      <c r="I477" s="152"/>
      <c r="J477" s="149" t="s">
        <v>22439</v>
      </c>
      <c r="K477" s="157">
        <v>2</v>
      </c>
      <c r="L477" s="152"/>
      <c r="M477" s="149" t="s">
        <v>22437</v>
      </c>
      <c r="N477" s="157">
        <v>2</v>
      </c>
      <c r="O477" s="152"/>
      <c r="P477" s="149" t="s">
        <v>22440</v>
      </c>
      <c r="Q477" s="157">
        <v>2</v>
      </c>
      <c r="R477" s="152"/>
      <c r="S477" s="149" t="s">
        <v>22441</v>
      </c>
      <c r="T477" s="158">
        <v>3</v>
      </c>
      <c r="U477" s="152"/>
      <c r="V477" s="149" t="s">
        <v>22442</v>
      </c>
      <c r="W477" s="158">
        <v>3</v>
      </c>
      <c r="X477" s="152"/>
      <c r="Y477" s="149" t="s">
        <v>47</v>
      </c>
      <c r="Z477" s="153"/>
      <c r="AA477" s="152"/>
      <c r="AB477" s="154" t="s">
        <v>7009</v>
      </c>
    </row>
    <row r="478" spans="1:28" x14ac:dyDescent="0.2">
      <c r="A478" s="146" t="s">
        <v>7010</v>
      </c>
      <c r="B478" s="147" t="s">
        <v>6130</v>
      </c>
      <c r="C478" s="147" t="s">
        <v>6349</v>
      </c>
      <c r="D478" s="148"/>
      <c r="E478" s="149" t="s">
        <v>22443</v>
      </c>
      <c r="F478" s="160">
        <v>2</v>
      </c>
      <c r="G478" s="149" t="s">
        <v>22444</v>
      </c>
      <c r="H478" s="157">
        <v>2</v>
      </c>
      <c r="I478" s="152"/>
      <c r="J478" s="149" t="s">
        <v>22445</v>
      </c>
      <c r="K478" s="157">
        <v>2</v>
      </c>
      <c r="L478" s="152"/>
      <c r="M478" s="149" t="s">
        <v>22443</v>
      </c>
      <c r="N478" s="157">
        <v>2</v>
      </c>
      <c r="O478" s="152"/>
      <c r="P478" s="149" t="s">
        <v>22446</v>
      </c>
      <c r="Q478" s="157">
        <v>2</v>
      </c>
      <c r="R478" s="152"/>
      <c r="S478" s="149" t="s">
        <v>22447</v>
      </c>
      <c r="T478" s="158">
        <v>3</v>
      </c>
      <c r="U478" s="152"/>
      <c r="V478" s="149" t="s">
        <v>22448</v>
      </c>
      <c r="W478" s="158">
        <v>3</v>
      </c>
      <c r="X478" s="152"/>
      <c r="Y478" s="149" t="s">
        <v>47</v>
      </c>
      <c r="Z478" s="153"/>
      <c r="AA478" s="152"/>
      <c r="AB478" s="154" t="s">
        <v>7011</v>
      </c>
    </row>
    <row r="479" spans="1:28" x14ac:dyDescent="0.2">
      <c r="A479" s="146" t="s">
        <v>7012</v>
      </c>
      <c r="B479" s="147" t="s">
        <v>6130</v>
      </c>
      <c r="C479" s="147" t="s">
        <v>6206</v>
      </c>
      <c r="D479" s="148"/>
      <c r="E479" s="149" t="s">
        <v>22449</v>
      </c>
      <c r="F479" s="161">
        <v>1</v>
      </c>
      <c r="G479" s="149" t="s">
        <v>22450</v>
      </c>
      <c r="H479" s="157">
        <v>2</v>
      </c>
      <c r="I479" s="152"/>
      <c r="J479" s="149" t="s">
        <v>22451</v>
      </c>
      <c r="K479" s="155">
        <v>1</v>
      </c>
      <c r="L479" s="152"/>
      <c r="M479" s="149" t="s">
        <v>22449</v>
      </c>
      <c r="N479" s="155">
        <v>1</v>
      </c>
      <c r="O479" s="152"/>
      <c r="P479" s="149" t="s">
        <v>22452</v>
      </c>
      <c r="Q479" s="157">
        <v>2</v>
      </c>
      <c r="R479" s="152"/>
      <c r="S479" s="149" t="s">
        <v>47</v>
      </c>
      <c r="T479" s="153"/>
      <c r="U479" s="152"/>
      <c r="V479" s="149" t="s">
        <v>47</v>
      </c>
      <c r="W479" s="153"/>
      <c r="X479" s="152"/>
      <c r="Y479" s="149" t="s">
        <v>47</v>
      </c>
      <c r="Z479" s="153"/>
      <c r="AA479" s="152"/>
      <c r="AB479" s="154" t="s">
        <v>7013</v>
      </c>
    </row>
    <row r="480" spans="1:28" x14ac:dyDescent="0.2">
      <c r="A480" s="146" t="s">
        <v>7014</v>
      </c>
      <c r="B480" s="147" t="s">
        <v>6130</v>
      </c>
      <c r="C480" s="147" t="s">
        <v>6157</v>
      </c>
      <c r="D480" s="148" t="s">
        <v>6136</v>
      </c>
      <c r="E480" s="149" t="s">
        <v>22453</v>
      </c>
      <c r="F480" s="159">
        <v>3</v>
      </c>
      <c r="G480" s="149" t="s">
        <v>22454</v>
      </c>
      <c r="H480" s="158">
        <v>3</v>
      </c>
      <c r="I480" s="152"/>
      <c r="J480" s="149" t="s">
        <v>22455</v>
      </c>
      <c r="K480" s="158">
        <v>3</v>
      </c>
      <c r="L480" s="152"/>
      <c r="M480" s="149" t="s">
        <v>22453</v>
      </c>
      <c r="N480" s="158">
        <v>3</v>
      </c>
      <c r="O480" s="156" t="s">
        <v>46</v>
      </c>
      <c r="P480" s="149" t="s">
        <v>22456</v>
      </c>
      <c r="Q480" s="158">
        <v>3</v>
      </c>
      <c r="R480" s="156" t="s">
        <v>46</v>
      </c>
      <c r="S480" s="149" t="s">
        <v>22457</v>
      </c>
      <c r="T480" s="157">
        <v>2</v>
      </c>
      <c r="U480" s="152"/>
      <c r="V480" s="149" t="s">
        <v>22458</v>
      </c>
      <c r="W480" s="157">
        <v>2</v>
      </c>
      <c r="X480" s="152"/>
      <c r="Y480" s="149" t="s">
        <v>22459</v>
      </c>
      <c r="Z480" s="158">
        <v>3</v>
      </c>
      <c r="AA480" s="152"/>
      <c r="AB480" s="154" t="s">
        <v>4034</v>
      </c>
    </row>
    <row r="481" spans="1:28" x14ac:dyDescent="0.2">
      <c r="A481" s="146" t="s">
        <v>7015</v>
      </c>
      <c r="B481" s="147" t="s">
        <v>6130</v>
      </c>
      <c r="C481" s="147" t="s">
        <v>6629</v>
      </c>
      <c r="D481" s="148"/>
      <c r="E481" s="149" t="s">
        <v>9138</v>
      </c>
      <c r="F481" s="159">
        <v>3</v>
      </c>
      <c r="G481" s="149" t="s">
        <v>22460</v>
      </c>
      <c r="H481" s="157">
        <v>2</v>
      </c>
      <c r="I481" s="152"/>
      <c r="J481" s="149" t="s">
        <v>22461</v>
      </c>
      <c r="K481" s="157">
        <v>2</v>
      </c>
      <c r="L481" s="152"/>
      <c r="M481" s="149" t="s">
        <v>9138</v>
      </c>
      <c r="N481" s="158">
        <v>3</v>
      </c>
      <c r="O481" s="152"/>
      <c r="P481" s="149" t="s">
        <v>22462</v>
      </c>
      <c r="Q481" s="158">
        <v>3</v>
      </c>
      <c r="R481" s="152"/>
      <c r="S481" s="149" t="s">
        <v>22389</v>
      </c>
      <c r="T481" s="157">
        <v>2</v>
      </c>
      <c r="U481" s="152"/>
      <c r="V481" s="149" t="s">
        <v>22463</v>
      </c>
      <c r="W481" s="155">
        <v>1</v>
      </c>
      <c r="X481" s="152"/>
      <c r="Y481" s="149" t="s">
        <v>22464</v>
      </c>
      <c r="Z481" s="155">
        <v>1</v>
      </c>
      <c r="AA481" s="152"/>
      <c r="AB481" s="154" t="s">
        <v>4036</v>
      </c>
    </row>
    <row r="482" spans="1:28" x14ac:dyDescent="0.2">
      <c r="A482" s="146" t="s">
        <v>7016</v>
      </c>
      <c r="B482" s="147" t="s">
        <v>6130</v>
      </c>
      <c r="C482" s="147" t="s">
        <v>6169</v>
      </c>
      <c r="D482" s="148" t="s">
        <v>6132</v>
      </c>
      <c r="E482" s="149" t="s">
        <v>22465</v>
      </c>
      <c r="F482" s="160">
        <v>2</v>
      </c>
      <c r="G482" s="149" t="s">
        <v>22466</v>
      </c>
      <c r="H482" s="157">
        <v>2</v>
      </c>
      <c r="I482" s="152"/>
      <c r="J482" s="149" t="s">
        <v>22467</v>
      </c>
      <c r="K482" s="155">
        <v>1</v>
      </c>
      <c r="L482" s="156" t="s">
        <v>40</v>
      </c>
      <c r="M482" s="149" t="s">
        <v>22465</v>
      </c>
      <c r="N482" s="157">
        <v>2</v>
      </c>
      <c r="O482" s="156" t="s">
        <v>46</v>
      </c>
      <c r="P482" s="149" t="s">
        <v>22468</v>
      </c>
      <c r="Q482" s="157">
        <v>2</v>
      </c>
      <c r="R482" s="152"/>
      <c r="S482" s="149" t="s">
        <v>22469</v>
      </c>
      <c r="T482" s="157">
        <v>2</v>
      </c>
      <c r="U482" s="156" t="s">
        <v>46</v>
      </c>
      <c r="V482" s="149" t="s">
        <v>22470</v>
      </c>
      <c r="W482" s="158">
        <v>3</v>
      </c>
      <c r="X482" s="152"/>
      <c r="Y482" s="149" t="s">
        <v>22471</v>
      </c>
      <c r="Z482" s="151">
        <v>4</v>
      </c>
      <c r="AA482" s="152"/>
      <c r="AB482" s="154" t="s">
        <v>4038</v>
      </c>
    </row>
    <row r="483" spans="1:28" x14ac:dyDescent="0.2">
      <c r="A483" s="146" t="s">
        <v>7017</v>
      </c>
      <c r="B483" s="147" t="s">
        <v>6130</v>
      </c>
      <c r="C483" s="147" t="s">
        <v>6206</v>
      </c>
      <c r="D483" s="148" t="s">
        <v>6136</v>
      </c>
      <c r="E483" s="149" t="s">
        <v>22472</v>
      </c>
      <c r="F483" s="160">
        <v>2</v>
      </c>
      <c r="G483" s="149" t="s">
        <v>22473</v>
      </c>
      <c r="H483" s="157">
        <v>2</v>
      </c>
      <c r="I483" s="156" t="s">
        <v>40</v>
      </c>
      <c r="J483" s="149" t="s">
        <v>22474</v>
      </c>
      <c r="K483" s="157">
        <v>2</v>
      </c>
      <c r="L483" s="152"/>
      <c r="M483" s="149" t="s">
        <v>22472</v>
      </c>
      <c r="N483" s="157">
        <v>2</v>
      </c>
      <c r="O483" s="152"/>
      <c r="P483" s="149" t="s">
        <v>22475</v>
      </c>
      <c r="Q483" s="157">
        <v>2</v>
      </c>
      <c r="R483" s="152"/>
      <c r="S483" s="149" t="s">
        <v>22476</v>
      </c>
      <c r="T483" s="158">
        <v>3</v>
      </c>
      <c r="U483" s="152"/>
      <c r="V483" s="149" t="s">
        <v>22477</v>
      </c>
      <c r="W483" s="158">
        <v>3</v>
      </c>
      <c r="X483" s="152"/>
      <c r="Y483" s="149" t="s">
        <v>22478</v>
      </c>
      <c r="Z483" s="158">
        <v>3</v>
      </c>
      <c r="AA483" s="152"/>
      <c r="AB483" s="154" t="s">
        <v>4041</v>
      </c>
    </row>
    <row r="484" spans="1:28" x14ac:dyDescent="0.2">
      <c r="A484" s="146" t="s">
        <v>7018</v>
      </c>
      <c r="B484" s="147" t="s">
        <v>6130</v>
      </c>
      <c r="C484" s="147" t="s">
        <v>7019</v>
      </c>
      <c r="D484" s="148"/>
      <c r="E484" s="149" t="s">
        <v>22479</v>
      </c>
      <c r="F484" s="161">
        <v>1</v>
      </c>
      <c r="G484" s="149" t="s">
        <v>22480</v>
      </c>
      <c r="H484" s="151">
        <v>4</v>
      </c>
      <c r="I484" s="156" t="s">
        <v>55</v>
      </c>
      <c r="J484" s="149" t="s">
        <v>7020</v>
      </c>
      <c r="K484" s="157">
        <v>2</v>
      </c>
      <c r="L484" s="156" t="s">
        <v>46</v>
      </c>
      <c r="M484" s="149" t="s">
        <v>22479</v>
      </c>
      <c r="N484" s="155">
        <v>1</v>
      </c>
      <c r="O484" s="152"/>
      <c r="P484" s="149" t="s">
        <v>7021</v>
      </c>
      <c r="Q484" s="155">
        <v>1</v>
      </c>
      <c r="R484" s="152"/>
      <c r="S484" s="149" t="s">
        <v>22481</v>
      </c>
      <c r="T484" s="155">
        <v>1</v>
      </c>
      <c r="U484" s="152"/>
      <c r="V484" s="149" t="s">
        <v>6807</v>
      </c>
      <c r="W484" s="155">
        <v>1</v>
      </c>
      <c r="X484" s="152"/>
      <c r="Y484" s="149" t="s">
        <v>15531</v>
      </c>
      <c r="Z484" s="157">
        <v>2</v>
      </c>
      <c r="AA484" s="152"/>
      <c r="AB484" s="154" t="s">
        <v>4149</v>
      </c>
    </row>
    <row r="485" spans="1:28" x14ac:dyDescent="0.2">
      <c r="A485" s="146" t="s">
        <v>7022</v>
      </c>
      <c r="B485" s="147" t="s">
        <v>6130</v>
      </c>
      <c r="C485" s="147" t="s">
        <v>6196</v>
      </c>
      <c r="D485" s="148" t="s">
        <v>6170</v>
      </c>
      <c r="E485" s="149" t="s">
        <v>7023</v>
      </c>
      <c r="F485" s="161">
        <v>1</v>
      </c>
      <c r="G485" s="149" t="s">
        <v>22482</v>
      </c>
      <c r="H485" s="157">
        <v>2</v>
      </c>
      <c r="I485" s="152"/>
      <c r="J485" s="149" t="s">
        <v>7024</v>
      </c>
      <c r="K485" s="157">
        <v>2</v>
      </c>
      <c r="L485" s="152"/>
      <c r="M485" s="149" t="s">
        <v>7023</v>
      </c>
      <c r="N485" s="155">
        <v>1</v>
      </c>
      <c r="O485" s="156" t="s">
        <v>40</v>
      </c>
      <c r="P485" s="149" t="s">
        <v>22483</v>
      </c>
      <c r="Q485" s="157">
        <v>2</v>
      </c>
      <c r="R485" s="156" t="s">
        <v>40</v>
      </c>
      <c r="S485" s="149" t="s">
        <v>21496</v>
      </c>
      <c r="T485" s="158">
        <v>3</v>
      </c>
      <c r="U485" s="156" t="s">
        <v>40</v>
      </c>
      <c r="V485" s="149" t="s">
        <v>7025</v>
      </c>
      <c r="W485" s="157">
        <v>2</v>
      </c>
      <c r="X485" s="152"/>
      <c r="Y485" s="149" t="s">
        <v>47</v>
      </c>
      <c r="Z485" s="153"/>
      <c r="AA485" s="152"/>
      <c r="AB485" s="154" t="s">
        <v>4152</v>
      </c>
    </row>
    <row r="486" spans="1:28" x14ac:dyDescent="0.2">
      <c r="A486" s="146" t="s">
        <v>7026</v>
      </c>
      <c r="B486" s="147" t="s">
        <v>6130</v>
      </c>
      <c r="C486" s="147" t="s">
        <v>6131</v>
      </c>
      <c r="D486" s="148" t="s">
        <v>6170</v>
      </c>
      <c r="E486" s="149" t="s">
        <v>22484</v>
      </c>
      <c r="F486" s="159">
        <v>3</v>
      </c>
      <c r="G486" s="149" t="s">
        <v>22485</v>
      </c>
      <c r="H486" s="151">
        <v>4</v>
      </c>
      <c r="I486" s="156" t="s">
        <v>46</v>
      </c>
      <c r="J486" s="149" t="s">
        <v>22486</v>
      </c>
      <c r="K486" s="151">
        <v>4</v>
      </c>
      <c r="L486" s="156" t="s">
        <v>44</v>
      </c>
      <c r="M486" s="149" t="s">
        <v>22484</v>
      </c>
      <c r="N486" s="158">
        <v>3</v>
      </c>
      <c r="O486" s="156" t="s">
        <v>46</v>
      </c>
      <c r="P486" s="149" t="s">
        <v>7027</v>
      </c>
      <c r="Q486" s="157">
        <v>2</v>
      </c>
      <c r="R486" s="156" t="s">
        <v>40</v>
      </c>
      <c r="S486" s="149" t="s">
        <v>22487</v>
      </c>
      <c r="T486" s="151">
        <v>4</v>
      </c>
      <c r="U486" s="152"/>
      <c r="V486" s="149" t="s">
        <v>22488</v>
      </c>
      <c r="W486" s="151">
        <v>4</v>
      </c>
      <c r="X486" s="156" t="s">
        <v>46</v>
      </c>
      <c r="Y486" s="149" t="s">
        <v>13303</v>
      </c>
      <c r="Z486" s="151">
        <v>4</v>
      </c>
      <c r="AA486" s="152"/>
      <c r="AB486" s="154" t="s">
        <v>4155</v>
      </c>
    </row>
    <row r="487" spans="1:28" x14ac:dyDescent="0.2">
      <c r="A487" s="146" t="s">
        <v>4156</v>
      </c>
      <c r="B487" s="147" t="s">
        <v>6130</v>
      </c>
      <c r="C487" s="147" t="s">
        <v>6157</v>
      </c>
      <c r="D487" s="148" t="s">
        <v>6136</v>
      </c>
      <c r="E487" s="149" t="s">
        <v>22489</v>
      </c>
      <c r="F487" s="150">
        <v>4</v>
      </c>
      <c r="G487" s="149" t="s">
        <v>22490</v>
      </c>
      <c r="H487" s="158">
        <v>3</v>
      </c>
      <c r="I487" s="152"/>
      <c r="J487" s="149" t="s">
        <v>22491</v>
      </c>
      <c r="K487" s="151">
        <v>4</v>
      </c>
      <c r="L487" s="156" t="s">
        <v>46</v>
      </c>
      <c r="M487" s="149" t="s">
        <v>22489</v>
      </c>
      <c r="N487" s="151">
        <v>4</v>
      </c>
      <c r="O487" s="156" t="s">
        <v>46</v>
      </c>
      <c r="P487" s="149" t="s">
        <v>22492</v>
      </c>
      <c r="Q487" s="158">
        <v>3</v>
      </c>
      <c r="R487" s="152"/>
      <c r="S487" s="149" t="s">
        <v>22493</v>
      </c>
      <c r="T487" s="157">
        <v>2</v>
      </c>
      <c r="U487" s="152"/>
      <c r="V487" s="149" t="s">
        <v>22494</v>
      </c>
      <c r="W487" s="158">
        <v>3</v>
      </c>
      <c r="X487" s="152"/>
      <c r="Y487" s="149" t="s">
        <v>22495</v>
      </c>
      <c r="Z487" s="158">
        <v>3</v>
      </c>
      <c r="AA487" s="152"/>
      <c r="AB487" s="154" t="s">
        <v>4157</v>
      </c>
    </row>
    <row r="488" spans="1:28" x14ac:dyDescent="0.2">
      <c r="A488" s="146" t="s">
        <v>7028</v>
      </c>
      <c r="B488" s="147" t="s">
        <v>6130</v>
      </c>
      <c r="C488" s="147" t="s">
        <v>6175</v>
      </c>
      <c r="D488" s="148"/>
      <c r="E488" s="149" t="s">
        <v>22496</v>
      </c>
      <c r="F488" s="159">
        <v>3</v>
      </c>
      <c r="G488" s="149" t="s">
        <v>22497</v>
      </c>
      <c r="H488" s="158">
        <v>3</v>
      </c>
      <c r="I488" s="152"/>
      <c r="J488" s="149" t="s">
        <v>13610</v>
      </c>
      <c r="K488" s="158">
        <v>3</v>
      </c>
      <c r="L488" s="152"/>
      <c r="M488" s="149" t="s">
        <v>22496</v>
      </c>
      <c r="N488" s="158">
        <v>3</v>
      </c>
      <c r="O488" s="152"/>
      <c r="P488" s="149" t="s">
        <v>22498</v>
      </c>
      <c r="Q488" s="158">
        <v>3</v>
      </c>
      <c r="R488" s="152"/>
      <c r="S488" s="149" t="s">
        <v>22499</v>
      </c>
      <c r="T488" s="158">
        <v>3</v>
      </c>
      <c r="U488" s="152"/>
      <c r="V488" s="149" t="s">
        <v>22500</v>
      </c>
      <c r="W488" s="151">
        <v>4</v>
      </c>
      <c r="X488" s="152"/>
      <c r="Y488" s="149" t="s">
        <v>22501</v>
      </c>
      <c r="Z488" s="151">
        <v>4</v>
      </c>
      <c r="AA488" s="152"/>
      <c r="AB488" s="154" t="s">
        <v>4162</v>
      </c>
    </row>
    <row r="489" spans="1:28" x14ac:dyDescent="0.2">
      <c r="A489" s="146" t="s">
        <v>4163</v>
      </c>
      <c r="B489" s="147" t="s">
        <v>6130</v>
      </c>
      <c r="C489" s="147" t="s">
        <v>6131</v>
      </c>
      <c r="D489" s="148" t="s">
        <v>6136</v>
      </c>
      <c r="E489" s="149" t="s">
        <v>22502</v>
      </c>
      <c r="F489" s="160">
        <v>2</v>
      </c>
      <c r="G489" s="149" t="s">
        <v>22503</v>
      </c>
      <c r="H489" s="157">
        <v>2</v>
      </c>
      <c r="I489" s="152"/>
      <c r="J489" s="149" t="s">
        <v>22504</v>
      </c>
      <c r="K489" s="157">
        <v>2</v>
      </c>
      <c r="L489" s="156" t="s">
        <v>40</v>
      </c>
      <c r="M489" s="149" t="s">
        <v>22502</v>
      </c>
      <c r="N489" s="157">
        <v>2</v>
      </c>
      <c r="O489" s="156" t="s">
        <v>40</v>
      </c>
      <c r="P489" s="149" t="s">
        <v>22505</v>
      </c>
      <c r="Q489" s="158">
        <v>3</v>
      </c>
      <c r="R489" s="152"/>
      <c r="S489" s="149" t="s">
        <v>22506</v>
      </c>
      <c r="T489" s="158">
        <v>3</v>
      </c>
      <c r="U489" s="152"/>
      <c r="V489" s="149" t="s">
        <v>22507</v>
      </c>
      <c r="W489" s="158">
        <v>3</v>
      </c>
      <c r="X489" s="152"/>
      <c r="Y489" s="149" t="s">
        <v>47</v>
      </c>
      <c r="Z489" s="153"/>
      <c r="AA489" s="152"/>
      <c r="AB489" s="154" t="s">
        <v>4165</v>
      </c>
    </row>
    <row r="490" spans="1:28" x14ac:dyDescent="0.2">
      <c r="A490" s="146" t="s">
        <v>7029</v>
      </c>
      <c r="B490" s="147" t="s">
        <v>6130</v>
      </c>
      <c r="C490" s="147" t="s">
        <v>7019</v>
      </c>
      <c r="D490" s="148" t="s">
        <v>6170</v>
      </c>
      <c r="E490" s="149" t="s">
        <v>22508</v>
      </c>
      <c r="F490" s="150">
        <v>4</v>
      </c>
      <c r="G490" s="149" t="s">
        <v>22509</v>
      </c>
      <c r="H490" s="155">
        <v>1</v>
      </c>
      <c r="I490" s="156" t="s">
        <v>157</v>
      </c>
      <c r="J490" s="149" t="s">
        <v>7030</v>
      </c>
      <c r="K490" s="158">
        <v>3</v>
      </c>
      <c r="L490" s="156" t="s">
        <v>40</v>
      </c>
      <c r="M490" s="149" t="s">
        <v>22508</v>
      </c>
      <c r="N490" s="151">
        <v>4</v>
      </c>
      <c r="O490" s="152"/>
      <c r="P490" s="149" t="s">
        <v>22510</v>
      </c>
      <c r="Q490" s="151">
        <v>4</v>
      </c>
      <c r="R490" s="152"/>
      <c r="S490" s="149" t="s">
        <v>22511</v>
      </c>
      <c r="T490" s="151">
        <v>4</v>
      </c>
      <c r="U490" s="152"/>
      <c r="V490" s="149" t="s">
        <v>22512</v>
      </c>
      <c r="W490" s="151">
        <v>4</v>
      </c>
      <c r="X490" s="152"/>
      <c r="Y490" s="149" t="s">
        <v>8844</v>
      </c>
      <c r="Z490" s="158">
        <v>3</v>
      </c>
      <c r="AA490" s="152"/>
      <c r="AB490" s="154" t="s">
        <v>4168</v>
      </c>
    </row>
    <row r="491" spans="1:28" x14ac:dyDescent="0.2">
      <c r="A491" s="146" t="s">
        <v>7031</v>
      </c>
      <c r="B491" s="147" t="s">
        <v>6130</v>
      </c>
      <c r="C491" s="147" t="s">
        <v>6203</v>
      </c>
      <c r="D491" s="148"/>
      <c r="E491" s="149" t="s">
        <v>22513</v>
      </c>
      <c r="F491" s="150">
        <v>4</v>
      </c>
      <c r="G491" s="149" t="s">
        <v>22514</v>
      </c>
      <c r="H491" s="157">
        <v>2</v>
      </c>
      <c r="I491" s="156" t="s">
        <v>40</v>
      </c>
      <c r="J491" s="149" t="s">
        <v>22515</v>
      </c>
      <c r="K491" s="158">
        <v>3</v>
      </c>
      <c r="L491" s="156" t="s">
        <v>40</v>
      </c>
      <c r="M491" s="149" t="s">
        <v>22513</v>
      </c>
      <c r="N491" s="151">
        <v>4</v>
      </c>
      <c r="O491" s="152"/>
      <c r="P491" s="149" t="s">
        <v>22516</v>
      </c>
      <c r="Q491" s="158">
        <v>3</v>
      </c>
      <c r="R491" s="152"/>
      <c r="S491" s="149" t="s">
        <v>47</v>
      </c>
      <c r="T491" s="153"/>
      <c r="U491" s="152"/>
      <c r="V491" s="149" t="s">
        <v>47</v>
      </c>
      <c r="W491" s="153"/>
      <c r="X491" s="152"/>
      <c r="Y491" s="149" t="s">
        <v>47</v>
      </c>
      <c r="Z491" s="153"/>
      <c r="AA491" s="152"/>
      <c r="AB491" s="154" t="s">
        <v>7032</v>
      </c>
    </row>
    <row r="492" spans="1:28" x14ac:dyDescent="0.2">
      <c r="A492" s="146" t="s">
        <v>7033</v>
      </c>
      <c r="B492" s="147" t="s">
        <v>6130</v>
      </c>
      <c r="C492" s="147" t="s">
        <v>6766</v>
      </c>
      <c r="D492" s="148"/>
      <c r="E492" s="149" t="s">
        <v>22517</v>
      </c>
      <c r="F492" s="159">
        <v>3</v>
      </c>
      <c r="G492" s="149" t="s">
        <v>22518</v>
      </c>
      <c r="H492" s="158">
        <v>3</v>
      </c>
      <c r="I492" s="156" t="s">
        <v>46</v>
      </c>
      <c r="J492" s="149" t="s">
        <v>22519</v>
      </c>
      <c r="K492" s="158">
        <v>3</v>
      </c>
      <c r="L492" s="152"/>
      <c r="M492" s="149" t="s">
        <v>22517</v>
      </c>
      <c r="N492" s="158">
        <v>3</v>
      </c>
      <c r="O492" s="152"/>
      <c r="P492" s="149" t="s">
        <v>22520</v>
      </c>
      <c r="Q492" s="151">
        <v>4</v>
      </c>
      <c r="R492" s="156" t="s">
        <v>46</v>
      </c>
      <c r="S492" s="149" t="s">
        <v>22521</v>
      </c>
      <c r="T492" s="158">
        <v>3</v>
      </c>
      <c r="U492" s="156" t="s">
        <v>46</v>
      </c>
      <c r="V492" s="149" t="s">
        <v>22522</v>
      </c>
      <c r="W492" s="157">
        <v>2</v>
      </c>
      <c r="X492" s="152"/>
      <c r="Y492" s="149" t="s">
        <v>22523</v>
      </c>
      <c r="Z492" s="155">
        <v>1</v>
      </c>
      <c r="AA492" s="152"/>
      <c r="AB492" s="154" t="s">
        <v>7034</v>
      </c>
    </row>
    <row r="493" spans="1:28" x14ac:dyDescent="0.2">
      <c r="A493" s="146" t="s">
        <v>7035</v>
      </c>
      <c r="B493" s="147" t="s">
        <v>6130</v>
      </c>
      <c r="C493" s="147" t="s">
        <v>6766</v>
      </c>
      <c r="D493" s="148"/>
      <c r="E493" s="149" t="s">
        <v>22524</v>
      </c>
      <c r="F493" s="150">
        <v>4</v>
      </c>
      <c r="G493" s="149" t="s">
        <v>22525</v>
      </c>
      <c r="H493" s="155">
        <v>1</v>
      </c>
      <c r="I493" s="156" t="s">
        <v>157</v>
      </c>
      <c r="J493" s="149" t="s">
        <v>22526</v>
      </c>
      <c r="K493" s="158">
        <v>3</v>
      </c>
      <c r="L493" s="156" t="s">
        <v>40</v>
      </c>
      <c r="M493" s="149" t="s">
        <v>22524</v>
      </c>
      <c r="N493" s="151">
        <v>4</v>
      </c>
      <c r="O493" s="152"/>
      <c r="P493" s="149" t="s">
        <v>22527</v>
      </c>
      <c r="Q493" s="151">
        <v>4</v>
      </c>
      <c r="R493" s="152"/>
      <c r="S493" s="149" t="s">
        <v>22528</v>
      </c>
      <c r="T493" s="157">
        <v>2</v>
      </c>
      <c r="U493" s="152"/>
      <c r="V493" s="149" t="s">
        <v>22529</v>
      </c>
      <c r="W493" s="151">
        <v>4</v>
      </c>
      <c r="X493" s="152"/>
      <c r="Y493" s="149" t="s">
        <v>22530</v>
      </c>
      <c r="Z493" s="157">
        <v>2</v>
      </c>
      <c r="AA493" s="152"/>
      <c r="AB493" s="154" t="s">
        <v>7036</v>
      </c>
    </row>
    <row r="494" spans="1:28" x14ac:dyDescent="0.2">
      <c r="A494" s="146" t="s">
        <v>7037</v>
      </c>
      <c r="B494" s="147" t="s">
        <v>6130</v>
      </c>
      <c r="C494" s="147" t="s">
        <v>6766</v>
      </c>
      <c r="D494" s="148"/>
      <c r="E494" s="149" t="s">
        <v>22531</v>
      </c>
      <c r="F494" s="161">
        <v>1</v>
      </c>
      <c r="G494" s="149" t="s">
        <v>7038</v>
      </c>
      <c r="H494" s="151">
        <v>4</v>
      </c>
      <c r="I494" s="152"/>
      <c r="J494" s="149" t="s">
        <v>22532</v>
      </c>
      <c r="K494" s="151">
        <v>4</v>
      </c>
      <c r="L494" s="152"/>
      <c r="M494" s="149" t="s">
        <v>22531</v>
      </c>
      <c r="N494" s="155">
        <v>1</v>
      </c>
      <c r="O494" s="152"/>
      <c r="P494" s="149" t="s">
        <v>22533</v>
      </c>
      <c r="Q494" s="155">
        <v>1</v>
      </c>
      <c r="R494" s="152"/>
      <c r="S494" s="149" t="s">
        <v>22534</v>
      </c>
      <c r="T494" s="155">
        <v>1</v>
      </c>
      <c r="U494" s="152"/>
      <c r="V494" s="149" t="s">
        <v>22535</v>
      </c>
      <c r="W494" s="155">
        <v>1</v>
      </c>
      <c r="X494" s="152"/>
      <c r="Y494" s="149" t="s">
        <v>22536</v>
      </c>
      <c r="Z494" s="157">
        <v>2</v>
      </c>
      <c r="AA494" s="152"/>
      <c r="AB494" s="154" t="s">
        <v>7039</v>
      </c>
    </row>
    <row r="495" spans="1:28" x14ac:dyDescent="0.2">
      <c r="A495" s="146" t="s">
        <v>7040</v>
      </c>
      <c r="B495" s="147" t="s">
        <v>6130</v>
      </c>
      <c r="C495" s="147" t="s">
        <v>6192</v>
      </c>
      <c r="D495" s="148"/>
      <c r="E495" s="149" t="s">
        <v>22537</v>
      </c>
      <c r="F495" s="160">
        <v>2</v>
      </c>
      <c r="G495" s="149" t="s">
        <v>22538</v>
      </c>
      <c r="H495" s="158">
        <v>3</v>
      </c>
      <c r="I495" s="156" t="s">
        <v>55</v>
      </c>
      <c r="J495" s="149" t="s">
        <v>22539</v>
      </c>
      <c r="K495" s="157">
        <v>2</v>
      </c>
      <c r="L495" s="152"/>
      <c r="M495" s="149" t="s">
        <v>22537</v>
      </c>
      <c r="N495" s="157">
        <v>2</v>
      </c>
      <c r="O495" s="152"/>
      <c r="P495" s="149" t="s">
        <v>22540</v>
      </c>
      <c r="Q495" s="157">
        <v>2</v>
      </c>
      <c r="R495" s="156" t="s">
        <v>40</v>
      </c>
      <c r="S495" s="149" t="s">
        <v>22541</v>
      </c>
      <c r="T495" s="157">
        <v>2</v>
      </c>
      <c r="U495" s="152"/>
      <c r="V495" s="149" t="s">
        <v>22542</v>
      </c>
      <c r="W495" s="157">
        <v>2</v>
      </c>
      <c r="X495" s="156" t="s">
        <v>46</v>
      </c>
      <c r="Y495" s="149" t="s">
        <v>47</v>
      </c>
      <c r="Z495" s="153"/>
      <c r="AA495" s="152"/>
      <c r="AB495" s="154" t="s">
        <v>4179</v>
      </c>
    </row>
    <row r="496" spans="1:28" x14ac:dyDescent="0.2">
      <c r="A496" s="146" t="s">
        <v>4180</v>
      </c>
      <c r="B496" s="147" t="s">
        <v>6130</v>
      </c>
      <c r="C496" s="147" t="s">
        <v>6195</v>
      </c>
      <c r="D496" s="148"/>
      <c r="E496" s="149" t="s">
        <v>22543</v>
      </c>
      <c r="F496" s="160">
        <v>2</v>
      </c>
      <c r="G496" s="149" t="s">
        <v>22544</v>
      </c>
      <c r="H496" s="151">
        <v>4</v>
      </c>
      <c r="I496" s="156" t="s">
        <v>55</v>
      </c>
      <c r="J496" s="149" t="s">
        <v>22545</v>
      </c>
      <c r="K496" s="158">
        <v>3</v>
      </c>
      <c r="L496" s="156" t="s">
        <v>46</v>
      </c>
      <c r="M496" s="149" t="s">
        <v>22543</v>
      </c>
      <c r="N496" s="157">
        <v>2</v>
      </c>
      <c r="O496" s="152"/>
      <c r="P496" s="149" t="s">
        <v>22546</v>
      </c>
      <c r="Q496" s="158">
        <v>3</v>
      </c>
      <c r="R496" s="156" t="s">
        <v>40</v>
      </c>
      <c r="S496" s="149" t="s">
        <v>47</v>
      </c>
      <c r="T496" s="153"/>
      <c r="U496" s="152"/>
      <c r="V496" s="149" t="s">
        <v>47</v>
      </c>
      <c r="W496" s="153"/>
      <c r="X496" s="152"/>
      <c r="Y496" s="149" t="s">
        <v>47</v>
      </c>
      <c r="Z496" s="153"/>
      <c r="AA496" s="152"/>
      <c r="AB496" s="154" t="s">
        <v>4181</v>
      </c>
    </row>
    <row r="497" spans="1:28" x14ac:dyDescent="0.2">
      <c r="A497" s="146" t="s">
        <v>7041</v>
      </c>
      <c r="B497" s="147" t="s">
        <v>6130</v>
      </c>
      <c r="C497" s="147" t="s">
        <v>6175</v>
      </c>
      <c r="D497" s="148"/>
      <c r="E497" s="149" t="s">
        <v>22547</v>
      </c>
      <c r="F497" s="160">
        <v>2</v>
      </c>
      <c r="G497" s="149" t="s">
        <v>22548</v>
      </c>
      <c r="H497" s="155">
        <v>1</v>
      </c>
      <c r="I497" s="156" t="s">
        <v>40</v>
      </c>
      <c r="J497" s="149" t="s">
        <v>22549</v>
      </c>
      <c r="K497" s="157">
        <v>2</v>
      </c>
      <c r="L497" s="152"/>
      <c r="M497" s="149" t="s">
        <v>22547</v>
      </c>
      <c r="N497" s="157">
        <v>2</v>
      </c>
      <c r="O497" s="152"/>
      <c r="P497" s="149" t="s">
        <v>22550</v>
      </c>
      <c r="Q497" s="157">
        <v>2</v>
      </c>
      <c r="R497" s="152"/>
      <c r="S497" s="149" t="s">
        <v>22551</v>
      </c>
      <c r="T497" s="155">
        <v>1</v>
      </c>
      <c r="U497" s="152"/>
      <c r="V497" s="149" t="s">
        <v>22552</v>
      </c>
      <c r="W497" s="157">
        <v>2</v>
      </c>
      <c r="X497" s="152"/>
      <c r="Y497" s="149" t="s">
        <v>47</v>
      </c>
      <c r="Z497" s="153"/>
      <c r="AA497" s="152"/>
      <c r="AB497" s="154" t="s">
        <v>4190</v>
      </c>
    </row>
    <row r="498" spans="1:28" x14ac:dyDescent="0.2">
      <c r="A498" s="146" t="s">
        <v>22553</v>
      </c>
      <c r="B498" s="147" t="s">
        <v>6130</v>
      </c>
      <c r="C498" s="147" t="s">
        <v>6167</v>
      </c>
      <c r="D498" s="148" t="s">
        <v>6132</v>
      </c>
      <c r="E498" s="149" t="s">
        <v>22554</v>
      </c>
      <c r="F498" s="160">
        <v>2</v>
      </c>
      <c r="G498" s="149" t="s">
        <v>22555</v>
      </c>
      <c r="H498" s="155">
        <v>1</v>
      </c>
      <c r="I498" s="152"/>
      <c r="J498" s="149" t="s">
        <v>22556</v>
      </c>
      <c r="K498" s="157">
        <v>2</v>
      </c>
      <c r="L498" s="152"/>
      <c r="M498" s="149" t="s">
        <v>22554</v>
      </c>
      <c r="N498" s="157">
        <v>2</v>
      </c>
      <c r="O498" s="152"/>
      <c r="P498" s="149" t="s">
        <v>22557</v>
      </c>
      <c r="Q498" s="157">
        <v>2</v>
      </c>
      <c r="R498" s="152"/>
      <c r="S498" s="149" t="s">
        <v>22558</v>
      </c>
      <c r="T498" s="158">
        <v>3</v>
      </c>
      <c r="U498" s="152"/>
      <c r="V498" s="149" t="s">
        <v>22559</v>
      </c>
      <c r="W498" s="158">
        <v>3</v>
      </c>
      <c r="X498" s="152"/>
      <c r="Y498" s="149" t="s">
        <v>47</v>
      </c>
      <c r="Z498" s="153"/>
      <c r="AA498" s="152"/>
      <c r="AB498" s="154" t="s">
        <v>4193</v>
      </c>
    </row>
    <row r="499" spans="1:28" x14ac:dyDescent="0.2">
      <c r="A499" s="146" t="s">
        <v>22560</v>
      </c>
      <c r="B499" s="147" t="s">
        <v>6130</v>
      </c>
      <c r="C499" s="147" t="s">
        <v>6249</v>
      </c>
      <c r="D499" s="148" t="s">
        <v>6136</v>
      </c>
      <c r="E499" s="149" t="s">
        <v>7042</v>
      </c>
      <c r="F499" s="160">
        <v>2</v>
      </c>
      <c r="G499" s="149" t="s">
        <v>22561</v>
      </c>
      <c r="H499" s="157">
        <v>2</v>
      </c>
      <c r="I499" s="156" t="s">
        <v>46</v>
      </c>
      <c r="J499" s="149" t="s">
        <v>2200</v>
      </c>
      <c r="K499" s="155">
        <v>1</v>
      </c>
      <c r="L499" s="152"/>
      <c r="M499" s="149" t="s">
        <v>7042</v>
      </c>
      <c r="N499" s="157">
        <v>2</v>
      </c>
      <c r="O499" s="156" t="s">
        <v>46</v>
      </c>
      <c r="P499" s="149" t="s">
        <v>22562</v>
      </c>
      <c r="Q499" s="158">
        <v>3</v>
      </c>
      <c r="R499" s="156" t="s">
        <v>46</v>
      </c>
      <c r="S499" s="149" t="s">
        <v>22563</v>
      </c>
      <c r="T499" s="158">
        <v>3</v>
      </c>
      <c r="U499" s="152"/>
      <c r="V499" s="149" t="s">
        <v>47</v>
      </c>
      <c r="W499" s="153"/>
      <c r="X499" s="152"/>
      <c r="Y499" s="149" t="s">
        <v>47</v>
      </c>
      <c r="Z499" s="153"/>
      <c r="AA499" s="152"/>
      <c r="AB499" s="154" t="s">
        <v>4198</v>
      </c>
    </row>
    <row r="500" spans="1:28" x14ac:dyDescent="0.2">
      <c r="A500" s="146" t="s">
        <v>7043</v>
      </c>
      <c r="B500" s="147" t="s">
        <v>6130</v>
      </c>
      <c r="C500" s="147" t="s">
        <v>6169</v>
      </c>
      <c r="D500" s="148" t="s">
        <v>6136</v>
      </c>
      <c r="E500" s="149" t="s">
        <v>22564</v>
      </c>
      <c r="F500" s="160">
        <v>2</v>
      </c>
      <c r="G500" s="149" t="s">
        <v>22565</v>
      </c>
      <c r="H500" s="157">
        <v>2</v>
      </c>
      <c r="I500" s="156" t="s">
        <v>53</v>
      </c>
      <c r="J500" s="149" t="s">
        <v>22566</v>
      </c>
      <c r="K500" s="157">
        <v>2</v>
      </c>
      <c r="L500" s="156" t="s">
        <v>40</v>
      </c>
      <c r="M500" s="149" t="s">
        <v>22564</v>
      </c>
      <c r="N500" s="157">
        <v>2</v>
      </c>
      <c r="O500" s="156" t="s">
        <v>40</v>
      </c>
      <c r="P500" s="149" t="s">
        <v>22567</v>
      </c>
      <c r="Q500" s="157">
        <v>2</v>
      </c>
      <c r="R500" s="152"/>
      <c r="S500" s="149" t="s">
        <v>22568</v>
      </c>
      <c r="T500" s="158">
        <v>3</v>
      </c>
      <c r="U500" s="152"/>
      <c r="V500" s="149" t="s">
        <v>22569</v>
      </c>
      <c r="W500" s="158">
        <v>3</v>
      </c>
      <c r="X500" s="152"/>
      <c r="Y500" s="149" t="s">
        <v>47</v>
      </c>
      <c r="Z500" s="153"/>
      <c r="AA500" s="152"/>
      <c r="AB500" s="154" t="s">
        <v>4199</v>
      </c>
    </row>
    <row r="501" spans="1:28" x14ac:dyDescent="0.2">
      <c r="A501" s="146" t="s">
        <v>22570</v>
      </c>
      <c r="B501" s="147" t="s">
        <v>6130</v>
      </c>
      <c r="C501" s="147" t="s">
        <v>6169</v>
      </c>
      <c r="D501" s="148" t="s">
        <v>6160</v>
      </c>
      <c r="E501" s="149" t="s">
        <v>22571</v>
      </c>
      <c r="F501" s="159">
        <v>3</v>
      </c>
      <c r="G501" s="149" t="s">
        <v>22572</v>
      </c>
      <c r="H501" s="157">
        <v>2</v>
      </c>
      <c r="I501" s="156" t="s">
        <v>53</v>
      </c>
      <c r="J501" s="149" t="s">
        <v>22573</v>
      </c>
      <c r="K501" s="158">
        <v>3</v>
      </c>
      <c r="L501" s="152"/>
      <c r="M501" s="149" t="s">
        <v>22571</v>
      </c>
      <c r="N501" s="158">
        <v>3</v>
      </c>
      <c r="O501" s="152"/>
      <c r="P501" s="149" t="s">
        <v>22574</v>
      </c>
      <c r="Q501" s="158">
        <v>3</v>
      </c>
      <c r="R501" s="152"/>
      <c r="S501" s="149" t="s">
        <v>22575</v>
      </c>
      <c r="T501" s="158">
        <v>3</v>
      </c>
      <c r="U501" s="152"/>
      <c r="V501" s="149" t="s">
        <v>22576</v>
      </c>
      <c r="W501" s="151">
        <v>4</v>
      </c>
      <c r="X501" s="152"/>
      <c r="Y501" s="149" t="s">
        <v>47</v>
      </c>
      <c r="Z501" s="153"/>
      <c r="AA501" s="152"/>
      <c r="AB501" s="154" t="s">
        <v>4204</v>
      </c>
    </row>
    <row r="502" spans="1:28" x14ac:dyDescent="0.2">
      <c r="A502" s="146" t="s">
        <v>7044</v>
      </c>
      <c r="B502" s="147" t="s">
        <v>6130</v>
      </c>
      <c r="C502" s="147" t="s">
        <v>6169</v>
      </c>
      <c r="D502" s="148" t="s">
        <v>6136</v>
      </c>
      <c r="E502" s="149" t="s">
        <v>22577</v>
      </c>
      <c r="F502" s="161">
        <v>1</v>
      </c>
      <c r="G502" s="149" t="s">
        <v>22578</v>
      </c>
      <c r="H502" s="157">
        <v>2</v>
      </c>
      <c r="I502" s="152"/>
      <c r="J502" s="149" t="s">
        <v>22579</v>
      </c>
      <c r="K502" s="155">
        <v>1</v>
      </c>
      <c r="L502" s="156" t="s">
        <v>40</v>
      </c>
      <c r="M502" s="149" t="s">
        <v>22577</v>
      </c>
      <c r="N502" s="155">
        <v>1</v>
      </c>
      <c r="O502" s="156" t="s">
        <v>40</v>
      </c>
      <c r="P502" s="149" t="s">
        <v>22580</v>
      </c>
      <c r="Q502" s="155">
        <v>1</v>
      </c>
      <c r="R502" s="152"/>
      <c r="S502" s="149" t="s">
        <v>7045</v>
      </c>
      <c r="T502" s="157">
        <v>2</v>
      </c>
      <c r="U502" s="156" t="s">
        <v>40</v>
      </c>
      <c r="V502" s="149" t="s">
        <v>22581</v>
      </c>
      <c r="W502" s="157">
        <v>2</v>
      </c>
      <c r="X502" s="152"/>
      <c r="Y502" s="149" t="s">
        <v>22582</v>
      </c>
      <c r="Z502" s="151">
        <v>4</v>
      </c>
      <c r="AA502" s="152"/>
      <c r="AB502" s="154" t="s">
        <v>4213</v>
      </c>
    </row>
    <row r="503" spans="1:28" x14ac:dyDescent="0.2">
      <c r="A503" s="146" t="s">
        <v>7046</v>
      </c>
      <c r="B503" s="147" t="s">
        <v>6130</v>
      </c>
      <c r="C503" s="147" t="s">
        <v>6629</v>
      </c>
      <c r="D503" s="148" t="s">
        <v>6160</v>
      </c>
      <c r="E503" s="149" t="s">
        <v>836</v>
      </c>
      <c r="F503" s="160">
        <v>2</v>
      </c>
      <c r="G503" s="149" t="s">
        <v>22583</v>
      </c>
      <c r="H503" s="155">
        <v>1</v>
      </c>
      <c r="I503" s="156" t="s">
        <v>40</v>
      </c>
      <c r="J503" s="149" t="s">
        <v>8961</v>
      </c>
      <c r="K503" s="155">
        <v>1</v>
      </c>
      <c r="L503" s="152"/>
      <c r="M503" s="149" t="s">
        <v>836</v>
      </c>
      <c r="N503" s="157">
        <v>2</v>
      </c>
      <c r="O503" s="152"/>
      <c r="P503" s="149" t="s">
        <v>22584</v>
      </c>
      <c r="Q503" s="155">
        <v>1</v>
      </c>
      <c r="R503" s="152"/>
      <c r="S503" s="149" t="s">
        <v>7047</v>
      </c>
      <c r="T503" s="158">
        <v>3</v>
      </c>
      <c r="U503" s="152"/>
      <c r="V503" s="149" t="s">
        <v>3537</v>
      </c>
      <c r="W503" s="158">
        <v>3</v>
      </c>
      <c r="X503" s="152"/>
      <c r="Y503" s="149" t="s">
        <v>10362</v>
      </c>
      <c r="Z503" s="151">
        <v>4</v>
      </c>
      <c r="AA503" s="152"/>
      <c r="AB503" s="154" t="s">
        <v>4218</v>
      </c>
    </row>
    <row r="504" spans="1:28" x14ac:dyDescent="0.2">
      <c r="A504" s="146" t="s">
        <v>22585</v>
      </c>
      <c r="B504" s="147" t="s">
        <v>6130</v>
      </c>
      <c r="C504" s="147" t="s">
        <v>6175</v>
      </c>
      <c r="D504" s="148"/>
      <c r="E504" s="149" t="s">
        <v>22586</v>
      </c>
      <c r="F504" s="160">
        <v>2</v>
      </c>
      <c r="G504" s="149" t="s">
        <v>22587</v>
      </c>
      <c r="H504" s="157">
        <v>2</v>
      </c>
      <c r="I504" s="152"/>
      <c r="J504" s="149" t="s">
        <v>22588</v>
      </c>
      <c r="K504" s="157">
        <v>2</v>
      </c>
      <c r="L504" s="152"/>
      <c r="M504" s="149" t="s">
        <v>22586</v>
      </c>
      <c r="N504" s="157">
        <v>2</v>
      </c>
      <c r="O504" s="152"/>
      <c r="P504" s="149" t="s">
        <v>22589</v>
      </c>
      <c r="Q504" s="157">
        <v>2</v>
      </c>
      <c r="R504" s="152"/>
      <c r="S504" s="149" t="s">
        <v>7048</v>
      </c>
      <c r="T504" s="155">
        <v>1</v>
      </c>
      <c r="U504" s="156" t="s">
        <v>40</v>
      </c>
      <c r="V504" s="149" t="s">
        <v>22590</v>
      </c>
      <c r="W504" s="157">
        <v>2</v>
      </c>
      <c r="X504" s="152"/>
      <c r="Y504" s="149" t="s">
        <v>47</v>
      </c>
      <c r="Z504" s="153"/>
      <c r="AA504" s="152"/>
      <c r="AB504" s="154" t="s">
        <v>4222</v>
      </c>
    </row>
    <row r="505" spans="1:28" x14ac:dyDescent="0.2">
      <c r="A505" s="146" t="s">
        <v>7049</v>
      </c>
      <c r="B505" s="147" t="s">
        <v>6130</v>
      </c>
      <c r="C505" s="147" t="s">
        <v>6379</v>
      </c>
      <c r="D505" s="148" t="s">
        <v>6160</v>
      </c>
      <c r="E505" s="149" t="s">
        <v>22591</v>
      </c>
      <c r="F505" s="160">
        <v>2</v>
      </c>
      <c r="G505" s="149" t="s">
        <v>7050</v>
      </c>
      <c r="H505" s="157">
        <v>2</v>
      </c>
      <c r="I505" s="156" t="s">
        <v>53</v>
      </c>
      <c r="J505" s="149" t="s">
        <v>22592</v>
      </c>
      <c r="K505" s="158">
        <v>3</v>
      </c>
      <c r="L505" s="156" t="s">
        <v>40</v>
      </c>
      <c r="M505" s="149" t="s">
        <v>22591</v>
      </c>
      <c r="N505" s="157">
        <v>2</v>
      </c>
      <c r="O505" s="156" t="s">
        <v>40</v>
      </c>
      <c r="P505" s="149" t="s">
        <v>9008</v>
      </c>
      <c r="Q505" s="158">
        <v>3</v>
      </c>
      <c r="R505" s="152"/>
      <c r="S505" s="149" t="s">
        <v>22593</v>
      </c>
      <c r="T505" s="151">
        <v>4</v>
      </c>
      <c r="U505" s="152"/>
      <c r="V505" s="149" t="s">
        <v>22594</v>
      </c>
      <c r="W505" s="158">
        <v>3</v>
      </c>
      <c r="X505" s="152"/>
      <c r="Y505" s="149" t="s">
        <v>47</v>
      </c>
      <c r="Z505" s="153"/>
      <c r="AA505" s="152"/>
      <c r="AB505" s="154" t="s">
        <v>4225</v>
      </c>
    </row>
    <row r="506" spans="1:28" x14ac:dyDescent="0.2">
      <c r="A506" s="146" t="s">
        <v>22595</v>
      </c>
      <c r="B506" s="147" t="s">
        <v>6130</v>
      </c>
      <c r="C506" s="147" t="s">
        <v>7051</v>
      </c>
      <c r="D506" s="148" t="s">
        <v>6132</v>
      </c>
      <c r="E506" s="149" t="s">
        <v>356</v>
      </c>
      <c r="F506" s="161">
        <v>1</v>
      </c>
      <c r="G506" s="149" t="s">
        <v>18000</v>
      </c>
      <c r="H506" s="158">
        <v>3</v>
      </c>
      <c r="I506" s="152"/>
      <c r="J506" s="149" t="s">
        <v>7052</v>
      </c>
      <c r="K506" s="157">
        <v>2</v>
      </c>
      <c r="L506" s="156" t="s">
        <v>46</v>
      </c>
      <c r="M506" s="149" t="s">
        <v>356</v>
      </c>
      <c r="N506" s="155">
        <v>1</v>
      </c>
      <c r="O506" s="152"/>
      <c r="P506" s="149" t="s">
        <v>22596</v>
      </c>
      <c r="Q506" s="157">
        <v>2</v>
      </c>
      <c r="R506" s="156" t="s">
        <v>40</v>
      </c>
      <c r="S506" s="149" t="s">
        <v>7053</v>
      </c>
      <c r="T506" s="157">
        <v>2</v>
      </c>
      <c r="U506" s="152"/>
      <c r="V506" s="149" t="s">
        <v>6310</v>
      </c>
      <c r="W506" s="157">
        <v>2</v>
      </c>
      <c r="X506" s="152"/>
      <c r="Y506" s="149" t="s">
        <v>7054</v>
      </c>
      <c r="Z506" s="157">
        <v>2</v>
      </c>
      <c r="AA506" s="152"/>
      <c r="AB506" s="154" t="s">
        <v>4237</v>
      </c>
    </row>
    <row r="507" spans="1:28" x14ac:dyDescent="0.2">
      <c r="A507" s="146" t="s">
        <v>7055</v>
      </c>
      <c r="B507" s="147" t="s">
        <v>6130</v>
      </c>
      <c r="C507" s="147" t="s">
        <v>7056</v>
      </c>
      <c r="D507" s="148"/>
      <c r="E507" s="149" t="s">
        <v>22597</v>
      </c>
      <c r="F507" s="160">
        <v>2</v>
      </c>
      <c r="G507" s="149" t="s">
        <v>22598</v>
      </c>
      <c r="H507" s="157">
        <v>2</v>
      </c>
      <c r="I507" s="156" t="s">
        <v>46</v>
      </c>
      <c r="J507" s="149" t="s">
        <v>22599</v>
      </c>
      <c r="K507" s="155">
        <v>1</v>
      </c>
      <c r="L507" s="152"/>
      <c r="M507" s="149" t="s">
        <v>22597</v>
      </c>
      <c r="N507" s="157">
        <v>2</v>
      </c>
      <c r="O507" s="152"/>
      <c r="P507" s="149" t="s">
        <v>22600</v>
      </c>
      <c r="Q507" s="157">
        <v>2</v>
      </c>
      <c r="R507" s="156" t="s">
        <v>40</v>
      </c>
      <c r="S507" s="149" t="s">
        <v>22601</v>
      </c>
      <c r="T507" s="151">
        <v>4</v>
      </c>
      <c r="U507" s="152"/>
      <c r="V507" s="149" t="s">
        <v>22602</v>
      </c>
      <c r="W507" s="151">
        <v>4</v>
      </c>
      <c r="X507" s="152"/>
      <c r="Y507" s="149" t="s">
        <v>22603</v>
      </c>
      <c r="Z507" s="151">
        <v>4</v>
      </c>
      <c r="AA507" s="152"/>
      <c r="AB507" s="154" t="s">
        <v>7057</v>
      </c>
    </row>
    <row r="508" spans="1:28" x14ac:dyDescent="0.2">
      <c r="A508" s="146" t="s">
        <v>7058</v>
      </c>
      <c r="B508" s="147" t="s">
        <v>6130</v>
      </c>
      <c r="C508" s="147" t="s">
        <v>6191</v>
      </c>
      <c r="D508" s="148" t="s">
        <v>6136</v>
      </c>
      <c r="E508" s="149" t="s">
        <v>22604</v>
      </c>
      <c r="F508" s="161">
        <v>1</v>
      </c>
      <c r="G508" s="149" t="s">
        <v>22605</v>
      </c>
      <c r="H508" s="157">
        <v>2</v>
      </c>
      <c r="I508" s="156" t="s">
        <v>46</v>
      </c>
      <c r="J508" s="149" t="s">
        <v>22606</v>
      </c>
      <c r="K508" s="157">
        <v>2</v>
      </c>
      <c r="L508" s="152"/>
      <c r="M508" s="149" t="s">
        <v>22604</v>
      </c>
      <c r="N508" s="155">
        <v>1</v>
      </c>
      <c r="O508" s="156" t="s">
        <v>40</v>
      </c>
      <c r="P508" s="149" t="s">
        <v>21966</v>
      </c>
      <c r="Q508" s="157">
        <v>2</v>
      </c>
      <c r="R508" s="152"/>
      <c r="S508" s="149" t="s">
        <v>22607</v>
      </c>
      <c r="T508" s="158">
        <v>3</v>
      </c>
      <c r="U508" s="152"/>
      <c r="V508" s="149" t="s">
        <v>11668</v>
      </c>
      <c r="W508" s="158">
        <v>3</v>
      </c>
      <c r="X508" s="152"/>
      <c r="Y508" s="149" t="s">
        <v>47</v>
      </c>
      <c r="Z508" s="153"/>
      <c r="AA508" s="152"/>
      <c r="AB508" s="154" t="s">
        <v>4244</v>
      </c>
    </row>
    <row r="509" spans="1:28" x14ac:dyDescent="0.2">
      <c r="A509" s="146" t="s">
        <v>7059</v>
      </c>
      <c r="B509" s="147" t="s">
        <v>6130</v>
      </c>
      <c r="C509" s="147" t="s">
        <v>6331</v>
      </c>
      <c r="D509" s="148" t="s">
        <v>6163</v>
      </c>
      <c r="E509" s="149" t="s">
        <v>22608</v>
      </c>
      <c r="F509" s="160">
        <v>2</v>
      </c>
      <c r="G509" s="149" t="s">
        <v>6374</v>
      </c>
      <c r="H509" s="157">
        <v>2</v>
      </c>
      <c r="I509" s="156" t="s">
        <v>46</v>
      </c>
      <c r="J509" s="149" t="s">
        <v>22609</v>
      </c>
      <c r="K509" s="155">
        <v>1</v>
      </c>
      <c r="L509" s="152"/>
      <c r="M509" s="149" t="s">
        <v>22608</v>
      </c>
      <c r="N509" s="157">
        <v>2</v>
      </c>
      <c r="O509" s="152"/>
      <c r="P509" s="149" t="s">
        <v>22610</v>
      </c>
      <c r="Q509" s="157">
        <v>2</v>
      </c>
      <c r="R509" s="156" t="s">
        <v>46</v>
      </c>
      <c r="S509" s="149" t="s">
        <v>22611</v>
      </c>
      <c r="T509" s="155">
        <v>1</v>
      </c>
      <c r="U509" s="152"/>
      <c r="V509" s="149" t="s">
        <v>22612</v>
      </c>
      <c r="W509" s="158">
        <v>3</v>
      </c>
      <c r="X509" s="152"/>
      <c r="Y509" s="149" t="s">
        <v>47</v>
      </c>
      <c r="Z509" s="153"/>
      <c r="AA509" s="152"/>
      <c r="AB509" s="154" t="s">
        <v>4247</v>
      </c>
    </row>
    <row r="510" spans="1:28" x14ac:dyDescent="0.2">
      <c r="A510" s="146" t="s">
        <v>7060</v>
      </c>
      <c r="B510" s="147" t="s">
        <v>6130</v>
      </c>
      <c r="C510" s="147" t="s">
        <v>6583</v>
      </c>
      <c r="D510" s="148"/>
      <c r="E510" s="149" t="s">
        <v>22613</v>
      </c>
      <c r="F510" s="160">
        <v>2</v>
      </c>
      <c r="G510" s="149" t="s">
        <v>22614</v>
      </c>
      <c r="H510" s="158">
        <v>3</v>
      </c>
      <c r="I510" s="152"/>
      <c r="J510" s="149" t="s">
        <v>22615</v>
      </c>
      <c r="K510" s="158">
        <v>3</v>
      </c>
      <c r="L510" s="156" t="s">
        <v>46</v>
      </c>
      <c r="M510" s="149" t="s">
        <v>22613</v>
      </c>
      <c r="N510" s="157">
        <v>2</v>
      </c>
      <c r="O510" s="152"/>
      <c r="P510" s="149" t="s">
        <v>22616</v>
      </c>
      <c r="Q510" s="155">
        <v>1</v>
      </c>
      <c r="R510" s="152"/>
      <c r="S510" s="149" t="s">
        <v>47</v>
      </c>
      <c r="T510" s="153"/>
      <c r="U510" s="152"/>
      <c r="V510" s="149" t="s">
        <v>47</v>
      </c>
      <c r="W510" s="153"/>
      <c r="X510" s="152"/>
      <c r="Y510" s="149" t="s">
        <v>47</v>
      </c>
      <c r="Z510" s="153"/>
      <c r="AA510" s="152"/>
      <c r="AB510" s="154" t="s">
        <v>7061</v>
      </c>
    </row>
    <row r="511" spans="1:28" x14ac:dyDescent="0.2">
      <c r="A511" s="146" t="s">
        <v>7062</v>
      </c>
      <c r="B511" s="147" t="s">
        <v>6130</v>
      </c>
      <c r="C511" s="147" t="s">
        <v>6175</v>
      </c>
      <c r="D511" s="148"/>
      <c r="E511" s="149" t="s">
        <v>22617</v>
      </c>
      <c r="F511" s="159">
        <v>3</v>
      </c>
      <c r="G511" s="149" t="s">
        <v>22618</v>
      </c>
      <c r="H511" s="157">
        <v>2</v>
      </c>
      <c r="I511" s="156" t="s">
        <v>40</v>
      </c>
      <c r="J511" s="149" t="s">
        <v>22619</v>
      </c>
      <c r="K511" s="157">
        <v>2</v>
      </c>
      <c r="L511" s="152"/>
      <c r="M511" s="149" t="s">
        <v>22617</v>
      </c>
      <c r="N511" s="158">
        <v>3</v>
      </c>
      <c r="O511" s="152"/>
      <c r="P511" s="149" t="s">
        <v>22620</v>
      </c>
      <c r="Q511" s="158">
        <v>3</v>
      </c>
      <c r="R511" s="152"/>
      <c r="S511" s="149" t="s">
        <v>22621</v>
      </c>
      <c r="T511" s="157">
        <v>2</v>
      </c>
      <c r="U511" s="152"/>
      <c r="V511" s="149" t="s">
        <v>22622</v>
      </c>
      <c r="W511" s="157">
        <v>2</v>
      </c>
      <c r="X511" s="152"/>
      <c r="Y511" s="149" t="s">
        <v>22623</v>
      </c>
      <c r="Z511" s="157">
        <v>2</v>
      </c>
      <c r="AA511" s="152"/>
      <c r="AB511" s="154" t="s">
        <v>4253</v>
      </c>
    </row>
    <row r="512" spans="1:28" x14ac:dyDescent="0.2">
      <c r="A512" s="146" t="s">
        <v>7063</v>
      </c>
      <c r="B512" s="147" t="s">
        <v>6130</v>
      </c>
      <c r="C512" s="147" t="s">
        <v>6829</v>
      </c>
      <c r="D512" s="148"/>
      <c r="E512" s="149" t="s">
        <v>22624</v>
      </c>
      <c r="F512" s="160">
        <v>2</v>
      </c>
      <c r="G512" s="149" t="s">
        <v>22625</v>
      </c>
      <c r="H512" s="157">
        <v>2</v>
      </c>
      <c r="I512" s="156" t="s">
        <v>46</v>
      </c>
      <c r="J512" s="149" t="s">
        <v>22626</v>
      </c>
      <c r="K512" s="157">
        <v>2</v>
      </c>
      <c r="L512" s="152"/>
      <c r="M512" s="149" t="s">
        <v>22624</v>
      </c>
      <c r="N512" s="157">
        <v>2</v>
      </c>
      <c r="O512" s="152"/>
      <c r="P512" s="149" t="s">
        <v>10960</v>
      </c>
      <c r="Q512" s="155">
        <v>1</v>
      </c>
      <c r="R512" s="152"/>
      <c r="S512" s="149" t="s">
        <v>47</v>
      </c>
      <c r="T512" s="153"/>
      <c r="U512" s="152"/>
      <c r="V512" s="149" t="s">
        <v>47</v>
      </c>
      <c r="W512" s="153"/>
      <c r="X512" s="152"/>
      <c r="Y512" s="149" t="s">
        <v>47</v>
      </c>
      <c r="Z512" s="153"/>
      <c r="AA512" s="152"/>
      <c r="AB512" s="154" t="s">
        <v>4259</v>
      </c>
    </row>
    <row r="513" spans="1:28" x14ac:dyDescent="0.2">
      <c r="A513" s="146" t="s">
        <v>22627</v>
      </c>
      <c r="B513" s="147" t="s">
        <v>6130</v>
      </c>
      <c r="C513" s="147" t="s">
        <v>6829</v>
      </c>
      <c r="D513" s="148"/>
      <c r="E513" s="149" t="s">
        <v>47</v>
      </c>
      <c r="F513" s="152"/>
      <c r="G513" s="149" t="s">
        <v>22628</v>
      </c>
      <c r="H513" s="157">
        <v>2</v>
      </c>
      <c r="I513" s="152"/>
      <c r="J513" s="149" t="s">
        <v>47</v>
      </c>
      <c r="K513" s="153"/>
      <c r="L513" s="152"/>
      <c r="M513" s="149" t="s">
        <v>47</v>
      </c>
      <c r="N513" s="153"/>
      <c r="O513" s="152"/>
      <c r="P513" s="149" t="s">
        <v>47</v>
      </c>
      <c r="Q513" s="153"/>
      <c r="R513" s="152"/>
      <c r="S513" s="149" t="s">
        <v>47</v>
      </c>
      <c r="T513" s="153"/>
      <c r="U513" s="152"/>
      <c r="V513" s="149" t="s">
        <v>47</v>
      </c>
      <c r="W513" s="153"/>
      <c r="X513" s="152"/>
      <c r="Y513" s="149" t="s">
        <v>47</v>
      </c>
      <c r="Z513" s="153"/>
      <c r="AA513" s="152"/>
      <c r="AB513" s="154" t="s">
        <v>22629</v>
      </c>
    </row>
    <row r="514" spans="1:28" x14ac:dyDescent="0.2">
      <c r="A514" s="146" t="s">
        <v>22630</v>
      </c>
      <c r="B514" s="147" t="s">
        <v>6130</v>
      </c>
      <c r="C514" s="147" t="s">
        <v>6829</v>
      </c>
      <c r="D514" s="148"/>
      <c r="E514" s="149" t="s">
        <v>47</v>
      </c>
      <c r="F514" s="152"/>
      <c r="G514" s="149" t="s">
        <v>22631</v>
      </c>
      <c r="H514" s="157">
        <v>2</v>
      </c>
      <c r="I514" s="156" t="s">
        <v>46</v>
      </c>
      <c r="J514" s="149" t="s">
        <v>22632</v>
      </c>
      <c r="K514" s="155">
        <v>1</v>
      </c>
      <c r="L514" s="152"/>
      <c r="M514" s="149" t="s">
        <v>47</v>
      </c>
      <c r="N514" s="153"/>
      <c r="O514" s="152"/>
      <c r="P514" s="149" t="s">
        <v>47</v>
      </c>
      <c r="Q514" s="153"/>
      <c r="R514" s="152"/>
      <c r="S514" s="149" t="s">
        <v>47</v>
      </c>
      <c r="T514" s="153"/>
      <c r="U514" s="152"/>
      <c r="V514" s="149" t="s">
        <v>47</v>
      </c>
      <c r="W514" s="153"/>
      <c r="X514" s="152"/>
      <c r="Y514" s="149" t="s">
        <v>47</v>
      </c>
      <c r="Z514" s="153"/>
      <c r="AA514" s="152"/>
      <c r="AB514" s="154" t="s">
        <v>16426</v>
      </c>
    </row>
    <row r="515" spans="1:28" x14ac:dyDescent="0.2">
      <c r="A515" s="146" t="s">
        <v>7064</v>
      </c>
      <c r="B515" s="147" t="s">
        <v>6130</v>
      </c>
      <c r="C515" s="147" t="s">
        <v>6175</v>
      </c>
      <c r="D515" s="148"/>
      <c r="E515" s="149" t="s">
        <v>22633</v>
      </c>
      <c r="F515" s="160">
        <v>2</v>
      </c>
      <c r="G515" s="149" t="s">
        <v>22634</v>
      </c>
      <c r="H515" s="157">
        <v>2</v>
      </c>
      <c r="I515" s="152"/>
      <c r="J515" s="149" t="s">
        <v>22635</v>
      </c>
      <c r="K515" s="157">
        <v>2</v>
      </c>
      <c r="L515" s="152"/>
      <c r="M515" s="149" t="s">
        <v>22633</v>
      </c>
      <c r="N515" s="157">
        <v>2</v>
      </c>
      <c r="O515" s="152"/>
      <c r="P515" s="149" t="s">
        <v>22636</v>
      </c>
      <c r="Q515" s="157">
        <v>2</v>
      </c>
      <c r="R515" s="152"/>
      <c r="S515" s="149" t="s">
        <v>22637</v>
      </c>
      <c r="T515" s="157">
        <v>2</v>
      </c>
      <c r="U515" s="152"/>
      <c r="V515" s="149" t="s">
        <v>9474</v>
      </c>
      <c r="W515" s="157">
        <v>2</v>
      </c>
      <c r="X515" s="152"/>
      <c r="Y515" s="149" t="s">
        <v>22638</v>
      </c>
      <c r="Z515" s="157">
        <v>2</v>
      </c>
      <c r="AA515" s="152"/>
      <c r="AB515" s="154" t="s">
        <v>4264</v>
      </c>
    </row>
    <row r="516" spans="1:28" x14ac:dyDescent="0.2">
      <c r="A516" s="146" t="s">
        <v>7065</v>
      </c>
      <c r="B516" s="147" t="s">
        <v>6130</v>
      </c>
      <c r="C516" s="147" t="s">
        <v>6175</v>
      </c>
      <c r="D516" s="148"/>
      <c r="E516" s="149" t="s">
        <v>22639</v>
      </c>
      <c r="F516" s="160">
        <v>2</v>
      </c>
      <c r="G516" s="149" t="s">
        <v>22640</v>
      </c>
      <c r="H516" s="157">
        <v>2</v>
      </c>
      <c r="I516" s="152"/>
      <c r="J516" s="149" t="s">
        <v>22641</v>
      </c>
      <c r="K516" s="157">
        <v>2</v>
      </c>
      <c r="L516" s="152"/>
      <c r="M516" s="149" t="s">
        <v>22639</v>
      </c>
      <c r="N516" s="157">
        <v>2</v>
      </c>
      <c r="O516" s="152"/>
      <c r="P516" s="149" t="s">
        <v>22642</v>
      </c>
      <c r="Q516" s="157">
        <v>2</v>
      </c>
      <c r="R516" s="152"/>
      <c r="S516" s="149" t="s">
        <v>22643</v>
      </c>
      <c r="T516" s="155">
        <v>1</v>
      </c>
      <c r="U516" s="152"/>
      <c r="V516" s="149" t="s">
        <v>22644</v>
      </c>
      <c r="W516" s="157">
        <v>2</v>
      </c>
      <c r="X516" s="152"/>
      <c r="Y516" s="149" t="s">
        <v>15671</v>
      </c>
      <c r="Z516" s="157">
        <v>2</v>
      </c>
      <c r="AA516" s="152"/>
      <c r="AB516" s="154" t="s">
        <v>4286</v>
      </c>
    </row>
    <row r="517" spans="1:28" x14ac:dyDescent="0.2">
      <c r="A517" s="146" t="s">
        <v>7066</v>
      </c>
      <c r="B517" s="147" t="s">
        <v>6130</v>
      </c>
      <c r="C517" s="147" t="s">
        <v>6766</v>
      </c>
      <c r="D517" s="148"/>
      <c r="E517" s="149" t="s">
        <v>22645</v>
      </c>
      <c r="F517" s="161">
        <v>1</v>
      </c>
      <c r="G517" s="149" t="s">
        <v>22646</v>
      </c>
      <c r="H517" s="151">
        <v>4</v>
      </c>
      <c r="I517" s="156" t="s">
        <v>44</v>
      </c>
      <c r="J517" s="149" t="s">
        <v>22647</v>
      </c>
      <c r="K517" s="155">
        <v>1</v>
      </c>
      <c r="L517" s="152"/>
      <c r="M517" s="149" t="s">
        <v>22645</v>
      </c>
      <c r="N517" s="155">
        <v>1</v>
      </c>
      <c r="O517" s="152"/>
      <c r="P517" s="149" t="s">
        <v>22648</v>
      </c>
      <c r="Q517" s="155">
        <v>1</v>
      </c>
      <c r="R517" s="152"/>
      <c r="S517" s="149" t="s">
        <v>22649</v>
      </c>
      <c r="T517" s="155">
        <v>1</v>
      </c>
      <c r="U517" s="152"/>
      <c r="V517" s="149" t="s">
        <v>7067</v>
      </c>
      <c r="W517" s="155">
        <v>1</v>
      </c>
      <c r="X517" s="152"/>
      <c r="Y517" s="149" t="s">
        <v>47</v>
      </c>
      <c r="Z517" s="153"/>
      <c r="AA517" s="152"/>
      <c r="AB517" s="154" t="s">
        <v>4292</v>
      </c>
    </row>
    <row r="518" spans="1:28" x14ac:dyDescent="0.2">
      <c r="A518" s="146" t="s">
        <v>7068</v>
      </c>
      <c r="B518" s="147" t="s">
        <v>6130</v>
      </c>
      <c r="C518" s="147" t="s">
        <v>6192</v>
      </c>
      <c r="D518" s="148"/>
      <c r="E518" s="149" t="s">
        <v>22650</v>
      </c>
      <c r="F518" s="150">
        <v>4</v>
      </c>
      <c r="G518" s="149" t="s">
        <v>22651</v>
      </c>
      <c r="H518" s="157">
        <v>2</v>
      </c>
      <c r="I518" s="156" t="s">
        <v>40</v>
      </c>
      <c r="J518" s="149" t="s">
        <v>22652</v>
      </c>
      <c r="K518" s="158">
        <v>3</v>
      </c>
      <c r="L518" s="152"/>
      <c r="M518" s="149" t="s">
        <v>22650</v>
      </c>
      <c r="N518" s="151">
        <v>4</v>
      </c>
      <c r="O518" s="152"/>
      <c r="P518" s="149" t="s">
        <v>22653</v>
      </c>
      <c r="Q518" s="151">
        <v>4</v>
      </c>
      <c r="R518" s="152"/>
      <c r="S518" s="149" t="s">
        <v>47</v>
      </c>
      <c r="T518" s="153"/>
      <c r="U518" s="152"/>
      <c r="V518" s="149" t="s">
        <v>47</v>
      </c>
      <c r="W518" s="153"/>
      <c r="X518" s="152"/>
      <c r="Y518" s="149" t="s">
        <v>47</v>
      </c>
      <c r="Z518" s="153"/>
      <c r="AA518" s="152"/>
      <c r="AB518" s="154" t="s">
        <v>7069</v>
      </c>
    </row>
    <row r="519" spans="1:28" x14ac:dyDescent="0.2">
      <c r="A519" s="146" t="s">
        <v>4331</v>
      </c>
      <c r="B519" s="147" t="s">
        <v>6130</v>
      </c>
      <c r="C519" s="147" t="s">
        <v>6203</v>
      </c>
      <c r="D519" s="148" t="s">
        <v>6170</v>
      </c>
      <c r="E519" s="149" t="s">
        <v>22654</v>
      </c>
      <c r="F519" s="150">
        <v>4</v>
      </c>
      <c r="G519" s="149" t="s">
        <v>22655</v>
      </c>
      <c r="H519" s="151">
        <v>4</v>
      </c>
      <c r="I519" s="156" t="s">
        <v>55</v>
      </c>
      <c r="J519" s="149" t="s">
        <v>22656</v>
      </c>
      <c r="K519" s="158">
        <v>3</v>
      </c>
      <c r="L519" s="156" t="s">
        <v>40</v>
      </c>
      <c r="M519" s="149" t="s">
        <v>22654</v>
      </c>
      <c r="N519" s="151">
        <v>4</v>
      </c>
      <c r="O519" s="152"/>
      <c r="P519" s="149" t="s">
        <v>22657</v>
      </c>
      <c r="Q519" s="151">
        <v>4</v>
      </c>
      <c r="R519" s="152"/>
      <c r="S519" s="149" t="s">
        <v>22658</v>
      </c>
      <c r="T519" s="151">
        <v>4</v>
      </c>
      <c r="U519" s="152"/>
      <c r="V519" s="149" t="s">
        <v>22659</v>
      </c>
      <c r="W519" s="151">
        <v>4</v>
      </c>
      <c r="X519" s="152"/>
      <c r="Y519" s="149" t="s">
        <v>22660</v>
      </c>
      <c r="Z519" s="157">
        <v>2</v>
      </c>
      <c r="AA519" s="152"/>
      <c r="AB519" s="154" t="s">
        <v>4332</v>
      </c>
    </row>
    <row r="520" spans="1:28" x14ac:dyDescent="0.2">
      <c r="A520" s="146" t="s">
        <v>7070</v>
      </c>
      <c r="B520" s="147" t="s">
        <v>6130</v>
      </c>
      <c r="C520" s="147" t="s">
        <v>6131</v>
      </c>
      <c r="D520" s="148"/>
      <c r="E520" s="149" t="s">
        <v>22661</v>
      </c>
      <c r="F520" s="160">
        <v>2</v>
      </c>
      <c r="G520" s="149" t="s">
        <v>22662</v>
      </c>
      <c r="H520" s="157">
        <v>2</v>
      </c>
      <c r="I520" s="156" t="s">
        <v>53</v>
      </c>
      <c r="J520" s="149" t="s">
        <v>22663</v>
      </c>
      <c r="K520" s="158">
        <v>3</v>
      </c>
      <c r="L520" s="156" t="s">
        <v>46</v>
      </c>
      <c r="M520" s="149" t="s">
        <v>22661</v>
      </c>
      <c r="N520" s="157">
        <v>2</v>
      </c>
      <c r="O520" s="152"/>
      <c r="P520" s="149" t="s">
        <v>22664</v>
      </c>
      <c r="Q520" s="157">
        <v>2</v>
      </c>
      <c r="R520" s="156" t="s">
        <v>40</v>
      </c>
      <c r="S520" s="149" t="s">
        <v>47</v>
      </c>
      <c r="T520" s="153"/>
      <c r="U520" s="152"/>
      <c r="V520" s="149" t="s">
        <v>47</v>
      </c>
      <c r="W520" s="153"/>
      <c r="X520" s="152"/>
      <c r="Y520" s="149" t="s">
        <v>47</v>
      </c>
      <c r="Z520" s="153"/>
      <c r="AA520" s="152"/>
      <c r="AB520" s="154" t="s">
        <v>4334</v>
      </c>
    </row>
    <row r="521" spans="1:28" x14ac:dyDescent="0.2">
      <c r="A521" s="146" t="s">
        <v>7071</v>
      </c>
      <c r="B521" s="147" t="s">
        <v>6130</v>
      </c>
      <c r="C521" s="147" t="s">
        <v>6131</v>
      </c>
      <c r="D521" s="148"/>
      <c r="E521" s="149" t="s">
        <v>47</v>
      </c>
      <c r="F521" s="152"/>
      <c r="G521" s="149" t="s">
        <v>22665</v>
      </c>
      <c r="H521" s="158">
        <v>3</v>
      </c>
      <c r="I521" s="156" t="s">
        <v>40</v>
      </c>
      <c r="J521" s="149" t="s">
        <v>22666</v>
      </c>
      <c r="K521" s="151">
        <v>4</v>
      </c>
      <c r="L521" s="152"/>
      <c r="M521" s="149" t="s">
        <v>47</v>
      </c>
      <c r="N521" s="153"/>
      <c r="O521" s="152"/>
      <c r="P521" s="149" t="s">
        <v>47</v>
      </c>
      <c r="Q521" s="153"/>
      <c r="R521" s="152"/>
      <c r="S521" s="149" t="s">
        <v>47</v>
      </c>
      <c r="T521" s="153"/>
      <c r="U521" s="152"/>
      <c r="V521" s="149" t="s">
        <v>47</v>
      </c>
      <c r="W521" s="153"/>
      <c r="X521" s="152"/>
      <c r="Y521" s="149" t="s">
        <v>47</v>
      </c>
      <c r="Z521" s="153"/>
      <c r="AA521" s="152"/>
      <c r="AB521" s="154" t="s">
        <v>4335</v>
      </c>
    </row>
    <row r="522" spans="1:28" x14ac:dyDescent="0.2">
      <c r="A522" s="146" t="s">
        <v>7072</v>
      </c>
      <c r="B522" s="147" t="s">
        <v>6130</v>
      </c>
      <c r="C522" s="147" t="s">
        <v>6175</v>
      </c>
      <c r="D522" s="148"/>
      <c r="E522" s="149" t="s">
        <v>22667</v>
      </c>
      <c r="F522" s="159">
        <v>3</v>
      </c>
      <c r="G522" s="149" t="s">
        <v>22668</v>
      </c>
      <c r="H522" s="158">
        <v>3</v>
      </c>
      <c r="I522" s="152"/>
      <c r="J522" s="149" t="s">
        <v>22669</v>
      </c>
      <c r="K522" s="158">
        <v>3</v>
      </c>
      <c r="L522" s="152"/>
      <c r="M522" s="149" t="s">
        <v>22667</v>
      </c>
      <c r="N522" s="158">
        <v>3</v>
      </c>
      <c r="O522" s="152"/>
      <c r="P522" s="149" t="s">
        <v>22670</v>
      </c>
      <c r="Q522" s="158">
        <v>3</v>
      </c>
      <c r="R522" s="152"/>
      <c r="S522" s="149" t="s">
        <v>22671</v>
      </c>
      <c r="T522" s="158">
        <v>3</v>
      </c>
      <c r="U522" s="152"/>
      <c r="V522" s="149" t="s">
        <v>22672</v>
      </c>
      <c r="W522" s="158">
        <v>3</v>
      </c>
      <c r="X522" s="152"/>
      <c r="Y522" s="149" t="s">
        <v>22673</v>
      </c>
      <c r="Z522" s="151">
        <v>4</v>
      </c>
      <c r="AA522" s="152"/>
      <c r="AB522" s="154" t="s">
        <v>4340</v>
      </c>
    </row>
    <row r="523" spans="1:28" x14ac:dyDescent="0.2">
      <c r="A523" s="146" t="s">
        <v>7073</v>
      </c>
      <c r="B523" s="147" t="s">
        <v>6130</v>
      </c>
      <c r="C523" s="147" t="s">
        <v>6277</v>
      </c>
      <c r="D523" s="148" t="s">
        <v>6136</v>
      </c>
      <c r="E523" s="149" t="s">
        <v>22674</v>
      </c>
      <c r="F523" s="160">
        <v>2</v>
      </c>
      <c r="G523" s="149" t="s">
        <v>22675</v>
      </c>
      <c r="H523" s="155">
        <v>1</v>
      </c>
      <c r="I523" s="152"/>
      <c r="J523" s="149" t="s">
        <v>22676</v>
      </c>
      <c r="K523" s="155">
        <v>1</v>
      </c>
      <c r="L523" s="152"/>
      <c r="M523" s="149" t="s">
        <v>22674</v>
      </c>
      <c r="N523" s="157">
        <v>2</v>
      </c>
      <c r="O523" s="152"/>
      <c r="P523" s="149" t="s">
        <v>22677</v>
      </c>
      <c r="Q523" s="158">
        <v>3</v>
      </c>
      <c r="R523" s="152"/>
      <c r="S523" s="149" t="s">
        <v>22678</v>
      </c>
      <c r="T523" s="158">
        <v>3</v>
      </c>
      <c r="U523" s="152"/>
      <c r="V523" s="149" t="s">
        <v>22679</v>
      </c>
      <c r="W523" s="155">
        <v>1</v>
      </c>
      <c r="X523" s="152"/>
      <c r="Y523" s="149" t="s">
        <v>22680</v>
      </c>
      <c r="Z523" s="158">
        <v>3</v>
      </c>
      <c r="AA523" s="152"/>
      <c r="AB523" s="154" t="s">
        <v>3615</v>
      </c>
    </row>
    <row r="524" spans="1:28" x14ac:dyDescent="0.2">
      <c r="A524" s="146" t="s">
        <v>7074</v>
      </c>
      <c r="B524" s="147" t="s">
        <v>6130</v>
      </c>
      <c r="C524" s="147" t="s">
        <v>6583</v>
      </c>
      <c r="D524" s="148" t="s">
        <v>6160</v>
      </c>
      <c r="E524" s="149" t="s">
        <v>22681</v>
      </c>
      <c r="F524" s="160">
        <v>2</v>
      </c>
      <c r="G524" s="149" t="s">
        <v>22682</v>
      </c>
      <c r="H524" s="155">
        <v>1</v>
      </c>
      <c r="I524" s="156" t="s">
        <v>53</v>
      </c>
      <c r="J524" s="149" t="s">
        <v>22683</v>
      </c>
      <c r="K524" s="157">
        <v>2</v>
      </c>
      <c r="L524" s="152"/>
      <c r="M524" s="149" t="s">
        <v>22681</v>
      </c>
      <c r="N524" s="157">
        <v>2</v>
      </c>
      <c r="O524" s="152"/>
      <c r="P524" s="149" t="s">
        <v>22684</v>
      </c>
      <c r="Q524" s="157">
        <v>2</v>
      </c>
      <c r="R524" s="152"/>
      <c r="S524" s="149" t="s">
        <v>22685</v>
      </c>
      <c r="T524" s="158">
        <v>3</v>
      </c>
      <c r="U524" s="152"/>
      <c r="V524" s="149" t="s">
        <v>22686</v>
      </c>
      <c r="W524" s="157">
        <v>2</v>
      </c>
      <c r="X524" s="152"/>
      <c r="Y524" s="149" t="s">
        <v>22687</v>
      </c>
      <c r="Z524" s="157">
        <v>2</v>
      </c>
      <c r="AA524" s="156" t="s">
        <v>40</v>
      </c>
      <c r="AB524" s="154" t="s">
        <v>4344</v>
      </c>
    </row>
    <row r="525" spans="1:28" x14ac:dyDescent="0.2">
      <c r="A525" s="146" t="s">
        <v>22688</v>
      </c>
      <c r="B525" s="147" t="s">
        <v>6130</v>
      </c>
      <c r="C525" s="147" t="s">
        <v>7075</v>
      </c>
      <c r="D525" s="148"/>
      <c r="E525" s="149" t="s">
        <v>47</v>
      </c>
      <c r="F525" s="152"/>
      <c r="G525" s="149" t="s">
        <v>47</v>
      </c>
      <c r="H525" s="153"/>
      <c r="I525" s="152"/>
      <c r="J525" s="149" t="s">
        <v>47</v>
      </c>
      <c r="K525" s="153"/>
      <c r="L525" s="152"/>
      <c r="M525" s="149" t="s">
        <v>47</v>
      </c>
      <c r="N525" s="153"/>
      <c r="O525" s="152"/>
      <c r="P525" s="149" t="s">
        <v>47</v>
      </c>
      <c r="Q525" s="153"/>
      <c r="R525" s="152"/>
      <c r="S525" s="149" t="s">
        <v>47</v>
      </c>
      <c r="T525" s="153"/>
      <c r="U525" s="152"/>
      <c r="V525" s="149" t="s">
        <v>47</v>
      </c>
      <c r="W525" s="153"/>
      <c r="X525" s="152"/>
      <c r="Y525" s="149" t="s">
        <v>47</v>
      </c>
      <c r="Z525" s="153"/>
      <c r="AA525" s="152"/>
      <c r="AB525" s="154" t="s">
        <v>22689</v>
      </c>
    </row>
    <row r="526" spans="1:28" x14ac:dyDescent="0.2">
      <c r="A526" s="146" t="s">
        <v>7076</v>
      </c>
      <c r="B526" s="147" t="s">
        <v>6130</v>
      </c>
      <c r="C526" s="147" t="s">
        <v>6339</v>
      </c>
      <c r="D526" s="148" t="s">
        <v>6136</v>
      </c>
      <c r="E526" s="149" t="s">
        <v>5177</v>
      </c>
      <c r="F526" s="161">
        <v>1</v>
      </c>
      <c r="G526" s="149" t="s">
        <v>7077</v>
      </c>
      <c r="H526" s="155">
        <v>1</v>
      </c>
      <c r="I526" s="156" t="s">
        <v>40</v>
      </c>
      <c r="J526" s="149" t="s">
        <v>22690</v>
      </c>
      <c r="K526" s="155">
        <v>1</v>
      </c>
      <c r="L526" s="152"/>
      <c r="M526" s="149" t="s">
        <v>5177</v>
      </c>
      <c r="N526" s="155">
        <v>1</v>
      </c>
      <c r="O526" s="156" t="s">
        <v>40</v>
      </c>
      <c r="P526" s="149" t="s">
        <v>7078</v>
      </c>
      <c r="Q526" s="157">
        <v>2</v>
      </c>
      <c r="R526" s="152"/>
      <c r="S526" s="149" t="s">
        <v>21663</v>
      </c>
      <c r="T526" s="158">
        <v>3</v>
      </c>
      <c r="U526" s="152"/>
      <c r="V526" s="149" t="s">
        <v>22691</v>
      </c>
      <c r="W526" s="157">
        <v>2</v>
      </c>
      <c r="X526" s="152"/>
      <c r="Y526" s="149" t="s">
        <v>266</v>
      </c>
      <c r="Z526" s="158">
        <v>3</v>
      </c>
      <c r="AA526" s="152"/>
      <c r="AB526" s="154" t="s">
        <v>4378</v>
      </c>
    </row>
    <row r="527" spans="1:28" x14ac:dyDescent="0.2">
      <c r="A527" s="146" t="s">
        <v>22692</v>
      </c>
      <c r="B527" s="147" t="s">
        <v>6130</v>
      </c>
      <c r="C527" s="147" t="s">
        <v>6203</v>
      </c>
      <c r="D527" s="148"/>
      <c r="E527" s="149" t="s">
        <v>47</v>
      </c>
      <c r="F527" s="152"/>
      <c r="G527" s="149" t="s">
        <v>22693</v>
      </c>
      <c r="H527" s="151">
        <v>4</v>
      </c>
      <c r="I527" s="152"/>
      <c r="J527" s="149" t="s">
        <v>47</v>
      </c>
      <c r="K527" s="153"/>
      <c r="L527" s="152"/>
      <c r="M527" s="149" t="s">
        <v>47</v>
      </c>
      <c r="N527" s="153"/>
      <c r="O527" s="152"/>
      <c r="P527" s="149" t="s">
        <v>47</v>
      </c>
      <c r="Q527" s="153"/>
      <c r="R527" s="152"/>
      <c r="S527" s="149" t="s">
        <v>47</v>
      </c>
      <c r="T527" s="153"/>
      <c r="U527" s="152"/>
      <c r="V527" s="149" t="s">
        <v>47</v>
      </c>
      <c r="W527" s="153"/>
      <c r="X527" s="152"/>
      <c r="Y527" s="149" t="s">
        <v>47</v>
      </c>
      <c r="Z527" s="153"/>
      <c r="AA527" s="152"/>
      <c r="AB527" s="154" t="s">
        <v>4388</v>
      </c>
    </row>
    <row r="528" spans="1:28" x14ac:dyDescent="0.2">
      <c r="A528" s="146" t="s">
        <v>4389</v>
      </c>
      <c r="B528" s="147" t="s">
        <v>6130</v>
      </c>
      <c r="C528" s="147" t="s">
        <v>6213</v>
      </c>
      <c r="D528" s="148" t="s">
        <v>6132</v>
      </c>
      <c r="E528" s="149" t="s">
        <v>22694</v>
      </c>
      <c r="F528" s="160">
        <v>2</v>
      </c>
      <c r="G528" s="149" t="s">
        <v>22695</v>
      </c>
      <c r="H528" s="158">
        <v>3</v>
      </c>
      <c r="I528" s="156" t="s">
        <v>46</v>
      </c>
      <c r="J528" s="149" t="s">
        <v>22696</v>
      </c>
      <c r="K528" s="157">
        <v>2</v>
      </c>
      <c r="L528" s="156" t="s">
        <v>46</v>
      </c>
      <c r="M528" s="149" t="s">
        <v>22694</v>
      </c>
      <c r="N528" s="157">
        <v>2</v>
      </c>
      <c r="O528" s="156" t="s">
        <v>46</v>
      </c>
      <c r="P528" s="149" t="s">
        <v>21480</v>
      </c>
      <c r="Q528" s="157">
        <v>2</v>
      </c>
      <c r="R528" s="156" t="s">
        <v>46</v>
      </c>
      <c r="S528" s="149" t="s">
        <v>17539</v>
      </c>
      <c r="T528" s="157">
        <v>2</v>
      </c>
      <c r="U528" s="156" t="s">
        <v>46</v>
      </c>
      <c r="V528" s="149" t="s">
        <v>1687</v>
      </c>
      <c r="W528" s="155">
        <v>1</v>
      </c>
      <c r="X528" s="152"/>
      <c r="Y528" s="149" t="s">
        <v>22697</v>
      </c>
      <c r="Z528" s="157">
        <v>2</v>
      </c>
      <c r="AA528" s="152"/>
      <c r="AB528" s="154" t="s">
        <v>4391</v>
      </c>
    </row>
    <row r="529" spans="1:28" x14ac:dyDescent="0.2">
      <c r="A529" s="146" t="s">
        <v>7079</v>
      </c>
      <c r="B529" s="147" t="s">
        <v>6130</v>
      </c>
      <c r="C529" s="147" t="s">
        <v>6300</v>
      </c>
      <c r="D529" s="148"/>
      <c r="E529" s="149" t="s">
        <v>7080</v>
      </c>
      <c r="F529" s="150">
        <v>4</v>
      </c>
      <c r="G529" s="149" t="s">
        <v>22698</v>
      </c>
      <c r="H529" s="158">
        <v>3</v>
      </c>
      <c r="I529" s="152"/>
      <c r="J529" s="149" t="s">
        <v>22699</v>
      </c>
      <c r="K529" s="158">
        <v>3</v>
      </c>
      <c r="L529" s="156" t="s">
        <v>40</v>
      </c>
      <c r="M529" s="149" t="s">
        <v>7080</v>
      </c>
      <c r="N529" s="151">
        <v>4</v>
      </c>
      <c r="O529" s="152"/>
      <c r="P529" s="149" t="s">
        <v>22700</v>
      </c>
      <c r="Q529" s="157">
        <v>2</v>
      </c>
      <c r="R529" s="156" t="s">
        <v>46</v>
      </c>
      <c r="S529" s="149" t="s">
        <v>22701</v>
      </c>
      <c r="T529" s="155">
        <v>1</v>
      </c>
      <c r="U529" s="152"/>
      <c r="V529" s="149" t="s">
        <v>22702</v>
      </c>
      <c r="W529" s="155">
        <v>1</v>
      </c>
      <c r="X529" s="152"/>
      <c r="Y529" s="149" t="s">
        <v>22703</v>
      </c>
      <c r="Z529" s="155">
        <v>1</v>
      </c>
      <c r="AA529" s="152"/>
      <c r="AB529" s="154" t="s">
        <v>7081</v>
      </c>
    </row>
    <row r="530" spans="1:28" x14ac:dyDescent="0.2">
      <c r="A530" s="146" t="s">
        <v>22704</v>
      </c>
      <c r="B530" s="147" t="s">
        <v>6130</v>
      </c>
      <c r="C530" s="147" t="s">
        <v>6175</v>
      </c>
      <c r="D530" s="148"/>
      <c r="E530" s="149" t="s">
        <v>22705</v>
      </c>
      <c r="F530" s="159">
        <v>3</v>
      </c>
      <c r="G530" s="149" t="s">
        <v>22706</v>
      </c>
      <c r="H530" s="157">
        <v>2</v>
      </c>
      <c r="I530" s="156" t="s">
        <v>40</v>
      </c>
      <c r="J530" s="149" t="s">
        <v>22707</v>
      </c>
      <c r="K530" s="158">
        <v>3</v>
      </c>
      <c r="L530" s="152"/>
      <c r="M530" s="149" t="s">
        <v>22705</v>
      </c>
      <c r="N530" s="158">
        <v>3</v>
      </c>
      <c r="O530" s="152"/>
      <c r="P530" s="149" t="s">
        <v>18845</v>
      </c>
      <c r="Q530" s="158">
        <v>3</v>
      </c>
      <c r="R530" s="152"/>
      <c r="S530" s="149" t="s">
        <v>22708</v>
      </c>
      <c r="T530" s="158">
        <v>3</v>
      </c>
      <c r="U530" s="152"/>
      <c r="V530" s="149" t="s">
        <v>22709</v>
      </c>
      <c r="W530" s="158">
        <v>3</v>
      </c>
      <c r="X530" s="152"/>
      <c r="Y530" s="149" t="s">
        <v>22710</v>
      </c>
      <c r="Z530" s="157">
        <v>2</v>
      </c>
      <c r="AA530" s="152"/>
      <c r="AB530" s="154" t="s">
        <v>4399</v>
      </c>
    </row>
    <row r="531" spans="1:28" x14ac:dyDescent="0.2">
      <c r="A531" s="146" t="s">
        <v>7082</v>
      </c>
      <c r="B531" s="147" t="s">
        <v>6130</v>
      </c>
      <c r="C531" s="147" t="s">
        <v>6203</v>
      </c>
      <c r="D531" s="148" t="s">
        <v>6170</v>
      </c>
      <c r="E531" s="149" t="s">
        <v>22711</v>
      </c>
      <c r="F531" s="150">
        <v>4</v>
      </c>
      <c r="G531" s="149" t="s">
        <v>22712</v>
      </c>
      <c r="H531" s="151">
        <v>4</v>
      </c>
      <c r="I531" s="156" t="s">
        <v>44</v>
      </c>
      <c r="J531" s="149" t="s">
        <v>22713</v>
      </c>
      <c r="K531" s="158">
        <v>3</v>
      </c>
      <c r="L531" s="156" t="s">
        <v>40</v>
      </c>
      <c r="M531" s="149" t="s">
        <v>22711</v>
      </c>
      <c r="N531" s="151">
        <v>4</v>
      </c>
      <c r="O531" s="152"/>
      <c r="P531" s="149" t="s">
        <v>22714</v>
      </c>
      <c r="Q531" s="151">
        <v>4</v>
      </c>
      <c r="R531" s="152"/>
      <c r="S531" s="149" t="s">
        <v>22715</v>
      </c>
      <c r="T531" s="151">
        <v>4</v>
      </c>
      <c r="U531" s="152"/>
      <c r="V531" s="149" t="s">
        <v>22716</v>
      </c>
      <c r="W531" s="158">
        <v>3</v>
      </c>
      <c r="X531" s="156" t="s">
        <v>46</v>
      </c>
      <c r="Y531" s="149" t="s">
        <v>7083</v>
      </c>
      <c r="Z531" s="157">
        <v>2</v>
      </c>
      <c r="AA531" s="152"/>
      <c r="AB531" s="154" t="s">
        <v>4404</v>
      </c>
    </row>
    <row r="532" spans="1:28" x14ac:dyDescent="0.2">
      <c r="A532" s="146" t="s">
        <v>7084</v>
      </c>
      <c r="B532" s="147" t="s">
        <v>6130</v>
      </c>
      <c r="C532" s="147" t="s">
        <v>6249</v>
      </c>
      <c r="D532" s="148" t="s">
        <v>6136</v>
      </c>
      <c r="E532" s="149" t="s">
        <v>7085</v>
      </c>
      <c r="F532" s="159">
        <v>3</v>
      </c>
      <c r="G532" s="149" t="s">
        <v>22717</v>
      </c>
      <c r="H532" s="151">
        <v>4</v>
      </c>
      <c r="I532" s="156" t="s">
        <v>46</v>
      </c>
      <c r="J532" s="149" t="s">
        <v>7086</v>
      </c>
      <c r="K532" s="151">
        <v>4</v>
      </c>
      <c r="L532" s="156" t="s">
        <v>46</v>
      </c>
      <c r="M532" s="149" t="s">
        <v>7085</v>
      </c>
      <c r="N532" s="158">
        <v>3</v>
      </c>
      <c r="O532" s="156" t="s">
        <v>46</v>
      </c>
      <c r="P532" s="149" t="s">
        <v>12917</v>
      </c>
      <c r="Q532" s="158">
        <v>3</v>
      </c>
      <c r="R532" s="156" t="s">
        <v>46</v>
      </c>
      <c r="S532" s="149" t="s">
        <v>7087</v>
      </c>
      <c r="T532" s="158">
        <v>3</v>
      </c>
      <c r="U532" s="152"/>
      <c r="V532" s="149" t="s">
        <v>22718</v>
      </c>
      <c r="W532" s="158">
        <v>3</v>
      </c>
      <c r="X532" s="152"/>
      <c r="Y532" s="149" t="s">
        <v>22719</v>
      </c>
      <c r="Z532" s="158">
        <v>3</v>
      </c>
      <c r="AA532" s="152"/>
      <c r="AB532" s="154" t="s">
        <v>4410</v>
      </c>
    </row>
    <row r="533" spans="1:28" x14ac:dyDescent="0.2">
      <c r="A533" s="146" t="s">
        <v>7088</v>
      </c>
      <c r="B533" s="147" t="s">
        <v>6130</v>
      </c>
      <c r="C533" s="147" t="s">
        <v>6172</v>
      </c>
      <c r="D533" s="148"/>
      <c r="E533" s="149" t="s">
        <v>20021</v>
      </c>
      <c r="F533" s="159">
        <v>3</v>
      </c>
      <c r="G533" s="149" t="s">
        <v>22720</v>
      </c>
      <c r="H533" s="151">
        <v>4</v>
      </c>
      <c r="I533" s="152"/>
      <c r="J533" s="149" t="s">
        <v>22721</v>
      </c>
      <c r="K533" s="151">
        <v>4</v>
      </c>
      <c r="L533" s="156" t="s">
        <v>46</v>
      </c>
      <c r="M533" s="149" t="s">
        <v>20021</v>
      </c>
      <c r="N533" s="158">
        <v>3</v>
      </c>
      <c r="O533" s="156" t="s">
        <v>46</v>
      </c>
      <c r="P533" s="149" t="s">
        <v>9702</v>
      </c>
      <c r="Q533" s="155">
        <v>1</v>
      </c>
      <c r="R533" s="152"/>
      <c r="S533" s="149" t="s">
        <v>47</v>
      </c>
      <c r="T533" s="153"/>
      <c r="U533" s="152"/>
      <c r="V533" s="149" t="s">
        <v>47</v>
      </c>
      <c r="W533" s="153"/>
      <c r="X533" s="152"/>
      <c r="Y533" s="149" t="s">
        <v>47</v>
      </c>
      <c r="Z533" s="153"/>
      <c r="AA533" s="152"/>
      <c r="AB533" s="154" t="s">
        <v>4424</v>
      </c>
    </row>
    <row r="534" spans="1:28" x14ac:dyDescent="0.2">
      <c r="A534" s="146" t="s">
        <v>7089</v>
      </c>
      <c r="B534" s="147" t="s">
        <v>6130</v>
      </c>
      <c r="C534" s="147" t="s">
        <v>6172</v>
      </c>
      <c r="D534" s="148" t="s">
        <v>6132</v>
      </c>
      <c r="E534" s="149" t="s">
        <v>22722</v>
      </c>
      <c r="F534" s="161">
        <v>1</v>
      </c>
      <c r="G534" s="149" t="s">
        <v>7090</v>
      </c>
      <c r="H534" s="157">
        <v>2</v>
      </c>
      <c r="I534" s="156" t="s">
        <v>46</v>
      </c>
      <c r="J534" s="149" t="s">
        <v>22723</v>
      </c>
      <c r="K534" s="155">
        <v>1</v>
      </c>
      <c r="L534" s="152"/>
      <c r="M534" s="149" t="s">
        <v>22722</v>
      </c>
      <c r="N534" s="155">
        <v>1</v>
      </c>
      <c r="O534" s="152"/>
      <c r="P534" s="149" t="s">
        <v>22724</v>
      </c>
      <c r="Q534" s="155">
        <v>1</v>
      </c>
      <c r="R534" s="152"/>
      <c r="S534" s="149" t="s">
        <v>22725</v>
      </c>
      <c r="T534" s="157">
        <v>2</v>
      </c>
      <c r="U534" s="152"/>
      <c r="V534" s="149" t="s">
        <v>7091</v>
      </c>
      <c r="W534" s="155">
        <v>1</v>
      </c>
      <c r="X534" s="152"/>
      <c r="Y534" s="149" t="s">
        <v>47</v>
      </c>
      <c r="Z534" s="153"/>
      <c r="AA534" s="152"/>
      <c r="AB534" s="154" t="s">
        <v>4428</v>
      </c>
    </row>
    <row r="535" spans="1:28" x14ac:dyDescent="0.2">
      <c r="A535" s="146" t="s">
        <v>7092</v>
      </c>
      <c r="B535" s="147" t="s">
        <v>6130</v>
      </c>
      <c r="C535" s="147" t="s">
        <v>6172</v>
      </c>
      <c r="D535" s="148" t="s">
        <v>6136</v>
      </c>
      <c r="E535" s="149" t="s">
        <v>22726</v>
      </c>
      <c r="F535" s="161">
        <v>1</v>
      </c>
      <c r="G535" s="149" t="s">
        <v>22727</v>
      </c>
      <c r="H535" s="155">
        <v>1</v>
      </c>
      <c r="I535" s="152"/>
      <c r="J535" s="149" t="s">
        <v>22728</v>
      </c>
      <c r="K535" s="155">
        <v>1</v>
      </c>
      <c r="L535" s="152"/>
      <c r="M535" s="149" t="s">
        <v>22726</v>
      </c>
      <c r="N535" s="155">
        <v>1</v>
      </c>
      <c r="O535" s="152"/>
      <c r="P535" s="149" t="s">
        <v>22729</v>
      </c>
      <c r="Q535" s="157">
        <v>2</v>
      </c>
      <c r="R535" s="152"/>
      <c r="S535" s="149" t="s">
        <v>7093</v>
      </c>
      <c r="T535" s="158">
        <v>3</v>
      </c>
      <c r="U535" s="152"/>
      <c r="V535" s="149" t="s">
        <v>7094</v>
      </c>
      <c r="W535" s="157">
        <v>2</v>
      </c>
      <c r="X535" s="152"/>
      <c r="Y535" s="149" t="s">
        <v>47</v>
      </c>
      <c r="Z535" s="153"/>
      <c r="AA535" s="152"/>
      <c r="AB535" s="154" t="s">
        <v>4432</v>
      </c>
    </row>
    <row r="536" spans="1:28" x14ac:dyDescent="0.2">
      <c r="A536" s="146" t="s">
        <v>7095</v>
      </c>
      <c r="B536" s="147" t="s">
        <v>6130</v>
      </c>
      <c r="C536" s="147" t="s">
        <v>6229</v>
      </c>
      <c r="D536" s="148" t="s">
        <v>6136</v>
      </c>
      <c r="E536" s="149" t="s">
        <v>22730</v>
      </c>
      <c r="F536" s="150">
        <v>4</v>
      </c>
      <c r="G536" s="149" t="s">
        <v>22731</v>
      </c>
      <c r="H536" s="151">
        <v>4</v>
      </c>
      <c r="I536" s="156" t="s">
        <v>46</v>
      </c>
      <c r="J536" s="149" t="s">
        <v>22732</v>
      </c>
      <c r="K536" s="151">
        <v>4</v>
      </c>
      <c r="L536" s="156" t="s">
        <v>46</v>
      </c>
      <c r="M536" s="149" t="s">
        <v>22730</v>
      </c>
      <c r="N536" s="151">
        <v>4</v>
      </c>
      <c r="O536" s="152"/>
      <c r="P536" s="149" t="s">
        <v>22733</v>
      </c>
      <c r="Q536" s="151">
        <v>4</v>
      </c>
      <c r="R536" s="152"/>
      <c r="S536" s="149" t="s">
        <v>22734</v>
      </c>
      <c r="T536" s="157">
        <v>2</v>
      </c>
      <c r="U536" s="152"/>
      <c r="V536" s="149" t="s">
        <v>22735</v>
      </c>
      <c r="W536" s="157">
        <v>2</v>
      </c>
      <c r="X536" s="152"/>
      <c r="Y536" s="149" t="s">
        <v>22736</v>
      </c>
      <c r="Z536" s="155">
        <v>1</v>
      </c>
      <c r="AA536" s="152"/>
      <c r="AB536" s="154" t="s">
        <v>4438</v>
      </c>
    </row>
    <row r="537" spans="1:28" x14ac:dyDescent="0.2">
      <c r="A537" s="146" t="s">
        <v>7096</v>
      </c>
      <c r="B537" s="147" t="s">
        <v>6130</v>
      </c>
      <c r="C537" s="147" t="s">
        <v>6154</v>
      </c>
      <c r="D537" s="148" t="s">
        <v>6132</v>
      </c>
      <c r="E537" s="149" t="s">
        <v>22737</v>
      </c>
      <c r="F537" s="159">
        <v>3</v>
      </c>
      <c r="G537" s="149" t="s">
        <v>22738</v>
      </c>
      <c r="H537" s="158">
        <v>3</v>
      </c>
      <c r="I537" s="156" t="s">
        <v>40</v>
      </c>
      <c r="J537" s="149" t="s">
        <v>22739</v>
      </c>
      <c r="K537" s="151">
        <v>4</v>
      </c>
      <c r="L537" s="152"/>
      <c r="M537" s="149" t="s">
        <v>22737</v>
      </c>
      <c r="N537" s="158">
        <v>3</v>
      </c>
      <c r="O537" s="152"/>
      <c r="P537" s="149" t="s">
        <v>22740</v>
      </c>
      <c r="Q537" s="158">
        <v>3</v>
      </c>
      <c r="R537" s="156" t="s">
        <v>46</v>
      </c>
      <c r="S537" s="149" t="s">
        <v>22741</v>
      </c>
      <c r="T537" s="155">
        <v>1</v>
      </c>
      <c r="U537" s="152"/>
      <c r="V537" s="149" t="s">
        <v>10540</v>
      </c>
      <c r="W537" s="155">
        <v>1</v>
      </c>
      <c r="X537" s="152"/>
      <c r="Y537" s="149" t="s">
        <v>22742</v>
      </c>
      <c r="Z537" s="155">
        <v>1</v>
      </c>
      <c r="AA537" s="152"/>
      <c r="AB537" s="154" t="s">
        <v>4442</v>
      </c>
    </row>
    <row r="538" spans="1:28" x14ac:dyDescent="0.2">
      <c r="A538" s="146" t="s">
        <v>7097</v>
      </c>
      <c r="B538" s="147" t="s">
        <v>6130</v>
      </c>
      <c r="C538" s="147" t="s">
        <v>6247</v>
      </c>
      <c r="D538" s="148" t="s">
        <v>6132</v>
      </c>
      <c r="E538" s="149" t="s">
        <v>22743</v>
      </c>
      <c r="F538" s="150">
        <v>4</v>
      </c>
      <c r="G538" s="149" t="s">
        <v>22744</v>
      </c>
      <c r="H538" s="151">
        <v>4</v>
      </c>
      <c r="I538" s="156" t="s">
        <v>46</v>
      </c>
      <c r="J538" s="149" t="s">
        <v>22745</v>
      </c>
      <c r="K538" s="151">
        <v>4</v>
      </c>
      <c r="L538" s="156" t="s">
        <v>46</v>
      </c>
      <c r="M538" s="149" t="s">
        <v>22743</v>
      </c>
      <c r="N538" s="151">
        <v>4</v>
      </c>
      <c r="O538" s="156" t="s">
        <v>46</v>
      </c>
      <c r="P538" s="149" t="s">
        <v>22746</v>
      </c>
      <c r="Q538" s="158">
        <v>3</v>
      </c>
      <c r="R538" s="156" t="s">
        <v>46</v>
      </c>
      <c r="S538" s="149" t="s">
        <v>22747</v>
      </c>
      <c r="T538" s="155">
        <v>1</v>
      </c>
      <c r="U538" s="152"/>
      <c r="V538" s="149" t="s">
        <v>20577</v>
      </c>
      <c r="W538" s="157">
        <v>2</v>
      </c>
      <c r="X538" s="152"/>
      <c r="Y538" s="149" t="s">
        <v>22748</v>
      </c>
      <c r="Z538" s="155">
        <v>1</v>
      </c>
      <c r="AA538" s="152"/>
      <c r="AB538" s="154" t="s">
        <v>4446</v>
      </c>
    </row>
    <row r="539" spans="1:28" x14ac:dyDescent="0.2">
      <c r="A539" s="146" t="s">
        <v>22749</v>
      </c>
      <c r="B539" s="147" t="s">
        <v>6130</v>
      </c>
      <c r="C539" s="147" t="s">
        <v>6379</v>
      </c>
      <c r="D539" s="148" t="s">
        <v>6160</v>
      </c>
      <c r="E539" s="149" t="s">
        <v>22750</v>
      </c>
      <c r="F539" s="161">
        <v>1</v>
      </c>
      <c r="G539" s="149" t="s">
        <v>22751</v>
      </c>
      <c r="H539" s="155">
        <v>1</v>
      </c>
      <c r="I539" s="152"/>
      <c r="J539" s="149" t="s">
        <v>15638</v>
      </c>
      <c r="K539" s="155">
        <v>1</v>
      </c>
      <c r="L539" s="152"/>
      <c r="M539" s="149" t="s">
        <v>22750</v>
      </c>
      <c r="N539" s="155">
        <v>1</v>
      </c>
      <c r="O539" s="152"/>
      <c r="P539" s="149" t="s">
        <v>22752</v>
      </c>
      <c r="Q539" s="155">
        <v>1</v>
      </c>
      <c r="R539" s="152"/>
      <c r="S539" s="149" t="s">
        <v>22753</v>
      </c>
      <c r="T539" s="158">
        <v>3</v>
      </c>
      <c r="U539" s="152"/>
      <c r="V539" s="149" t="s">
        <v>22754</v>
      </c>
      <c r="W539" s="155">
        <v>1</v>
      </c>
      <c r="X539" s="152"/>
      <c r="Y539" s="149" t="s">
        <v>47</v>
      </c>
      <c r="Z539" s="153"/>
      <c r="AA539" s="152"/>
      <c r="AB539" s="154" t="s">
        <v>4459</v>
      </c>
    </row>
    <row r="540" spans="1:28" x14ac:dyDescent="0.2">
      <c r="A540" s="146" t="s">
        <v>7098</v>
      </c>
      <c r="B540" s="147" t="s">
        <v>6130</v>
      </c>
      <c r="C540" s="147" t="s">
        <v>6328</v>
      </c>
      <c r="D540" s="148" t="s">
        <v>6170</v>
      </c>
      <c r="E540" s="149" t="s">
        <v>22755</v>
      </c>
      <c r="F540" s="161">
        <v>1</v>
      </c>
      <c r="G540" s="149" t="s">
        <v>22756</v>
      </c>
      <c r="H540" s="155">
        <v>1</v>
      </c>
      <c r="I540" s="156" t="s">
        <v>157</v>
      </c>
      <c r="J540" s="149" t="s">
        <v>22757</v>
      </c>
      <c r="K540" s="158">
        <v>3</v>
      </c>
      <c r="L540" s="152"/>
      <c r="M540" s="149" t="s">
        <v>22755</v>
      </c>
      <c r="N540" s="155">
        <v>1</v>
      </c>
      <c r="O540" s="156" t="s">
        <v>53</v>
      </c>
      <c r="P540" s="149" t="s">
        <v>22758</v>
      </c>
      <c r="Q540" s="155">
        <v>1</v>
      </c>
      <c r="R540" s="156" t="s">
        <v>40</v>
      </c>
      <c r="S540" s="149" t="s">
        <v>22759</v>
      </c>
      <c r="T540" s="151">
        <v>4</v>
      </c>
      <c r="U540" s="152"/>
      <c r="V540" s="149" t="s">
        <v>47</v>
      </c>
      <c r="W540" s="153"/>
      <c r="X540" s="152"/>
      <c r="Y540" s="149" t="s">
        <v>47</v>
      </c>
      <c r="Z540" s="153"/>
      <c r="AA540" s="152"/>
      <c r="AB540" s="154" t="s">
        <v>4461</v>
      </c>
    </row>
    <row r="541" spans="1:28" x14ac:dyDescent="0.2">
      <c r="A541" s="146" t="s">
        <v>7099</v>
      </c>
      <c r="B541" s="147" t="s">
        <v>6130</v>
      </c>
      <c r="C541" s="147" t="s">
        <v>6544</v>
      </c>
      <c r="D541" s="148" t="s">
        <v>6160</v>
      </c>
      <c r="E541" s="149" t="s">
        <v>6546</v>
      </c>
      <c r="F541" s="159">
        <v>3</v>
      </c>
      <c r="G541" s="149" t="s">
        <v>22760</v>
      </c>
      <c r="H541" s="158">
        <v>3</v>
      </c>
      <c r="I541" s="156" t="s">
        <v>55</v>
      </c>
      <c r="J541" s="149" t="s">
        <v>22761</v>
      </c>
      <c r="K541" s="157">
        <v>2</v>
      </c>
      <c r="L541" s="152"/>
      <c r="M541" s="149" t="s">
        <v>6546</v>
      </c>
      <c r="N541" s="158">
        <v>3</v>
      </c>
      <c r="O541" s="156" t="s">
        <v>46</v>
      </c>
      <c r="P541" s="149" t="s">
        <v>22762</v>
      </c>
      <c r="Q541" s="158">
        <v>3</v>
      </c>
      <c r="R541" s="156" t="s">
        <v>46</v>
      </c>
      <c r="S541" s="149" t="s">
        <v>7100</v>
      </c>
      <c r="T541" s="158">
        <v>3</v>
      </c>
      <c r="U541" s="152"/>
      <c r="V541" s="149" t="s">
        <v>2116</v>
      </c>
      <c r="W541" s="158">
        <v>3</v>
      </c>
      <c r="X541" s="152"/>
      <c r="Y541" s="149" t="s">
        <v>7101</v>
      </c>
      <c r="Z541" s="157">
        <v>2</v>
      </c>
      <c r="AA541" s="152"/>
      <c r="AB541" s="154" t="s">
        <v>4465</v>
      </c>
    </row>
    <row r="542" spans="1:28" x14ac:dyDescent="0.2">
      <c r="A542" s="146" t="s">
        <v>7102</v>
      </c>
      <c r="B542" s="147" t="s">
        <v>6130</v>
      </c>
      <c r="C542" s="147" t="s">
        <v>6203</v>
      </c>
      <c r="D542" s="148" t="s">
        <v>6160</v>
      </c>
      <c r="E542" s="149" t="s">
        <v>22763</v>
      </c>
      <c r="F542" s="159">
        <v>3</v>
      </c>
      <c r="G542" s="149" t="s">
        <v>22764</v>
      </c>
      <c r="H542" s="158">
        <v>3</v>
      </c>
      <c r="I542" s="152"/>
      <c r="J542" s="149" t="s">
        <v>22765</v>
      </c>
      <c r="K542" s="158">
        <v>3</v>
      </c>
      <c r="L542" s="152"/>
      <c r="M542" s="149" t="s">
        <v>22763</v>
      </c>
      <c r="N542" s="158">
        <v>3</v>
      </c>
      <c r="O542" s="152"/>
      <c r="P542" s="149" t="s">
        <v>22766</v>
      </c>
      <c r="Q542" s="158">
        <v>3</v>
      </c>
      <c r="R542" s="152"/>
      <c r="S542" s="149" t="s">
        <v>22767</v>
      </c>
      <c r="T542" s="151">
        <v>4</v>
      </c>
      <c r="U542" s="152"/>
      <c r="V542" s="149" t="s">
        <v>22768</v>
      </c>
      <c r="W542" s="158">
        <v>3</v>
      </c>
      <c r="X542" s="156" t="s">
        <v>46</v>
      </c>
      <c r="Y542" s="149" t="s">
        <v>7103</v>
      </c>
      <c r="Z542" s="158">
        <v>3</v>
      </c>
      <c r="AA542" s="152"/>
      <c r="AB542" s="154" t="s">
        <v>4473</v>
      </c>
    </row>
    <row r="543" spans="1:28" x14ac:dyDescent="0.2">
      <c r="A543" s="146" t="s">
        <v>7104</v>
      </c>
      <c r="B543" s="147" t="s">
        <v>6130</v>
      </c>
      <c r="C543" s="147" t="s">
        <v>6203</v>
      </c>
      <c r="D543" s="148" t="s">
        <v>6170</v>
      </c>
      <c r="E543" s="149" t="s">
        <v>22769</v>
      </c>
      <c r="F543" s="150">
        <v>4</v>
      </c>
      <c r="G543" s="149" t="s">
        <v>22770</v>
      </c>
      <c r="H543" s="157">
        <v>2</v>
      </c>
      <c r="I543" s="156" t="s">
        <v>53</v>
      </c>
      <c r="J543" s="149" t="s">
        <v>22771</v>
      </c>
      <c r="K543" s="158">
        <v>3</v>
      </c>
      <c r="L543" s="156" t="s">
        <v>40</v>
      </c>
      <c r="M543" s="149" t="s">
        <v>22769</v>
      </c>
      <c r="N543" s="151">
        <v>4</v>
      </c>
      <c r="O543" s="152"/>
      <c r="P543" s="149" t="s">
        <v>22772</v>
      </c>
      <c r="Q543" s="151">
        <v>4</v>
      </c>
      <c r="R543" s="152"/>
      <c r="S543" s="149" t="s">
        <v>22773</v>
      </c>
      <c r="T543" s="151">
        <v>4</v>
      </c>
      <c r="U543" s="152"/>
      <c r="V543" s="149" t="s">
        <v>22774</v>
      </c>
      <c r="W543" s="151">
        <v>4</v>
      </c>
      <c r="X543" s="152"/>
      <c r="Y543" s="149" t="s">
        <v>47</v>
      </c>
      <c r="Z543" s="153"/>
      <c r="AA543" s="152"/>
      <c r="AB543" s="154" t="s">
        <v>4475</v>
      </c>
    </row>
    <row r="544" spans="1:28" x14ac:dyDescent="0.2">
      <c r="A544" s="146" t="s">
        <v>22775</v>
      </c>
      <c r="B544" s="147" t="s">
        <v>6130</v>
      </c>
      <c r="C544" s="147" t="s">
        <v>6206</v>
      </c>
      <c r="D544" s="148" t="s">
        <v>6160</v>
      </c>
      <c r="E544" s="149" t="s">
        <v>22776</v>
      </c>
      <c r="F544" s="150">
        <v>4</v>
      </c>
      <c r="G544" s="149" t="s">
        <v>22777</v>
      </c>
      <c r="H544" s="158">
        <v>3</v>
      </c>
      <c r="I544" s="152"/>
      <c r="J544" s="149" t="s">
        <v>22778</v>
      </c>
      <c r="K544" s="158">
        <v>3</v>
      </c>
      <c r="L544" s="156" t="s">
        <v>40</v>
      </c>
      <c r="M544" s="149" t="s">
        <v>22776</v>
      </c>
      <c r="N544" s="151">
        <v>4</v>
      </c>
      <c r="O544" s="156" t="s">
        <v>46</v>
      </c>
      <c r="P544" s="149" t="s">
        <v>22779</v>
      </c>
      <c r="Q544" s="158">
        <v>3</v>
      </c>
      <c r="R544" s="152"/>
      <c r="S544" s="149" t="s">
        <v>22780</v>
      </c>
      <c r="T544" s="158">
        <v>3</v>
      </c>
      <c r="U544" s="152"/>
      <c r="V544" s="149" t="s">
        <v>12690</v>
      </c>
      <c r="W544" s="158">
        <v>3</v>
      </c>
      <c r="X544" s="156" t="s">
        <v>46</v>
      </c>
      <c r="Y544" s="149" t="s">
        <v>22781</v>
      </c>
      <c r="Z544" s="151">
        <v>4</v>
      </c>
      <c r="AA544" s="156" t="s">
        <v>46</v>
      </c>
      <c r="AB544" s="154" t="s">
        <v>4494</v>
      </c>
    </row>
    <row r="545" spans="1:28" x14ac:dyDescent="0.2">
      <c r="A545" s="146" t="s">
        <v>22782</v>
      </c>
      <c r="B545" s="147" t="s">
        <v>6130</v>
      </c>
      <c r="C545" s="147" t="s">
        <v>6206</v>
      </c>
      <c r="D545" s="148" t="s">
        <v>6170</v>
      </c>
      <c r="E545" s="149" t="s">
        <v>22783</v>
      </c>
      <c r="F545" s="159">
        <v>3</v>
      </c>
      <c r="G545" s="149" t="s">
        <v>22784</v>
      </c>
      <c r="H545" s="158">
        <v>3</v>
      </c>
      <c r="I545" s="152"/>
      <c r="J545" s="149" t="s">
        <v>22785</v>
      </c>
      <c r="K545" s="158">
        <v>3</v>
      </c>
      <c r="L545" s="156" t="s">
        <v>40</v>
      </c>
      <c r="M545" s="149" t="s">
        <v>22783</v>
      </c>
      <c r="N545" s="158">
        <v>3</v>
      </c>
      <c r="O545" s="152"/>
      <c r="P545" s="149" t="s">
        <v>22786</v>
      </c>
      <c r="Q545" s="151">
        <v>4</v>
      </c>
      <c r="R545" s="152"/>
      <c r="S545" s="149" t="s">
        <v>22787</v>
      </c>
      <c r="T545" s="151">
        <v>4</v>
      </c>
      <c r="U545" s="152"/>
      <c r="V545" s="149" t="s">
        <v>22788</v>
      </c>
      <c r="W545" s="151">
        <v>4</v>
      </c>
      <c r="X545" s="152"/>
      <c r="Y545" s="149" t="s">
        <v>47</v>
      </c>
      <c r="Z545" s="153"/>
      <c r="AA545" s="152"/>
      <c r="AB545" s="154" t="s">
        <v>4489</v>
      </c>
    </row>
    <row r="546" spans="1:28" x14ac:dyDescent="0.2">
      <c r="A546" s="146" t="s">
        <v>22789</v>
      </c>
      <c r="B546" s="147" t="s">
        <v>6130</v>
      </c>
      <c r="C546" s="147" t="s">
        <v>6300</v>
      </c>
      <c r="D546" s="148" t="s">
        <v>6170</v>
      </c>
      <c r="E546" s="149" t="s">
        <v>7105</v>
      </c>
      <c r="F546" s="150">
        <v>4</v>
      </c>
      <c r="G546" s="149" t="s">
        <v>22790</v>
      </c>
      <c r="H546" s="151">
        <v>4</v>
      </c>
      <c r="I546" s="152"/>
      <c r="J546" s="149" t="s">
        <v>22791</v>
      </c>
      <c r="K546" s="151">
        <v>4</v>
      </c>
      <c r="L546" s="152"/>
      <c r="M546" s="149" t="s">
        <v>7105</v>
      </c>
      <c r="N546" s="151">
        <v>4</v>
      </c>
      <c r="O546" s="152"/>
      <c r="P546" s="149" t="s">
        <v>7106</v>
      </c>
      <c r="Q546" s="155">
        <v>1</v>
      </c>
      <c r="R546" s="152"/>
      <c r="S546" s="149" t="s">
        <v>22792</v>
      </c>
      <c r="T546" s="151">
        <v>4</v>
      </c>
      <c r="U546" s="152"/>
      <c r="V546" s="149" t="s">
        <v>7107</v>
      </c>
      <c r="W546" s="151">
        <v>4</v>
      </c>
      <c r="X546" s="152"/>
      <c r="Y546" s="149" t="s">
        <v>47</v>
      </c>
      <c r="Z546" s="153"/>
      <c r="AA546" s="152"/>
      <c r="AB546" s="154" t="s">
        <v>4498</v>
      </c>
    </row>
    <row r="547" spans="1:28" x14ac:dyDescent="0.2">
      <c r="A547" s="146" t="s">
        <v>7108</v>
      </c>
      <c r="B547" s="147" t="s">
        <v>6130</v>
      </c>
      <c r="C547" s="147" t="s">
        <v>6782</v>
      </c>
      <c r="D547" s="148"/>
      <c r="E547" s="149" t="s">
        <v>47</v>
      </c>
      <c r="F547" s="152"/>
      <c r="G547" s="149" t="s">
        <v>9850</v>
      </c>
      <c r="H547" s="155">
        <v>1</v>
      </c>
      <c r="I547" s="152"/>
      <c r="J547" s="149" t="s">
        <v>648</v>
      </c>
      <c r="K547" s="155">
        <v>1</v>
      </c>
      <c r="L547" s="152"/>
      <c r="M547" s="149" t="s">
        <v>47</v>
      </c>
      <c r="N547" s="153"/>
      <c r="O547" s="152"/>
      <c r="P547" s="149" t="s">
        <v>47</v>
      </c>
      <c r="Q547" s="153"/>
      <c r="R547" s="152"/>
      <c r="S547" s="149" t="s">
        <v>47</v>
      </c>
      <c r="T547" s="153"/>
      <c r="U547" s="152"/>
      <c r="V547" s="149" t="s">
        <v>47</v>
      </c>
      <c r="W547" s="153"/>
      <c r="X547" s="152"/>
      <c r="Y547" s="149" t="s">
        <v>47</v>
      </c>
      <c r="Z547" s="153"/>
      <c r="AA547" s="152"/>
      <c r="AB547" s="154" t="s">
        <v>4503</v>
      </c>
    </row>
    <row r="548" spans="1:28" x14ac:dyDescent="0.2">
      <c r="A548" s="146" t="s">
        <v>22793</v>
      </c>
      <c r="B548" s="147" t="s">
        <v>6130</v>
      </c>
      <c r="C548" s="147" t="s">
        <v>6159</v>
      </c>
      <c r="D548" s="148"/>
      <c r="E548" s="149" t="s">
        <v>22794</v>
      </c>
      <c r="F548" s="160">
        <v>2</v>
      </c>
      <c r="G548" s="149" t="s">
        <v>22795</v>
      </c>
      <c r="H548" s="155">
        <v>1</v>
      </c>
      <c r="I548" s="156" t="s">
        <v>53</v>
      </c>
      <c r="J548" s="149" t="s">
        <v>22796</v>
      </c>
      <c r="K548" s="155">
        <v>1</v>
      </c>
      <c r="L548" s="156" t="s">
        <v>53</v>
      </c>
      <c r="M548" s="149" t="s">
        <v>22794</v>
      </c>
      <c r="N548" s="157">
        <v>2</v>
      </c>
      <c r="O548" s="156" t="s">
        <v>40</v>
      </c>
      <c r="P548" s="149" t="s">
        <v>22797</v>
      </c>
      <c r="Q548" s="155">
        <v>1</v>
      </c>
      <c r="R548" s="156" t="s">
        <v>40</v>
      </c>
      <c r="S548" s="149" t="s">
        <v>47</v>
      </c>
      <c r="T548" s="153"/>
      <c r="U548" s="152"/>
      <c r="V548" s="149" t="s">
        <v>47</v>
      </c>
      <c r="W548" s="153"/>
      <c r="X548" s="152"/>
      <c r="Y548" s="149" t="s">
        <v>47</v>
      </c>
      <c r="Z548" s="153"/>
      <c r="AA548" s="152"/>
      <c r="AB548" s="154" t="s">
        <v>4509</v>
      </c>
    </row>
    <row r="549" spans="1:28" x14ac:dyDescent="0.2">
      <c r="A549" s="146" t="s">
        <v>7109</v>
      </c>
      <c r="B549" s="147" t="s">
        <v>6130</v>
      </c>
      <c r="C549" s="147" t="s">
        <v>6157</v>
      </c>
      <c r="D549" s="148" t="s">
        <v>6136</v>
      </c>
      <c r="E549" s="149" t="s">
        <v>22798</v>
      </c>
      <c r="F549" s="159">
        <v>3</v>
      </c>
      <c r="G549" s="149" t="s">
        <v>22799</v>
      </c>
      <c r="H549" s="155">
        <v>1</v>
      </c>
      <c r="I549" s="156" t="s">
        <v>157</v>
      </c>
      <c r="J549" s="149" t="s">
        <v>22800</v>
      </c>
      <c r="K549" s="158">
        <v>3</v>
      </c>
      <c r="L549" s="156" t="s">
        <v>40</v>
      </c>
      <c r="M549" s="149" t="s">
        <v>22798</v>
      </c>
      <c r="N549" s="158">
        <v>3</v>
      </c>
      <c r="O549" s="156" t="s">
        <v>40</v>
      </c>
      <c r="P549" s="149" t="s">
        <v>22801</v>
      </c>
      <c r="Q549" s="157">
        <v>2</v>
      </c>
      <c r="R549" s="156" t="s">
        <v>40</v>
      </c>
      <c r="S549" s="149" t="s">
        <v>22802</v>
      </c>
      <c r="T549" s="157">
        <v>2</v>
      </c>
      <c r="U549" s="152"/>
      <c r="V549" s="149" t="s">
        <v>22803</v>
      </c>
      <c r="W549" s="155">
        <v>1</v>
      </c>
      <c r="X549" s="152"/>
      <c r="Y549" s="149" t="s">
        <v>22804</v>
      </c>
      <c r="Z549" s="158">
        <v>3</v>
      </c>
      <c r="AA549" s="156" t="s">
        <v>40</v>
      </c>
      <c r="AB549" s="154" t="s">
        <v>4515</v>
      </c>
    </row>
    <row r="550" spans="1:28" x14ac:dyDescent="0.2">
      <c r="A550" s="146" t="s">
        <v>7110</v>
      </c>
      <c r="B550" s="147" t="s">
        <v>6130</v>
      </c>
      <c r="C550" s="147" t="s">
        <v>6277</v>
      </c>
      <c r="D550" s="148" t="s">
        <v>6160</v>
      </c>
      <c r="E550" s="149" t="s">
        <v>22805</v>
      </c>
      <c r="F550" s="160">
        <v>2</v>
      </c>
      <c r="G550" s="149" t="s">
        <v>22806</v>
      </c>
      <c r="H550" s="155">
        <v>1</v>
      </c>
      <c r="I550" s="156" t="s">
        <v>40</v>
      </c>
      <c r="J550" s="149" t="s">
        <v>22807</v>
      </c>
      <c r="K550" s="157">
        <v>2</v>
      </c>
      <c r="L550" s="152"/>
      <c r="M550" s="149" t="s">
        <v>22805</v>
      </c>
      <c r="N550" s="157">
        <v>2</v>
      </c>
      <c r="O550" s="156" t="s">
        <v>40</v>
      </c>
      <c r="P550" s="149" t="s">
        <v>22808</v>
      </c>
      <c r="Q550" s="158">
        <v>3</v>
      </c>
      <c r="R550" s="152"/>
      <c r="S550" s="149" t="s">
        <v>22809</v>
      </c>
      <c r="T550" s="151">
        <v>4</v>
      </c>
      <c r="U550" s="152"/>
      <c r="V550" s="149" t="s">
        <v>22810</v>
      </c>
      <c r="W550" s="151">
        <v>4</v>
      </c>
      <c r="X550" s="152"/>
      <c r="Y550" s="149" t="s">
        <v>22811</v>
      </c>
      <c r="Z550" s="158">
        <v>3</v>
      </c>
      <c r="AA550" s="156" t="s">
        <v>40</v>
      </c>
      <c r="AB550" s="154" t="s">
        <v>4519</v>
      </c>
    </row>
    <row r="551" spans="1:28" x14ac:dyDescent="0.2">
      <c r="A551" s="146" t="s">
        <v>7111</v>
      </c>
      <c r="B551" s="147" t="s">
        <v>6130</v>
      </c>
      <c r="C551" s="147" t="s">
        <v>6157</v>
      </c>
      <c r="D551" s="148"/>
      <c r="E551" s="149" t="s">
        <v>22812</v>
      </c>
      <c r="F551" s="161">
        <v>1</v>
      </c>
      <c r="G551" s="149" t="s">
        <v>22813</v>
      </c>
      <c r="H551" s="155">
        <v>1</v>
      </c>
      <c r="I551" s="156" t="s">
        <v>53</v>
      </c>
      <c r="J551" s="149" t="s">
        <v>22814</v>
      </c>
      <c r="K551" s="157">
        <v>2</v>
      </c>
      <c r="L551" s="152"/>
      <c r="M551" s="149" t="s">
        <v>22812</v>
      </c>
      <c r="N551" s="155">
        <v>1</v>
      </c>
      <c r="O551" s="156" t="s">
        <v>40</v>
      </c>
      <c r="P551" s="149" t="s">
        <v>22815</v>
      </c>
      <c r="Q551" s="151">
        <v>4</v>
      </c>
      <c r="R551" s="152"/>
      <c r="S551" s="149" t="s">
        <v>47</v>
      </c>
      <c r="T551" s="153"/>
      <c r="U551" s="152"/>
      <c r="V551" s="149" t="s">
        <v>47</v>
      </c>
      <c r="W551" s="153"/>
      <c r="X551" s="152"/>
      <c r="Y551" s="149" t="s">
        <v>47</v>
      </c>
      <c r="Z551" s="153"/>
      <c r="AA551" s="152"/>
      <c r="AB551" s="154" t="s">
        <v>4525</v>
      </c>
    </row>
    <row r="552" spans="1:28" x14ac:dyDescent="0.2">
      <c r="A552" s="146" t="s">
        <v>7112</v>
      </c>
      <c r="B552" s="147" t="s">
        <v>6130</v>
      </c>
      <c r="C552" s="147" t="s">
        <v>6154</v>
      </c>
      <c r="D552" s="148"/>
      <c r="E552" s="149" t="s">
        <v>22816</v>
      </c>
      <c r="F552" s="150">
        <v>4</v>
      </c>
      <c r="G552" s="149" t="s">
        <v>22817</v>
      </c>
      <c r="H552" s="158">
        <v>3</v>
      </c>
      <c r="I552" s="152"/>
      <c r="J552" s="149" t="s">
        <v>22818</v>
      </c>
      <c r="K552" s="151">
        <v>4</v>
      </c>
      <c r="L552" s="152"/>
      <c r="M552" s="149" t="s">
        <v>22816</v>
      </c>
      <c r="N552" s="151">
        <v>4</v>
      </c>
      <c r="O552" s="156" t="s">
        <v>46</v>
      </c>
      <c r="P552" s="149" t="s">
        <v>22819</v>
      </c>
      <c r="Q552" s="158">
        <v>3</v>
      </c>
      <c r="R552" s="152"/>
      <c r="S552" s="149" t="s">
        <v>47</v>
      </c>
      <c r="T552" s="153"/>
      <c r="U552" s="152"/>
      <c r="V552" s="149" t="s">
        <v>47</v>
      </c>
      <c r="W552" s="153"/>
      <c r="X552" s="152"/>
      <c r="Y552" s="149" t="s">
        <v>47</v>
      </c>
      <c r="Z552" s="153"/>
      <c r="AA552" s="152"/>
      <c r="AB552" s="154" t="s">
        <v>4537</v>
      </c>
    </row>
    <row r="553" spans="1:28" x14ac:dyDescent="0.2">
      <c r="A553" s="146" t="s">
        <v>7113</v>
      </c>
      <c r="B553" s="147" t="s">
        <v>6130</v>
      </c>
      <c r="C553" s="147" t="s">
        <v>6379</v>
      </c>
      <c r="D553" s="148"/>
      <c r="E553" s="149" t="s">
        <v>22820</v>
      </c>
      <c r="F553" s="161">
        <v>1</v>
      </c>
      <c r="G553" s="149" t="s">
        <v>22821</v>
      </c>
      <c r="H553" s="155">
        <v>1</v>
      </c>
      <c r="I553" s="152"/>
      <c r="J553" s="149" t="s">
        <v>22750</v>
      </c>
      <c r="K553" s="155">
        <v>1</v>
      </c>
      <c r="L553" s="152"/>
      <c r="M553" s="149" t="s">
        <v>22820</v>
      </c>
      <c r="N553" s="155">
        <v>1</v>
      </c>
      <c r="O553" s="152"/>
      <c r="P553" s="149" t="s">
        <v>22822</v>
      </c>
      <c r="Q553" s="155">
        <v>1</v>
      </c>
      <c r="R553" s="152"/>
      <c r="S553" s="149" t="s">
        <v>47</v>
      </c>
      <c r="T553" s="153"/>
      <c r="U553" s="152"/>
      <c r="V553" s="149" t="s">
        <v>47</v>
      </c>
      <c r="W553" s="153"/>
      <c r="X553" s="152"/>
      <c r="Y553" s="149" t="s">
        <v>47</v>
      </c>
      <c r="Z553" s="153"/>
      <c r="AA553" s="152"/>
      <c r="AB553" s="154" t="s">
        <v>4547</v>
      </c>
    </row>
    <row r="554" spans="1:28" x14ac:dyDescent="0.2">
      <c r="A554" s="146" t="s">
        <v>7114</v>
      </c>
      <c r="B554" s="147" t="s">
        <v>6130</v>
      </c>
      <c r="C554" s="147" t="s">
        <v>6206</v>
      </c>
      <c r="D554" s="148"/>
      <c r="E554" s="149" t="s">
        <v>22823</v>
      </c>
      <c r="F554" s="160">
        <v>2</v>
      </c>
      <c r="G554" s="149" t="s">
        <v>22824</v>
      </c>
      <c r="H554" s="151">
        <v>4</v>
      </c>
      <c r="I554" s="152"/>
      <c r="J554" s="149" t="s">
        <v>22825</v>
      </c>
      <c r="K554" s="151">
        <v>4</v>
      </c>
      <c r="L554" s="156" t="s">
        <v>46</v>
      </c>
      <c r="M554" s="149" t="s">
        <v>22823</v>
      </c>
      <c r="N554" s="157">
        <v>2</v>
      </c>
      <c r="O554" s="152"/>
      <c r="P554" s="149" t="s">
        <v>47</v>
      </c>
      <c r="Q554" s="153"/>
      <c r="R554" s="152"/>
      <c r="S554" s="149" t="s">
        <v>47</v>
      </c>
      <c r="T554" s="153"/>
      <c r="U554" s="152"/>
      <c r="V554" s="149" t="s">
        <v>47</v>
      </c>
      <c r="W554" s="153"/>
      <c r="X554" s="152"/>
      <c r="Y554" s="149" t="s">
        <v>47</v>
      </c>
      <c r="Z554" s="153"/>
      <c r="AA554" s="152"/>
      <c r="AB554" s="154" t="s">
        <v>4556</v>
      </c>
    </row>
    <row r="555" spans="1:28" x14ac:dyDescent="0.2">
      <c r="A555" s="146" t="s">
        <v>7115</v>
      </c>
      <c r="B555" s="147" t="s">
        <v>6130</v>
      </c>
      <c r="C555" s="147" t="s">
        <v>6157</v>
      </c>
      <c r="D555" s="148"/>
      <c r="E555" s="149" t="s">
        <v>22826</v>
      </c>
      <c r="F555" s="161">
        <v>1</v>
      </c>
      <c r="G555" s="149" t="s">
        <v>22827</v>
      </c>
      <c r="H555" s="155">
        <v>1</v>
      </c>
      <c r="I555" s="156" t="s">
        <v>53</v>
      </c>
      <c r="J555" s="149" t="s">
        <v>22828</v>
      </c>
      <c r="K555" s="157">
        <v>2</v>
      </c>
      <c r="L555" s="156" t="s">
        <v>40</v>
      </c>
      <c r="M555" s="149" t="s">
        <v>22826</v>
      </c>
      <c r="N555" s="155">
        <v>1</v>
      </c>
      <c r="O555" s="156" t="s">
        <v>40</v>
      </c>
      <c r="P555" s="149" t="s">
        <v>22829</v>
      </c>
      <c r="Q555" s="151">
        <v>4</v>
      </c>
      <c r="R555" s="152"/>
      <c r="S555" s="149" t="s">
        <v>47</v>
      </c>
      <c r="T555" s="153"/>
      <c r="U555" s="152"/>
      <c r="V555" s="149" t="s">
        <v>47</v>
      </c>
      <c r="W555" s="153"/>
      <c r="X555" s="152"/>
      <c r="Y555" s="149" t="s">
        <v>47</v>
      </c>
      <c r="Z555" s="153"/>
      <c r="AA555" s="152"/>
      <c r="AB555" s="154" t="s">
        <v>4576</v>
      </c>
    </row>
    <row r="556" spans="1:28" x14ac:dyDescent="0.2">
      <c r="A556" s="146" t="s">
        <v>7116</v>
      </c>
      <c r="B556" s="147" t="s">
        <v>6130</v>
      </c>
      <c r="C556" s="147" t="s">
        <v>6247</v>
      </c>
      <c r="D556" s="148"/>
      <c r="E556" s="149" t="s">
        <v>22830</v>
      </c>
      <c r="F556" s="150">
        <v>4</v>
      </c>
      <c r="G556" s="149" t="s">
        <v>22831</v>
      </c>
      <c r="H556" s="151">
        <v>4</v>
      </c>
      <c r="I556" s="156" t="s">
        <v>46</v>
      </c>
      <c r="J556" s="149" t="s">
        <v>22832</v>
      </c>
      <c r="K556" s="151">
        <v>4</v>
      </c>
      <c r="L556" s="156" t="s">
        <v>46</v>
      </c>
      <c r="M556" s="149" t="s">
        <v>22830</v>
      </c>
      <c r="N556" s="151">
        <v>4</v>
      </c>
      <c r="O556" s="156" t="s">
        <v>46</v>
      </c>
      <c r="P556" s="149" t="s">
        <v>22833</v>
      </c>
      <c r="Q556" s="158">
        <v>3</v>
      </c>
      <c r="R556" s="156" t="s">
        <v>46</v>
      </c>
      <c r="S556" s="149" t="s">
        <v>47</v>
      </c>
      <c r="T556" s="153"/>
      <c r="U556" s="152"/>
      <c r="V556" s="149" t="s">
        <v>47</v>
      </c>
      <c r="W556" s="153"/>
      <c r="X556" s="152"/>
      <c r="Y556" s="149" t="s">
        <v>47</v>
      </c>
      <c r="Z556" s="153"/>
      <c r="AA556" s="152"/>
      <c r="AB556" s="154" t="s">
        <v>4590</v>
      </c>
    </row>
    <row r="557" spans="1:28" x14ac:dyDescent="0.2">
      <c r="A557" s="146" t="s">
        <v>7117</v>
      </c>
      <c r="B557" s="147" t="s">
        <v>6130</v>
      </c>
      <c r="C557" s="147" t="s">
        <v>6206</v>
      </c>
      <c r="D557" s="148"/>
      <c r="E557" s="149" t="s">
        <v>22834</v>
      </c>
      <c r="F557" s="161">
        <v>1</v>
      </c>
      <c r="G557" s="149" t="s">
        <v>22835</v>
      </c>
      <c r="H557" s="155">
        <v>1</v>
      </c>
      <c r="I557" s="156" t="s">
        <v>40</v>
      </c>
      <c r="J557" s="149" t="s">
        <v>22836</v>
      </c>
      <c r="K557" s="155">
        <v>1</v>
      </c>
      <c r="L557" s="152"/>
      <c r="M557" s="149" t="s">
        <v>22834</v>
      </c>
      <c r="N557" s="155">
        <v>1</v>
      </c>
      <c r="O557" s="156" t="s">
        <v>40</v>
      </c>
      <c r="P557" s="149" t="s">
        <v>22837</v>
      </c>
      <c r="Q557" s="151">
        <v>4</v>
      </c>
      <c r="R557" s="152"/>
      <c r="S557" s="149" t="s">
        <v>47</v>
      </c>
      <c r="T557" s="153"/>
      <c r="U557" s="152"/>
      <c r="V557" s="149" t="s">
        <v>47</v>
      </c>
      <c r="W557" s="153"/>
      <c r="X557" s="152"/>
      <c r="Y557" s="149" t="s">
        <v>47</v>
      </c>
      <c r="Z557" s="153"/>
      <c r="AA557" s="152"/>
      <c r="AB557" s="154" t="s">
        <v>4600</v>
      </c>
    </row>
    <row r="558" spans="1:28" x14ac:dyDescent="0.2">
      <c r="A558" s="146" t="s">
        <v>7118</v>
      </c>
      <c r="B558" s="147" t="s">
        <v>6130</v>
      </c>
      <c r="C558" s="147" t="s">
        <v>6229</v>
      </c>
      <c r="D558" s="148"/>
      <c r="E558" s="149" t="s">
        <v>22838</v>
      </c>
      <c r="F558" s="150">
        <v>4</v>
      </c>
      <c r="G558" s="149" t="s">
        <v>22839</v>
      </c>
      <c r="H558" s="151">
        <v>4</v>
      </c>
      <c r="I558" s="156" t="s">
        <v>46</v>
      </c>
      <c r="J558" s="149" t="s">
        <v>22840</v>
      </c>
      <c r="K558" s="151">
        <v>4</v>
      </c>
      <c r="L558" s="156" t="s">
        <v>46</v>
      </c>
      <c r="M558" s="149" t="s">
        <v>22838</v>
      </c>
      <c r="N558" s="151">
        <v>4</v>
      </c>
      <c r="O558" s="152"/>
      <c r="P558" s="149" t="s">
        <v>22841</v>
      </c>
      <c r="Q558" s="151">
        <v>4</v>
      </c>
      <c r="R558" s="152"/>
      <c r="S558" s="149" t="s">
        <v>47</v>
      </c>
      <c r="T558" s="153"/>
      <c r="U558" s="152"/>
      <c r="V558" s="149" t="s">
        <v>47</v>
      </c>
      <c r="W558" s="153"/>
      <c r="X558" s="152"/>
      <c r="Y558" s="149" t="s">
        <v>47</v>
      </c>
      <c r="Z558" s="153"/>
      <c r="AA558" s="152"/>
      <c r="AB558" s="154" t="s">
        <v>4527</v>
      </c>
    </row>
    <row r="559" spans="1:28" x14ac:dyDescent="0.2">
      <c r="A559" s="146" t="s">
        <v>7119</v>
      </c>
      <c r="B559" s="147" t="s">
        <v>6314</v>
      </c>
      <c r="C559" s="147" t="s">
        <v>6157</v>
      </c>
      <c r="D559" s="148"/>
      <c r="E559" s="149" t="s">
        <v>22842</v>
      </c>
      <c r="F559" s="161">
        <v>1</v>
      </c>
      <c r="G559" s="149" t="s">
        <v>22843</v>
      </c>
      <c r="H559" s="155">
        <v>1</v>
      </c>
      <c r="I559" s="156" t="s">
        <v>53</v>
      </c>
      <c r="J559" s="149" t="s">
        <v>22844</v>
      </c>
      <c r="K559" s="155">
        <v>1</v>
      </c>
      <c r="L559" s="156" t="s">
        <v>40</v>
      </c>
      <c r="M559" s="149" t="s">
        <v>22842</v>
      </c>
      <c r="N559" s="155">
        <v>1</v>
      </c>
      <c r="O559" s="152"/>
      <c r="P559" s="149" t="s">
        <v>47</v>
      </c>
      <c r="Q559" s="153"/>
      <c r="R559" s="152"/>
      <c r="S559" s="149" t="s">
        <v>47</v>
      </c>
      <c r="T559" s="153"/>
      <c r="U559" s="152"/>
      <c r="V559" s="149" t="s">
        <v>47</v>
      </c>
      <c r="W559" s="153"/>
      <c r="X559" s="152"/>
      <c r="Y559" s="149" t="s">
        <v>47</v>
      </c>
      <c r="Z559" s="153"/>
      <c r="AA559" s="152"/>
      <c r="AB559" s="154" t="s">
        <v>4566</v>
      </c>
    </row>
    <row r="560" spans="1:28" x14ac:dyDescent="0.2">
      <c r="A560" s="146" t="s">
        <v>7120</v>
      </c>
      <c r="B560" s="147" t="s">
        <v>6130</v>
      </c>
      <c r="C560" s="147" t="s">
        <v>6342</v>
      </c>
      <c r="D560" s="148" t="s">
        <v>6136</v>
      </c>
      <c r="E560" s="149" t="s">
        <v>22845</v>
      </c>
      <c r="F560" s="150">
        <v>4</v>
      </c>
      <c r="G560" s="149" t="s">
        <v>22846</v>
      </c>
      <c r="H560" s="157">
        <v>2</v>
      </c>
      <c r="I560" s="156" t="s">
        <v>53</v>
      </c>
      <c r="J560" s="149" t="s">
        <v>22847</v>
      </c>
      <c r="K560" s="151">
        <v>4</v>
      </c>
      <c r="L560" s="152"/>
      <c r="M560" s="149" t="s">
        <v>22845</v>
      </c>
      <c r="N560" s="151">
        <v>4</v>
      </c>
      <c r="O560" s="156" t="s">
        <v>46</v>
      </c>
      <c r="P560" s="149" t="s">
        <v>22848</v>
      </c>
      <c r="Q560" s="151">
        <v>4</v>
      </c>
      <c r="R560" s="152"/>
      <c r="S560" s="149" t="s">
        <v>2326</v>
      </c>
      <c r="T560" s="151">
        <v>4</v>
      </c>
      <c r="U560" s="152"/>
      <c r="V560" s="149" t="s">
        <v>9884</v>
      </c>
      <c r="W560" s="151">
        <v>4</v>
      </c>
      <c r="X560" s="152"/>
      <c r="Y560" s="149" t="s">
        <v>22849</v>
      </c>
      <c r="Z560" s="158">
        <v>3</v>
      </c>
      <c r="AA560" s="152"/>
      <c r="AB560" s="154" t="s">
        <v>4620</v>
      </c>
    </row>
    <row r="561" spans="1:28" x14ac:dyDescent="0.2">
      <c r="A561" s="146" t="s">
        <v>22850</v>
      </c>
      <c r="B561" s="147" t="s">
        <v>6130</v>
      </c>
      <c r="C561" s="147" t="s">
        <v>7051</v>
      </c>
      <c r="D561" s="148" t="s">
        <v>6160</v>
      </c>
      <c r="E561" s="149" t="s">
        <v>22851</v>
      </c>
      <c r="F561" s="159">
        <v>3</v>
      </c>
      <c r="G561" s="149" t="s">
        <v>7121</v>
      </c>
      <c r="H561" s="151">
        <v>4</v>
      </c>
      <c r="I561" s="152"/>
      <c r="J561" s="149" t="s">
        <v>22852</v>
      </c>
      <c r="K561" s="158">
        <v>3</v>
      </c>
      <c r="L561" s="156" t="s">
        <v>46</v>
      </c>
      <c r="M561" s="149" t="s">
        <v>22851</v>
      </c>
      <c r="N561" s="158">
        <v>3</v>
      </c>
      <c r="O561" s="152"/>
      <c r="P561" s="149" t="s">
        <v>7122</v>
      </c>
      <c r="Q561" s="151">
        <v>4</v>
      </c>
      <c r="R561" s="152"/>
      <c r="S561" s="149" t="s">
        <v>20944</v>
      </c>
      <c r="T561" s="151">
        <v>4</v>
      </c>
      <c r="U561" s="152"/>
      <c r="V561" s="149" t="s">
        <v>2116</v>
      </c>
      <c r="W561" s="158">
        <v>3</v>
      </c>
      <c r="X561" s="156" t="s">
        <v>46</v>
      </c>
      <c r="Y561" s="149" t="s">
        <v>4009</v>
      </c>
      <c r="Z561" s="155">
        <v>1</v>
      </c>
      <c r="AA561" s="156" t="s">
        <v>40</v>
      </c>
      <c r="AB561" s="154" t="s">
        <v>4630</v>
      </c>
    </row>
    <row r="562" spans="1:28" x14ac:dyDescent="0.2">
      <c r="A562" s="146" t="s">
        <v>7123</v>
      </c>
      <c r="B562" s="147" t="s">
        <v>6130</v>
      </c>
      <c r="C562" s="147" t="s">
        <v>6175</v>
      </c>
      <c r="D562" s="148"/>
      <c r="E562" s="149" t="s">
        <v>22853</v>
      </c>
      <c r="F562" s="160">
        <v>2</v>
      </c>
      <c r="G562" s="149" t="s">
        <v>22854</v>
      </c>
      <c r="H562" s="155">
        <v>1</v>
      </c>
      <c r="I562" s="156" t="s">
        <v>40</v>
      </c>
      <c r="J562" s="149" t="s">
        <v>22855</v>
      </c>
      <c r="K562" s="157">
        <v>2</v>
      </c>
      <c r="L562" s="152"/>
      <c r="M562" s="149" t="s">
        <v>22853</v>
      </c>
      <c r="N562" s="157">
        <v>2</v>
      </c>
      <c r="O562" s="152"/>
      <c r="P562" s="149" t="s">
        <v>22856</v>
      </c>
      <c r="Q562" s="155">
        <v>1</v>
      </c>
      <c r="R562" s="152"/>
      <c r="S562" s="149" t="s">
        <v>22857</v>
      </c>
      <c r="T562" s="155">
        <v>1</v>
      </c>
      <c r="U562" s="152"/>
      <c r="V562" s="149" t="s">
        <v>22858</v>
      </c>
      <c r="W562" s="157">
        <v>2</v>
      </c>
      <c r="X562" s="152"/>
      <c r="Y562" s="149" t="s">
        <v>47</v>
      </c>
      <c r="Z562" s="153"/>
      <c r="AA562" s="152"/>
      <c r="AB562" s="154" t="s">
        <v>4635</v>
      </c>
    </row>
    <row r="563" spans="1:28" x14ac:dyDescent="0.2">
      <c r="A563" s="146" t="s">
        <v>7124</v>
      </c>
      <c r="B563" s="147" t="s">
        <v>6130</v>
      </c>
      <c r="C563" s="147" t="s">
        <v>6175</v>
      </c>
      <c r="D563" s="148"/>
      <c r="E563" s="149" t="s">
        <v>22859</v>
      </c>
      <c r="F563" s="160">
        <v>2</v>
      </c>
      <c r="G563" s="149" t="s">
        <v>22860</v>
      </c>
      <c r="H563" s="157">
        <v>2</v>
      </c>
      <c r="I563" s="152"/>
      <c r="J563" s="149" t="s">
        <v>22861</v>
      </c>
      <c r="K563" s="157">
        <v>2</v>
      </c>
      <c r="L563" s="152"/>
      <c r="M563" s="149" t="s">
        <v>22859</v>
      </c>
      <c r="N563" s="157">
        <v>2</v>
      </c>
      <c r="O563" s="152"/>
      <c r="P563" s="149" t="s">
        <v>22862</v>
      </c>
      <c r="Q563" s="157">
        <v>2</v>
      </c>
      <c r="R563" s="152"/>
      <c r="S563" s="149" t="s">
        <v>22863</v>
      </c>
      <c r="T563" s="157">
        <v>2</v>
      </c>
      <c r="U563" s="152"/>
      <c r="V563" s="149" t="s">
        <v>22864</v>
      </c>
      <c r="W563" s="157">
        <v>2</v>
      </c>
      <c r="X563" s="152"/>
      <c r="Y563" s="149" t="s">
        <v>22865</v>
      </c>
      <c r="Z563" s="158">
        <v>3</v>
      </c>
      <c r="AA563" s="152"/>
      <c r="AB563" s="154" t="s">
        <v>4639</v>
      </c>
    </row>
    <row r="564" spans="1:28" x14ac:dyDescent="0.2">
      <c r="A564" s="146" t="s">
        <v>7125</v>
      </c>
      <c r="B564" s="147" t="s">
        <v>6130</v>
      </c>
      <c r="C564" s="147" t="s">
        <v>7126</v>
      </c>
      <c r="D564" s="148" t="s">
        <v>6160</v>
      </c>
      <c r="E564" s="149" t="s">
        <v>7127</v>
      </c>
      <c r="F564" s="160">
        <v>2</v>
      </c>
      <c r="G564" s="149" t="s">
        <v>7128</v>
      </c>
      <c r="H564" s="155">
        <v>1</v>
      </c>
      <c r="I564" s="156" t="s">
        <v>53</v>
      </c>
      <c r="J564" s="149" t="s">
        <v>22866</v>
      </c>
      <c r="K564" s="157">
        <v>2</v>
      </c>
      <c r="L564" s="156" t="s">
        <v>40</v>
      </c>
      <c r="M564" s="149" t="s">
        <v>7127</v>
      </c>
      <c r="N564" s="157">
        <v>2</v>
      </c>
      <c r="O564" s="156" t="s">
        <v>40</v>
      </c>
      <c r="P564" s="149" t="s">
        <v>22867</v>
      </c>
      <c r="Q564" s="157">
        <v>2</v>
      </c>
      <c r="R564" s="156" t="s">
        <v>40</v>
      </c>
      <c r="S564" s="149" t="s">
        <v>22868</v>
      </c>
      <c r="T564" s="158">
        <v>3</v>
      </c>
      <c r="U564" s="152"/>
      <c r="V564" s="149" t="s">
        <v>7129</v>
      </c>
      <c r="W564" s="158">
        <v>3</v>
      </c>
      <c r="X564" s="152"/>
      <c r="Y564" s="149" t="s">
        <v>22869</v>
      </c>
      <c r="Z564" s="151">
        <v>4</v>
      </c>
      <c r="AA564" s="152"/>
      <c r="AB564" s="154" t="s">
        <v>4644</v>
      </c>
    </row>
    <row r="565" spans="1:28" x14ac:dyDescent="0.2">
      <c r="A565" s="146" t="s">
        <v>7130</v>
      </c>
      <c r="B565" s="147" t="s">
        <v>6130</v>
      </c>
      <c r="C565" s="147" t="s">
        <v>7126</v>
      </c>
      <c r="D565" s="148" t="s">
        <v>6136</v>
      </c>
      <c r="E565" s="149" t="s">
        <v>14881</v>
      </c>
      <c r="F565" s="160">
        <v>2</v>
      </c>
      <c r="G565" s="149" t="s">
        <v>22870</v>
      </c>
      <c r="H565" s="157">
        <v>2</v>
      </c>
      <c r="I565" s="152"/>
      <c r="J565" s="149" t="s">
        <v>7131</v>
      </c>
      <c r="K565" s="157">
        <v>2</v>
      </c>
      <c r="L565" s="152"/>
      <c r="M565" s="149" t="s">
        <v>14881</v>
      </c>
      <c r="N565" s="157">
        <v>2</v>
      </c>
      <c r="O565" s="152"/>
      <c r="P565" s="149" t="s">
        <v>22871</v>
      </c>
      <c r="Q565" s="157">
        <v>2</v>
      </c>
      <c r="R565" s="152"/>
      <c r="S565" s="149" t="s">
        <v>21052</v>
      </c>
      <c r="T565" s="157">
        <v>2</v>
      </c>
      <c r="U565" s="152"/>
      <c r="V565" s="149" t="s">
        <v>47</v>
      </c>
      <c r="W565" s="153"/>
      <c r="X565" s="152"/>
      <c r="Y565" s="149" t="s">
        <v>47</v>
      </c>
      <c r="Z565" s="153"/>
      <c r="AA565" s="152"/>
      <c r="AB565" s="154" t="s">
        <v>4648</v>
      </c>
    </row>
    <row r="566" spans="1:28" x14ac:dyDescent="0.2">
      <c r="A566" s="146" t="s">
        <v>7132</v>
      </c>
      <c r="B566" s="147" t="s">
        <v>6130</v>
      </c>
      <c r="C566" s="147" t="s">
        <v>7126</v>
      </c>
      <c r="D566" s="148"/>
      <c r="E566" s="149" t="s">
        <v>22872</v>
      </c>
      <c r="F566" s="160">
        <v>2</v>
      </c>
      <c r="G566" s="149" t="s">
        <v>7133</v>
      </c>
      <c r="H566" s="157">
        <v>2</v>
      </c>
      <c r="I566" s="152"/>
      <c r="J566" s="149" t="s">
        <v>22873</v>
      </c>
      <c r="K566" s="157">
        <v>2</v>
      </c>
      <c r="L566" s="152"/>
      <c r="M566" s="149" t="s">
        <v>22872</v>
      </c>
      <c r="N566" s="157">
        <v>2</v>
      </c>
      <c r="O566" s="152"/>
      <c r="P566" s="149" t="s">
        <v>47</v>
      </c>
      <c r="Q566" s="153"/>
      <c r="R566" s="152"/>
      <c r="S566" s="149" t="s">
        <v>47</v>
      </c>
      <c r="T566" s="153"/>
      <c r="U566" s="152"/>
      <c r="V566" s="149" t="s">
        <v>47</v>
      </c>
      <c r="W566" s="153"/>
      <c r="X566" s="152"/>
      <c r="Y566" s="149" t="s">
        <v>47</v>
      </c>
      <c r="Z566" s="153"/>
      <c r="AA566" s="152"/>
      <c r="AB566" s="154" t="s">
        <v>4653</v>
      </c>
    </row>
    <row r="567" spans="1:28" x14ac:dyDescent="0.2">
      <c r="A567" s="146" t="s">
        <v>7134</v>
      </c>
      <c r="B567" s="147" t="s">
        <v>6130</v>
      </c>
      <c r="C567" s="147" t="s">
        <v>6192</v>
      </c>
      <c r="D567" s="148" t="s">
        <v>6170</v>
      </c>
      <c r="E567" s="149" t="s">
        <v>22874</v>
      </c>
      <c r="F567" s="150">
        <v>4</v>
      </c>
      <c r="G567" s="149" t="s">
        <v>22875</v>
      </c>
      <c r="H567" s="155">
        <v>1</v>
      </c>
      <c r="I567" s="156" t="s">
        <v>157</v>
      </c>
      <c r="J567" s="149" t="s">
        <v>22876</v>
      </c>
      <c r="K567" s="158">
        <v>3</v>
      </c>
      <c r="L567" s="156" t="s">
        <v>40</v>
      </c>
      <c r="M567" s="149" t="s">
        <v>22874</v>
      </c>
      <c r="N567" s="151">
        <v>4</v>
      </c>
      <c r="O567" s="152"/>
      <c r="P567" s="149" t="s">
        <v>22877</v>
      </c>
      <c r="Q567" s="151">
        <v>4</v>
      </c>
      <c r="R567" s="152"/>
      <c r="S567" s="149" t="s">
        <v>22878</v>
      </c>
      <c r="T567" s="151">
        <v>4</v>
      </c>
      <c r="U567" s="152"/>
      <c r="V567" s="149" t="s">
        <v>22879</v>
      </c>
      <c r="W567" s="158">
        <v>3</v>
      </c>
      <c r="X567" s="152"/>
      <c r="Y567" s="149" t="s">
        <v>47</v>
      </c>
      <c r="Z567" s="153"/>
      <c r="AA567" s="152"/>
      <c r="AB567" s="154" t="s">
        <v>4657</v>
      </c>
    </row>
    <row r="568" spans="1:28" x14ac:dyDescent="0.2">
      <c r="A568" s="146" t="s">
        <v>7135</v>
      </c>
      <c r="B568" s="147" t="s">
        <v>6130</v>
      </c>
      <c r="C568" s="147" t="s">
        <v>6192</v>
      </c>
      <c r="D568" s="148" t="s">
        <v>6136</v>
      </c>
      <c r="E568" s="149" t="s">
        <v>22880</v>
      </c>
      <c r="F568" s="159">
        <v>3</v>
      </c>
      <c r="G568" s="149" t="s">
        <v>22881</v>
      </c>
      <c r="H568" s="158">
        <v>3</v>
      </c>
      <c r="I568" s="156" t="s">
        <v>40</v>
      </c>
      <c r="J568" s="149" t="s">
        <v>22882</v>
      </c>
      <c r="K568" s="151">
        <v>4</v>
      </c>
      <c r="L568" s="152"/>
      <c r="M568" s="149" t="s">
        <v>22880</v>
      </c>
      <c r="N568" s="158">
        <v>3</v>
      </c>
      <c r="O568" s="152"/>
      <c r="P568" s="149" t="s">
        <v>22883</v>
      </c>
      <c r="Q568" s="158">
        <v>3</v>
      </c>
      <c r="R568" s="152"/>
      <c r="S568" s="149" t="s">
        <v>22884</v>
      </c>
      <c r="T568" s="157">
        <v>2</v>
      </c>
      <c r="U568" s="152"/>
      <c r="V568" s="149" t="s">
        <v>22885</v>
      </c>
      <c r="W568" s="157">
        <v>2</v>
      </c>
      <c r="X568" s="152"/>
      <c r="Y568" s="149" t="s">
        <v>47</v>
      </c>
      <c r="Z568" s="153"/>
      <c r="AA568" s="152"/>
      <c r="AB568" s="154" t="s">
        <v>4661</v>
      </c>
    </row>
    <row r="569" spans="1:28" x14ac:dyDescent="0.2">
      <c r="A569" s="146" t="s">
        <v>7136</v>
      </c>
      <c r="B569" s="147" t="s">
        <v>6130</v>
      </c>
      <c r="C569" s="147" t="s">
        <v>6206</v>
      </c>
      <c r="D569" s="148" t="s">
        <v>6132</v>
      </c>
      <c r="E569" s="149" t="s">
        <v>22886</v>
      </c>
      <c r="F569" s="161">
        <v>1</v>
      </c>
      <c r="G569" s="149" t="s">
        <v>22887</v>
      </c>
      <c r="H569" s="155">
        <v>1</v>
      </c>
      <c r="I569" s="156" t="s">
        <v>40</v>
      </c>
      <c r="J569" s="149" t="s">
        <v>22888</v>
      </c>
      <c r="K569" s="155">
        <v>1</v>
      </c>
      <c r="L569" s="152"/>
      <c r="M569" s="149" t="s">
        <v>22886</v>
      </c>
      <c r="N569" s="155">
        <v>1</v>
      </c>
      <c r="O569" s="156" t="s">
        <v>40</v>
      </c>
      <c r="P569" s="149" t="s">
        <v>22889</v>
      </c>
      <c r="Q569" s="151">
        <v>4</v>
      </c>
      <c r="R569" s="152"/>
      <c r="S569" s="149" t="s">
        <v>22890</v>
      </c>
      <c r="T569" s="155">
        <v>1</v>
      </c>
      <c r="U569" s="152"/>
      <c r="V569" s="149" t="s">
        <v>22891</v>
      </c>
      <c r="W569" s="155">
        <v>1</v>
      </c>
      <c r="X569" s="152"/>
      <c r="Y569" s="149" t="s">
        <v>47</v>
      </c>
      <c r="Z569" s="153"/>
      <c r="AA569" s="152"/>
      <c r="AB569" s="154" t="s">
        <v>4669</v>
      </c>
    </row>
    <row r="570" spans="1:28" x14ac:dyDescent="0.2">
      <c r="A570" s="146" t="s">
        <v>7137</v>
      </c>
      <c r="B570" s="147" t="s">
        <v>6130</v>
      </c>
      <c r="C570" s="147" t="s">
        <v>6154</v>
      </c>
      <c r="D570" s="148" t="s">
        <v>6160</v>
      </c>
      <c r="E570" s="149" t="s">
        <v>22892</v>
      </c>
      <c r="F570" s="150">
        <v>4</v>
      </c>
      <c r="G570" s="149" t="s">
        <v>22893</v>
      </c>
      <c r="H570" s="158">
        <v>3</v>
      </c>
      <c r="I570" s="156" t="s">
        <v>40</v>
      </c>
      <c r="J570" s="149" t="s">
        <v>22894</v>
      </c>
      <c r="K570" s="151">
        <v>4</v>
      </c>
      <c r="L570" s="152"/>
      <c r="M570" s="149" t="s">
        <v>22892</v>
      </c>
      <c r="N570" s="151">
        <v>4</v>
      </c>
      <c r="O570" s="152"/>
      <c r="P570" s="149" t="s">
        <v>22895</v>
      </c>
      <c r="Q570" s="151">
        <v>4</v>
      </c>
      <c r="R570" s="152"/>
      <c r="S570" s="149" t="s">
        <v>21682</v>
      </c>
      <c r="T570" s="151">
        <v>4</v>
      </c>
      <c r="U570" s="156" t="s">
        <v>46</v>
      </c>
      <c r="V570" s="149" t="s">
        <v>22896</v>
      </c>
      <c r="W570" s="158">
        <v>3</v>
      </c>
      <c r="X570" s="152"/>
      <c r="Y570" s="149" t="s">
        <v>22897</v>
      </c>
      <c r="Z570" s="158">
        <v>3</v>
      </c>
      <c r="AA570" s="152"/>
      <c r="AB570" s="154" t="s">
        <v>4671</v>
      </c>
    </row>
    <row r="571" spans="1:28" x14ac:dyDescent="0.2">
      <c r="A571" s="146" t="s">
        <v>7138</v>
      </c>
      <c r="B571" s="147" t="s">
        <v>6130</v>
      </c>
      <c r="C571" s="147" t="s">
        <v>6227</v>
      </c>
      <c r="D571" s="148" t="s">
        <v>6132</v>
      </c>
      <c r="E571" s="149" t="s">
        <v>22898</v>
      </c>
      <c r="F571" s="159">
        <v>3</v>
      </c>
      <c r="G571" s="149" t="s">
        <v>22899</v>
      </c>
      <c r="H571" s="157">
        <v>2</v>
      </c>
      <c r="I571" s="156" t="s">
        <v>40</v>
      </c>
      <c r="J571" s="149" t="s">
        <v>22900</v>
      </c>
      <c r="K571" s="158">
        <v>3</v>
      </c>
      <c r="L571" s="152"/>
      <c r="M571" s="149" t="s">
        <v>22898</v>
      </c>
      <c r="N571" s="158">
        <v>3</v>
      </c>
      <c r="O571" s="152"/>
      <c r="P571" s="149" t="s">
        <v>22901</v>
      </c>
      <c r="Q571" s="158">
        <v>3</v>
      </c>
      <c r="R571" s="152"/>
      <c r="S571" s="149" t="s">
        <v>22902</v>
      </c>
      <c r="T571" s="157">
        <v>2</v>
      </c>
      <c r="U571" s="152"/>
      <c r="V571" s="149" t="s">
        <v>22903</v>
      </c>
      <c r="W571" s="157">
        <v>2</v>
      </c>
      <c r="X571" s="152"/>
      <c r="Y571" s="149" t="s">
        <v>22904</v>
      </c>
      <c r="Z571" s="158">
        <v>3</v>
      </c>
      <c r="AA571" s="152"/>
      <c r="AB571" s="154" t="s">
        <v>4682</v>
      </c>
    </row>
    <row r="572" spans="1:28" x14ac:dyDescent="0.2">
      <c r="A572" s="146" t="s">
        <v>7139</v>
      </c>
      <c r="B572" s="147" t="s">
        <v>6130</v>
      </c>
      <c r="C572" s="147" t="s">
        <v>6131</v>
      </c>
      <c r="D572" s="148"/>
      <c r="E572" s="149" t="s">
        <v>22905</v>
      </c>
      <c r="F572" s="160">
        <v>2</v>
      </c>
      <c r="G572" s="149" t="s">
        <v>22906</v>
      </c>
      <c r="H572" s="151">
        <v>4</v>
      </c>
      <c r="I572" s="156" t="s">
        <v>55</v>
      </c>
      <c r="J572" s="149" t="s">
        <v>22907</v>
      </c>
      <c r="K572" s="158">
        <v>3</v>
      </c>
      <c r="L572" s="156" t="s">
        <v>55</v>
      </c>
      <c r="M572" s="149" t="s">
        <v>22905</v>
      </c>
      <c r="N572" s="157">
        <v>2</v>
      </c>
      <c r="O572" s="152"/>
      <c r="P572" s="149" t="s">
        <v>22908</v>
      </c>
      <c r="Q572" s="155">
        <v>1</v>
      </c>
      <c r="R572" s="152"/>
      <c r="S572" s="149" t="s">
        <v>22909</v>
      </c>
      <c r="T572" s="157">
        <v>2</v>
      </c>
      <c r="U572" s="152"/>
      <c r="V572" s="149" t="s">
        <v>22910</v>
      </c>
      <c r="W572" s="155">
        <v>1</v>
      </c>
      <c r="X572" s="152"/>
      <c r="Y572" s="149" t="s">
        <v>47</v>
      </c>
      <c r="Z572" s="153"/>
      <c r="AA572" s="152"/>
      <c r="AB572" s="154" t="s">
        <v>7140</v>
      </c>
    </row>
    <row r="573" spans="1:28" x14ac:dyDescent="0.2">
      <c r="A573" s="146" t="s">
        <v>7141</v>
      </c>
      <c r="B573" s="147" t="s">
        <v>6130</v>
      </c>
      <c r="C573" s="147" t="s">
        <v>6131</v>
      </c>
      <c r="D573" s="148"/>
      <c r="E573" s="149" t="s">
        <v>22911</v>
      </c>
      <c r="F573" s="161">
        <v>1</v>
      </c>
      <c r="G573" s="149" t="s">
        <v>22912</v>
      </c>
      <c r="H573" s="151">
        <v>4</v>
      </c>
      <c r="I573" s="156" t="s">
        <v>44</v>
      </c>
      <c r="J573" s="149" t="s">
        <v>22913</v>
      </c>
      <c r="K573" s="155">
        <v>1</v>
      </c>
      <c r="L573" s="152"/>
      <c r="M573" s="149" t="s">
        <v>22911</v>
      </c>
      <c r="N573" s="155">
        <v>1</v>
      </c>
      <c r="O573" s="152"/>
      <c r="P573" s="149" t="s">
        <v>22914</v>
      </c>
      <c r="Q573" s="155">
        <v>1</v>
      </c>
      <c r="R573" s="156" t="s">
        <v>40</v>
      </c>
      <c r="S573" s="149" t="s">
        <v>22915</v>
      </c>
      <c r="T573" s="155">
        <v>1</v>
      </c>
      <c r="U573" s="152"/>
      <c r="V573" s="149" t="s">
        <v>47</v>
      </c>
      <c r="W573" s="153"/>
      <c r="X573" s="152"/>
      <c r="Y573" s="149" t="s">
        <v>47</v>
      </c>
      <c r="Z573" s="153"/>
      <c r="AA573" s="152"/>
      <c r="AB573" s="154" t="s">
        <v>7142</v>
      </c>
    </row>
    <row r="574" spans="1:28" x14ac:dyDescent="0.2">
      <c r="A574" s="146" t="s">
        <v>7143</v>
      </c>
      <c r="B574" s="147" t="s">
        <v>6130</v>
      </c>
      <c r="C574" s="147" t="s">
        <v>6131</v>
      </c>
      <c r="D574" s="148"/>
      <c r="E574" s="149" t="s">
        <v>22916</v>
      </c>
      <c r="F574" s="159">
        <v>3</v>
      </c>
      <c r="G574" s="149" t="s">
        <v>22917</v>
      </c>
      <c r="H574" s="157">
        <v>2</v>
      </c>
      <c r="I574" s="156" t="s">
        <v>40</v>
      </c>
      <c r="J574" s="149" t="s">
        <v>22918</v>
      </c>
      <c r="K574" s="158">
        <v>3</v>
      </c>
      <c r="L574" s="156" t="s">
        <v>46</v>
      </c>
      <c r="M574" s="149" t="s">
        <v>22916</v>
      </c>
      <c r="N574" s="158">
        <v>3</v>
      </c>
      <c r="O574" s="152"/>
      <c r="P574" s="149" t="s">
        <v>22919</v>
      </c>
      <c r="Q574" s="157">
        <v>2</v>
      </c>
      <c r="R574" s="156" t="s">
        <v>40</v>
      </c>
      <c r="S574" s="149" t="s">
        <v>22920</v>
      </c>
      <c r="T574" s="158">
        <v>3</v>
      </c>
      <c r="U574" s="152"/>
      <c r="V574" s="149" t="s">
        <v>22921</v>
      </c>
      <c r="W574" s="155">
        <v>1</v>
      </c>
      <c r="X574" s="152"/>
      <c r="Y574" s="149" t="s">
        <v>47</v>
      </c>
      <c r="Z574" s="153"/>
      <c r="AA574" s="152"/>
      <c r="AB574" s="154" t="s">
        <v>7144</v>
      </c>
    </row>
    <row r="575" spans="1:28" x14ac:dyDescent="0.2">
      <c r="A575" s="146" t="s">
        <v>7145</v>
      </c>
      <c r="B575" s="147" t="s">
        <v>6130</v>
      </c>
      <c r="C575" s="147" t="s">
        <v>6131</v>
      </c>
      <c r="D575" s="148"/>
      <c r="E575" s="149" t="s">
        <v>22922</v>
      </c>
      <c r="F575" s="160">
        <v>2</v>
      </c>
      <c r="G575" s="149" t="s">
        <v>22923</v>
      </c>
      <c r="H575" s="151">
        <v>4</v>
      </c>
      <c r="I575" s="156" t="s">
        <v>55</v>
      </c>
      <c r="J575" s="149" t="s">
        <v>22924</v>
      </c>
      <c r="K575" s="158">
        <v>3</v>
      </c>
      <c r="L575" s="156" t="s">
        <v>55</v>
      </c>
      <c r="M575" s="149" t="s">
        <v>22922</v>
      </c>
      <c r="N575" s="157">
        <v>2</v>
      </c>
      <c r="O575" s="156" t="s">
        <v>46</v>
      </c>
      <c r="P575" s="149" t="s">
        <v>22925</v>
      </c>
      <c r="Q575" s="155">
        <v>1</v>
      </c>
      <c r="R575" s="152"/>
      <c r="S575" s="149" t="s">
        <v>22926</v>
      </c>
      <c r="T575" s="157">
        <v>2</v>
      </c>
      <c r="U575" s="152"/>
      <c r="V575" s="149" t="s">
        <v>22927</v>
      </c>
      <c r="W575" s="155">
        <v>1</v>
      </c>
      <c r="X575" s="152"/>
      <c r="Y575" s="149" t="s">
        <v>47</v>
      </c>
      <c r="Z575" s="153"/>
      <c r="AA575" s="152"/>
      <c r="AB575" s="154" t="s">
        <v>7146</v>
      </c>
    </row>
    <row r="576" spans="1:28" x14ac:dyDescent="0.2">
      <c r="A576" s="146" t="s">
        <v>7147</v>
      </c>
      <c r="B576" s="147" t="s">
        <v>6130</v>
      </c>
      <c r="C576" s="147" t="s">
        <v>6192</v>
      </c>
      <c r="D576" s="148"/>
      <c r="E576" s="149" t="s">
        <v>22928</v>
      </c>
      <c r="F576" s="150">
        <v>4</v>
      </c>
      <c r="G576" s="149" t="s">
        <v>22929</v>
      </c>
      <c r="H576" s="157">
        <v>2</v>
      </c>
      <c r="I576" s="152"/>
      <c r="J576" s="149" t="s">
        <v>22930</v>
      </c>
      <c r="K576" s="157">
        <v>2</v>
      </c>
      <c r="L576" s="156" t="s">
        <v>40</v>
      </c>
      <c r="M576" s="149" t="s">
        <v>22928</v>
      </c>
      <c r="N576" s="151">
        <v>4</v>
      </c>
      <c r="O576" s="152"/>
      <c r="P576" s="149" t="s">
        <v>22931</v>
      </c>
      <c r="Q576" s="151">
        <v>4</v>
      </c>
      <c r="R576" s="152"/>
      <c r="S576" s="149" t="s">
        <v>47</v>
      </c>
      <c r="T576" s="153"/>
      <c r="U576" s="152"/>
      <c r="V576" s="149" t="s">
        <v>47</v>
      </c>
      <c r="W576" s="153"/>
      <c r="X576" s="152"/>
      <c r="Y576" s="149" t="s">
        <v>47</v>
      </c>
      <c r="Z576" s="153"/>
      <c r="AA576" s="152"/>
      <c r="AB576" s="154" t="s">
        <v>7148</v>
      </c>
    </row>
    <row r="577" spans="1:28" x14ac:dyDescent="0.2">
      <c r="A577" s="146" t="s">
        <v>7149</v>
      </c>
      <c r="B577" s="147" t="s">
        <v>6130</v>
      </c>
      <c r="C577" s="147" t="s">
        <v>6154</v>
      </c>
      <c r="D577" s="148"/>
      <c r="E577" s="149" t="s">
        <v>22932</v>
      </c>
      <c r="F577" s="150">
        <v>4</v>
      </c>
      <c r="G577" s="149" t="s">
        <v>22933</v>
      </c>
      <c r="H577" s="157">
        <v>2</v>
      </c>
      <c r="I577" s="156" t="s">
        <v>40</v>
      </c>
      <c r="J577" s="149" t="s">
        <v>22934</v>
      </c>
      <c r="K577" s="151">
        <v>4</v>
      </c>
      <c r="L577" s="152"/>
      <c r="M577" s="149" t="s">
        <v>22932</v>
      </c>
      <c r="N577" s="151">
        <v>4</v>
      </c>
      <c r="O577" s="152"/>
      <c r="P577" s="149" t="s">
        <v>22935</v>
      </c>
      <c r="Q577" s="151">
        <v>4</v>
      </c>
      <c r="R577" s="152"/>
      <c r="S577" s="149" t="s">
        <v>47</v>
      </c>
      <c r="T577" s="153"/>
      <c r="U577" s="152"/>
      <c r="V577" s="149" t="s">
        <v>47</v>
      </c>
      <c r="W577" s="153"/>
      <c r="X577" s="152"/>
      <c r="Y577" s="149" t="s">
        <v>47</v>
      </c>
      <c r="Z577" s="153"/>
      <c r="AA577" s="152"/>
      <c r="AB577" s="154" t="s">
        <v>7150</v>
      </c>
    </row>
    <row r="578" spans="1:28" x14ac:dyDescent="0.2">
      <c r="A578" s="146" t="s">
        <v>7151</v>
      </c>
      <c r="B578" s="147" t="s">
        <v>6130</v>
      </c>
      <c r="C578" s="147" t="s">
        <v>6131</v>
      </c>
      <c r="D578" s="148"/>
      <c r="E578" s="149" t="s">
        <v>22936</v>
      </c>
      <c r="F578" s="160">
        <v>2</v>
      </c>
      <c r="G578" s="149" t="s">
        <v>20455</v>
      </c>
      <c r="H578" s="155">
        <v>1</v>
      </c>
      <c r="I578" s="156" t="s">
        <v>53</v>
      </c>
      <c r="J578" s="149" t="s">
        <v>22937</v>
      </c>
      <c r="K578" s="158">
        <v>3</v>
      </c>
      <c r="L578" s="152"/>
      <c r="M578" s="149" t="s">
        <v>22936</v>
      </c>
      <c r="N578" s="157">
        <v>2</v>
      </c>
      <c r="O578" s="152"/>
      <c r="P578" s="149" t="s">
        <v>22938</v>
      </c>
      <c r="Q578" s="155">
        <v>1</v>
      </c>
      <c r="R578" s="156" t="s">
        <v>40</v>
      </c>
      <c r="S578" s="149" t="s">
        <v>22939</v>
      </c>
      <c r="T578" s="158">
        <v>3</v>
      </c>
      <c r="U578" s="152"/>
      <c r="V578" s="149" t="s">
        <v>22940</v>
      </c>
      <c r="W578" s="157">
        <v>2</v>
      </c>
      <c r="X578" s="152"/>
      <c r="Y578" s="149" t="s">
        <v>47</v>
      </c>
      <c r="Z578" s="153"/>
      <c r="AA578" s="152"/>
      <c r="AB578" s="154" t="s">
        <v>7152</v>
      </c>
    </row>
    <row r="579" spans="1:28" x14ac:dyDescent="0.2">
      <c r="A579" s="146" t="s">
        <v>7153</v>
      </c>
      <c r="B579" s="147" t="s">
        <v>6130</v>
      </c>
      <c r="C579" s="147" t="s">
        <v>6131</v>
      </c>
      <c r="D579" s="148"/>
      <c r="E579" s="149" t="s">
        <v>22941</v>
      </c>
      <c r="F579" s="160">
        <v>2</v>
      </c>
      <c r="G579" s="149" t="s">
        <v>22942</v>
      </c>
      <c r="H579" s="158">
        <v>3</v>
      </c>
      <c r="I579" s="156" t="s">
        <v>55</v>
      </c>
      <c r="J579" s="149" t="s">
        <v>22943</v>
      </c>
      <c r="K579" s="158">
        <v>3</v>
      </c>
      <c r="L579" s="156" t="s">
        <v>46</v>
      </c>
      <c r="M579" s="149" t="s">
        <v>22941</v>
      </c>
      <c r="N579" s="157">
        <v>2</v>
      </c>
      <c r="O579" s="152"/>
      <c r="P579" s="149" t="s">
        <v>7154</v>
      </c>
      <c r="Q579" s="157">
        <v>2</v>
      </c>
      <c r="R579" s="152"/>
      <c r="S579" s="149" t="s">
        <v>22944</v>
      </c>
      <c r="T579" s="157">
        <v>2</v>
      </c>
      <c r="U579" s="152"/>
      <c r="V579" s="149" t="s">
        <v>22945</v>
      </c>
      <c r="W579" s="157">
        <v>2</v>
      </c>
      <c r="X579" s="152"/>
      <c r="Y579" s="149" t="s">
        <v>47</v>
      </c>
      <c r="Z579" s="153"/>
      <c r="AA579" s="152"/>
      <c r="AB579" s="154" t="s">
        <v>7155</v>
      </c>
    </row>
    <row r="580" spans="1:28" x14ac:dyDescent="0.2">
      <c r="A580" s="146" t="s">
        <v>7156</v>
      </c>
      <c r="B580" s="147" t="s">
        <v>6130</v>
      </c>
      <c r="C580" s="147" t="s">
        <v>6583</v>
      </c>
      <c r="D580" s="148" t="s">
        <v>6160</v>
      </c>
      <c r="E580" s="149" t="s">
        <v>22946</v>
      </c>
      <c r="F580" s="161">
        <v>1</v>
      </c>
      <c r="G580" s="149" t="s">
        <v>22947</v>
      </c>
      <c r="H580" s="157">
        <v>2</v>
      </c>
      <c r="I580" s="152"/>
      <c r="J580" s="149" t="s">
        <v>22948</v>
      </c>
      <c r="K580" s="155">
        <v>1</v>
      </c>
      <c r="L580" s="152"/>
      <c r="M580" s="149" t="s">
        <v>22946</v>
      </c>
      <c r="N580" s="155">
        <v>1</v>
      </c>
      <c r="O580" s="152"/>
      <c r="P580" s="149" t="s">
        <v>22949</v>
      </c>
      <c r="Q580" s="157">
        <v>2</v>
      </c>
      <c r="R580" s="152"/>
      <c r="S580" s="149" t="s">
        <v>22950</v>
      </c>
      <c r="T580" s="158">
        <v>3</v>
      </c>
      <c r="U580" s="152"/>
      <c r="V580" s="149" t="s">
        <v>22951</v>
      </c>
      <c r="W580" s="158">
        <v>3</v>
      </c>
      <c r="X580" s="152"/>
      <c r="Y580" s="149" t="s">
        <v>47</v>
      </c>
      <c r="Z580" s="153"/>
      <c r="AA580" s="152"/>
      <c r="AB580" s="154" t="s">
        <v>4684</v>
      </c>
    </row>
    <row r="581" spans="1:28" x14ac:dyDescent="0.2">
      <c r="A581" s="146" t="s">
        <v>7157</v>
      </c>
      <c r="B581" s="147" t="s">
        <v>6130</v>
      </c>
      <c r="C581" s="147" t="s">
        <v>6175</v>
      </c>
      <c r="D581" s="148"/>
      <c r="E581" s="149" t="s">
        <v>22952</v>
      </c>
      <c r="F581" s="161">
        <v>1</v>
      </c>
      <c r="G581" s="149" t="s">
        <v>22953</v>
      </c>
      <c r="H581" s="155">
        <v>1</v>
      </c>
      <c r="I581" s="156" t="s">
        <v>40</v>
      </c>
      <c r="J581" s="149" t="s">
        <v>22954</v>
      </c>
      <c r="K581" s="155">
        <v>1</v>
      </c>
      <c r="L581" s="152"/>
      <c r="M581" s="149" t="s">
        <v>22952</v>
      </c>
      <c r="N581" s="155">
        <v>1</v>
      </c>
      <c r="O581" s="152"/>
      <c r="P581" s="149" t="s">
        <v>22955</v>
      </c>
      <c r="Q581" s="157">
        <v>2</v>
      </c>
      <c r="R581" s="156" t="s">
        <v>40</v>
      </c>
      <c r="S581" s="149" t="s">
        <v>22956</v>
      </c>
      <c r="T581" s="151">
        <v>4</v>
      </c>
      <c r="U581" s="152"/>
      <c r="V581" s="149" t="s">
        <v>22957</v>
      </c>
      <c r="W581" s="151">
        <v>4</v>
      </c>
      <c r="X581" s="152"/>
      <c r="Y581" s="149" t="s">
        <v>18427</v>
      </c>
      <c r="Z581" s="151">
        <v>4</v>
      </c>
      <c r="AA581" s="152"/>
      <c r="AB581" s="154" t="s">
        <v>4687</v>
      </c>
    </row>
    <row r="582" spans="1:28" x14ac:dyDescent="0.2">
      <c r="A582" s="146" t="s">
        <v>7158</v>
      </c>
      <c r="B582" s="147" t="s">
        <v>6130</v>
      </c>
      <c r="C582" s="147" t="s">
        <v>6583</v>
      </c>
      <c r="D582" s="148" t="s">
        <v>6160</v>
      </c>
      <c r="E582" s="149" t="s">
        <v>22958</v>
      </c>
      <c r="F582" s="161">
        <v>1</v>
      </c>
      <c r="G582" s="149" t="s">
        <v>22959</v>
      </c>
      <c r="H582" s="157">
        <v>2</v>
      </c>
      <c r="I582" s="152"/>
      <c r="J582" s="149" t="s">
        <v>22960</v>
      </c>
      <c r="K582" s="155">
        <v>1</v>
      </c>
      <c r="L582" s="152"/>
      <c r="M582" s="149" t="s">
        <v>22958</v>
      </c>
      <c r="N582" s="155">
        <v>1</v>
      </c>
      <c r="O582" s="152"/>
      <c r="P582" s="149" t="s">
        <v>22961</v>
      </c>
      <c r="Q582" s="157">
        <v>2</v>
      </c>
      <c r="R582" s="152"/>
      <c r="S582" s="149" t="s">
        <v>22962</v>
      </c>
      <c r="T582" s="158">
        <v>3</v>
      </c>
      <c r="U582" s="152"/>
      <c r="V582" s="149" t="s">
        <v>22963</v>
      </c>
      <c r="W582" s="158">
        <v>3</v>
      </c>
      <c r="X582" s="152"/>
      <c r="Y582" s="149" t="s">
        <v>47</v>
      </c>
      <c r="Z582" s="153"/>
      <c r="AA582" s="152"/>
      <c r="AB582" s="154" t="s">
        <v>4689</v>
      </c>
    </row>
    <row r="583" spans="1:28" x14ac:dyDescent="0.2">
      <c r="A583" s="146" t="s">
        <v>7159</v>
      </c>
      <c r="B583" s="147" t="s">
        <v>6130</v>
      </c>
      <c r="C583" s="147" t="s">
        <v>6747</v>
      </c>
      <c r="D583" s="148" t="s">
        <v>6160</v>
      </c>
      <c r="E583" s="149" t="s">
        <v>9032</v>
      </c>
      <c r="F583" s="159">
        <v>3</v>
      </c>
      <c r="G583" s="149" t="s">
        <v>22964</v>
      </c>
      <c r="H583" s="157">
        <v>2</v>
      </c>
      <c r="I583" s="152"/>
      <c r="J583" s="149" t="s">
        <v>22965</v>
      </c>
      <c r="K583" s="157">
        <v>2</v>
      </c>
      <c r="L583" s="156" t="s">
        <v>40</v>
      </c>
      <c r="M583" s="149" t="s">
        <v>9032</v>
      </c>
      <c r="N583" s="158">
        <v>3</v>
      </c>
      <c r="O583" s="152"/>
      <c r="P583" s="149" t="s">
        <v>872</v>
      </c>
      <c r="Q583" s="158">
        <v>3</v>
      </c>
      <c r="R583" s="152"/>
      <c r="S583" s="149" t="s">
        <v>22966</v>
      </c>
      <c r="T583" s="158">
        <v>3</v>
      </c>
      <c r="U583" s="152"/>
      <c r="V583" s="149" t="s">
        <v>7160</v>
      </c>
      <c r="W583" s="158">
        <v>3</v>
      </c>
      <c r="X583" s="152"/>
      <c r="Y583" s="149" t="s">
        <v>47</v>
      </c>
      <c r="Z583" s="153"/>
      <c r="AA583" s="152"/>
      <c r="AB583" s="154" t="s">
        <v>4691</v>
      </c>
    </row>
    <row r="584" spans="1:28" x14ac:dyDescent="0.2">
      <c r="A584" s="146" t="s">
        <v>7161</v>
      </c>
      <c r="B584" s="147" t="s">
        <v>6130</v>
      </c>
      <c r="C584" s="147" t="s">
        <v>6747</v>
      </c>
      <c r="D584" s="148" t="s">
        <v>6136</v>
      </c>
      <c r="E584" s="149" t="s">
        <v>8588</v>
      </c>
      <c r="F584" s="160">
        <v>2</v>
      </c>
      <c r="G584" s="149" t="s">
        <v>22967</v>
      </c>
      <c r="H584" s="157">
        <v>2</v>
      </c>
      <c r="I584" s="152"/>
      <c r="J584" s="149" t="s">
        <v>22968</v>
      </c>
      <c r="K584" s="157">
        <v>2</v>
      </c>
      <c r="L584" s="152"/>
      <c r="M584" s="149" t="s">
        <v>8588</v>
      </c>
      <c r="N584" s="157">
        <v>2</v>
      </c>
      <c r="O584" s="152"/>
      <c r="P584" s="149" t="s">
        <v>22969</v>
      </c>
      <c r="Q584" s="157">
        <v>2</v>
      </c>
      <c r="R584" s="152"/>
      <c r="S584" s="149" t="s">
        <v>22970</v>
      </c>
      <c r="T584" s="157">
        <v>2</v>
      </c>
      <c r="U584" s="156" t="s">
        <v>40</v>
      </c>
      <c r="V584" s="149" t="s">
        <v>22971</v>
      </c>
      <c r="W584" s="158">
        <v>3</v>
      </c>
      <c r="X584" s="152"/>
      <c r="Y584" s="149" t="s">
        <v>47</v>
      </c>
      <c r="Z584" s="153"/>
      <c r="AA584" s="152"/>
      <c r="AB584" s="154" t="s">
        <v>4693</v>
      </c>
    </row>
    <row r="585" spans="1:28" x14ac:dyDescent="0.2">
      <c r="A585" s="146" t="s">
        <v>7162</v>
      </c>
      <c r="B585" s="147" t="s">
        <v>6130</v>
      </c>
      <c r="C585" s="147" t="s">
        <v>6747</v>
      </c>
      <c r="D585" s="148" t="s">
        <v>6132</v>
      </c>
      <c r="E585" s="149" t="s">
        <v>841</v>
      </c>
      <c r="F585" s="161">
        <v>1</v>
      </c>
      <c r="G585" s="149" t="s">
        <v>22972</v>
      </c>
      <c r="H585" s="158">
        <v>3</v>
      </c>
      <c r="I585" s="156" t="s">
        <v>55</v>
      </c>
      <c r="J585" s="149" t="s">
        <v>7163</v>
      </c>
      <c r="K585" s="155">
        <v>1</v>
      </c>
      <c r="L585" s="152"/>
      <c r="M585" s="149" t="s">
        <v>841</v>
      </c>
      <c r="N585" s="155">
        <v>1</v>
      </c>
      <c r="O585" s="152"/>
      <c r="P585" s="149" t="s">
        <v>7164</v>
      </c>
      <c r="Q585" s="155">
        <v>1</v>
      </c>
      <c r="R585" s="152"/>
      <c r="S585" s="149" t="s">
        <v>21503</v>
      </c>
      <c r="T585" s="157">
        <v>2</v>
      </c>
      <c r="U585" s="152"/>
      <c r="V585" s="149" t="s">
        <v>22973</v>
      </c>
      <c r="W585" s="157">
        <v>2</v>
      </c>
      <c r="X585" s="156" t="s">
        <v>46</v>
      </c>
      <c r="Y585" s="149" t="s">
        <v>47</v>
      </c>
      <c r="Z585" s="153"/>
      <c r="AA585" s="152"/>
      <c r="AB585" s="154" t="s">
        <v>4695</v>
      </c>
    </row>
    <row r="586" spans="1:28" x14ac:dyDescent="0.2">
      <c r="A586" s="146" t="s">
        <v>7165</v>
      </c>
      <c r="B586" s="147" t="s">
        <v>6130</v>
      </c>
      <c r="C586" s="147" t="s">
        <v>7166</v>
      </c>
      <c r="D586" s="148" t="s">
        <v>6160</v>
      </c>
      <c r="E586" s="149" t="s">
        <v>7167</v>
      </c>
      <c r="F586" s="160">
        <v>2</v>
      </c>
      <c r="G586" s="149" t="s">
        <v>20624</v>
      </c>
      <c r="H586" s="158">
        <v>3</v>
      </c>
      <c r="I586" s="156" t="s">
        <v>46</v>
      </c>
      <c r="J586" s="149" t="s">
        <v>7168</v>
      </c>
      <c r="K586" s="157">
        <v>2</v>
      </c>
      <c r="L586" s="152"/>
      <c r="M586" s="149" t="s">
        <v>7167</v>
      </c>
      <c r="N586" s="157">
        <v>2</v>
      </c>
      <c r="O586" s="152"/>
      <c r="P586" s="149" t="s">
        <v>22974</v>
      </c>
      <c r="Q586" s="157">
        <v>2</v>
      </c>
      <c r="R586" s="152"/>
      <c r="S586" s="149" t="s">
        <v>22975</v>
      </c>
      <c r="T586" s="157">
        <v>2</v>
      </c>
      <c r="U586" s="156" t="s">
        <v>40</v>
      </c>
      <c r="V586" s="149" t="s">
        <v>22976</v>
      </c>
      <c r="W586" s="158">
        <v>3</v>
      </c>
      <c r="X586" s="152"/>
      <c r="Y586" s="149" t="s">
        <v>47</v>
      </c>
      <c r="Z586" s="153"/>
      <c r="AA586" s="152"/>
      <c r="AB586" s="154" t="s">
        <v>4697</v>
      </c>
    </row>
    <row r="587" spans="1:28" x14ac:dyDescent="0.2">
      <c r="A587" s="146" t="s">
        <v>7169</v>
      </c>
      <c r="B587" s="147" t="s">
        <v>6130</v>
      </c>
      <c r="C587" s="147" t="s">
        <v>7019</v>
      </c>
      <c r="D587" s="148" t="s">
        <v>6136</v>
      </c>
      <c r="E587" s="149" t="s">
        <v>18761</v>
      </c>
      <c r="F587" s="160">
        <v>2</v>
      </c>
      <c r="G587" s="149" t="s">
        <v>17896</v>
      </c>
      <c r="H587" s="158">
        <v>3</v>
      </c>
      <c r="I587" s="156" t="s">
        <v>46</v>
      </c>
      <c r="J587" s="149" t="s">
        <v>7170</v>
      </c>
      <c r="K587" s="157">
        <v>2</v>
      </c>
      <c r="L587" s="152"/>
      <c r="M587" s="149" t="s">
        <v>18761</v>
      </c>
      <c r="N587" s="157">
        <v>2</v>
      </c>
      <c r="O587" s="152"/>
      <c r="P587" s="149" t="s">
        <v>7171</v>
      </c>
      <c r="Q587" s="157">
        <v>2</v>
      </c>
      <c r="R587" s="152"/>
      <c r="S587" s="149" t="s">
        <v>22977</v>
      </c>
      <c r="T587" s="157">
        <v>2</v>
      </c>
      <c r="U587" s="152"/>
      <c r="V587" s="149" t="s">
        <v>22978</v>
      </c>
      <c r="W587" s="158">
        <v>3</v>
      </c>
      <c r="X587" s="156" t="s">
        <v>46</v>
      </c>
      <c r="Y587" s="149" t="s">
        <v>47</v>
      </c>
      <c r="Z587" s="153"/>
      <c r="AA587" s="152"/>
      <c r="AB587" s="154" t="s">
        <v>4700</v>
      </c>
    </row>
    <row r="588" spans="1:28" x14ac:dyDescent="0.2">
      <c r="A588" s="146" t="s">
        <v>7172</v>
      </c>
      <c r="B588" s="147" t="s">
        <v>6130</v>
      </c>
      <c r="C588" s="147" t="s">
        <v>6203</v>
      </c>
      <c r="D588" s="148" t="s">
        <v>6160</v>
      </c>
      <c r="E588" s="149" t="s">
        <v>22979</v>
      </c>
      <c r="F588" s="159">
        <v>3</v>
      </c>
      <c r="G588" s="149" t="s">
        <v>22980</v>
      </c>
      <c r="H588" s="158">
        <v>3</v>
      </c>
      <c r="I588" s="156" t="s">
        <v>46</v>
      </c>
      <c r="J588" s="149" t="s">
        <v>22981</v>
      </c>
      <c r="K588" s="158">
        <v>3</v>
      </c>
      <c r="L588" s="156" t="s">
        <v>46</v>
      </c>
      <c r="M588" s="149" t="s">
        <v>22979</v>
      </c>
      <c r="N588" s="158">
        <v>3</v>
      </c>
      <c r="O588" s="152"/>
      <c r="P588" s="149" t="s">
        <v>22982</v>
      </c>
      <c r="Q588" s="158">
        <v>3</v>
      </c>
      <c r="R588" s="152"/>
      <c r="S588" s="149" t="s">
        <v>22983</v>
      </c>
      <c r="T588" s="158">
        <v>3</v>
      </c>
      <c r="U588" s="152"/>
      <c r="V588" s="149" t="s">
        <v>22984</v>
      </c>
      <c r="W588" s="158">
        <v>3</v>
      </c>
      <c r="X588" s="152"/>
      <c r="Y588" s="149" t="s">
        <v>47</v>
      </c>
      <c r="Z588" s="153"/>
      <c r="AA588" s="152"/>
      <c r="AB588" s="154" t="s">
        <v>4702</v>
      </c>
    </row>
    <row r="589" spans="1:28" x14ac:dyDescent="0.2">
      <c r="A589" s="146" t="s">
        <v>7173</v>
      </c>
      <c r="B589" s="147" t="s">
        <v>6130</v>
      </c>
      <c r="C589" s="147" t="s">
        <v>6157</v>
      </c>
      <c r="D589" s="148"/>
      <c r="E589" s="149" t="s">
        <v>22985</v>
      </c>
      <c r="F589" s="160">
        <v>2</v>
      </c>
      <c r="G589" s="149" t="s">
        <v>22986</v>
      </c>
      <c r="H589" s="151">
        <v>4</v>
      </c>
      <c r="I589" s="156" t="s">
        <v>44</v>
      </c>
      <c r="J589" s="149" t="s">
        <v>22987</v>
      </c>
      <c r="K589" s="157">
        <v>2</v>
      </c>
      <c r="L589" s="156" t="s">
        <v>46</v>
      </c>
      <c r="M589" s="149" t="s">
        <v>22985</v>
      </c>
      <c r="N589" s="157">
        <v>2</v>
      </c>
      <c r="O589" s="156" t="s">
        <v>46</v>
      </c>
      <c r="P589" s="149" t="s">
        <v>22988</v>
      </c>
      <c r="Q589" s="155">
        <v>1</v>
      </c>
      <c r="R589" s="152"/>
      <c r="S589" s="149" t="s">
        <v>22989</v>
      </c>
      <c r="T589" s="155">
        <v>1</v>
      </c>
      <c r="U589" s="152"/>
      <c r="V589" s="149" t="s">
        <v>22990</v>
      </c>
      <c r="W589" s="157">
        <v>2</v>
      </c>
      <c r="X589" s="156" t="s">
        <v>46</v>
      </c>
      <c r="Y589" s="149" t="s">
        <v>22991</v>
      </c>
      <c r="Z589" s="157">
        <v>2</v>
      </c>
      <c r="AA589" s="156" t="s">
        <v>46</v>
      </c>
      <c r="AB589" s="154" t="s">
        <v>7174</v>
      </c>
    </row>
    <row r="590" spans="1:28" x14ac:dyDescent="0.2">
      <c r="A590" s="146" t="s">
        <v>7175</v>
      </c>
      <c r="B590" s="147" t="s">
        <v>6130</v>
      </c>
      <c r="C590" s="147" t="s">
        <v>6175</v>
      </c>
      <c r="D590" s="148"/>
      <c r="E590" s="149" t="s">
        <v>47</v>
      </c>
      <c r="F590" s="152"/>
      <c r="G590" s="149" t="s">
        <v>22992</v>
      </c>
      <c r="H590" s="155">
        <v>1</v>
      </c>
      <c r="I590" s="152"/>
      <c r="J590" s="149" t="s">
        <v>22993</v>
      </c>
      <c r="K590" s="155">
        <v>1</v>
      </c>
      <c r="L590" s="152"/>
      <c r="M590" s="149" t="s">
        <v>47</v>
      </c>
      <c r="N590" s="153"/>
      <c r="O590" s="152"/>
      <c r="P590" s="149" t="s">
        <v>47</v>
      </c>
      <c r="Q590" s="153"/>
      <c r="R590" s="152"/>
      <c r="S590" s="149" t="s">
        <v>47</v>
      </c>
      <c r="T590" s="153"/>
      <c r="U590" s="152"/>
      <c r="V590" s="149" t="s">
        <v>47</v>
      </c>
      <c r="W590" s="153"/>
      <c r="X590" s="152"/>
      <c r="Y590" s="149" t="s">
        <v>47</v>
      </c>
      <c r="Z590" s="153"/>
      <c r="AA590" s="152"/>
      <c r="AB590" s="154" t="s">
        <v>4707</v>
      </c>
    </row>
    <row r="591" spans="1:28" x14ac:dyDescent="0.2">
      <c r="A591" s="146" t="s">
        <v>4710</v>
      </c>
      <c r="B591" s="147" t="s">
        <v>6130</v>
      </c>
      <c r="C591" s="147" t="s">
        <v>6145</v>
      </c>
      <c r="D591" s="148" t="s">
        <v>6170</v>
      </c>
      <c r="E591" s="149" t="s">
        <v>22994</v>
      </c>
      <c r="F591" s="150">
        <v>4</v>
      </c>
      <c r="G591" s="149" t="s">
        <v>22995</v>
      </c>
      <c r="H591" s="157">
        <v>2</v>
      </c>
      <c r="I591" s="156" t="s">
        <v>53</v>
      </c>
      <c r="J591" s="149" t="s">
        <v>22996</v>
      </c>
      <c r="K591" s="158">
        <v>3</v>
      </c>
      <c r="L591" s="156" t="s">
        <v>40</v>
      </c>
      <c r="M591" s="149" t="s">
        <v>22994</v>
      </c>
      <c r="N591" s="151">
        <v>4</v>
      </c>
      <c r="O591" s="152"/>
      <c r="P591" s="149" t="s">
        <v>22997</v>
      </c>
      <c r="Q591" s="151">
        <v>4</v>
      </c>
      <c r="R591" s="152"/>
      <c r="S591" s="149" t="s">
        <v>17530</v>
      </c>
      <c r="T591" s="151">
        <v>4</v>
      </c>
      <c r="U591" s="152"/>
      <c r="V591" s="149" t="s">
        <v>22998</v>
      </c>
      <c r="W591" s="151">
        <v>4</v>
      </c>
      <c r="X591" s="152"/>
      <c r="Y591" s="149" t="s">
        <v>47</v>
      </c>
      <c r="Z591" s="153"/>
      <c r="AA591" s="152"/>
      <c r="AB591" s="154" t="s">
        <v>4711</v>
      </c>
    </row>
    <row r="592" spans="1:28" x14ac:dyDescent="0.2">
      <c r="A592" s="146" t="s">
        <v>4712</v>
      </c>
      <c r="B592" s="147" t="s">
        <v>6130</v>
      </c>
      <c r="C592" s="147" t="s">
        <v>6175</v>
      </c>
      <c r="D592" s="148"/>
      <c r="E592" s="149" t="s">
        <v>22999</v>
      </c>
      <c r="F592" s="159">
        <v>3</v>
      </c>
      <c r="G592" s="149" t="s">
        <v>23000</v>
      </c>
      <c r="H592" s="158">
        <v>3</v>
      </c>
      <c r="I592" s="152"/>
      <c r="J592" s="149" t="s">
        <v>23001</v>
      </c>
      <c r="K592" s="158">
        <v>3</v>
      </c>
      <c r="L592" s="152"/>
      <c r="M592" s="149" t="s">
        <v>22999</v>
      </c>
      <c r="N592" s="158">
        <v>3</v>
      </c>
      <c r="O592" s="152"/>
      <c r="P592" s="149" t="s">
        <v>23002</v>
      </c>
      <c r="Q592" s="158">
        <v>3</v>
      </c>
      <c r="R592" s="152"/>
      <c r="S592" s="149" t="s">
        <v>23003</v>
      </c>
      <c r="T592" s="158">
        <v>3</v>
      </c>
      <c r="U592" s="152"/>
      <c r="V592" s="149" t="s">
        <v>23004</v>
      </c>
      <c r="W592" s="158">
        <v>3</v>
      </c>
      <c r="X592" s="152"/>
      <c r="Y592" s="149" t="s">
        <v>47</v>
      </c>
      <c r="Z592" s="153"/>
      <c r="AA592" s="152"/>
      <c r="AB592" s="154" t="s">
        <v>4713</v>
      </c>
    </row>
    <row r="593" spans="1:28" x14ac:dyDescent="0.2">
      <c r="A593" s="146" t="s">
        <v>4714</v>
      </c>
      <c r="B593" s="147" t="s">
        <v>6130</v>
      </c>
      <c r="C593" s="147" t="s">
        <v>6175</v>
      </c>
      <c r="D593" s="148"/>
      <c r="E593" s="149" t="s">
        <v>23005</v>
      </c>
      <c r="F593" s="161">
        <v>1</v>
      </c>
      <c r="G593" s="149" t="s">
        <v>23006</v>
      </c>
      <c r="H593" s="155">
        <v>1</v>
      </c>
      <c r="I593" s="156" t="s">
        <v>40</v>
      </c>
      <c r="J593" s="149" t="s">
        <v>23007</v>
      </c>
      <c r="K593" s="155">
        <v>1</v>
      </c>
      <c r="L593" s="152"/>
      <c r="M593" s="149" t="s">
        <v>23005</v>
      </c>
      <c r="N593" s="155">
        <v>1</v>
      </c>
      <c r="O593" s="156" t="s">
        <v>40</v>
      </c>
      <c r="P593" s="149" t="s">
        <v>23008</v>
      </c>
      <c r="Q593" s="157">
        <v>2</v>
      </c>
      <c r="R593" s="156" t="s">
        <v>46</v>
      </c>
      <c r="S593" s="149" t="s">
        <v>23009</v>
      </c>
      <c r="T593" s="157">
        <v>2</v>
      </c>
      <c r="U593" s="152"/>
      <c r="V593" s="149" t="s">
        <v>23010</v>
      </c>
      <c r="W593" s="158">
        <v>3</v>
      </c>
      <c r="X593" s="152"/>
      <c r="Y593" s="149" t="s">
        <v>23011</v>
      </c>
      <c r="Z593" s="157">
        <v>2</v>
      </c>
      <c r="AA593" s="152"/>
      <c r="AB593" s="154" t="s">
        <v>4715</v>
      </c>
    </row>
    <row r="594" spans="1:28" x14ac:dyDescent="0.2">
      <c r="A594" s="146" t="s">
        <v>4716</v>
      </c>
      <c r="B594" s="147" t="s">
        <v>6130</v>
      </c>
      <c r="C594" s="147" t="s">
        <v>6544</v>
      </c>
      <c r="D594" s="148"/>
      <c r="E594" s="149" t="s">
        <v>23012</v>
      </c>
      <c r="F594" s="150">
        <v>4</v>
      </c>
      <c r="G594" s="149" t="s">
        <v>23013</v>
      </c>
      <c r="H594" s="151">
        <v>4</v>
      </c>
      <c r="I594" s="156" t="s">
        <v>44</v>
      </c>
      <c r="J594" s="149" t="s">
        <v>23014</v>
      </c>
      <c r="K594" s="158">
        <v>3</v>
      </c>
      <c r="L594" s="156" t="s">
        <v>46</v>
      </c>
      <c r="M594" s="149" t="s">
        <v>23012</v>
      </c>
      <c r="N594" s="151">
        <v>4</v>
      </c>
      <c r="O594" s="156" t="s">
        <v>55</v>
      </c>
      <c r="P594" s="149" t="s">
        <v>7176</v>
      </c>
      <c r="Q594" s="151">
        <v>4</v>
      </c>
      <c r="R594" s="156" t="s">
        <v>55</v>
      </c>
      <c r="S594" s="149" t="s">
        <v>23015</v>
      </c>
      <c r="T594" s="155">
        <v>1</v>
      </c>
      <c r="U594" s="152"/>
      <c r="V594" s="149" t="s">
        <v>7177</v>
      </c>
      <c r="W594" s="157">
        <v>2</v>
      </c>
      <c r="X594" s="152"/>
      <c r="Y594" s="149" t="s">
        <v>23016</v>
      </c>
      <c r="Z594" s="155">
        <v>1</v>
      </c>
      <c r="AA594" s="152"/>
      <c r="AB594" s="154" t="s">
        <v>4717</v>
      </c>
    </row>
    <row r="595" spans="1:28" x14ac:dyDescent="0.2">
      <c r="A595" s="146" t="s">
        <v>4718</v>
      </c>
      <c r="B595" s="147" t="s">
        <v>6130</v>
      </c>
      <c r="C595" s="147" t="s">
        <v>6213</v>
      </c>
      <c r="D595" s="148" t="s">
        <v>6136</v>
      </c>
      <c r="E595" s="149" t="s">
        <v>23017</v>
      </c>
      <c r="F595" s="159">
        <v>3</v>
      </c>
      <c r="G595" s="149" t="s">
        <v>23018</v>
      </c>
      <c r="H595" s="151">
        <v>4</v>
      </c>
      <c r="I595" s="152"/>
      <c r="J595" s="149" t="s">
        <v>23018</v>
      </c>
      <c r="K595" s="151">
        <v>4</v>
      </c>
      <c r="L595" s="156" t="s">
        <v>46</v>
      </c>
      <c r="M595" s="149" t="s">
        <v>23017</v>
      </c>
      <c r="N595" s="158">
        <v>3</v>
      </c>
      <c r="O595" s="156" t="s">
        <v>40</v>
      </c>
      <c r="P595" s="149" t="s">
        <v>23019</v>
      </c>
      <c r="Q595" s="158">
        <v>3</v>
      </c>
      <c r="R595" s="152"/>
      <c r="S595" s="149" t="s">
        <v>23020</v>
      </c>
      <c r="T595" s="158">
        <v>3</v>
      </c>
      <c r="U595" s="156" t="s">
        <v>46</v>
      </c>
      <c r="V595" s="149" t="s">
        <v>23021</v>
      </c>
      <c r="W595" s="158">
        <v>3</v>
      </c>
      <c r="X595" s="152"/>
      <c r="Y595" s="149" t="s">
        <v>23022</v>
      </c>
      <c r="Z595" s="151">
        <v>4</v>
      </c>
      <c r="AA595" s="152"/>
      <c r="AB595" s="154" t="s">
        <v>4719</v>
      </c>
    </row>
    <row r="596" spans="1:28" x14ac:dyDescent="0.2">
      <c r="A596" s="146" t="s">
        <v>7178</v>
      </c>
      <c r="B596" s="147" t="s">
        <v>6130</v>
      </c>
      <c r="C596" s="147" t="s">
        <v>6213</v>
      </c>
      <c r="D596" s="148" t="s">
        <v>6170</v>
      </c>
      <c r="E596" s="149" t="s">
        <v>15615</v>
      </c>
      <c r="F596" s="150">
        <v>4</v>
      </c>
      <c r="G596" s="149" t="s">
        <v>23023</v>
      </c>
      <c r="H596" s="158">
        <v>3</v>
      </c>
      <c r="I596" s="152"/>
      <c r="J596" s="149" t="s">
        <v>23024</v>
      </c>
      <c r="K596" s="151">
        <v>4</v>
      </c>
      <c r="L596" s="152"/>
      <c r="M596" s="149" t="s">
        <v>15615</v>
      </c>
      <c r="N596" s="151">
        <v>4</v>
      </c>
      <c r="O596" s="152"/>
      <c r="P596" s="149" t="s">
        <v>7179</v>
      </c>
      <c r="Q596" s="151">
        <v>4</v>
      </c>
      <c r="R596" s="152"/>
      <c r="S596" s="149" t="s">
        <v>23025</v>
      </c>
      <c r="T596" s="151">
        <v>4</v>
      </c>
      <c r="U596" s="152"/>
      <c r="V596" s="149" t="s">
        <v>23026</v>
      </c>
      <c r="W596" s="151">
        <v>4</v>
      </c>
      <c r="X596" s="156" t="s">
        <v>46</v>
      </c>
      <c r="Y596" s="149" t="s">
        <v>23027</v>
      </c>
      <c r="Z596" s="151">
        <v>4</v>
      </c>
      <c r="AA596" s="152"/>
      <c r="AB596" s="154" t="s">
        <v>4725</v>
      </c>
    </row>
    <row r="597" spans="1:28" x14ac:dyDescent="0.2">
      <c r="A597" s="146" t="s">
        <v>4728</v>
      </c>
      <c r="B597" s="147" t="s">
        <v>6130</v>
      </c>
      <c r="C597" s="147" t="s">
        <v>6379</v>
      </c>
      <c r="D597" s="148" t="s">
        <v>6136</v>
      </c>
      <c r="E597" s="149" t="s">
        <v>23028</v>
      </c>
      <c r="F597" s="159">
        <v>3</v>
      </c>
      <c r="G597" s="149" t="s">
        <v>6849</v>
      </c>
      <c r="H597" s="157">
        <v>2</v>
      </c>
      <c r="I597" s="156" t="s">
        <v>53</v>
      </c>
      <c r="J597" s="149" t="s">
        <v>23029</v>
      </c>
      <c r="K597" s="158">
        <v>3</v>
      </c>
      <c r="L597" s="156" t="s">
        <v>46</v>
      </c>
      <c r="M597" s="149" t="s">
        <v>23028</v>
      </c>
      <c r="N597" s="158">
        <v>3</v>
      </c>
      <c r="O597" s="152"/>
      <c r="P597" s="149" t="s">
        <v>9056</v>
      </c>
      <c r="Q597" s="157">
        <v>2</v>
      </c>
      <c r="R597" s="152"/>
      <c r="S597" s="149" t="s">
        <v>1941</v>
      </c>
      <c r="T597" s="158">
        <v>3</v>
      </c>
      <c r="U597" s="152"/>
      <c r="V597" s="149" t="s">
        <v>23030</v>
      </c>
      <c r="W597" s="157">
        <v>2</v>
      </c>
      <c r="X597" s="152"/>
      <c r="Y597" s="149" t="s">
        <v>23031</v>
      </c>
      <c r="Z597" s="158">
        <v>3</v>
      </c>
      <c r="AA597" s="152"/>
      <c r="AB597" s="154" t="s">
        <v>4729</v>
      </c>
    </row>
    <row r="598" spans="1:28" x14ac:dyDescent="0.2">
      <c r="A598" s="146" t="s">
        <v>7180</v>
      </c>
      <c r="B598" s="147" t="s">
        <v>6130</v>
      </c>
      <c r="C598" s="147" t="s">
        <v>6203</v>
      </c>
      <c r="D598" s="148" t="s">
        <v>6160</v>
      </c>
      <c r="E598" s="149" t="s">
        <v>23032</v>
      </c>
      <c r="F598" s="161">
        <v>1</v>
      </c>
      <c r="G598" s="149" t="s">
        <v>23033</v>
      </c>
      <c r="H598" s="157">
        <v>2</v>
      </c>
      <c r="I598" s="156" t="s">
        <v>40</v>
      </c>
      <c r="J598" s="149" t="s">
        <v>23034</v>
      </c>
      <c r="K598" s="157">
        <v>2</v>
      </c>
      <c r="L598" s="152"/>
      <c r="M598" s="149" t="s">
        <v>23032</v>
      </c>
      <c r="N598" s="155">
        <v>1</v>
      </c>
      <c r="O598" s="152"/>
      <c r="P598" s="149" t="s">
        <v>23035</v>
      </c>
      <c r="Q598" s="155">
        <v>1</v>
      </c>
      <c r="R598" s="156" t="s">
        <v>40</v>
      </c>
      <c r="S598" s="149" t="s">
        <v>23036</v>
      </c>
      <c r="T598" s="158">
        <v>3</v>
      </c>
      <c r="U598" s="156" t="s">
        <v>40</v>
      </c>
      <c r="V598" s="149" t="s">
        <v>23037</v>
      </c>
      <c r="W598" s="158">
        <v>3</v>
      </c>
      <c r="X598" s="152"/>
      <c r="Y598" s="149" t="s">
        <v>23038</v>
      </c>
      <c r="Z598" s="158">
        <v>3</v>
      </c>
      <c r="AA598" s="152"/>
      <c r="AB598" s="154" t="s">
        <v>4731</v>
      </c>
    </row>
    <row r="599" spans="1:28" x14ac:dyDescent="0.2">
      <c r="A599" s="146" t="s">
        <v>4732</v>
      </c>
      <c r="B599" s="147" t="s">
        <v>6130</v>
      </c>
      <c r="C599" s="147" t="s">
        <v>6227</v>
      </c>
      <c r="D599" s="148" t="s">
        <v>6163</v>
      </c>
      <c r="E599" s="149" t="s">
        <v>23039</v>
      </c>
      <c r="F599" s="160">
        <v>2</v>
      </c>
      <c r="G599" s="149" t="s">
        <v>23040</v>
      </c>
      <c r="H599" s="158">
        <v>3</v>
      </c>
      <c r="I599" s="156" t="s">
        <v>46</v>
      </c>
      <c r="J599" s="149" t="s">
        <v>23041</v>
      </c>
      <c r="K599" s="158">
        <v>3</v>
      </c>
      <c r="L599" s="156" t="s">
        <v>46</v>
      </c>
      <c r="M599" s="149" t="s">
        <v>23039</v>
      </c>
      <c r="N599" s="157">
        <v>2</v>
      </c>
      <c r="O599" s="152"/>
      <c r="P599" s="149" t="s">
        <v>23042</v>
      </c>
      <c r="Q599" s="157">
        <v>2</v>
      </c>
      <c r="R599" s="156" t="s">
        <v>46</v>
      </c>
      <c r="S599" s="149" t="s">
        <v>23043</v>
      </c>
      <c r="T599" s="155">
        <v>1</v>
      </c>
      <c r="U599" s="152"/>
      <c r="V599" s="149" t="s">
        <v>23044</v>
      </c>
      <c r="W599" s="157">
        <v>2</v>
      </c>
      <c r="X599" s="152"/>
      <c r="Y599" s="149" t="s">
        <v>23045</v>
      </c>
      <c r="Z599" s="157">
        <v>2</v>
      </c>
      <c r="AA599" s="152"/>
      <c r="AB599" s="154" t="s">
        <v>4733</v>
      </c>
    </row>
    <row r="600" spans="1:28" x14ac:dyDescent="0.2">
      <c r="A600" s="146" t="s">
        <v>4734</v>
      </c>
      <c r="B600" s="147" t="s">
        <v>6130</v>
      </c>
      <c r="C600" s="147" t="s">
        <v>6236</v>
      </c>
      <c r="D600" s="148" t="s">
        <v>6160</v>
      </c>
      <c r="E600" s="149" t="s">
        <v>23046</v>
      </c>
      <c r="F600" s="159">
        <v>3</v>
      </c>
      <c r="G600" s="149" t="s">
        <v>23047</v>
      </c>
      <c r="H600" s="157">
        <v>2</v>
      </c>
      <c r="I600" s="156" t="s">
        <v>40</v>
      </c>
      <c r="J600" s="149" t="s">
        <v>23048</v>
      </c>
      <c r="K600" s="158">
        <v>3</v>
      </c>
      <c r="L600" s="152"/>
      <c r="M600" s="149" t="s">
        <v>23046</v>
      </c>
      <c r="N600" s="158">
        <v>3</v>
      </c>
      <c r="O600" s="152"/>
      <c r="P600" s="149" t="s">
        <v>23049</v>
      </c>
      <c r="Q600" s="158">
        <v>3</v>
      </c>
      <c r="R600" s="152"/>
      <c r="S600" s="149" t="s">
        <v>23050</v>
      </c>
      <c r="T600" s="151">
        <v>4</v>
      </c>
      <c r="U600" s="152"/>
      <c r="V600" s="149" t="s">
        <v>23051</v>
      </c>
      <c r="W600" s="151">
        <v>4</v>
      </c>
      <c r="X600" s="152"/>
      <c r="Y600" s="149" t="s">
        <v>23052</v>
      </c>
      <c r="Z600" s="151">
        <v>4</v>
      </c>
      <c r="AA600" s="152"/>
      <c r="AB600" s="154" t="s">
        <v>4735</v>
      </c>
    </row>
    <row r="601" spans="1:28" x14ac:dyDescent="0.2">
      <c r="A601" s="146" t="s">
        <v>7181</v>
      </c>
      <c r="B601" s="147" t="s">
        <v>6130</v>
      </c>
      <c r="C601" s="147" t="s">
        <v>6384</v>
      </c>
      <c r="D601" s="148" t="s">
        <v>6160</v>
      </c>
      <c r="E601" s="149" t="s">
        <v>23053</v>
      </c>
      <c r="F601" s="159">
        <v>3</v>
      </c>
      <c r="G601" s="149" t="s">
        <v>23054</v>
      </c>
      <c r="H601" s="151">
        <v>4</v>
      </c>
      <c r="I601" s="156" t="s">
        <v>44</v>
      </c>
      <c r="J601" s="149" t="s">
        <v>23055</v>
      </c>
      <c r="K601" s="157">
        <v>2</v>
      </c>
      <c r="L601" s="152"/>
      <c r="M601" s="149" t="s">
        <v>23053</v>
      </c>
      <c r="N601" s="158">
        <v>3</v>
      </c>
      <c r="O601" s="156" t="s">
        <v>46</v>
      </c>
      <c r="P601" s="149" t="s">
        <v>7182</v>
      </c>
      <c r="Q601" s="151">
        <v>4</v>
      </c>
      <c r="R601" s="152"/>
      <c r="S601" s="149" t="s">
        <v>7183</v>
      </c>
      <c r="T601" s="158">
        <v>3</v>
      </c>
      <c r="U601" s="152"/>
      <c r="V601" s="149" t="s">
        <v>7184</v>
      </c>
      <c r="W601" s="157">
        <v>2</v>
      </c>
      <c r="X601" s="156" t="s">
        <v>46</v>
      </c>
      <c r="Y601" s="149" t="s">
        <v>23056</v>
      </c>
      <c r="Z601" s="157">
        <v>2</v>
      </c>
      <c r="AA601" s="152"/>
      <c r="AB601" s="154" t="s">
        <v>4738</v>
      </c>
    </row>
    <row r="602" spans="1:28" x14ac:dyDescent="0.2">
      <c r="A602" s="146" t="s">
        <v>4739</v>
      </c>
      <c r="B602" s="147" t="s">
        <v>6130</v>
      </c>
      <c r="C602" s="147" t="s">
        <v>6384</v>
      </c>
      <c r="D602" s="148" t="s">
        <v>6170</v>
      </c>
      <c r="E602" s="149" t="s">
        <v>23057</v>
      </c>
      <c r="F602" s="161">
        <v>1</v>
      </c>
      <c r="G602" s="149" t="s">
        <v>7003</v>
      </c>
      <c r="H602" s="157">
        <v>2</v>
      </c>
      <c r="I602" s="156" t="s">
        <v>40</v>
      </c>
      <c r="J602" s="149" t="s">
        <v>21986</v>
      </c>
      <c r="K602" s="157">
        <v>2</v>
      </c>
      <c r="L602" s="156" t="s">
        <v>46</v>
      </c>
      <c r="M602" s="149" t="s">
        <v>23057</v>
      </c>
      <c r="N602" s="155">
        <v>1</v>
      </c>
      <c r="O602" s="152"/>
      <c r="P602" s="149" t="s">
        <v>23058</v>
      </c>
      <c r="Q602" s="155">
        <v>1</v>
      </c>
      <c r="R602" s="156" t="s">
        <v>53</v>
      </c>
      <c r="S602" s="149" t="s">
        <v>23059</v>
      </c>
      <c r="T602" s="151">
        <v>4</v>
      </c>
      <c r="U602" s="152"/>
      <c r="V602" s="149" t="s">
        <v>21643</v>
      </c>
      <c r="W602" s="151">
        <v>4</v>
      </c>
      <c r="X602" s="152"/>
      <c r="Y602" s="149" t="s">
        <v>23060</v>
      </c>
      <c r="Z602" s="151">
        <v>4</v>
      </c>
      <c r="AA602" s="152"/>
      <c r="AB602" s="154" t="s">
        <v>4740</v>
      </c>
    </row>
    <row r="603" spans="1:28" x14ac:dyDescent="0.2">
      <c r="A603" s="146" t="s">
        <v>7185</v>
      </c>
      <c r="B603" s="147" t="s">
        <v>6130</v>
      </c>
      <c r="C603" s="147" t="s">
        <v>6131</v>
      </c>
      <c r="D603" s="148" t="s">
        <v>6136</v>
      </c>
      <c r="E603" s="149" t="s">
        <v>23061</v>
      </c>
      <c r="F603" s="159">
        <v>3</v>
      </c>
      <c r="G603" s="149" t="s">
        <v>23062</v>
      </c>
      <c r="H603" s="157">
        <v>2</v>
      </c>
      <c r="I603" s="156" t="s">
        <v>40</v>
      </c>
      <c r="J603" s="149" t="s">
        <v>23063</v>
      </c>
      <c r="K603" s="157">
        <v>2</v>
      </c>
      <c r="L603" s="156" t="s">
        <v>40</v>
      </c>
      <c r="M603" s="149" t="s">
        <v>23061</v>
      </c>
      <c r="N603" s="158">
        <v>3</v>
      </c>
      <c r="O603" s="152"/>
      <c r="P603" s="149" t="s">
        <v>23064</v>
      </c>
      <c r="Q603" s="158">
        <v>3</v>
      </c>
      <c r="R603" s="152"/>
      <c r="S603" s="149" t="s">
        <v>23065</v>
      </c>
      <c r="T603" s="158">
        <v>3</v>
      </c>
      <c r="U603" s="152"/>
      <c r="V603" s="149" t="s">
        <v>23066</v>
      </c>
      <c r="W603" s="157">
        <v>2</v>
      </c>
      <c r="X603" s="152"/>
      <c r="Y603" s="149" t="s">
        <v>47</v>
      </c>
      <c r="Z603" s="153"/>
      <c r="AA603" s="152"/>
      <c r="AB603" s="154" t="s">
        <v>4744</v>
      </c>
    </row>
    <row r="604" spans="1:28" x14ac:dyDescent="0.2">
      <c r="A604" s="146" t="s">
        <v>4745</v>
      </c>
      <c r="B604" s="147" t="s">
        <v>6130</v>
      </c>
      <c r="C604" s="147" t="s">
        <v>6391</v>
      </c>
      <c r="D604" s="148" t="s">
        <v>6136</v>
      </c>
      <c r="E604" s="149" t="s">
        <v>23067</v>
      </c>
      <c r="F604" s="161">
        <v>1</v>
      </c>
      <c r="G604" s="149" t="s">
        <v>23068</v>
      </c>
      <c r="H604" s="157">
        <v>2</v>
      </c>
      <c r="I604" s="156" t="s">
        <v>46</v>
      </c>
      <c r="J604" s="149" t="s">
        <v>23069</v>
      </c>
      <c r="K604" s="155">
        <v>1</v>
      </c>
      <c r="L604" s="152"/>
      <c r="M604" s="149" t="s">
        <v>23067</v>
      </c>
      <c r="N604" s="155">
        <v>1</v>
      </c>
      <c r="O604" s="152"/>
      <c r="P604" s="149" t="s">
        <v>23069</v>
      </c>
      <c r="Q604" s="155">
        <v>1</v>
      </c>
      <c r="R604" s="152"/>
      <c r="S604" s="149" t="s">
        <v>8854</v>
      </c>
      <c r="T604" s="157">
        <v>2</v>
      </c>
      <c r="U604" s="152"/>
      <c r="V604" s="149" t="s">
        <v>7186</v>
      </c>
      <c r="W604" s="157">
        <v>2</v>
      </c>
      <c r="X604" s="152"/>
      <c r="Y604" s="149" t="s">
        <v>700</v>
      </c>
      <c r="Z604" s="151">
        <v>4</v>
      </c>
      <c r="AA604" s="152"/>
      <c r="AB604" s="154" t="s">
        <v>4746</v>
      </c>
    </row>
    <row r="605" spans="1:28" x14ac:dyDescent="0.2">
      <c r="A605" s="146" t="s">
        <v>4747</v>
      </c>
      <c r="B605" s="147" t="s">
        <v>6130</v>
      </c>
      <c r="C605" s="147" t="s">
        <v>6680</v>
      </c>
      <c r="D605" s="148"/>
      <c r="E605" s="149" t="s">
        <v>7187</v>
      </c>
      <c r="F605" s="160">
        <v>2</v>
      </c>
      <c r="G605" s="149" t="s">
        <v>23070</v>
      </c>
      <c r="H605" s="157">
        <v>2</v>
      </c>
      <c r="I605" s="156" t="s">
        <v>46</v>
      </c>
      <c r="J605" s="149" t="s">
        <v>23071</v>
      </c>
      <c r="K605" s="157">
        <v>2</v>
      </c>
      <c r="L605" s="152"/>
      <c r="M605" s="149" t="s">
        <v>7187</v>
      </c>
      <c r="N605" s="157">
        <v>2</v>
      </c>
      <c r="O605" s="152"/>
      <c r="P605" s="149" t="s">
        <v>23072</v>
      </c>
      <c r="Q605" s="158">
        <v>3</v>
      </c>
      <c r="R605" s="152"/>
      <c r="S605" s="149" t="s">
        <v>23073</v>
      </c>
      <c r="T605" s="151">
        <v>4</v>
      </c>
      <c r="U605" s="152"/>
      <c r="V605" s="149" t="s">
        <v>7188</v>
      </c>
      <c r="W605" s="158">
        <v>3</v>
      </c>
      <c r="X605" s="152"/>
      <c r="Y605" s="149" t="s">
        <v>23074</v>
      </c>
      <c r="Z605" s="158">
        <v>3</v>
      </c>
      <c r="AA605" s="152"/>
      <c r="AB605" s="154" t="s">
        <v>4750</v>
      </c>
    </row>
    <row r="606" spans="1:28" x14ac:dyDescent="0.2">
      <c r="A606" s="146" t="s">
        <v>7189</v>
      </c>
      <c r="B606" s="147" t="s">
        <v>6130</v>
      </c>
      <c r="C606" s="147" t="s">
        <v>6203</v>
      </c>
      <c r="D606" s="148" t="s">
        <v>6160</v>
      </c>
      <c r="E606" s="149" t="s">
        <v>23075</v>
      </c>
      <c r="F606" s="160">
        <v>2</v>
      </c>
      <c r="G606" s="149" t="s">
        <v>23076</v>
      </c>
      <c r="H606" s="157">
        <v>2</v>
      </c>
      <c r="I606" s="152"/>
      <c r="J606" s="149" t="s">
        <v>7190</v>
      </c>
      <c r="K606" s="157">
        <v>2</v>
      </c>
      <c r="L606" s="152"/>
      <c r="M606" s="149" t="s">
        <v>23075</v>
      </c>
      <c r="N606" s="157">
        <v>2</v>
      </c>
      <c r="O606" s="156" t="s">
        <v>40</v>
      </c>
      <c r="P606" s="149" t="s">
        <v>7191</v>
      </c>
      <c r="Q606" s="157">
        <v>2</v>
      </c>
      <c r="R606" s="156" t="s">
        <v>40</v>
      </c>
      <c r="S606" s="149" t="s">
        <v>23077</v>
      </c>
      <c r="T606" s="158">
        <v>3</v>
      </c>
      <c r="U606" s="152"/>
      <c r="V606" s="149" t="s">
        <v>23078</v>
      </c>
      <c r="W606" s="158">
        <v>3</v>
      </c>
      <c r="X606" s="152"/>
      <c r="Y606" s="149" t="s">
        <v>23079</v>
      </c>
      <c r="Z606" s="151">
        <v>4</v>
      </c>
      <c r="AA606" s="152"/>
      <c r="AB606" s="154" t="s">
        <v>4752</v>
      </c>
    </row>
    <row r="607" spans="1:28" x14ac:dyDescent="0.2">
      <c r="A607" s="146" t="s">
        <v>4753</v>
      </c>
      <c r="B607" s="147" t="s">
        <v>6130</v>
      </c>
      <c r="C607" s="147" t="s">
        <v>6206</v>
      </c>
      <c r="D607" s="148" t="s">
        <v>6170</v>
      </c>
      <c r="E607" s="149" t="s">
        <v>23080</v>
      </c>
      <c r="F607" s="150">
        <v>4</v>
      </c>
      <c r="G607" s="149" t="s">
        <v>23081</v>
      </c>
      <c r="H607" s="151">
        <v>4</v>
      </c>
      <c r="I607" s="156" t="s">
        <v>55</v>
      </c>
      <c r="J607" s="149" t="s">
        <v>23082</v>
      </c>
      <c r="K607" s="151">
        <v>4</v>
      </c>
      <c r="L607" s="152"/>
      <c r="M607" s="149" t="s">
        <v>23080</v>
      </c>
      <c r="N607" s="151">
        <v>4</v>
      </c>
      <c r="O607" s="152"/>
      <c r="P607" s="149" t="s">
        <v>23083</v>
      </c>
      <c r="Q607" s="151">
        <v>4</v>
      </c>
      <c r="R607" s="156" t="s">
        <v>46</v>
      </c>
      <c r="S607" s="149" t="s">
        <v>23084</v>
      </c>
      <c r="T607" s="151">
        <v>4</v>
      </c>
      <c r="U607" s="152"/>
      <c r="V607" s="149" t="s">
        <v>23085</v>
      </c>
      <c r="W607" s="151">
        <v>4</v>
      </c>
      <c r="X607" s="152"/>
      <c r="Y607" s="149" t="s">
        <v>23086</v>
      </c>
      <c r="Z607" s="151">
        <v>4</v>
      </c>
      <c r="AA607" s="152"/>
      <c r="AB607" s="154" t="s">
        <v>4756</v>
      </c>
    </row>
    <row r="608" spans="1:28" x14ac:dyDescent="0.2">
      <c r="A608" s="146" t="s">
        <v>7192</v>
      </c>
      <c r="B608" s="147" t="s">
        <v>6130</v>
      </c>
      <c r="C608" s="147" t="s">
        <v>6131</v>
      </c>
      <c r="D608" s="148"/>
      <c r="E608" s="149" t="s">
        <v>23087</v>
      </c>
      <c r="F608" s="161">
        <v>1</v>
      </c>
      <c r="G608" s="149" t="s">
        <v>23088</v>
      </c>
      <c r="H608" s="155">
        <v>1</v>
      </c>
      <c r="I608" s="156" t="s">
        <v>53</v>
      </c>
      <c r="J608" s="149" t="s">
        <v>23089</v>
      </c>
      <c r="K608" s="155">
        <v>1</v>
      </c>
      <c r="L608" s="152"/>
      <c r="M608" s="149" t="s">
        <v>23087</v>
      </c>
      <c r="N608" s="155">
        <v>1</v>
      </c>
      <c r="O608" s="152"/>
      <c r="P608" s="149" t="s">
        <v>23090</v>
      </c>
      <c r="Q608" s="155">
        <v>1</v>
      </c>
      <c r="R608" s="152"/>
      <c r="S608" s="149" t="s">
        <v>47</v>
      </c>
      <c r="T608" s="153"/>
      <c r="U608" s="152"/>
      <c r="V608" s="149" t="s">
        <v>47</v>
      </c>
      <c r="W608" s="153"/>
      <c r="X608" s="152"/>
      <c r="Y608" s="149" t="s">
        <v>47</v>
      </c>
      <c r="Z608" s="153"/>
      <c r="AA608" s="152"/>
      <c r="AB608" s="154" t="s">
        <v>4758</v>
      </c>
    </row>
    <row r="609" spans="1:28" x14ac:dyDescent="0.2">
      <c r="A609" s="146" t="s">
        <v>7193</v>
      </c>
      <c r="B609" s="147" t="s">
        <v>6130</v>
      </c>
      <c r="C609" s="147" t="s">
        <v>6131</v>
      </c>
      <c r="D609" s="148"/>
      <c r="E609" s="149" t="s">
        <v>23091</v>
      </c>
      <c r="F609" s="161">
        <v>1</v>
      </c>
      <c r="G609" s="149" t="s">
        <v>23092</v>
      </c>
      <c r="H609" s="155">
        <v>1</v>
      </c>
      <c r="I609" s="156" t="s">
        <v>40</v>
      </c>
      <c r="J609" s="149" t="s">
        <v>23093</v>
      </c>
      <c r="K609" s="155">
        <v>1</v>
      </c>
      <c r="L609" s="152"/>
      <c r="M609" s="149" t="s">
        <v>23091</v>
      </c>
      <c r="N609" s="155">
        <v>1</v>
      </c>
      <c r="O609" s="152"/>
      <c r="P609" s="149" t="s">
        <v>23094</v>
      </c>
      <c r="Q609" s="155">
        <v>1</v>
      </c>
      <c r="R609" s="152"/>
      <c r="S609" s="149" t="s">
        <v>47</v>
      </c>
      <c r="T609" s="153"/>
      <c r="U609" s="152"/>
      <c r="V609" s="149" t="s">
        <v>47</v>
      </c>
      <c r="W609" s="153"/>
      <c r="X609" s="152"/>
      <c r="Y609" s="149" t="s">
        <v>47</v>
      </c>
      <c r="Z609" s="153"/>
      <c r="AA609" s="152"/>
      <c r="AB609" s="154" t="s">
        <v>4761</v>
      </c>
    </row>
    <row r="610" spans="1:28" x14ac:dyDescent="0.2">
      <c r="A610" s="146" t="s">
        <v>7194</v>
      </c>
      <c r="B610" s="147" t="s">
        <v>6130</v>
      </c>
      <c r="C610" s="147" t="s">
        <v>6349</v>
      </c>
      <c r="D610" s="148"/>
      <c r="E610" s="149" t="s">
        <v>47</v>
      </c>
      <c r="F610" s="152"/>
      <c r="G610" s="149" t="s">
        <v>23095</v>
      </c>
      <c r="H610" s="157">
        <v>2</v>
      </c>
      <c r="I610" s="152"/>
      <c r="J610" s="149" t="s">
        <v>23096</v>
      </c>
      <c r="K610" s="155">
        <v>1</v>
      </c>
      <c r="L610" s="152"/>
      <c r="M610" s="149" t="s">
        <v>47</v>
      </c>
      <c r="N610" s="153"/>
      <c r="O610" s="152"/>
      <c r="P610" s="149" t="s">
        <v>47</v>
      </c>
      <c r="Q610" s="153"/>
      <c r="R610" s="152"/>
      <c r="S610" s="149" t="s">
        <v>47</v>
      </c>
      <c r="T610" s="153"/>
      <c r="U610" s="152"/>
      <c r="V610" s="149" t="s">
        <v>47</v>
      </c>
      <c r="W610" s="153"/>
      <c r="X610" s="152"/>
      <c r="Y610" s="149" t="s">
        <v>47</v>
      </c>
      <c r="Z610" s="153"/>
      <c r="AA610" s="152"/>
      <c r="AB610" s="154" t="s">
        <v>4762</v>
      </c>
    </row>
    <row r="611" spans="1:28" x14ac:dyDescent="0.2">
      <c r="A611" s="146" t="s">
        <v>7195</v>
      </c>
      <c r="B611" s="147" t="s">
        <v>6130</v>
      </c>
      <c r="C611" s="147" t="s">
        <v>6131</v>
      </c>
      <c r="D611" s="148"/>
      <c r="E611" s="149" t="s">
        <v>19354</v>
      </c>
      <c r="F611" s="161">
        <v>1</v>
      </c>
      <c r="G611" s="149" t="s">
        <v>23097</v>
      </c>
      <c r="H611" s="155">
        <v>1</v>
      </c>
      <c r="I611" s="156" t="s">
        <v>53</v>
      </c>
      <c r="J611" s="149" t="s">
        <v>23098</v>
      </c>
      <c r="K611" s="155">
        <v>1</v>
      </c>
      <c r="L611" s="152"/>
      <c r="M611" s="149" t="s">
        <v>19354</v>
      </c>
      <c r="N611" s="155">
        <v>1</v>
      </c>
      <c r="O611" s="152"/>
      <c r="P611" s="149" t="s">
        <v>23099</v>
      </c>
      <c r="Q611" s="155">
        <v>1</v>
      </c>
      <c r="R611" s="152"/>
      <c r="S611" s="149" t="s">
        <v>47</v>
      </c>
      <c r="T611" s="153"/>
      <c r="U611" s="152"/>
      <c r="V611" s="149" t="s">
        <v>47</v>
      </c>
      <c r="W611" s="153"/>
      <c r="X611" s="152"/>
      <c r="Y611" s="149" t="s">
        <v>47</v>
      </c>
      <c r="Z611" s="153"/>
      <c r="AA611" s="152"/>
      <c r="AB611" s="154" t="s">
        <v>4764</v>
      </c>
    </row>
    <row r="612" spans="1:28" x14ac:dyDescent="0.2">
      <c r="A612" s="146" t="s">
        <v>7196</v>
      </c>
      <c r="B612" s="147" t="s">
        <v>6130</v>
      </c>
      <c r="C612" s="147" t="s">
        <v>6131</v>
      </c>
      <c r="D612" s="148"/>
      <c r="E612" s="149" t="s">
        <v>23100</v>
      </c>
      <c r="F612" s="161">
        <v>1</v>
      </c>
      <c r="G612" s="149" t="s">
        <v>23101</v>
      </c>
      <c r="H612" s="158">
        <v>3</v>
      </c>
      <c r="I612" s="156" t="s">
        <v>55</v>
      </c>
      <c r="J612" s="149" t="s">
        <v>23102</v>
      </c>
      <c r="K612" s="155">
        <v>1</v>
      </c>
      <c r="L612" s="152"/>
      <c r="M612" s="149" t="s">
        <v>23100</v>
      </c>
      <c r="N612" s="155">
        <v>1</v>
      </c>
      <c r="O612" s="152"/>
      <c r="P612" s="149" t="s">
        <v>23103</v>
      </c>
      <c r="Q612" s="155">
        <v>1</v>
      </c>
      <c r="R612" s="152"/>
      <c r="S612" s="149" t="s">
        <v>47</v>
      </c>
      <c r="T612" s="153"/>
      <c r="U612" s="152"/>
      <c r="V612" s="149" t="s">
        <v>47</v>
      </c>
      <c r="W612" s="153"/>
      <c r="X612" s="152"/>
      <c r="Y612" s="149" t="s">
        <v>47</v>
      </c>
      <c r="Z612" s="153"/>
      <c r="AA612" s="152"/>
      <c r="AB612" s="154" t="s">
        <v>4766</v>
      </c>
    </row>
    <row r="613" spans="1:28" x14ac:dyDescent="0.2">
      <c r="A613" s="146" t="s">
        <v>7197</v>
      </c>
      <c r="B613" s="147" t="s">
        <v>6130</v>
      </c>
      <c r="C613" s="147" t="s">
        <v>6131</v>
      </c>
      <c r="D613" s="148"/>
      <c r="E613" s="149" t="s">
        <v>23104</v>
      </c>
      <c r="F613" s="161">
        <v>1</v>
      </c>
      <c r="G613" s="149" t="s">
        <v>23105</v>
      </c>
      <c r="H613" s="155">
        <v>1</v>
      </c>
      <c r="I613" s="156" t="s">
        <v>40</v>
      </c>
      <c r="J613" s="149" t="s">
        <v>23106</v>
      </c>
      <c r="K613" s="155">
        <v>1</v>
      </c>
      <c r="L613" s="152"/>
      <c r="M613" s="149" t="s">
        <v>23104</v>
      </c>
      <c r="N613" s="155">
        <v>1</v>
      </c>
      <c r="O613" s="152"/>
      <c r="P613" s="149" t="s">
        <v>23107</v>
      </c>
      <c r="Q613" s="155">
        <v>1</v>
      </c>
      <c r="R613" s="152"/>
      <c r="S613" s="149" t="s">
        <v>47</v>
      </c>
      <c r="T613" s="153"/>
      <c r="U613" s="152"/>
      <c r="V613" s="149" t="s">
        <v>47</v>
      </c>
      <c r="W613" s="153"/>
      <c r="X613" s="152"/>
      <c r="Y613" s="149" t="s">
        <v>47</v>
      </c>
      <c r="Z613" s="153"/>
      <c r="AA613" s="152"/>
      <c r="AB613" s="154" t="s">
        <v>4769</v>
      </c>
    </row>
    <row r="614" spans="1:28" x14ac:dyDescent="0.2">
      <c r="A614" s="146" t="s">
        <v>7198</v>
      </c>
      <c r="B614" s="147" t="s">
        <v>6130</v>
      </c>
      <c r="C614" s="147" t="s">
        <v>6131</v>
      </c>
      <c r="D614" s="148"/>
      <c r="E614" s="149" t="s">
        <v>23108</v>
      </c>
      <c r="F614" s="161">
        <v>1</v>
      </c>
      <c r="G614" s="149" t="s">
        <v>23109</v>
      </c>
      <c r="H614" s="155">
        <v>1</v>
      </c>
      <c r="I614" s="156" t="s">
        <v>53</v>
      </c>
      <c r="J614" s="149" t="s">
        <v>23110</v>
      </c>
      <c r="K614" s="155">
        <v>1</v>
      </c>
      <c r="L614" s="152"/>
      <c r="M614" s="149" t="s">
        <v>23108</v>
      </c>
      <c r="N614" s="155">
        <v>1</v>
      </c>
      <c r="O614" s="152"/>
      <c r="P614" s="149" t="s">
        <v>47</v>
      </c>
      <c r="Q614" s="153"/>
      <c r="R614" s="152"/>
      <c r="S614" s="149" t="s">
        <v>47</v>
      </c>
      <c r="T614" s="153"/>
      <c r="U614" s="152"/>
      <c r="V614" s="149" t="s">
        <v>47</v>
      </c>
      <c r="W614" s="153"/>
      <c r="X614" s="152"/>
      <c r="Y614" s="149" t="s">
        <v>47</v>
      </c>
      <c r="Z614" s="153"/>
      <c r="AA614" s="152"/>
      <c r="AB614" s="154" t="s">
        <v>4771</v>
      </c>
    </row>
    <row r="615" spans="1:28" x14ac:dyDescent="0.2">
      <c r="A615" s="146" t="s">
        <v>4772</v>
      </c>
      <c r="B615" s="147" t="s">
        <v>6130</v>
      </c>
      <c r="C615" s="147" t="s">
        <v>6145</v>
      </c>
      <c r="D615" s="148" t="s">
        <v>6136</v>
      </c>
      <c r="E615" s="149" t="s">
        <v>23111</v>
      </c>
      <c r="F615" s="159">
        <v>3</v>
      </c>
      <c r="G615" s="149" t="s">
        <v>23112</v>
      </c>
      <c r="H615" s="158">
        <v>3</v>
      </c>
      <c r="I615" s="152"/>
      <c r="J615" s="149" t="s">
        <v>23113</v>
      </c>
      <c r="K615" s="157">
        <v>2</v>
      </c>
      <c r="L615" s="156" t="s">
        <v>40</v>
      </c>
      <c r="M615" s="149" t="s">
        <v>23111</v>
      </c>
      <c r="N615" s="158">
        <v>3</v>
      </c>
      <c r="O615" s="152"/>
      <c r="P615" s="149" t="s">
        <v>23114</v>
      </c>
      <c r="Q615" s="158">
        <v>3</v>
      </c>
      <c r="R615" s="152"/>
      <c r="S615" s="149" t="s">
        <v>23115</v>
      </c>
      <c r="T615" s="158">
        <v>3</v>
      </c>
      <c r="U615" s="152"/>
      <c r="V615" s="149" t="s">
        <v>23116</v>
      </c>
      <c r="W615" s="151">
        <v>4</v>
      </c>
      <c r="X615" s="152"/>
      <c r="Y615" s="149" t="s">
        <v>47</v>
      </c>
      <c r="Z615" s="153"/>
      <c r="AA615" s="152"/>
      <c r="AB615" s="154" t="s">
        <v>4773</v>
      </c>
    </row>
    <row r="616" spans="1:28" x14ac:dyDescent="0.2">
      <c r="A616" s="146" t="s">
        <v>7199</v>
      </c>
      <c r="B616" s="147" t="s">
        <v>6130</v>
      </c>
      <c r="C616" s="147" t="s">
        <v>6145</v>
      </c>
      <c r="D616" s="148" t="s">
        <v>6136</v>
      </c>
      <c r="E616" s="149" t="s">
        <v>23117</v>
      </c>
      <c r="F616" s="160">
        <v>2</v>
      </c>
      <c r="G616" s="149" t="s">
        <v>23118</v>
      </c>
      <c r="H616" s="151">
        <v>4</v>
      </c>
      <c r="I616" s="156" t="s">
        <v>55</v>
      </c>
      <c r="J616" s="149" t="s">
        <v>23119</v>
      </c>
      <c r="K616" s="157">
        <v>2</v>
      </c>
      <c r="L616" s="156" t="s">
        <v>46</v>
      </c>
      <c r="M616" s="149" t="s">
        <v>23117</v>
      </c>
      <c r="N616" s="157">
        <v>2</v>
      </c>
      <c r="O616" s="156" t="s">
        <v>46</v>
      </c>
      <c r="P616" s="149" t="s">
        <v>23120</v>
      </c>
      <c r="Q616" s="155">
        <v>1</v>
      </c>
      <c r="R616" s="152"/>
      <c r="S616" s="149" t="s">
        <v>23121</v>
      </c>
      <c r="T616" s="157">
        <v>2</v>
      </c>
      <c r="U616" s="152"/>
      <c r="V616" s="149" t="s">
        <v>23122</v>
      </c>
      <c r="W616" s="155">
        <v>1</v>
      </c>
      <c r="X616" s="152"/>
      <c r="Y616" s="149" t="s">
        <v>47</v>
      </c>
      <c r="Z616" s="153"/>
      <c r="AA616" s="152"/>
      <c r="AB616" s="154" t="s">
        <v>4775</v>
      </c>
    </row>
    <row r="617" spans="1:28" x14ac:dyDescent="0.2">
      <c r="A617" s="146" t="s">
        <v>4776</v>
      </c>
      <c r="B617" s="147" t="s">
        <v>6130</v>
      </c>
      <c r="C617" s="147" t="s">
        <v>6145</v>
      </c>
      <c r="D617" s="148" t="s">
        <v>6136</v>
      </c>
      <c r="E617" s="149" t="s">
        <v>23123</v>
      </c>
      <c r="F617" s="160">
        <v>2</v>
      </c>
      <c r="G617" s="149" t="s">
        <v>23124</v>
      </c>
      <c r="H617" s="157">
        <v>2</v>
      </c>
      <c r="I617" s="156" t="s">
        <v>40</v>
      </c>
      <c r="J617" s="149" t="s">
        <v>23125</v>
      </c>
      <c r="K617" s="157">
        <v>2</v>
      </c>
      <c r="L617" s="152"/>
      <c r="M617" s="149" t="s">
        <v>23123</v>
      </c>
      <c r="N617" s="157">
        <v>2</v>
      </c>
      <c r="O617" s="152"/>
      <c r="P617" s="149" t="s">
        <v>23126</v>
      </c>
      <c r="Q617" s="157">
        <v>2</v>
      </c>
      <c r="R617" s="156" t="s">
        <v>40</v>
      </c>
      <c r="S617" s="149" t="s">
        <v>23127</v>
      </c>
      <c r="T617" s="157">
        <v>2</v>
      </c>
      <c r="U617" s="156" t="s">
        <v>40</v>
      </c>
      <c r="V617" s="149" t="s">
        <v>23128</v>
      </c>
      <c r="W617" s="158">
        <v>3</v>
      </c>
      <c r="X617" s="152"/>
      <c r="Y617" s="149" t="s">
        <v>47</v>
      </c>
      <c r="Z617" s="153"/>
      <c r="AA617" s="152"/>
      <c r="AB617" s="154" t="s">
        <v>4777</v>
      </c>
    </row>
    <row r="618" spans="1:28" x14ac:dyDescent="0.2">
      <c r="A618" s="146" t="s">
        <v>4793</v>
      </c>
      <c r="B618" s="147" t="s">
        <v>6130</v>
      </c>
      <c r="C618" s="147" t="s">
        <v>6747</v>
      </c>
      <c r="D618" s="148" t="s">
        <v>6160</v>
      </c>
      <c r="E618" s="149" t="s">
        <v>9087</v>
      </c>
      <c r="F618" s="150">
        <v>4</v>
      </c>
      <c r="G618" s="149" t="s">
        <v>23129</v>
      </c>
      <c r="H618" s="157">
        <v>2</v>
      </c>
      <c r="I618" s="156" t="s">
        <v>53</v>
      </c>
      <c r="J618" s="149" t="s">
        <v>23130</v>
      </c>
      <c r="K618" s="151">
        <v>4</v>
      </c>
      <c r="L618" s="152"/>
      <c r="M618" s="149" t="s">
        <v>9087</v>
      </c>
      <c r="N618" s="151">
        <v>4</v>
      </c>
      <c r="O618" s="152"/>
      <c r="P618" s="149" t="s">
        <v>9142</v>
      </c>
      <c r="Q618" s="151">
        <v>4</v>
      </c>
      <c r="R618" s="152"/>
      <c r="S618" s="149" t="s">
        <v>23131</v>
      </c>
      <c r="T618" s="158">
        <v>3</v>
      </c>
      <c r="U618" s="152"/>
      <c r="V618" s="149" t="s">
        <v>23132</v>
      </c>
      <c r="W618" s="151">
        <v>4</v>
      </c>
      <c r="X618" s="152"/>
      <c r="Y618" s="149" t="s">
        <v>23133</v>
      </c>
      <c r="Z618" s="151">
        <v>4</v>
      </c>
      <c r="AA618" s="152"/>
      <c r="AB618" s="154" t="s">
        <v>4794</v>
      </c>
    </row>
    <row r="619" spans="1:28" x14ac:dyDescent="0.2">
      <c r="A619" s="146" t="s">
        <v>4795</v>
      </c>
      <c r="B619" s="147" t="s">
        <v>6130</v>
      </c>
      <c r="C619" s="147" t="s">
        <v>6411</v>
      </c>
      <c r="D619" s="148" t="s">
        <v>6136</v>
      </c>
      <c r="E619" s="149" t="s">
        <v>15416</v>
      </c>
      <c r="F619" s="160">
        <v>2</v>
      </c>
      <c r="G619" s="149" t="s">
        <v>5596</v>
      </c>
      <c r="H619" s="151">
        <v>4</v>
      </c>
      <c r="I619" s="156" t="s">
        <v>44</v>
      </c>
      <c r="J619" s="149" t="s">
        <v>15416</v>
      </c>
      <c r="K619" s="157">
        <v>2</v>
      </c>
      <c r="L619" s="156" t="s">
        <v>46</v>
      </c>
      <c r="M619" s="149" t="s">
        <v>15416</v>
      </c>
      <c r="N619" s="157">
        <v>2</v>
      </c>
      <c r="O619" s="152"/>
      <c r="P619" s="149" t="s">
        <v>7200</v>
      </c>
      <c r="Q619" s="155">
        <v>1</v>
      </c>
      <c r="R619" s="152"/>
      <c r="S619" s="149" t="s">
        <v>23134</v>
      </c>
      <c r="T619" s="158">
        <v>3</v>
      </c>
      <c r="U619" s="156" t="s">
        <v>40</v>
      </c>
      <c r="V619" s="149" t="s">
        <v>21745</v>
      </c>
      <c r="W619" s="158">
        <v>3</v>
      </c>
      <c r="X619" s="152"/>
      <c r="Y619" s="149" t="s">
        <v>23135</v>
      </c>
      <c r="Z619" s="158">
        <v>3</v>
      </c>
      <c r="AA619" s="156" t="s">
        <v>46</v>
      </c>
      <c r="AB619" s="154" t="s">
        <v>4798</v>
      </c>
    </row>
    <row r="620" spans="1:28" x14ac:dyDescent="0.2">
      <c r="A620" s="146" t="s">
        <v>7201</v>
      </c>
      <c r="B620" s="147" t="s">
        <v>6130</v>
      </c>
      <c r="C620" s="147" t="s">
        <v>6175</v>
      </c>
      <c r="D620" s="148"/>
      <c r="E620" s="149" t="s">
        <v>23136</v>
      </c>
      <c r="F620" s="159">
        <v>3</v>
      </c>
      <c r="G620" s="149" t="s">
        <v>23137</v>
      </c>
      <c r="H620" s="157">
        <v>2</v>
      </c>
      <c r="I620" s="156" t="s">
        <v>40</v>
      </c>
      <c r="J620" s="149" t="s">
        <v>23138</v>
      </c>
      <c r="K620" s="158">
        <v>3</v>
      </c>
      <c r="L620" s="152"/>
      <c r="M620" s="149" t="s">
        <v>23136</v>
      </c>
      <c r="N620" s="158">
        <v>3</v>
      </c>
      <c r="O620" s="152"/>
      <c r="P620" s="149" t="s">
        <v>23139</v>
      </c>
      <c r="Q620" s="157">
        <v>2</v>
      </c>
      <c r="R620" s="152"/>
      <c r="S620" s="149" t="s">
        <v>23140</v>
      </c>
      <c r="T620" s="157">
        <v>2</v>
      </c>
      <c r="U620" s="152"/>
      <c r="V620" s="149" t="s">
        <v>23141</v>
      </c>
      <c r="W620" s="157">
        <v>2</v>
      </c>
      <c r="X620" s="152"/>
      <c r="Y620" s="149" t="s">
        <v>23142</v>
      </c>
      <c r="Z620" s="157">
        <v>2</v>
      </c>
      <c r="AA620" s="152"/>
      <c r="AB620" s="154" t="s">
        <v>4807</v>
      </c>
    </row>
    <row r="621" spans="1:28" x14ac:dyDescent="0.2">
      <c r="A621" s="146" t="s">
        <v>7202</v>
      </c>
      <c r="B621" s="147" t="s">
        <v>6130</v>
      </c>
      <c r="C621" s="147" t="s">
        <v>6157</v>
      </c>
      <c r="D621" s="148" t="s">
        <v>6170</v>
      </c>
      <c r="E621" s="149" t="s">
        <v>23143</v>
      </c>
      <c r="F621" s="150">
        <v>4</v>
      </c>
      <c r="G621" s="149" t="s">
        <v>23144</v>
      </c>
      <c r="H621" s="151">
        <v>4</v>
      </c>
      <c r="I621" s="152"/>
      <c r="J621" s="149" t="s">
        <v>23145</v>
      </c>
      <c r="K621" s="151">
        <v>4</v>
      </c>
      <c r="L621" s="152"/>
      <c r="M621" s="149" t="s">
        <v>23143</v>
      </c>
      <c r="N621" s="151">
        <v>4</v>
      </c>
      <c r="O621" s="152"/>
      <c r="P621" s="149" t="s">
        <v>23146</v>
      </c>
      <c r="Q621" s="151">
        <v>4</v>
      </c>
      <c r="R621" s="152"/>
      <c r="S621" s="149" t="s">
        <v>23147</v>
      </c>
      <c r="T621" s="151">
        <v>4</v>
      </c>
      <c r="U621" s="152"/>
      <c r="V621" s="149" t="s">
        <v>23148</v>
      </c>
      <c r="W621" s="151">
        <v>4</v>
      </c>
      <c r="X621" s="152"/>
      <c r="Y621" s="149" t="s">
        <v>23149</v>
      </c>
      <c r="Z621" s="151">
        <v>4</v>
      </c>
      <c r="AA621" s="152"/>
      <c r="AB621" s="154" t="s">
        <v>4816</v>
      </c>
    </row>
    <row r="622" spans="1:28" x14ac:dyDescent="0.2">
      <c r="A622" s="146" t="s">
        <v>7203</v>
      </c>
      <c r="B622" s="147" t="s">
        <v>6130</v>
      </c>
      <c r="C622" s="147" t="s">
        <v>6192</v>
      </c>
      <c r="D622" s="148" t="s">
        <v>6170</v>
      </c>
      <c r="E622" s="149" t="s">
        <v>23150</v>
      </c>
      <c r="F622" s="159">
        <v>3</v>
      </c>
      <c r="G622" s="149" t="s">
        <v>23151</v>
      </c>
      <c r="H622" s="157">
        <v>2</v>
      </c>
      <c r="I622" s="156" t="s">
        <v>40</v>
      </c>
      <c r="J622" s="149" t="s">
        <v>23152</v>
      </c>
      <c r="K622" s="158">
        <v>3</v>
      </c>
      <c r="L622" s="152"/>
      <c r="M622" s="149" t="s">
        <v>23150</v>
      </c>
      <c r="N622" s="158">
        <v>3</v>
      </c>
      <c r="O622" s="156" t="s">
        <v>40</v>
      </c>
      <c r="P622" s="149" t="s">
        <v>23153</v>
      </c>
      <c r="Q622" s="151">
        <v>4</v>
      </c>
      <c r="R622" s="152"/>
      <c r="S622" s="149" t="s">
        <v>23154</v>
      </c>
      <c r="T622" s="151">
        <v>4</v>
      </c>
      <c r="U622" s="152"/>
      <c r="V622" s="149" t="s">
        <v>47</v>
      </c>
      <c r="W622" s="153"/>
      <c r="X622" s="152"/>
      <c r="Y622" s="149" t="s">
        <v>47</v>
      </c>
      <c r="Z622" s="153"/>
      <c r="AA622" s="152"/>
      <c r="AB622" s="154" t="s">
        <v>4820</v>
      </c>
    </row>
    <row r="623" spans="1:28" x14ac:dyDescent="0.2">
      <c r="A623" s="146" t="s">
        <v>7204</v>
      </c>
      <c r="B623" s="147" t="s">
        <v>6130</v>
      </c>
      <c r="C623" s="147" t="s">
        <v>6192</v>
      </c>
      <c r="D623" s="148" t="s">
        <v>6136</v>
      </c>
      <c r="E623" s="149" t="s">
        <v>23155</v>
      </c>
      <c r="F623" s="160">
        <v>2</v>
      </c>
      <c r="G623" s="149" t="s">
        <v>23156</v>
      </c>
      <c r="H623" s="158">
        <v>3</v>
      </c>
      <c r="I623" s="152"/>
      <c r="J623" s="149" t="s">
        <v>23157</v>
      </c>
      <c r="K623" s="158">
        <v>3</v>
      </c>
      <c r="L623" s="156" t="s">
        <v>46</v>
      </c>
      <c r="M623" s="149" t="s">
        <v>23155</v>
      </c>
      <c r="N623" s="157">
        <v>2</v>
      </c>
      <c r="O623" s="152"/>
      <c r="P623" s="149" t="s">
        <v>23158</v>
      </c>
      <c r="Q623" s="158">
        <v>3</v>
      </c>
      <c r="R623" s="152"/>
      <c r="S623" s="149" t="s">
        <v>23159</v>
      </c>
      <c r="T623" s="158">
        <v>3</v>
      </c>
      <c r="U623" s="152"/>
      <c r="V623" s="149" t="s">
        <v>47</v>
      </c>
      <c r="W623" s="153"/>
      <c r="X623" s="152"/>
      <c r="Y623" s="149" t="s">
        <v>47</v>
      </c>
      <c r="Z623" s="153"/>
      <c r="AA623" s="152"/>
      <c r="AB623" s="154" t="s">
        <v>4822</v>
      </c>
    </row>
    <row r="624" spans="1:28" x14ac:dyDescent="0.2">
      <c r="A624" s="146" t="s">
        <v>4823</v>
      </c>
      <c r="B624" s="147" t="s">
        <v>6130</v>
      </c>
      <c r="C624" s="147" t="s">
        <v>6227</v>
      </c>
      <c r="D624" s="148" t="s">
        <v>6170</v>
      </c>
      <c r="E624" s="149" t="s">
        <v>23160</v>
      </c>
      <c r="F624" s="161">
        <v>1</v>
      </c>
      <c r="G624" s="149" t="s">
        <v>23161</v>
      </c>
      <c r="H624" s="155">
        <v>1</v>
      </c>
      <c r="I624" s="152"/>
      <c r="J624" s="149" t="s">
        <v>23162</v>
      </c>
      <c r="K624" s="155">
        <v>1</v>
      </c>
      <c r="L624" s="152"/>
      <c r="M624" s="149" t="s">
        <v>23160</v>
      </c>
      <c r="N624" s="155">
        <v>1</v>
      </c>
      <c r="O624" s="152"/>
      <c r="P624" s="149" t="s">
        <v>23163</v>
      </c>
      <c r="Q624" s="157">
        <v>2</v>
      </c>
      <c r="R624" s="156" t="s">
        <v>40</v>
      </c>
      <c r="S624" s="149" t="s">
        <v>23164</v>
      </c>
      <c r="T624" s="151">
        <v>4</v>
      </c>
      <c r="U624" s="152"/>
      <c r="V624" s="149" t="s">
        <v>23165</v>
      </c>
      <c r="W624" s="151">
        <v>4</v>
      </c>
      <c r="X624" s="152"/>
      <c r="Y624" s="149" t="s">
        <v>23166</v>
      </c>
      <c r="Z624" s="151">
        <v>4</v>
      </c>
      <c r="AA624" s="152"/>
      <c r="AB624" s="154" t="s">
        <v>4825</v>
      </c>
    </row>
    <row r="625" spans="1:28" x14ac:dyDescent="0.2">
      <c r="A625" s="146" t="s">
        <v>4826</v>
      </c>
      <c r="B625" s="147" t="s">
        <v>6130</v>
      </c>
      <c r="C625" s="147" t="s">
        <v>6206</v>
      </c>
      <c r="D625" s="148" t="s">
        <v>6160</v>
      </c>
      <c r="E625" s="149" t="s">
        <v>23167</v>
      </c>
      <c r="F625" s="159">
        <v>3</v>
      </c>
      <c r="G625" s="149" t="s">
        <v>23168</v>
      </c>
      <c r="H625" s="158">
        <v>3</v>
      </c>
      <c r="I625" s="152"/>
      <c r="J625" s="149" t="s">
        <v>23169</v>
      </c>
      <c r="K625" s="158">
        <v>3</v>
      </c>
      <c r="L625" s="152"/>
      <c r="M625" s="149" t="s">
        <v>23167</v>
      </c>
      <c r="N625" s="158">
        <v>3</v>
      </c>
      <c r="O625" s="152"/>
      <c r="P625" s="149" t="s">
        <v>23170</v>
      </c>
      <c r="Q625" s="157">
        <v>2</v>
      </c>
      <c r="R625" s="156" t="s">
        <v>40</v>
      </c>
      <c r="S625" s="149" t="s">
        <v>23171</v>
      </c>
      <c r="T625" s="158">
        <v>3</v>
      </c>
      <c r="U625" s="152"/>
      <c r="V625" s="149" t="s">
        <v>18470</v>
      </c>
      <c r="W625" s="157">
        <v>2</v>
      </c>
      <c r="X625" s="152"/>
      <c r="Y625" s="149" t="s">
        <v>23172</v>
      </c>
      <c r="Z625" s="158">
        <v>3</v>
      </c>
      <c r="AA625" s="152"/>
      <c r="AB625" s="154" t="s">
        <v>4827</v>
      </c>
    </row>
    <row r="626" spans="1:28" x14ac:dyDescent="0.2">
      <c r="A626" s="146" t="s">
        <v>4828</v>
      </c>
      <c r="B626" s="147" t="s">
        <v>6130</v>
      </c>
      <c r="C626" s="147" t="s">
        <v>6213</v>
      </c>
      <c r="D626" s="148" t="s">
        <v>6132</v>
      </c>
      <c r="E626" s="149" t="s">
        <v>23173</v>
      </c>
      <c r="F626" s="160">
        <v>2</v>
      </c>
      <c r="G626" s="149" t="s">
        <v>18258</v>
      </c>
      <c r="H626" s="158">
        <v>3</v>
      </c>
      <c r="I626" s="156" t="s">
        <v>46</v>
      </c>
      <c r="J626" s="149" t="s">
        <v>3885</v>
      </c>
      <c r="K626" s="158">
        <v>3</v>
      </c>
      <c r="L626" s="156" t="s">
        <v>46</v>
      </c>
      <c r="M626" s="149" t="s">
        <v>23173</v>
      </c>
      <c r="N626" s="157">
        <v>2</v>
      </c>
      <c r="O626" s="152"/>
      <c r="P626" s="149" t="s">
        <v>23174</v>
      </c>
      <c r="Q626" s="157">
        <v>2</v>
      </c>
      <c r="R626" s="152"/>
      <c r="S626" s="149" t="s">
        <v>23175</v>
      </c>
      <c r="T626" s="157">
        <v>2</v>
      </c>
      <c r="U626" s="152"/>
      <c r="V626" s="149" t="s">
        <v>47</v>
      </c>
      <c r="W626" s="153"/>
      <c r="X626" s="152"/>
      <c r="Y626" s="149" t="s">
        <v>47</v>
      </c>
      <c r="Z626" s="153"/>
      <c r="AA626" s="152"/>
      <c r="AB626" s="154" t="s">
        <v>4829</v>
      </c>
    </row>
    <row r="627" spans="1:28" x14ac:dyDescent="0.2">
      <c r="A627" s="146" t="s">
        <v>4830</v>
      </c>
      <c r="B627" s="147" t="s">
        <v>6130</v>
      </c>
      <c r="C627" s="147" t="s">
        <v>6157</v>
      </c>
      <c r="D627" s="148" t="s">
        <v>6136</v>
      </c>
      <c r="E627" s="149" t="s">
        <v>23176</v>
      </c>
      <c r="F627" s="160">
        <v>2</v>
      </c>
      <c r="G627" s="149" t="s">
        <v>23177</v>
      </c>
      <c r="H627" s="157">
        <v>2</v>
      </c>
      <c r="I627" s="156" t="s">
        <v>40</v>
      </c>
      <c r="J627" s="149" t="s">
        <v>23178</v>
      </c>
      <c r="K627" s="158">
        <v>3</v>
      </c>
      <c r="L627" s="152"/>
      <c r="M627" s="149" t="s">
        <v>23176</v>
      </c>
      <c r="N627" s="157">
        <v>2</v>
      </c>
      <c r="O627" s="156" t="s">
        <v>40</v>
      </c>
      <c r="P627" s="149" t="s">
        <v>23179</v>
      </c>
      <c r="Q627" s="157">
        <v>2</v>
      </c>
      <c r="R627" s="156" t="s">
        <v>46</v>
      </c>
      <c r="S627" s="149" t="s">
        <v>23180</v>
      </c>
      <c r="T627" s="157">
        <v>2</v>
      </c>
      <c r="U627" s="152"/>
      <c r="V627" s="149" t="s">
        <v>23181</v>
      </c>
      <c r="W627" s="158">
        <v>3</v>
      </c>
      <c r="X627" s="152"/>
      <c r="Y627" s="149" t="s">
        <v>23182</v>
      </c>
      <c r="Z627" s="157">
        <v>2</v>
      </c>
      <c r="AA627" s="152"/>
      <c r="AB627" s="154" t="s">
        <v>4831</v>
      </c>
    </row>
    <row r="628" spans="1:28" x14ac:dyDescent="0.2">
      <c r="A628" s="146" t="s">
        <v>7205</v>
      </c>
      <c r="B628" s="147" t="s">
        <v>6130</v>
      </c>
      <c r="C628" s="147" t="s">
        <v>6227</v>
      </c>
      <c r="D628" s="148" t="s">
        <v>6136</v>
      </c>
      <c r="E628" s="149" t="s">
        <v>23183</v>
      </c>
      <c r="F628" s="160">
        <v>2</v>
      </c>
      <c r="G628" s="149" t="s">
        <v>23184</v>
      </c>
      <c r="H628" s="157">
        <v>2</v>
      </c>
      <c r="I628" s="152"/>
      <c r="J628" s="149" t="s">
        <v>23185</v>
      </c>
      <c r="K628" s="157">
        <v>2</v>
      </c>
      <c r="L628" s="152"/>
      <c r="M628" s="149" t="s">
        <v>23183</v>
      </c>
      <c r="N628" s="157">
        <v>2</v>
      </c>
      <c r="O628" s="156" t="s">
        <v>40</v>
      </c>
      <c r="P628" s="149" t="s">
        <v>23186</v>
      </c>
      <c r="Q628" s="158">
        <v>3</v>
      </c>
      <c r="R628" s="152"/>
      <c r="S628" s="149" t="s">
        <v>23187</v>
      </c>
      <c r="T628" s="158">
        <v>3</v>
      </c>
      <c r="U628" s="152"/>
      <c r="V628" s="149" t="s">
        <v>23188</v>
      </c>
      <c r="W628" s="158">
        <v>3</v>
      </c>
      <c r="X628" s="152"/>
      <c r="Y628" s="149" t="s">
        <v>23189</v>
      </c>
      <c r="Z628" s="158">
        <v>3</v>
      </c>
      <c r="AA628" s="152"/>
      <c r="AB628" s="154" t="s">
        <v>4835</v>
      </c>
    </row>
    <row r="629" spans="1:28" x14ac:dyDescent="0.2">
      <c r="A629" s="146" t="s">
        <v>7206</v>
      </c>
      <c r="B629" s="147" t="s">
        <v>6130</v>
      </c>
      <c r="C629" s="147" t="s">
        <v>6169</v>
      </c>
      <c r="D629" s="148"/>
      <c r="E629" s="149" t="s">
        <v>23190</v>
      </c>
      <c r="F629" s="160">
        <v>2</v>
      </c>
      <c r="G629" s="149" t="s">
        <v>23191</v>
      </c>
      <c r="H629" s="157">
        <v>2</v>
      </c>
      <c r="I629" s="152"/>
      <c r="J629" s="149" t="s">
        <v>23192</v>
      </c>
      <c r="K629" s="155">
        <v>1</v>
      </c>
      <c r="L629" s="156" t="s">
        <v>40</v>
      </c>
      <c r="M629" s="149" t="s">
        <v>23190</v>
      </c>
      <c r="N629" s="157">
        <v>2</v>
      </c>
      <c r="O629" s="152"/>
      <c r="P629" s="149" t="s">
        <v>23193</v>
      </c>
      <c r="Q629" s="157">
        <v>2</v>
      </c>
      <c r="R629" s="152"/>
      <c r="S629" s="149" t="s">
        <v>23194</v>
      </c>
      <c r="T629" s="157">
        <v>2</v>
      </c>
      <c r="U629" s="152"/>
      <c r="V629" s="149" t="s">
        <v>23195</v>
      </c>
      <c r="W629" s="155">
        <v>1</v>
      </c>
      <c r="X629" s="152"/>
      <c r="Y629" s="149" t="s">
        <v>23196</v>
      </c>
      <c r="Z629" s="155">
        <v>1</v>
      </c>
      <c r="AA629" s="152"/>
      <c r="AB629" s="154" t="s">
        <v>4837</v>
      </c>
    </row>
    <row r="630" spans="1:28" x14ac:dyDescent="0.2">
      <c r="A630" s="146" t="s">
        <v>7207</v>
      </c>
      <c r="B630" s="147" t="s">
        <v>6130</v>
      </c>
      <c r="C630" s="147" t="s">
        <v>6872</v>
      </c>
      <c r="D630" s="148"/>
      <c r="E630" s="149" t="s">
        <v>23197</v>
      </c>
      <c r="F630" s="159">
        <v>3</v>
      </c>
      <c r="G630" s="149" t="s">
        <v>22329</v>
      </c>
      <c r="H630" s="157">
        <v>2</v>
      </c>
      <c r="I630" s="152"/>
      <c r="J630" s="149" t="s">
        <v>14876</v>
      </c>
      <c r="K630" s="155">
        <v>1</v>
      </c>
      <c r="L630" s="152"/>
      <c r="M630" s="149" t="s">
        <v>23197</v>
      </c>
      <c r="N630" s="158">
        <v>3</v>
      </c>
      <c r="O630" s="156" t="s">
        <v>46</v>
      </c>
      <c r="P630" s="149" t="s">
        <v>23198</v>
      </c>
      <c r="Q630" s="151">
        <v>4</v>
      </c>
      <c r="R630" s="152"/>
      <c r="S630" s="149" t="s">
        <v>47</v>
      </c>
      <c r="T630" s="153"/>
      <c r="U630" s="152"/>
      <c r="V630" s="149" t="s">
        <v>47</v>
      </c>
      <c r="W630" s="153"/>
      <c r="X630" s="152"/>
      <c r="Y630" s="149" t="s">
        <v>47</v>
      </c>
      <c r="Z630" s="153"/>
      <c r="AA630" s="152"/>
      <c r="AB630" s="154" t="s">
        <v>4844</v>
      </c>
    </row>
    <row r="631" spans="1:28" x14ac:dyDescent="0.2">
      <c r="A631" s="146" t="s">
        <v>4845</v>
      </c>
      <c r="B631" s="147" t="s">
        <v>6130</v>
      </c>
      <c r="C631" s="147" t="s">
        <v>6894</v>
      </c>
      <c r="D631" s="148" t="s">
        <v>6170</v>
      </c>
      <c r="E631" s="149" t="s">
        <v>7208</v>
      </c>
      <c r="F631" s="150">
        <v>4</v>
      </c>
      <c r="G631" s="149" t="s">
        <v>22126</v>
      </c>
      <c r="H631" s="155">
        <v>1</v>
      </c>
      <c r="I631" s="156" t="s">
        <v>157</v>
      </c>
      <c r="J631" s="149" t="s">
        <v>23199</v>
      </c>
      <c r="K631" s="155">
        <v>1</v>
      </c>
      <c r="L631" s="156" t="s">
        <v>40</v>
      </c>
      <c r="M631" s="149" t="s">
        <v>7208</v>
      </c>
      <c r="N631" s="151">
        <v>4</v>
      </c>
      <c r="O631" s="152"/>
      <c r="P631" s="149" t="s">
        <v>11105</v>
      </c>
      <c r="Q631" s="151">
        <v>4</v>
      </c>
      <c r="R631" s="152"/>
      <c r="S631" s="149" t="s">
        <v>1501</v>
      </c>
      <c r="T631" s="151">
        <v>4</v>
      </c>
      <c r="U631" s="152"/>
      <c r="V631" s="149" t="s">
        <v>13390</v>
      </c>
      <c r="W631" s="151">
        <v>4</v>
      </c>
      <c r="X631" s="152"/>
      <c r="Y631" s="149" t="s">
        <v>23200</v>
      </c>
      <c r="Z631" s="151">
        <v>4</v>
      </c>
      <c r="AA631" s="152"/>
      <c r="AB631" s="154" t="s">
        <v>4846</v>
      </c>
    </row>
    <row r="632" spans="1:28" x14ac:dyDescent="0.2">
      <c r="A632" s="146" t="s">
        <v>7209</v>
      </c>
      <c r="B632" s="147" t="s">
        <v>6130</v>
      </c>
      <c r="C632" s="147" t="s">
        <v>6583</v>
      </c>
      <c r="D632" s="148"/>
      <c r="E632" s="149" t="s">
        <v>23201</v>
      </c>
      <c r="F632" s="160">
        <v>2</v>
      </c>
      <c r="G632" s="149" t="s">
        <v>23202</v>
      </c>
      <c r="H632" s="157">
        <v>2</v>
      </c>
      <c r="I632" s="152"/>
      <c r="J632" s="149" t="s">
        <v>23203</v>
      </c>
      <c r="K632" s="155">
        <v>1</v>
      </c>
      <c r="L632" s="156" t="s">
        <v>40</v>
      </c>
      <c r="M632" s="149" t="s">
        <v>23201</v>
      </c>
      <c r="N632" s="157">
        <v>2</v>
      </c>
      <c r="O632" s="152"/>
      <c r="P632" s="149" t="s">
        <v>23204</v>
      </c>
      <c r="Q632" s="158">
        <v>3</v>
      </c>
      <c r="R632" s="152"/>
      <c r="S632" s="149" t="s">
        <v>47</v>
      </c>
      <c r="T632" s="153"/>
      <c r="U632" s="152"/>
      <c r="V632" s="149" t="s">
        <v>47</v>
      </c>
      <c r="W632" s="153"/>
      <c r="X632" s="152"/>
      <c r="Y632" s="149" t="s">
        <v>47</v>
      </c>
      <c r="Z632" s="153"/>
      <c r="AA632" s="152"/>
      <c r="AB632" s="154" t="s">
        <v>4839</v>
      </c>
    </row>
    <row r="633" spans="1:28" x14ac:dyDescent="0.2">
      <c r="A633" s="146" t="s">
        <v>7210</v>
      </c>
      <c r="B633" s="147" t="s">
        <v>6130</v>
      </c>
      <c r="C633" s="147" t="s">
        <v>6277</v>
      </c>
      <c r="D633" s="148"/>
      <c r="E633" s="149" t="s">
        <v>23205</v>
      </c>
      <c r="F633" s="160">
        <v>2</v>
      </c>
      <c r="G633" s="149" t="s">
        <v>23206</v>
      </c>
      <c r="H633" s="157">
        <v>2</v>
      </c>
      <c r="I633" s="156" t="s">
        <v>46</v>
      </c>
      <c r="J633" s="149" t="s">
        <v>23207</v>
      </c>
      <c r="K633" s="155">
        <v>1</v>
      </c>
      <c r="L633" s="156" t="s">
        <v>40</v>
      </c>
      <c r="M633" s="149" t="s">
        <v>23205</v>
      </c>
      <c r="N633" s="157">
        <v>2</v>
      </c>
      <c r="O633" s="152"/>
      <c r="P633" s="149" t="s">
        <v>23208</v>
      </c>
      <c r="Q633" s="157">
        <v>2</v>
      </c>
      <c r="R633" s="152"/>
      <c r="S633" s="149" t="s">
        <v>47</v>
      </c>
      <c r="T633" s="153"/>
      <c r="U633" s="152"/>
      <c r="V633" s="149" t="s">
        <v>47</v>
      </c>
      <c r="W633" s="153"/>
      <c r="X633" s="152"/>
      <c r="Y633" s="149" t="s">
        <v>47</v>
      </c>
      <c r="Z633" s="153"/>
      <c r="AA633" s="152"/>
      <c r="AB633" s="154" t="s">
        <v>4849</v>
      </c>
    </row>
    <row r="634" spans="1:28" x14ac:dyDescent="0.2">
      <c r="A634" s="146" t="s">
        <v>4850</v>
      </c>
      <c r="B634" s="147" t="s">
        <v>6130</v>
      </c>
      <c r="C634" s="147" t="s">
        <v>7211</v>
      </c>
      <c r="D634" s="148" t="s">
        <v>6170</v>
      </c>
      <c r="E634" s="149" t="s">
        <v>7212</v>
      </c>
      <c r="F634" s="159">
        <v>3</v>
      </c>
      <c r="G634" s="149" t="s">
        <v>23209</v>
      </c>
      <c r="H634" s="157">
        <v>2</v>
      </c>
      <c r="I634" s="156" t="s">
        <v>40</v>
      </c>
      <c r="J634" s="149" t="s">
        <v>7213</v>
      </c>
      <c r="K634" s="157">
        <v>2</v>
      </c>
      <c r="L634" s="156" t="s">
        <v>40</v>
      </c>
      <c r="M634" s="149" t="s">
        <v>7212</v>
      </c>
      <c r="N634" s="158">
        <v>3</v>
      </c>
      <c r="O634" s="152"/>
      <c r="P634" s="149" t="s">
        <v>23210</v>
      </c>
      <c r="Q634" s="158">
        <v>3</v>
      </c>
      <c r="R634" s="156" t="s">
        <v>40</v>
      </c>
      <c r="S634" s="149" t="s">
        <v>7214</v>
      </c>
      <c r="T634" s="151">
        <v>4</v>
      </c>
      <c r="U634" s="152"/>
      <c r="V634" s="149" t="s">
        <v>7215</v>
      </c>
      <c r="W634" s="151">
        <v>4</v>
      </c>
      <c r="X634" s="152"/>
      <c r="Y634" s="149" t="s">
        <v>23211</v>
      </c>
      <c r="Z634" s="151">
        <v>4</v>
      </c>
      <c r="AA634" s="152"/>
      <c r="AB634" s="154" t="s">
        <v>4851</v>
      </c>
    </row>
    <row r="635" spans="1:28" x14ac:dyDescent="0.2">
      <c r="A635" s="146" t="s">
        <v>4855</v>
      </c>
      <c r="B635" s="147" t="s">
        <v>6130</v>
      </c>
      <c r="C635" s="147" t="s">
        <v>6247</v>
      </c>
      <c r="D635" s="148" t="s">
        <v>6160</v>
      </c>
      <c r="E635" s="149" t="s">
        <v>23212</v>
      </c>
      <c r="F635" s="160">
        <v>2</v>
      </c>
      <c r="G635" s="149" t="s">
        <v>23213</v>
      </c>
      <c r="H635" s="151">
        <v>4</v>
      </c>
      <c r="I635" s="156" t="s">
        <v>44</v>
      </c>
      <c r="J635" s="149" t="s">
        <v>23214</v>
      </c>
      <c r="K635" s="155">
        <v>1</v>
      </c>
      <c r="L635" s="152"/>
      <c r="M635" s="149" t="s">
        <v>23212</v>
      </c>
      <c r="N635" s="157">
        <v>2</v>
      </c>
      <c r="O635" s="156" t="s">
        <v>46</v>
      </c>
      <c r="P635" s="149" t="s">
        <v>23215</v>
      </c>
      <c r="Q635" s="157">
        <v>2</v>
      </c>
      <c r="R635" s="152"/>
      <c r="S635" s="149" t="s">
        <v>23216</v>
      </c>
      <c r="T635" s="158">
        <v>3</v>
      </c>
      <c r="U635" s="152"/>
      <c r="V635" s="149" t="s">
        <v>23217</v>
      </c>
      <c r="W635" s="157">
        <v>2</v>
      </c>
      <c r="X635" s="152"/>
      <c r="Y635" s="149" t="s">
        <v>7216</v>
      </c>
      <c r="Z635" s="151">
        <v>4</v>
      </c>
      <c r="AA635" s="152"/>
      <c r="AB635" s="154" t="s">
        <v>4856</v>
      </c>
    </row>
    <row r="636" spans="1:28" x14ac:dyDescent="0.2">
      <c r="A636" s="146" t="s">
        <v>4859</v>
      </c>
      <c r="B636" s="147" t="s">
        <v>6130</v>
      </c>
      <c r="C636" s="147" t="s">
        <v>6154</v>
      </c>
      <c r="D636" s="148" t="s">
        <v>6160</v>
      </c>
      <c r="E636" s="149" t="s">
        <v>23218</v>
      </c>
      <c r="F636" s="160">
        <v>2</v>
      </c>
      <c r="G636" s="149" t="s">
        <v>23219</v>
      </c>
      <c r="H636" s="151">
        <v>4</v>
      </c>
      <c r="I636" s="156" t="s">
        <v>44</v>
      </c>
      <c r="J636" s="149" t="s">
        <v>23220</v>
      </c>
      <c r="K636" s="155">
        <v>1</v>
      </c>
      <c r="L636" s="152"/>
      <c r="M636" s="149" t="s">
        <v>23218</v>
      </c>
      <c r="N636" s="157">
        <v>2</v>
      </c>
      <c r="O636" s="156" t="s">
        <v>46</v>
      </c>
      <c r="P636" s="149" t="s">
        <v>23221</v>
      </c>
      <c r="Q636" s="157">
        <v>2</v>
      </c>
      <c r="R636" s="156" t="s">
        <v>40</v>
      </c>
      <c r="S636" s="149" t="s">
        <v>23222</v>
      </c>
      <c r="T636" s="158">
        <v>3</v>
      </c>
      <c r="U636" s="156" t="s">
        <v>40</v>
      </c>
      <c r="V636" s="149" t="s">
        <v>18196</v>
      </c>
      <c r="W636" s="158">
        <v>3</v>
      </c>
      <c r="X636" s="156" t="s">
        <v>46</v>
      </c>
      <c r="Y636" s="149" t="s">
        <v>23223</v>
      </c>
      <c r="Z636" s="151">
        <v>4</v>
      </c>
      <c r="AA636" s="152"/>
      <c r="AB636" s="154" t="s">
        <v>4860</v>
      </c>
    </row>
    <row r="637" spans="1:28" x14ac:dyDescent="0.2">
      <c r="A637" s="146" t="s">
        <v>4863</v>
      </c>
      <c r="B637" s="147" t="s">
        <v>6130</v>
      </c>
      <c r="C637" s="147" t="s">
        <v>6145</v>
      </c>
      <c r="D637" s="148" t="s">
        <v>6163</v>
      </c>
      <c r="E637" s="149" t="s">
        <v>23224</v>
      </c>
      <c r="F637" s="161">
        <v>1</v>
      </c>
      <c r="G637" s="149" t="s">
        <v>23225</v>
      </c>
      <c r="H637" s="151">
        <v>4</v>
      </c>
      <c r="I637" s="156" t="s">
        <v>55</v>
      </c>
      <c r="J637" s="149" t="s">
        <v>23226</v>
      </c>
      <c r="K637" s="155">
        <v>1</v>
      </c>
      <c r="L637" s="152"/>
      <c r="M637" s="149" t="s">
        <v>23224</v>
      </c>
      <c r="N637" s="155">
        <v>1</v>
      </c>
      <c r="O637" s="152"/>
      <c r="P637" s="149" t="s">
        <v>23227</v>
      </c>
      <c r="Q637" s="155">
        <v>1</v>
      </c>
      <c r="R637" s="152"/>
      <c r="S637" s="149" t="s">
        <v>23228</v>
      </c>
      <c r="T637" s="155">
        <v>1</v>
      </c>
      <c r="U637" s="152"/>
      <c r="V637" s="149" t="s">
        <v>23229</v>
      </c>
      <c r="W637" s="155">
        <v>1</v>
      </c>
      <c r="X637" s="152"/>
      <c r="Y637" s="149" t="s">
        <v>47</v>
      </c>
      <c r="Z637" s="153"/>
      <c r="AA637" s="152"/>
      <c r="AB637" s="154" t="s">
        <v>4864</v>
      </c>
    </row>
    <row r="638" spans="1:28" x14ac:dyDescent="0.2">
      <c r="A638" s="146" t="s">
        <v>7217</v>
      </c>
      <c r="B638" s="147" t="s">
        <v>6130</v>
      </c>
      <c r="C638" s="147" t="s">
        <v>6175</v>
      </c>
      <c r="D638" s="148"/>
      <c r="E638" s="149" t="s">
        <v>23230</v>
      </c>
      <c r="F638" s="150">
        <v>4</v>
      </c>
      <c r="G638" s="149" t="s">
        <v>23231</v>
      </c>
      <c r="H638" s="158">
        <v>3</v>
      </c>
      <c r="I638" s="156" t="s">
        <v>40</v>
      </c>
      <c r="J638" s="149" t="s">
        <v>23232</v>
      </c>
      <c r="K638" s="151">
        <v>4</v>
      </c>
      <c r="L638" s="152"/>
      <c r="M638" s="149" t="s">
        <v>23230</v>
      </c>
      <c r="N638" s="151">
        <v>4</v>
      </c>
      <c r="O638" s="152"/>
      <c r="P638" s="149" t="s">
        <v>23233</v>
      </c>
      <c r="Q638" s="151">
        <v>4</v>
      </c>
      <c r="R638" s="152"/>
      <c r="S638" s="149" t="s">
        <v>23234</v>
      </c>
      <c r="T638" s="151">
        <v>4</v>
      </c>
      <c r="U638" s="152"/>
      <c r="V638" s="149" t="s">
        <v>23235</v>
      </c>
      <c r="W638" s="151">
        <v>4</v>
      </c>
      <c r="X638" s="152"/>
      <c r="Y638" s="149" t="s">
        <v>23236</v>
      </c>
      <c r="Z638" s="151">
        <v>4</v>
      </c>
      <c r="AA638" s="152"/>
      <c r="AB638" s="154" t="s">
        <v>4870</v>
      </c>
    </row>
    <row r="639" spans="1:28" x14ac:dyDescent="0.2">
      <c r="A639" s="146" t="s">
        <v>4871</v>
      </c>
      <c r="B639" s="147" t="s">
        <v>6130</v>
      </c>
      <c r="C639" s="147" t="s">
        <v>6221</v>
      </c>
      <c r="D639" s="148" t="s">
        <v>6163</v>
      </c>
      <c r="E639" s="149" t="s">
        <v>7218</v>
      </c>
      <c r="F639" s="161">
        <v>1</v>
      </c>
      <c r="G639" s="149" t="s">
        <v>23237</v>
      </c>
      <c r="H639" s="158">
        <v>3</v>
      </c>
      <c r="I639" s="156" t="s">
        <v>55</v>
      </c>
      <c r="J639" s="149" t="s">
        <v>22464</v>
      </c>
      <c r="K639" s="155">
        <v>1</v>
      </c>
      <c r="L639" s="152"/>
      <c r="M639" s="149" t="s">
        <v>7218</v>
      </c>
      <c r="N639" s="155">
        <v>1</v>
      </c>
      <c r="O639" s="152"/>
      <c r="P639" s="149" t="s">
        <v>7128</v>
      </c>
      <c r="Q639" s="155">
        <v>1</v>
      </c>
      <c r="R639" s="152"/>
      <c r="S639" s="149" t="s">
        <v>23238</v>
      </c>
      <c r="T639" s="155">
        <v>1</v>
      </c>
      <c r="U639" s="152"/>
      <c r="V639" s="149" t="s">
        <v>47</v>
      </c>
      <c r="W639" s="153"/>
      <c r="X639" s="152"/>
      <c r="Y639" s="149" t="s">
        <v>47</v>
      </c>
      <c r="Z639" s="153"/>
      <c r="AA639" s="152"/>
      <c r="AB639" s="154" t="s">
        <v>4873</v>
      </c>
    </row>
    <row r="640" spans="1:28" x14ac:dyDescent="0.2">
      <c r="A640" s="146" t="s">
        <v>7219</v>
      </c>
      <c r="B640" s="147" t="s">
        <v>6130</v>
      </c>
      <c r="C640" s="147" t="s">
        <v>6408</v>
      </c>
      <c r="D640" s="148" t="s">
        <v>6170</v>
      </c>
      <c r="E640" s="149" t="s">
        <v>23239</v>
      </c>
      <c r="F640" s="161">
        <v>1</v>
      </c>
      <c r="G640" s="149" t="s">
        <v>23240</v>
      </c>
      <c r="H640" s="151">
        <v>4</v>
      </c>
      <c r="I640" s="156" t="s">
        <v>44</v>
      </c>
      <c r="J640" s="149" t="s">
        <v>23241</v>
      </c>
      <c r="K640" s="155">
        <v>1</v>
      </c>
      <c r="L640" s="152"/>
      <c r="M640" s="149" t="s">
        <v>23239</v>
      </c>
      <c r="N640" s="155">
        <v>1</v>
      </c>
      <c r="O640" s="152"/>
      <c r="P640" s="149" t="s">
        <v>23242</v>
      </c>
      <c r="Q640" s="157">
        <v>2</v>
      </c>
      <c r="R640" s="156" t="s">
        <v>46</v>
      </c>
      <c r="S640" s="149" t="s">
        <v>23243</v>
      </c>
      <c r="T640" s="157">
        <v>2</v>
      </c>
      <c r="U640" s="156" t="s">
        <v>46</v>
      </c>
      <c r="V640" s="149" t="s">
        <v>23244</v>
      </c>
      <c r="W640" s="157">
        <v>2</v>
      </c>
      <c r="X640" s="156" t="s">
        <v>46</v>
      </c>
      <c r="Y640" s="149" t="s">
        <v>6959</v>
      </c>
      <c r="Z640" s="151">
        <v>4</v>
      </c>
      <c r="AA640" s="152"/>
      <c r="AB640" s="154" t="s">
        <v>4876</v>
      </c>
    </row>
    <row r="641" spans="1:28" x14ac:dyDescent="0.2">
      <c r="A641" s="146" t="s">
        <v>7220</v>
      </c>
      <c r="B641" s="147" t="s">
        <v>6130</v>
      </c>
      <c r="C641" s="147" t="s">
        <v>6206</v>
      </c>
      <c r="D641" s="148" t="s">
        <v>6160</v>
      </c>
      <c r="E641" s="149" t="s">
        <v>23245</v>
      </c>
      <c r="F641" s="159">
        <v>3</v>
      </c>
      <c r="G641" s="149" t="s">
        <v>23246</v>
      </c>
      <c r="H641" s="157">
        <v>2</v>
      </c>
      <c r="I641" s="156" t="s">
        <v>40</v>
      </c>
      <c r="J641" s="149" t="s">
        <v>23247</v>
      </c>
      <c r="K641" s="158">
        <v>3</v>
      </c>
      <c r="L641" s="156" t="s">
        <v>46</v>
      </c>
      <c r="M641" s="149" t="s">
        <v>23245</v>
      </c>
      <c r="N641" s="158">
        <v>3</v>
      </c>
      <c r="O641" s="152"/>
      <c r="P641" s="149" t="s">
        <v>23248</v>
      </c>
      <c r="Q641" s="157">
        <v>2</v>
      </c>
      <c r="R641" s="156" t="s">
        <v>40</v>
      </c>
      <c r="S641" s="149" t="s">
        <v>23249</v>
      </c>
      <c r="T641" s="151">
        <v>4</v>
      </c>
      <c r="U641" s="152"/>
      <c r="V641" s="149" t="s">
        <v>23250</v>
      </c>
      <c r="W641" s="151">
        <v>4</v>
      </c>
      <c r="X641" s="152"/>
      <c r="Y641" s="149" t="s">
        <v>7221</v>
      </c>
      <c r="Z641" s="151">
        <v>4</v>
      </c>
      <c r="AA641" s="152"/>
      <c r="AB641" s="154" t="s">
        <v>4880</v>
      </c>
    </row>
    <row r="642" spans="1:28" x14ac:dyDescent="0.2">
      <c r="A642" s="146" t="s">
        <v>7222</v>
      </c>
      <c r="B642" s="147" t="s">
        <v>6130</v>
      </c>
      <c r="C642" s="147" t="s">
        <v>6583</v>
      </c>
      <c r="D642" s="148" t="s">
        <v>6170</v>
      </c>
      <c r="E642" s="149" t="s">
        <v>7223</v>
      </c>
      <c r="F642" s="159">
        <v>3</v>
      </c>
      <c r="G642" s="149" t="s">
        <v>23251</v>
      </c>
      <c r="H642" s="157">
        <v>2</v>
      </c>
      <c r="I642" s="156" t="s">
        <v>53</v>
      </c>
      <c r="J642" s="149" t="s">
        <v>23252</v>
      </c>
      <c r="K642" s="158">
        <v>3</v>
      </c>
      <c r="L642" s="156" t="s">
        <v>40</v>
      </c>
      <c r="M642" s="149" t="s">
        <v>7223</v>
      </c>
      <c r="N642" s="158">
        <v>3</v>
      </c>
      <c r="O642" s="156" t="s">
        <v>40</v>
      </c>
      <c r="P642" s="149" t="s">
        <v>23253</v>
      </c>
      <c r="Q642" s="158">
        <v>3</v>
      </c>
      <c r="R642" s="156" t="s">
        <v>40</v>
      </c>
      <c r="S642" s="149" t="s">
        <v>23254</v>
      </c>
      <c r="T642" s="151">
        <v>4</v>
      </c>
      <c r="U642" s="152"/>
      <c r="V642" s="149" t="s">
        <v>23255</v>
      </c>
      <c r="W642" s="151">
        <v>4</v>
      </c>
      <c r="X642" s="152"/>
      <c r="Y642" s="149" t="s">
        <v>23256</v>
      </c>
      <c r="Z642" s="151">
        <v>4</v>
      </c>
      <c r="AA642" s="152"/>
      <c r="AB642" s="154" t="s">
        <v>4893</v>
      </c>
    </row>
    <row r="643" spans="1:28" x14ac:dyDescent="0.2">
      <c r="A643" s="146" t="s">
        <v>7224</v>
      </c>
      <c r="B643" s="147" t="s">
        <v>6130</v>
      </c>
      <c r="C643" s="147" t="s">
        <v>6206</v>
      </c>
      <c r="D643" s="148" t="s">
        <v>6163</v>
      </c>
      <c r="E643" s="149" t="s">
        <v>23257</v>
      </c>
      <c r="F643" s="161">
        <v>1</v>
      </c>
      <c r="G643" s="149" t="s">
        <v>23258</v>
      </c>
      <c r="H643" s="151">
        <v>4</v>
      </c>
      <c r="I643" s="156" t="s">
        <v>44</v>
      </c>
      <c r="J643" s="149" t="s">
        <v>23259</v>
      </c>
      <c r="K643" s="158">
        <v>3</v>
      </c>
      <c r="L643" s="156" t="s">
        <v>55</v>
      </c>
      <c r="M643" s="149" t="s">
        <v>23257</v>
      </c>
      <c r="N643" s="155">
        <v>1</v>
      </c>
      <c r="O643" s="152"/>
      <c r="P643" s="149" t="s">
        <v>23260</v>
      </c>
      <c r="Q643" s="157">
        <v>2</v>
      </c>
      <c r="R643" s="156" t="s">
        <v>46</v>
      </c>
      <c r="S643" s="149" t="s">
        <v>23261</v>
      </c>
      <c r="T643" s="155">
        <v>1</v>
      </c>
      <c r="U643" s="152"/>
      <c r="V643" s="149" t="s">
        <v>23262</v>
      </c>
      <c r="W643" s="155">
        <v>1</v>
      </c>
      <c r="X643" s="152"/>
      <c r="Y643" s="149" t="s">
        <v>23263</v>
      </c>
      <c r="Z643" s="155">
        <v>1</v>
      </c>
      <c r="AA643" s="152"/>
      <c r="AB643" s="154" t="s">
        <v>4899</v>
      </c>
    </row>
    <row r="644" spans="1:28" x14ac:dyDescent="0.2">
      <c r="A644" s="146" t="s">
        <v>7225</v>
      </c>
      <c r="B644" s="147" t="s">
        <v>6130</v>
      </c>
      <c r="C644" s="147" t="s">
        <v>6175</v>
      </c>
      <c r="D644" s="148"/>
      <c r="E644" s="149" t="s">
        <v>23264</v>
      </c>
      <c r="F644" s="159">
        <v>3</v>
      </c>
      <c r="G644" s="149" t="s">
        <v>23265</v>
      </c>
      <c r="H644" s="157">
        <v>2</v>
      </c>
      <c r="I644" s="156" t="s">
        <v>40</v>
      </c>
      <c r="J644" s="149" t="s">
        <v>23266</v>
      </c>
      <c r="K644" s="158">
        <v>3</v>
      </c>
      <c r="L644" s="152"/>
      <c r="M644" s="149" t="s">
        <v>23264</v>
      </c>
      <c r="N644" s="158">
        <v>3</v>
      </c>
      <c r="O644" s="152"/>
      <c r="P644" s="149" t="s">
        <v>23267</v>
      </c>
      <c r="Q644" s="158">
        <v>3</v>
      </c>
      <c r="R644" s="152"/>
      <c r="S644" s="149" t="s">
        <v>7226</v>
      </c>
      <c r="T644" s="158">
        <v>3</v>
      </c>
      <c r="U644" s="152"/>
      <c r="V644" s="149" t="s">
        <v>47</v>
      </c>
      <c r="W644" s="153"/>
      <c r="X644" s="152"/>
      <c r="Y644" s="149" t="s">
        <v>47</v>
      </c>
      <c r="Z644" s="153"/>
      <c r="AA644" s="152"/>
      <c r="AB644" s="154" t="s">
        <v>4904</v>
      </c>
    </row>
    <row r="645" spans="1:28" x14ac:dyDescent="0.2">
      <c r="A645" s="146" t="s">
        <v>4907</v>
      </c>
      <c r="B645" s="147" t="s">
        <v>6130</v>
      </c>
      <c r="C645" s="147" t="s">
        <v>7051</v>
      </c>
      <c r="D645" s="148" t="s">
        <v>6136</v>
      </c>
      <c r="E645" s="149" t="s">
        <v>12092</v>
      </c>
      <c r="F645" s="160">
        <v>2</v>
      </c>
      <c r="G645" s="149" t="s">
        <v>7227</v>
      </c>
      <c r="H645" s="151">
        <v>4</v>
      </c>
      <c r="I645" s="156" t="s">
        <v>46</v>
      </c>
      <c r="J645" s="149" t="s">
        <v>7228</v>
      </c>
      <c r="K645" s="158">
        <v>3</v>
      </c>
      <c r="L645" s="156" t="s">
        <v>46</v>
      </c>
      <c r="M645" s="149" t="s">
        <v>12092</v>
      </c>
      <c r="N645" s="157">
        <v>2</v>
      </c>
      <c r="O645" s="156" t="s">
        <v>40</v>
      </c>
      <c r="P645" s="149" t="s">
        <v>23268</v>
      </c>
      <c r="Q645" s="158">
        <v>3</v>
      </c>
      <c r="R645" s="152"/>
      <c r="S645" s="149" t="s">
        <v>7229</v>
      </c>
      <c r="T645" s="158">
        <v>3</v>
      </c>
      <c r="U645" s="156" t="s">
        <v>46</v>
      </c>
      <c r="V645" s="149" t="s">
        <v>2707</v>
      </c>
      <c r="W645" s="158">
        <v>3</v>
      </c>
      <c r="X645" s="156" t="s">
        <v>46</v>
      </c>
      <c r="Y645" s="149" t="s">
        <v>23068</v>
      </c>
      <c r="Z645" s="157">
        <v>2</v>
      </c>
      <c r="AA645" s="152"/>
      <c r="AB645" s="154" t="s">
        <v>4910</v>
      </c>
    </row>
    <row r="646" spans="1:28" x14ac:dyDescent="0.2">
      <c r="A646" s="146" t="s">
        <v>7230</v>
      </c>
      <c r="B646" s="147" t="s">
        <v>6130</v>
      </c>
      <c r="C646" s="147" t="s">
        <v>6629</v>
      </c>
      <c r="D646" s="148"/>
      <c r="E646" s="149" t="s">
        <v>23269</v>
      </c>
      <c r="F646" s="159">
        <v>3</v>
      </c>
      <c r="G646" s="149" t="s">
        <v>7231</v>
      </c>
      <c r="H646" s="157">
        <v>2</v>
      </c>
      <c r="I646" s="156" t="s">
        <v>40</v>
      </c>
      <c r="J646" s="149" t="s">
        <v>7232</v>
      </c>
      <c r="K646" s="151">
        <v>4</v>
      </c>
      <c r="L646" s="152"/>
      <c r="M646" s="149" t="s">
        <v>23269</v>
      </c>
      <c r="N646" s="158">
        <v>3</v>
      </c>
      <c r="O646" s="152"/>
      <c r="P646" s="149" t="s">
        <v>23270</v>
      </c>
      <c r="Q646" s="157">
        <v>2</v>
      </c>
      <c r="R646" s="152"/>
      <c r="S646" s="149" t="s">
        <v>7233</v>
      </c>
      <c r="T646" s="158">
        <v>3</v>
      </c>
      <c r="U646" s="152"/>
      <c r="V646" s="149" t="s">
        <v>23271</v>
      </c>
      <c r="W646" s="151">
        <v>4</v>
      </c>
      <c r="X646" s="152"/>
      <c r="Y646" s="149" t="s">
        <v>23272</v>
      </c>
      <c r="Z646" s="151">
        <v>4</v>
      </c>
      <c r="AA646" s="152"/>
      <c r="AB646" s="154" t="s">
        <v>4919</v>
      </c>
    </row>
    <row r="647" spans="1:28" x14ac:dyDescent="0.2">
      <c r="A647" s="146" t="s">
        <v>4925</v>
      </c>
      <c r="B647" s="147" t="s">
        <v>6130</v>
      </c>
      <c r="C647" s="147" t="s">
        <v>6145</v>
      </c>
      <c r="D647" s="148" t="s">
        <v>6170</v>
      </c>
      <c r="E647" s="149" t="s">
        <v>23273</v>
      </c>
      <c r="F647" s="150">
        <v>4</v>
      </c>
      <c r="G647" s="149" t="s">
        <v>23274</v>
      </c>
      <c r="H647" s="158">
        <v>3</v>
      </c>
      <c r="I647" s="152"/>
      <c r="J647" s="149" t="s">
        <v>23275</v>
      </c>
      <c r="K647" s="151">
        <v>4</v>
      </c>
      <c r="L647" s="156" t="s">
        <v>55</v>
      </c>
      <c r="M647" s="149" t="s">
        <v>23273</v>
      </c>
      <c r="N647" s="151">
        <v>4</v>
      </c>
      <c r="O647" s="156" t="s">
        <v>55</v>
      </c>
      <c r="P647" s="149" t="s">
        <v>23276</v>
      </c>
      <c r="Q647" s="157">
        <v>2</v>
      </c>
      <c r="R647" s="156" t="s">
        <v>40</v>
      </c>
      <c r="S647" s="149" t="s">
        <v>23277</v>
      </c>
      <c r="T647" s="151">
        <v>4</v>
      </c>
      <c r="U647" s="152"/>
      <c r="V647" s="149" t="s">
        <v>12159</v>
      </c>
      <c r="W647" s="151">
        <v>4</v>
      </c>
      <c r="X647" s="152"/>
      <c r="Y647" s="149" t="s">
        <v>47</v>
      </c>
      <c r="Z647" s="153"/>
      <c r="AA647" s="152"/>
      <c r="AB647" s="154" t="s">
        <v>4926</v>
      </c>
    </row>
    <row r="648" spans="1:28" x14ac:dyDescent="0.2">
      <c r="A648" s="146" t="s">
        <v>4927</v>
      </c>
      <c r="B648" s="147" t="s">
        <v>6130</v>
      </c>
      <c r="C648" s="147" t="s">
        <v>6145</v>
      </c>
      <c r="D648" s="148" t="s">
        <v>6170</v>
      </c>
      <c r="E648" s="149" t="s">
        <v>23278</v>
      </c>
      <c r="F648" s="159">
        <v>3</v>
      </c>
      <c r="G648" s="149" t="s">
        <v>23279</v>
      </c>
      <c r="H648" s="151">
        <v>4</v>
      </c>
      <c r="I648" s="156" t="s">
        <v>46</v>
      </c>
      <c r="J648" s="149" t="s">
        <v>23280</v>
      </c>
      <c r="K648" s="151">
        <v>4</v>
      </c>
      <c r="L648" s="156" t="s">
        <v>44</v>
      </c>
      <c r="M648" s="149" t="s">
        <v>23278</v>
      </c>
      <c r="N648" s="158">
        <v>3</v>
      </c>
      <c r="O648" s="156" t="s">
        <v>55</v>
      </c>
      <c r="P648" s="149" t="s">
        <v>23281</v>
      </c>
      <c r="Q648" s="155">
        <v>1</v>
      </c>
      <c r="R648" s="152"/>
      <c r="S648" s="149" t="s">
        <v>23282</v>
      </c>
      <c r="T648" s="151">
        <v>4</v>
      </c>
      <c r="U648" s="152"/>
      <c r="V648" s="149" t="s">
        <v>23283</v>
      </c>
      <c r="W648" s="158">
        <v>3</v>
      </c>
      <c r="X648" s="152"/>
      <c r="Y648" s="149" t="s">
        <v>47</v>
      </c>
      <c r="Z648" s="153"/>
      <c r="AA648" s="152"/>
      <c r="AB648" s="154" t="s">
        <v>4928</v>
      </c>
    </row>
    <row r="649" spans="1:28" x14ac:dyDescent="0.2">
      <c r="A649" s="146" t="s">
        <v>4929</v>
      </c>
      <c r="B649" s="147" t="s">
        <v>6130</v>
      </c>
      <c r="C649" s="147" t="s">
        <v>6145</v>
      </c>
      <c r="D649" s="148" t="s">
        <v>6170</v>
      </c>
      <c r="E649" s="149" t="s">
        <v>23284</v>
      </c>
      <c r="F649" s="160">
        <v>2</v>
      </c>
      <c r="G649" s="149" t="s">
        <v>23285</v>
      </c>
      <c r="H649" s="151">
        <v>4</v>
      </c>
      <c r="I649" s="156" t="s">
        <v>55</v>
      </c>
      <c r="J649" s="149" t="s">
        <v>23286</v>
      </c>
      <c r="K649" s="151">
        <v>4</v>
      </c>
      <c r="L649" s="156" t="s">
        <v>44</v>
      </c>
      <c r="M649" s="149" t="s">
        <v>23284</v>
      </c>
      <c r="N649" s="157">
        <v>2</v>
      </c>
      <c r="O649" s="156" t="s">
        <v>46</v>
      </c>
      <c r="P649" s="149" t="s">
        <v>23287</v>
      </c>
      <c r="Q649" s="155">
        <v>1</v>
      </c>
      <c r="R649" s="156" t="s">
        <v>40</v>
      </c>
      <c r="S649" s="149" t="s">
        <v>23288</v>
      </c>
      <c r="T649" s="151">
        <v>4</v>
      </c>
      <c r="U649" s="152"/>
      <c r="V649" s="149" t="s">
        <v>12788</v>
      </c>
      <c r="W649" s="158">
        <v>3</v>
      </c>
      <c r="X649" s="152"/>
      <c r="Y649" s="149" t="s">
        <v>47</v>
      </c>
      <c r="Z649" s="153"/>
      <c r="AA649" s="152"/>
      <c r="AB649" s="154" t="s">
        <v>4930</v>
      </c>
    </row>
    <row r="650" spans="1:28" x14ac:dyDescent="0.2">
      <c r="A650" s="146" t="s">
        <v>4931</v>
      </c>
      <c r="B650" s="147" t="s">
        <v>6130</v>
      </c>
      <c r="C650" s="147" t="s">
        <v>6145</v>
      </c>
      <c r="D650" s="148" t="s">
        <v>6170</v>
      </c>
      <c r="E650" s="149" t="s">
        <v>23289</v>
      </c>
      <c r="F650" s="159">
        <v>3</v>
      </c>
      <c r="G650" s="149" t="s">
        <v>23290</v>
      </c>
      <c r="H650" s="151">
        <v>4</v>
      </c>
      <c r="I650" s="156" t="s">
        <v>55</v>
      </c>
      <c r="J650" s="149" t="s">
        <v>23291</v>
      </c>
      <c r="K650" s="151">
        <v>4</v>
      </c>
      <c r="L650" s="156" t="s">
        <v>55</v>
      </c>
      <c r="M650" s="149" t="s">
        <v>23289</v>
      </c>
      <c r="N650" s="158">
        <v>3</v>
      </c>
      <c r="O650" s="156" t="s">
        <v>46</v>
      </c>
      <c r="P650" s="149" t="s">
        <v>23292</v>
      </c>
      <c r="Q650" s="157">
        <v>2</v>
      </c>
      <c r="R650" s="156" t="s">
        <v>40</v>
      </c>
      <c r="S650" s="149" t="s">
        <v>23293</v>
      </c>
      <c r="T650" s="151">
        <v>4</v>
      </c>
      <c r="U650" s="152"/>
      <c r="V650" s="149" t="s">
        <v>12823</v>
      </c>
      <c r="W650" s="158">
        <v>3</v>
      </c>
      <c r="X650" s="152"/>
      <c r="Y650" s="149" t="s">
        <v>47</v>
      </c>
      <c r="Z650" s="153"/>
      <c r="AA650" s="152"/>
      <c r="AB650" s="154" t="s">
        <v>4932</v>
      </c>
    </row>
    <row r="651" spans="1:28" x14ac:dyDescent="0.2">
      <c r="A651" s="146" t="s">
        <v>7234</v>
      </c>
      <c r="B651" s="147" t="s">
        <v>6130</v>
      </c>
      <c r="C651" s="147" t="s">
        <v>6157</v>
      </c>
      <c r="D651" s="148"/>
      <c r="E651" s="149" t="s">
        <v>23294</v>
      </c>
      <c r="F651" s="160">
        <v>2</v>
      </c>
      <c r="G651" s="149" t="s">
        <v>23295</v>
      </c>
      <c r="H651" s="157">
        <v>2</v>
      </c>
      <c r="I651" s="152"/>
      <c r="J651" s="149" t="s">
        <v>23296</v>
      </c>
      <c r="K651" s="157">
        <v>2</v>
      </c>
      <c r="L651" s="156" t="s">
        <v>40</v>
      </c>
      <c r="M651" s="149" t="s">
        <v>23294</v>
      </c>
      <c r="N651" s="157">
        <v>2</v>
      </c>
      <c r="O651" s="152"/>
      <c r="P651" s="149" t="s">
        <v>23297</v>
      </c>
      <c r="Q651" s="157">
        <v>2</v>
      </c>
      <c r="R651" s="156" t="s">
        <v>46</v>
      </c>
      <c r="S651" s="149" t="s">
        <v>23298</v>
      </c>
      <c r="T651" s="155">
        <v>1</v>
      </c>
      <c r="U651" s="152"/>
      <c r="V651" s="149" t="s">
        <v>23299</v>
      </c>
      <c r="W651" s="157">
        <v>2</v>
      </c>
      <c r="X651" s="152"/>
      <c r="Y651" s="149" t="s">
        <v>23300</v>
      </c>
      <c r="Z651" s="157">
        <v>2</v>
      </c>
      <c r="AA651" s="152"/>
      <c r="AB651" s="154" t="s">
        <v>4723</v>
      </c>
    </row>
    <row r="652" spans="1:28" x14ac:dyDescent="0.2">
      <c r="A652" s="146" t="s">
        <v>4933</v>
      </c>
      <c r="B652" s="147" t="s">
        <v>6130</v>
      </c>
      <c r="C652" s="147" t="s">
        <v>6277</v>
      </c>
      <c r="D652" s="148" t="s">
        <v>6136</v>
      </c>
      <c r="E652" s="149" t="s">
        <v>23301</v>
      </c>
      <c r="F652" s="159">
        <v>3</v>
      </c>
      <c r="G652" s="149" t="s">
        <v>23302</v>
      </c>
      <c r="H652" s="158">
        <v>3</v>
      </c>
      <c r="I652" s="152"/>
      <c r="J652" s="149" t="s">
        <v>23303</v>
      </c>
      <c r="K652" s="158">
        <v>3</v>
      </c>
      <c r="L652" s="152"/>
      <c r="M652" s="149" t="s">
        <v>23301</v>
      </c>
      <c r="N652" s="158">
        <v>3</v>
      </c>
      <c r="O652" s="152"/>
      <c r="P652" s="149" t="s">
        <v>23304</v>
      </c>
      <c r="Q652" s="151">
        <v>4</v>
      </c>
      <c r="R652" s="152"/>
      <c r="S652" s="149" t="s">
        <v>23305</v>
      </c>
      <c r="T652" s="158">
        <v>3</v>
      </c>
      <c r="U652" s="152"/>
      <c r="V652" s="149" t="s">
        <v>23306</v>
      </c>
      <c r="W652" s="158">
        <v>3</v>
      </c>
      <c r="X652" s="152"/>
      <c r="Y652" s="149" t="s">
        <v>23307</v>
      </c>
      <c r="Z652" s="157">
        <v>2</v>
      </c>
      <c r="AA652" s="152"/>
      <c r="AB652" s="154" t="s">
        <v>4936</v>
      </c>
    </row>
    <row r="653" spans="1:28" x14ac:dyDescent="0.2">
      <c r="A653" s="146" t="s">
        <v>23308</v>
      </c>
      <c r="B653" s="147" t="s">
        <v>6130</v>
      </c>
      <c r="C653" s="147" t="s">
        <v>6172</v>
      </c>
      <c r="D653" s="148"/>
      <c r="E653" s="149" t="s">
        <v>23309</v>
      </c>
      <c r="F653" s="159">
        <v>3</v>
      </c>
      <c r="G653" s="149" t="s">
        <v>23310</v>
      </c>
      <c r="H653" s="157">
        <v>2</v>
      </c>
      <c r="I653" s="152"/>
      <c r="J653" s="149" t="s">
        <v>23311</v>
      </c>
      <c r="K653" s="157">
        <v>2</v>
      </c>
      <c r="L653" s="156" t="s">
        <v>40</v>
      </c>
      <c r="M653" s="149" t="s">
        <v>23309</v>
      </c>
      <c r="N653" s="158">
        <v>3</v>
      </c>
      <c r="O653" s="152"/>
      <c r="P653" s="149" t="s">
        <v>1796</v>
      </c>
      <c r="Q653" s="151">
        <v>4</v>
      </c>
      <c r="R653" s="152"/>
      <c r="S653" s="149" t="s">
        <v>23312</v>
      </c>
      <c r="T653" s="151">
        <v>4</v>
      </c>
      <c r="U653" s="152"/>
      <c r="V653" s="149" t="s">
        <v>7235</v>
      </c>
      <c r="W653" s="151">
        <v>4</v>
      </c>
      <c r="X653" s="152"/>
      <c r="Y653" s="149" t="s">
        <v>47</v>
      </c>
      <c r="Z653" s="153"/>
      <c r="AA653" s="152"/>
      <c r="AB653" s="154" t="s">
        <v>4950</v>
      </c>
    </row>
    <row r="654" spans="1:28" x14ac:dyDescent="0.2">
      <c r="A654" s="146" t="s">
        <v>7236</v>
      </c>
      <c r="B654" s="147" t="s">
        <v>6130</v>
      </c>
      <c r="C654" s="147" t="s">
        <v>7237</v>
      </c>
      <c r="D654" s="148"/>
      <c r="E654" s="149" t="s">
        <v>7238</v>
      </c>
      <c r="F654" s="161">
        <v>1</v>
      </c>
      <c r="G654" s="149" t="s">
        <v>7239</v>
      </c>
      <c r="H654" s="155">
        <v>1</v>
      </c>
      <c r="I654" s="152"/>
      <c r="J654" s="149" t="s">
        <v>7240</v>
      </c>
      <c r="K654" s="155">
        <v>1</v>
      </c>
      <c r="L654" s="152"/>
      <c r="M654" s="149" t="s">
        <v>7238</v>
      </c>
      <c r="N654" s="155">
        <v>1</v>
      </c>
      <c r="O654" s="152"/>
      <c r="P654" s="149" t="s">
        <v>23313</v>
      </c>
      <c r="Q654" s="155">
        <v>1</v>
      </c>
      <c r="R654" s="152"/>
      <c r="S654" s="149" t="s">
        <v>22869</v>
      </c>
      <c r="T654" s="151">
        <v>4</v>
      </c>
      <c r="U654" s="152"/>
      <c r="V654" s="149" t="s">
        <v>740</v>
      </c>
      <c r="W654" s="157">
        <v>2</v>
      </c>
      <c r="X654" s="156" t="s">
        <v>46</v>
      </c>
      <c r="Y654" s="149" t="s">
        <v>47</v>
      </c>
      <c r="Z654" s="153"/>
      <c r="AA654" s="152"/>
      <c r="AB654" s="154" t="s">
        <v>4958</v>
      </c>
    </row>
    <row r="655" spans="1:28" x14ac:dyDescent="0.2">
      <c r="A655" s="146" t="s">
        <v>7241</v>
      </c>
      <c r="B655" s="147" t="s">
        <v>6130</v>
      </c>
      <c r="C655" s="147" t="s">
        <v>6159</v>
      </c>
      <c r="D655" s="148"/>
      <c r="E655" s="149" t="s">
        <v>23314</v>
      </c>
      <c r="F655" s="161">
        <v>1</v>
      </c>
      <c r="G655" s="149" t="s">
        <v>23315</v>
      </c>
      <c r="H655" s="155">
        <v>1</v>
      </c>
      <c r="I655" s="152"/>
      <c r="J655" s="149" t="s">
        <v>23316</v>
      </c>
      <c r="K655" s="155">
        <v>1</v>
      </c>
      <c r="L655" s="152"/>
      <c r="M655" s="149" t="s">
        <v>23314</v>
      </c>
      <c r="N655" s="155">
        <v>1</v>
      </c>
      <c r="O655" s="152"/>
      <c r="P655" s="149" t="s">
        <v>23317</v>
      </c>
      <c r="Q655" s="155">
        <v>1</v>
      </c>
      <c r="R655" s="152"/>
      <c r="S655" s="149" t="s">
        <v>23318</v>
      </c>
      <c r="T655" s="155">
        <v>1</v>
      </c>
      <c r="U655" s="152"/>
      <c r="V655" s="149" t="s">
        <v>23319</v>
      </c>
      <c r="W655" s="151">
        <v>4</v>
      </c>
      <c r="X655" s="152"/>
      <c r="Y655" s="149" t="s">
        <v>47</v>
      </c>
      <c r="Z655" s="153"/>
      <c r="AA655" s="152"/>
      <c r="AB655" s="154" t="s">
        <v>4970</v>
      </c>
    </row>
    <row r="656" spans="1:28" x14ac:dyDescent="0.2">
      <c r="A656" s="146" t="s">
        <v>7242</v>
      </c>
      <c r="B656" s="147" t="s">
        <v>6130</v>
      </c>
      <c r="C656" s="147" t="s">
        <v>6192</v>
      </c>
      <c r="D656" s="148" t="s">
        <v>6163</v>
      </c>
      <c r="E656" s="149" t="s">
        <v>23320</v>
      </c>
      <c r="F656" s="161">
        <v>1</v>
      </c>
      <c r="G656" s="149" t="s">
        <v>23321</v>
      </c>
      <c r="H656" s="151">
        <v>4</v>
      </c>
      <c r="I656" s="156" t="s">
        <v>44</v>
      </c>
      <c r="J656" s="149" t="s">
        <v>23322</v>
      </c>
      <c r="K656" s="155">
        <v>1</v>
      </c>
      <c r="L656" s="152"/>
      <c r="M656" s="149" t="s">
        <v>23320</v>
      </c>
      <c r="N656" s="155">
        <v>1</v>
      </c>
      <c r="O656" s="152"/>
      <c r="P656" s="149" t="s">
        <v>23323</v>
      </c>
      <c r="Q656" s="155">
        <v>1</v>
      </c>
      <c r="R656" s="152"/>
      <c r="S656" s="149" t="s">
        <v>23324</v>
      </c>
      <c r="T656" s="155">
        <v>1</v>
      </c>
      <c r="U656" s="152"/>
      <c r="V656" s="149" t="s">
        <v>23325</v>
      </c>
      <c r="W656" s="155">
        <v>1</v>
      </c>
      <c r="X656" s="152"/>
      <c r="Y656" s="149" t="s">
        <v>47</v>
      </c>
      <c r="Z656" s="153"/>
      <c r="AA656" s="152"/>
      <c r="AB656" s="154" t="s">
        <v>4979</v>
      </c>
    </row>
    <row r="657" spans="1:28" x14ac:dyDescent="0.2">
      <c r="A657" s="146" t="s">
        <v>7243</v>
      </c>
      <c r="B657" s="147" t="s">
        <v>6130</v>
      </c>
      <c r="C657" s="147" t="s">
        <v>6192</v>
      </c>
      <c r="D657" s="148" t="s">
        <v>6163</v>
      </c>
      <c r="E657" s="149" t="s">
        <v>23326</v>
      </c>
      <c r="F657" s="161">
        <v>1</v>
      </c>
      <c r="G657" s="149" t="s">
        <v>23327</v>
      </c>
      <c r="H657" s="157">
        <v>2</v>
      </c>
      <c r="I657" s="156" t="s">
        <v>46</v>
      </c>
      <c r="J657" s="149" t="s">
        <v>23328</v>
      </c>
      <c r="K657" s="155">
        <v>1</v>
      </c>
      <c r="L657" s="152"/>
      <c r="M657" s="149" t="s">
        <v>23326</v>
      </c>
      <c r="N657" s="155">
        <v>1</v>
      </c>
      <c r="O657" s="152"/>
      <c r="P657" s="149" t="s">
        <v>23329</v>
      </c>
      <c r="Q657" s="155">
        <v>1</v>
      </c>
      <c r="R657" s="152"/>
      <c r="S657" s="149" t="s">
        <v>23330</v>
      </c>
      <c r="T657" s="155">
        <v>1</v>
      </c>
      <c r="U657" s="152"/>
      <c r="V657" s="149" t="s">
        <v>23331</v>
      </c>
      <c r="W657" s="155">
        <v>1</v>
      </c>
      <c r="X657" s="152"/>
      <c r="Y657" s="149" t="s">
        <v>47</v>
      </c>
      <c r="Z657" s="153"/>
      <c r="AA657" s="152"/>
      <c r="AB657" s="154" t="s">
        <v>4981</v>
      </c>
    </row>
    <row r="658" spans="1:28" x14ac:dyDescent="0.2">
      <c r="A658" s="146" t="s">
        <v>23332</v>
      </c>
      <c r="B658" s="147" t="s">
        <v>6130</v>
      </c>
      <c r="C658" s="147" t="s">
        <v>7244</v>
      </c>
      <c r="D658" s="148"/>
      <c r="E658" s="149" t="s">
        <v>23333</v>
      </c>
      <c r="F658" s="161">
        <v>1</v>
      </c>
      <c r="G658" s="149" t="s">
        <v>23334</v>
      </c>
      <c r="H658" s="155">
        <v>1</v>
      </c>
      <c r="I658" s="152"/>
      <c r="J658" s="149" t="s">
        <v>23335</v>
      </c>
      <c r="K658" s="155">
        <v>1</v>
      </c>
      <c r="L658" s="152"/>
      <c r="M658" s="149" t="s">
        <v>23333</v>
      </c>
      <c r="N658" s="155">
        <v>1</v>
      </c>
      <c r="O658" s="156" t="s">
        <v>40</v>
      </c>
      <c r="P658" s="149" t="s">
        <v>23336</v>
      </c>
      <c r="Q658" s="157">
        <v>2</v>
      </c>
      <c r="R658" s="152"/>
      <c r="S658" s="149" t="s">
        <v>23337</v>
      </c>
      <c r="T658" s="158">
        <v>3</v>
      </c>
      <c r="U658" s="152"/>
      <c r="V658" s="149" t="s">
        <v>47</v>
      </c>
      <c r="W658" s="153"/>
      <c r="X658" s="152"/>
      <c r="Y658" s="149" t="s">
        <v>47</v>
      </c>
      <c r="Z658" s="153"/>
      <c r="AA658" s="152"/>
      <c r="AB658" s="154" t="s">
        <v>7245</v>
      </c>
    </row>
    <row r="659" spans="1:28" x14ac:dyDescent="0.2">
      <c r="A659" s="146" t="s">
        <v>7246</v>
      </c>
      <c r="B659" s="147" t="s">
        <v>6314</v>
      </c>
      <c r="C659" s="147" t="s">
        <v>7247</v>
      </c>
      <c r="D659" s="148"/>
      <c r="E659" s="149" t="s">
        <v>15232</v>
      </c>
      <c r="F659" s="159">
        <v>3</v>
      </c>
      <c r="G659" s="149" t="s">
        <v>23338</v>
      </c>
      <c r="H659" s="151">
        <v>4</v>
      </c>
      <c r="I659" s="156" t="s">
        <v>55</v>
      </c>
      <c r="J659" s="149" t="s">
        <v>12225</v>
      </c>
      <c r="K659" s="158">
        <v>3</v>
      </c>
      <c r="L659" s="156" t="s">
        <v>46</v>
      </c>
      <c r="M659" s="149" t="s">
        <v>15232</v>
      </c>
      <c r="N659" s="158">
        <v>3</v>
      </c>
      <c r="O659" s="156" t="s">
        <v>46</v>
      </c>
      <c r="P659" s="149" t="s">
        <v>7248</v>
      </c>
      <c r="Q659" s="157">
        <v>2</v>
      </c>
      <c r="R659" s="152"/>
      <c r="S659" s="149" t="s">
        <v>47</v>
      </c>
      <c r="T659" s="153"/>
      <c r="U659" s="152"/>
      <c r="V659" s="149" t="s">
        <v>47</v>
      </c>
      <c r="W659" s="153"/>
      <c r="X659" s="152"/>
      <c r="Y659" s="149" t="s">
        <v>47</v>
      </c>
      <c r="Z659" s="153"/>
      <c r="AA659" s="152"/>
      <c r="AB659" s="154" t="s">
        <v>5035</v>
      </c>
    </row>
    <row r="660" spans="1:28" x14ac:dyDescent="0.2">
      <c r="A660" s="146" t="s">
        <v>7249</v>
      </c>
      <c r="B660" s="147" t="s">
        <v>6314</v>
      </c>
      <c r="C660" s="147" t="s">
        <v>7250</v>
      </c>
      <c r="D660" s="148" t="s">
        <v>6136</v>
      </c>
      <c r="E660" s="149" t="s">
        <v>7251</v>
      </c>
      <c r="F660" s="150">
        <v>4</v>
      </c>
      <c r="G660" s="149" t="s">
        <v>23339</v>
      </c>
      <c r="H660" s="151">
        <v>4</v>
      </c>
      <c r="I660" s="156" t="s">
        <v>46</v>
      </c>
      <c r="J660" s="149" t="s">
        <v>7252</v>
      </c>
      <c r="K660" s="151">
        <v>4</v>
      </c>
      <c r="L660" s="152"/>
      <c r="M660" s="149" t="s">
        <v>7251</v>
      </c>
      <c r="N660" s="151">
        <v>4</v>
      </c>
      <c r="O660" s="152"/>
      <c r="P660" s="149" t="s">
        <v>23340</v>
      </c>
      <c r="Q660" s="151">
        <v>4</v>
      </c>
      <c r="R660" s="156" t="s">
        <v>46</v>
      </c>
      <c r="S660" s="149" t="s">
        <v>4784</v>
      </c>
      <c r="T660" s="158">
        <v>3</v>
      </c>
      <c r="U660" s="152"/>
      <c r="V660" s="149" t="s">
        <v>7253</v>
      </c>
      <c r="W660" s="158">
        <v>3</v>
      </c>
      <c r="X660" s="152"/>
      <c r="Y660" s="149" t="s">
        <v>454</v>
      </c>
      <c r="Z660" s="155">
        <v>1</v>
      </c>
      <c r="AA660" s="152"/>
      <c r="AB660" s="154" t="s">
        <v>5087</v>
      </c>
    </row>
    <row r="661" spans="1:28" x14ac:dyDescent="0.2">
      <c r="A661" s="146" t="s">
        <v>5132</v>
      </c>
      <c r="B661" s="147" t="s">
        <v>6130</v>
      </c>
      <c r="C661" s="147" t="s">
        <v>6175</v>
      </c>
      <c r="D661" s="148"/>
      <c r="E661" s="149" t="s">
        <v>23341</v>
      </c>
      <c r="F661" s="160">
        <v>2</v>
      </c>
      <c r="G661" s="149" t="s">
        <v>23342</v>
      </c>
      <c r="H661" s="157">
        <v>2</v>
      </c>
      <c r="I661" s="152"/>
      <c r="J661" s="149" t="s">
        <v>23343</v>
      </c>
      <c r="K661" s="157">
        <v>2</v>
      </c>
      <c r="L661" s="152"/>
      <c r="M661" s="149" t="s">
        <v>23341</v>
      </c>
      <c r="N661" s="157">
        <v>2</v>
      </c>
      <c r="O661" s="152"/>
      <c r="P661" s="149" t="s">
        <v>23344</v>
      </c>
      <c r="Q661" s="157">
        <v>2</v>
      </c>
      <c r="R661" s="152"/>
      <c r="S661" s="149" t="s">
        <v>23345</v>
      </c>
      <c r="T661" s="157">
        <v>2</v>
      </c>
      <c r="U661" s="152"/>
      <c r="V661" s="149" t="s">
        <v>47</v>
      </c>
      <c r="W661" s="153"/>
      <c r="X661" s="152"/>
      <c r="Y661" s="149" t="s">
        <v>47</v>
      </c>
      <c r="Z661" s="153"/>
      <c r="AA661" s="152"/>
      <c r="AB661" s="154" t="s">
        <v>5133</v>
      </c>
    </row>
    <row r="662" spans="1:28" x14ac:dyDescent="0.2">
      <c r="A662" s="146" t="s">
        <v>23346</v>
      </c>
      <c r="B662" s="147" t="s">
        <v>6130</v>
      </c>
      <c r="C662" s="147" t="s">
        <v>7075</v>
      </c>
      <c r="D662" s="148"/>
      <c r="E662" s="149" t="s">
        <v>47</v>
      </c>
      <c r="F662" s="152"/>
      <c r="G662" s="149" t="s">
        <v>6224</v>
      </c>
      <c r="H662" s="155">
        <v>1</v>
      </c>
      <c r="I662" s="156" t="s">
        <v>40</v>
      </c>
      <c r="J662" s="149" t="s">
        <v>47</v>
      </c>
      <c r="K662" s="153"/>
      <c r="L662" s="152"/>
      <c r="M662" s="149" t="s">
        <v>47</v>
      </c>
      <c r="N662" s="153"/>
      <c r="O662" s="152"/>
      <c r="P662" s="149" t="s">
        <v>47</v>
      </c>
      <c r="Q662" s="153"/>
      <c r="R662" s="152"/>
      <c r="S662" s="149" t="s">
        <v>47</v>
      </c>
      <c r="T662" s="153"/>
      <c r="U662" s="152"/>
      <c r="V662" s="149" t="s">
        <v>47</v>
      </c>
      <c r="W662" s="153"/>
      <c r="X662" s="152"/>
      <c r="Y662" s="149" t="s">
        <v>47</v>
      </c>
      <c r="Z662" s="153"/>
      <c r="AA662" s="152"/>
      <c r="AB662" s="154" t="s">
        <v>18300</v>
      </c>
    </row>
    <row r="663" spans="1:28" x14ac:dyDescent="0.2">
      <c r="A663" s="146" t="s">
        <v>7254</v>
      </c>
      <c r="B663" s="147" t="s">
        <v>6130</v>
      </c>
      <c r="C663" s="147" t="s">
        <v>7075</v>
      </c>
      <c r="D663" s="148"/>
      <c r="E663" s="149" t="s">
        <v>47</v>
      </c>
      <c r="F663" s="152"/>
      <c r="G663" s="149" t="s">
        <v>6224</v>
      </c>
      <c r="H663" s="155">
        <v>1</v>
      </c>
      <c r="I663" s="156" t="s">
        <v>40</v>
      </c>
      <c r="J663" s="149" t="s">
        <v>23347</v>
      </c>
      <c r="K663" s="157">
        <v>2</v>
      </c>
      <c r="L663" s="152"/>
      <c r="M663" s="149" t="s">
        <v>47</v>
      </c>
      <c r="N663" s="153"/>
      <c r="O663" s="152"/>
      <c r="P663" s="149" t="s">
        <v>47</v>
      </c>
      <c r="Q663" s="153"/>
      <c r="R663" s="152"/>
      <c r="S663" s="149" t="s">
        <v>47</v>
      </c>
      <c r="T663" s="153"/>
      <c r="U663" s="152"/>
      <c r="V663" s="149" t="s">
        <v>47</v>
      </c>
      <c r="W663" s="153"/>
      <c r="X663" s="152"/>
      <c r="Y663" s="149" t="s">
        <v>47</v>
      </c>
      <c r="Z663" s="153"/>
      <c r="AA663" s="152"/>
      <c r="AB663" s="154" t="s">
        <v>5137</v>
      </c>
    </row>
    <row r="664" spans="1:28" x14ac:dyDescent="0.2">
      <c r="A664" s="146" t="s">
        <v>23348</v>
      </c>
      <c r="B664" s="147" t="s">
        <v>6130</v>
      </c>
      <c r="C664" s="147" t="s">
        <v>7075</v>
      </c>
      <c r="D664" s="148"/>
      <c r="E664" s="149" t="s">
        <v>47</v>
      </c>
      <c r="F664" s="152"/>
      <c r="G664" s="149" t="s">
        <v>6224</v>
      </c>
      <c r="H664" s="155">
        <v>1</v>
      </c>
      <c r="I664" s="156" t="s">
        <v>40</v>
      </c>
      <c r="J664" s="149" t="s">
        <v>47</v>
      </c>
      <c r="K664" s="153"/>
      <c r="L664" s="152"/>
      <c r="M664" s="149" t="s">
        <v>47</v>
      </c>
      <c r="N664" s="153"/>
      <c r="O664" s="152"/>
      <c r="P664" s="149" t="s">
        <v>47</v>
      </c>
      <c r="Q664" s="153"/>
      <c r="R664" s="152"/>
      <c r="S664" s="149" t="s">
        <v>47</v>
      </c>
      <c r="T664" s="153"/>
      <c r="U664" s="152"/>
      <c r="V664" s="149" t="s">
        <v>47</v>
      </c>
      <c r="W664" s="153"/>
      <c r="X664" s="152"/>
      <c r="Y664" s="149" t="s">
        <v>47</v>
      </c>
      <c r="Z664" s="153"/>
      <c r="AA664" s="152"/>
      <c r="AB664" s="154" t="s">
        <v>23349</v>
      </c>
    </row>
    <row r="665" spans="1:28" x14ac:dyDescent="0.2">
      <c r="A665" s="146" t="s">
        <v>7255</v>
      </c>
      <c r="B665" s="147" t="s">
        <v>6130</v>
      </c>
      <c r="C665" s="147" t="s">
        <v>7075</v>
      </c>
      <c r="D665" s="148"/>
      <c r="E665" s="149" t="s">
        <v>3857</v>
      </c>
      <c r="F665" s="150">
        <v>4</v>
      </c>
      <c r="G665" s="149" t="s">
        <v>6612</v>
      </c>
      <c r="H665" s="157">
        <v>2</v>
      </c>
      <c r="I665" s="156" t="s">
        <v>53</v>
      </c>
      <c r="J665" s="149" t="s">
        <v>5662</v>
      </c>
      <c r="K665" s="151">
        <v>4</v>
      </c>
      <c r="L665" s="152"/>
      <c r="M665" s="149" t="s">
        <v>3857</v>
      </c>
      <c r="N665" s="151">
        <v>4</v>
      </c>
      <c r="O665" s="152"/>
      <c r="P665" s="149" t="s">
        <v>47</v>
      </c>
      <c r="Q665" s="153"/>
      <c r="R665" s="152"/>
      <c r="S665" s="149" t="s">
        <v>47</v>
      </c>
      <c r="T665" s="153"/>
      <c r="U665" s="152"/>
      <c r="V665" s="149" t="s">
        <v>47</v>
      </c>
      <c r="W665" s="153"/>
      <c r="X665" s="152"/>
      <c r="Y665" s="149" t="s">
        <v>47</v>
      </c>
      <c r="Z665" s="153"/>
      <c r="AA665" s="152"/>
      <c r="AB665" s="154" t="s">
        <v>5135</v>
      </c>
    </row>
    <row r="666" spans="1:28" x14ac:dyDescent="0.2">
      <c r="A666" s="146" t="s">
        <v>5138</v>
      </c>
      <c r="B666" s="147" t="s">
        <v>6130</v>
      </c>
      <c r="C666" s="147" t="s">
        <v>7075</v>
      </c>
      <c r="D666" s="148"/>
      <c r="E666" s="149" t="s">
        <v>3664</v>
      </c>
      <c r="F666" s="159">
        <v>3</v>
      </c>
      <c r="G666" s="149" t="s">
        <v>6614</v>
      </c>
      <c r="H666" s="157">
        <v>2</v>
      </c>
      <c r="I666" s="156" t="s">
        <v>40</v>
      </c>
      <c r="J666" s="149" t="s">
        <v>3810</v>
      </c>
      <c r="K666" s="158">
        <v>3</v>
      </c>
      <c r="L666" s="152"/>
      <c r="M666" s="149" t="s">
        <v>3664</v>
      </c>
      <c r="N666" s="158">
        <v>3</v>
      </c>
      <c r="O666" s="152"/>
      <c r="P666" s="149" t="s">
        <v>47</v>
      </c>
      <c r="Q666" s="153"/>
      <c r="R666" s="152"/>
      <c r="S666" s="149" t="s">
        <v>47</v>
      </c>
      <c r="T666" s="153"/>
      <c r="U666" s="152"/>
      <c r="V666" s="149" t="s">
        <v>47</v>
      </c>
      <c r="W666" s="153"/>
      <c r="X666" s="152"/>
      <c r="Y666" s="149" t="s">
        <v>47</v>
      </c>
      <c r="Z666" s="153"/>
      <c r="AA666" s="152"/>
      <c r="AB666" s="154" t="s">
        <v>5139</v>
      </c>
    </row>
    <row r="667" spans="1:28" x14ac:dyDescent="0.2">
      <c r="A667" s="146" t="s">
        <v>7256</v>
      </c>
      <c r="B667" s="147" t="s">
        <v>6130</v>
      </c>
      <c r="C667" s="147" t="s">
        <v>6175</v>
      </c>
      <c r="D667" s="148"/>
      <c r="E667" s="149" t="s">
        <v>23350</v>
      </c>
      <c r="F667" s="160">
        <v>2</v>
      </c>
      <c r="G667" s="149" t="s">
        <v>23351</v>
      </c>
      <c r="H667" s="155">
        <v>1</v>
      </c>
      <c r="I667" s="156" t="s">
        <v>40</v>
      </c>
      <c r="J667" s="149" t="s">
        <v>23352</v>
      </c>
      <c r="K667" s="157">
        <v>2</v>
      </c>
      <c r="L667" s="152"/>
      <c r="M667" s="149" t="s">
        <v>23350</v>
      </c>
      <c r="N667" s="157">
        <v>2</v>
      </c>
      <c r="O667" s="152"/>
      <c r="P667" s="149" t="s">
        <v>23353</v>
      </c>
      <c r="Q667" s="157">
        <v>2</v>
      </c>
      <c r="R667" s="152"/>
      <c r="S667" s="149" t="s">
        <v>23354</v>
      </c>
      <c r="T667" s="157">
        <v>2</v>
      </c>
      <c r="U667" s="152"/>
      <c r="V667" s="149" t="s">
        <v>47</v>
      </c>
      <c r="W667" s="153"/>
      <c r="X667" s="152"/>
      <c r="Y667" s="149" t="s">
        <v>47</v>
      </c>
      <c r="Z667" s="153"/>
      <c r="AA667" s="152"/>
      <c r="AB667" s="154" t="s">
        <v>7257</v>
      </c>
    </row>
    <row r="668" spans="1:28" x14ac:dyDescent="0.2">
      <c r="A668" s="146" t="s">
        <v>7258</v>
      </c>
      <c r="B668" s="147" t="s">
        <v>6130</v>
      </c>
      <c r="C668" s="147" t="s">
        <v>6131</v>
      </c>
      <c r="D668" s="148"/>
      <c r="E668" s="149" t="s">
        <v>23355</v>
      </c>
      <c r="F668" s="159">
        <v>3</v>
      </c>
      <c r="G668" s="149" t="s">
        <v>23356</v>
      </c>
      <c r="H668" s="157">
        <v>2</v>
      </c>
      <c r="I668" s="156" t="s">
        <v>40</v>
      </c>
      <c r="J668" s="149" t="s">
        <v>23357</v>
      </c>
      <c r="K668" s="157">
        <v>2</v>
      </c>
      <c r="L668" s="156" t="s">
        <v>40</v>
      </c>
      <c r="M668" s="149" t="s">
        <v>23355</v>
      </c>
      <c r="N668" s="158">
        <v>3</v>
      </c>
      <c r="O668" s="152"/>
      <c r="P668" s="149" t="s">
        <v>23358</v>
      </c>
      <c r="Q668" s="158">
        <v>3</v>
      </c>
      <c r="R668" s="152"/>
      <c r="S668" s="149" t="s">
        <v>23359</v>
      </c>
      <c r="T668" s="158">
        <v>3</v>
      </c>
      <c r="U668" s="152"/>
      <c r="V668" s="149" t="s">
        <v>23360</v>
      </c>
      <c r="W668" s="151">
        <v>4</v>
      </c>
      <c r="X668" s="152"/>
      <c r="Y668" s="149" t="s">
        <v>23361</v>
      </c>
      <c r="Z668" s="151">
        <v>4</v>
      </c>
      <c r="AA668" s="152"/>
      <c r="AB668" s="154" t="s">
        <v>7259</v>
      </c>
    </row>
    <row r="669" spans="1:28" x14ac:dyDescent="0.2">
      <c r="A669" s="146" t="s">
        <v>7260</v>
      </c>
      <c r="B669" s="147" t="s">
        <v>6130</v>
      </c>
      <c r="C669" s="147" t="s">
        <v>6328</v>
      </c>
      <c r="D669" s="148"/>
      <c r="E669" s="149" t="s">
        <v>23362</v>
      </c>
      <c r="F669" s="161">
        <v>1</v>
      </c>
      <c r="G669" s="149" t="s">
        <v>23363</v>
      </c>
      <c r="H669" s="155">
        <v>1</v>
      </c>
      <c r="I669" s="156" t="s">
        <v>157</v>
      </c>
      <c r="J669" s="149" t="s">
        <v>23364</v>
      </c>
      <c r="K669" s="158">
        <v>3</v>
      </c>
      <c r="L669" s="152"/>
      <c r="M669" s="149" t="s">
        <v>23362</v>
      </c>
      <c r="N669" s="155">
        <v>1</v>
      </c>
      <c r="O669" s="156" t="s">
        <v>53</v>
      </c>
      <c r="P669" s="149" t="s">
        <v>12245</v>
      </c>
      <c r="Q669" s="155">
        <v>1</v>
      </c>
      <c r="R669" s="156" t="s">
        <v>40</v>
      </c>
      <c r="S669" s="149" t="s">
        <v>47</v>
      </c>
      <c r="T669" s="153"/>
      <c r="U669" s="152"/>
      <c r="V669" s="149" t="s">
        <v>47</v>
      </c>
      <c r="W669" s="153"/>
      <c r="X669" s="152"/>
      <c r="Y669" s="149" t="s">
        <v>47</v>
      </c>
      <c r="Z669" s="153"/>
      <c r="AA669" s="152"/>
      <c r="AB669" s="154" t="s">
        <v>5143</v>
      </c>
    </row>
    <row r="670" spans="1:28" x14ac:dyDescent="0.2">
      <c r="A670" s="146" t="s">
        <v>7261</v>
      </c>
      <c r="B670" s="147" t="s">
        <v>6130</v>
      </c>
      <c r="C670" s="147" t="s">
        <v>6169</v>
      </c>
      <c r="D670" s="148"/>
      <c r="E670" s="149" t="s">
        <v>23365</v>
      </c>
      <c r="F670" s="160">
        <v>2</v>
      </c>
      <c r="G670" s="149" t="s">
        <v>23366</v>
      </c>
      <c r="H670" s="157">
        <v>2</v>
      </c>
      <c r="I670" s="156" t="s">
        <v>40</v>
      </c>
      <c r="J670" s="149" t="s">
        <v>23367</v>
      </c>
      <c r="K670" s="158">
        <v>3</v>
      </c>
      <c r="L670" s="156" t="s">
        <v>40</v>
      </c>
      <c r="M670" s="149" t="s">
        <v>23365</v>
      </c>
      <c r="N670" s="157">
        <v>2</v>
      </c>
      <c r="O670" s="156" t="s">
        <v>40</v>
      </c>
      <c r="P670" s="149" t="s">
        <v>23368</v>
      </c>
      <c r="Q670" s="158">
        <v>3</v>
      </c>
      <c r="R670" s="152"/>
      <c r="S670" s="149" t="s">
        <v>23369</v>
      </c>
      <c r="T670" s="158">
        <v>3</v>
      </c>
      <c r="U670" s="152"/>
      <c r="V670" s="149" t="s">
        <v>23370</v>
      </c>
      <c r="W670" s="151">
        <v>4</v>
      </c>
      <c r="X670" s="152"/>
      <c r="Y670" s="149" t="s">
        <v>47</v>
      </c>
      <c r="Z670" s="153"/>
      <c r="AA670" s="152"/>
      <c r="AB670" s="154" t="s">
        <v>5145</v>
      </c>
    </row>
    <row r="671" spans="1:28" x14ac:dyDescent="0.2">
      <c r="A671" s="146" t="s">
        <v>7262</v>
      </c>
      <c r="B671" s="147" t="s">
        <v>6130</v>
      </c>
      <c r="C671" s="147" t="s">
        <v>6872</v>
      </c>
      <c r="D671" s="148" t="s">
        <v>6160</v>
      </c>
      <c r="E671" s="149" t="s">
        <v>23371</v>
      </c>
      <c r="F671" s="160">
        <v>2</v>
      </c>
      <c r="G671" s="149" t="s">
        <v>23372</v>
      </c>
      <c r="H671" s="155">
        <v>1</v>
      </c>
      <c r="I671" s="156" t="s">
        <v>40</v>
      </c>
      <c r="J671" s="149" t="s">
        <v>23373</v>
      </c>
      <c r="K671" s="155">
        <v>1</v>
      </c>
      <c r="L671" s="152"/>
      <c r="M671" s="149" t="s">
        <v>23371</v>
      </c>
      <c r="N671" s="157">
        <v>2</v>
      </c>
      <c r="O671" s="152"/>
      <c r="P671" s="149" t="s">
        <v>7263</v>
      </c>
      <c r="Q671" s="157">
        <v>2</v>
      </c>
      <c r="R671" s="156" t="s">
        <v>40</v>
      </c>
      <c r="S671" s="149" t="s">
        <v>23374</v>
      </c>
      <c r="T671" s="151">
        <v>4</v>
      </c>
      <c r="U671" s="152"/>
      <c r="V671" s="149" t="s">
        <v>21839</v>
      </c>
      <c r="W671" s="158">
        <v>3</v>
      </c>
      <c r="X671" s="152"/>
      <c r="Y671" s="149" t="s">
        <v>12262</v>
      </c>
      <c r="Z671" s="158">
        <v>3</v>
      </c>
      <c r="AA671" s="152"/>
      <c r="AB671" s="154" t="s">
        <v>5153</v>
      </c>
    </row>
    <row r="672" spans="1:28" x14ac:dyDescent="0.2">
      <c r="A672" s="146" t="s">
        <v>23375</v>
      </c>
      <c r="B672" s="147" t="s">
        <v>6130</v>
      </c>
      <c r="C672" s="147" t="s">
        <v>6131</v>
      </c>
      <c r="D672" s="148"/>
      <c r="E672" s="149" t="s">
        <v>23376</v>
      </c>
      <c r="F672" s="160">
        <v>2</v>
      </c>
      <c r="G672" s="149" t="s">
        <v>23377</v>
      </c>
      <c r="H672" s="158">
        <v>3</v>
      </c>
      <c r="I672" s="152"/>
      <c r="J672" s="149" t="s">
        <v>23378</v>
      </c>
      <c r="K672" s="157">
        <v>2</v>
      </c>
      <c r="L672" s="156" t="s">
        <v>46</v>
      </c>
      <c r="M672" s="149" t="s">
        <v>23376</v>
      </c>
      <c r="N672" s="157">
        <v>2</v>
      </c>
      <c r="O672" s="156" t="s">
        <v>40</v>
      </c>
      <c r="P672" s="149" t="s">
        <v>47</v>
      </c>
      <c r="Q672" s="153"/>
      <c r="R672" s="152"/>
      <c r="S672" s="149" t="s">
        <v>47</v>
      </c>
      <c r="T672" s="153"/>
      <c r="U672" s="152"/>
      <c r="V672" s="149" t="s">
        <v>47</v>
      </c>
      <c r="W672" s="153"/>
      <c r="X672" s="152"/>
      <c r="Y672" s="149" t="s">
        <v>47</v>
      </c>
      <c r="Z672" s="153"/>
      <c r="AA672" s="152"/>
      <c r="AB672" s="154" t="s">
        <v>5159</v>
      </c>
    </row>
    <row r="673" spans="1:28" x14ac:dyDescent="0.2">
      <c r="A673" s="146" t="s">
        <v>23379</v>
      </c>
      <c r="B673" s="147" t="s">
        <v>6130</v>
      </c>
      <c r="C673" s="147" t="s">
        <v>6229</v>
      </c>
      <c r="D673" s="148" t="s">
        <v>6132</v>
      </c>
      <c r="E673" s="149" t="s">
        <v>23380</v>
      </c>
      <c r="F673" s="160">
        <v>2</v>
      </c>
      <c r="G673" s="149" t="s">
        <v>23381</v>
      </c>
      <c r="H673" s="157">
        <v>2</v>
      </c>
      <c r="I673" s="156" t="s">
        <v>46</v>
      </c>
      <c r="J673" s="149" t="s">
        <v>23382</v>
      </c>
      <c r="K673" s="157">
        <v>2</v>
      </c>
      <c r="L673" s="152"/>
      <c r="M673" s="149" t="s">
        <v>23380</v>
      </c>
      <c r="N673" s="157">
        <v>2</v>
      </c>
      <c r="O673" s="152"/>
      <c r="P673" s="149" t="s">
        <v>23383</v>
      </c>
      <c r="Q673" s="157">
        <v>2</v>
      </c>
      <c r="R673" s="152"/>
      <c r="S673" s="149" t="s">
        <v>23384</v>
      </c>
      <c r="T673" s="157">
        <v>2</v>
      </c>
      <c r="U673" s="156" t="s">
        <v>46</v>
      </c>
      <c r="V673" s="149" t="s">
        <v>23385</v>
      </c>
      <c r="W673" s="157">
        <v>2</v>
      </c>
      <c r="X673" s="152"/>
      <c r="Y673" s="149" t="s">
        <v>23386</v>
      </c>
      <c r="Z673" s="158">
        <v>3</v>
      </c>
      <c r="AA673" s="152"/>
      <c r="AB673" s="154" t="s">
        <v>5161</v>
      </c>
    </row>
    <row r="674" spans="1:28" x14ac:dyDescent="0.2">
      <c r="A674" s="146" t="s">
        <v>23387</v>
      </c>
      <c r="B674" s="147" t="s">
        <v>6130</v>
      </c>
      <c r="C674" s="147" t="s">
        <v>6157</v>
      </c>
      <c r="D674" s="148" t="s">
        <v>6160</v>
      </c>
      <c r="E674" s="149" t="s">
        <v>23388</v>
      </c>
      <c r="F674" s="161">
        <v>1</v>
      </c>
      <c r="G674" s="149" t="s">
        <v>23389</v>
      </c>
      <c r="H674" s="151">
        <v>4</v>
      </c>
      <c r="I674" s="156" t="s">
        <v>44</v>
      </c>
      <c r="J674" s="149" t="s">
        <v>23390</v>
      </c>
      <c r="K674" s="155">
        <v>1</v>
      </c>
      <c r="L674" s="152"/>
      <c r="M674" s="149" t="s">
        <v>23388</v>
      </c>
      <c r="N674" s="155">
        <v>1</v>
      </c>
      <c r="O674" s="152"/>
      <c r="P674" s="149" t="s">
        <v>23391</v>
      </c>
      <c r="Q674" s="155">
        <v>1</v>
      </c>
      <c r="R674" s="152"/>
      <c r="S674" s="149" t="s">
        <v>23392</v>
      </c>
      <c r="T674" s="158">
        <v>3</v>
      </c>
      <c r="U674" s="152"/>
      <c r="V674" s="149" t="s">
        <v>23393</v>
      </c>
      <c r="W674" s="157">
        <v>2</v>
      </c>
      <c r="X674" s="152"/>
      <c r="Y674" s="149" t="s">
        <v>23394</v>
      </c>
      <c r="Z674" s="151">
        <v>4</v>
      </c>
      <c r="AA674" s="152"/>
      <c r="AB674" s="154" t="s">
        <v>5164</v>
      </c>
    </row>
    <row r="675" spans="1:28" x14ac:dyDescent="0.2">
      <c r="A675" s="146" t="s">
        <v>23395</v>
      </c>
      <c r="B675" s="147" t="s">
        <v>6130</v>
      </c>
      <c r="C675" s="147" t="s">
        <v>6247</v>
      </c>
      <c r="D675" s="148" t="s">
        <v>6163</v>
      </c>
      <c r="E675" s="149" t="s">
        <v>23396</v>
      </c>
      <c r="F675" s="161">
        <v>1</v>
      </c>
      <c r="G675" s="149" t="s">
        <v>23397</v>
      </c>
      <c r="H675" s="151">
        <v>4</v>
      </c>
      <c r="I675" s="156" t="s">
        <v>44</v>
      </c>
      <c r="J675" s="149" t="s">
        <v>23398</v>
      </c>
      <c r="K675" s="157">
        <v>2</v>
      </c>
      <c r="L675" s="156" t="s">
        <v>46</v>
      </c>
      <c r="M675" s="149" t="s">
        <v>23396</v>
      </c>
      <c r="N675" s="155">
        <v>1</v>
      </c>
      <c r="O675" s="152"/>
      <c r="P675" s="149" t="s">
        <v>23399</v>
      </c>
      <c r="Q675" s="155">
        <v>1</v>
      </c>
      <c r="R675" s="152"/>
      <c r="S675" s="149" t="s">
        <v>23400</v>
      </c>
      <c r="T675" s="155">
        <v>1</v>
      </c>
      <c r="U675" s="152"/>
      <c r="V675" s="149" t="s">
        <v>23401</v>
      </c>
      <c r="W675" s="155">
        <v>1</v>
      </c>
      <c r="X675" s="152"/>
      <c r="Y675" s="149" t="s">
        <v>23402</v>
      </c>
      <c r="Z675" s="158">
        <v>3</v>
      </c>
      <c r="AA675" s="152"/>
      <c r="AB675" s="154" t="s">
        <v>5166</v>
      </c>
    </row>
    <row r="676" spans="1:28" x14ac:dyDescent="0.2">
      <c r="A676" s="146" t="s">
        <v>7264</v>
      </c>
      <c r="B676" s="147" t="s">
        <v>6130</v>
      </c>
      <c r="C676" s="147" t="s">
        <v>7265</v>
      </c>
      <c r="D676" s="148" t="s">
        <v>6160</v>
      </c>
      <c r="E676" s="149" t="s">
        <v>23403</v>
      </c>
      <c r="F676" s="161">
        <v>1</v>
      </c>
      <c r="G676" s="149" t="s">
        <v>1945</v>
      </c>
      <c r="H676" s="158">
        <v>3</v>
      </c>
      <c r="I676" s="156" t="s">
        <v>46</v>
      </c>
      <c r="J676" s="149" t="s">
        <v>23404</v>
      </c>
      <c r="K676" s="157">
        <v>2</v>
      </c>
      <c r="L676" s="152"/>
      <c r="M676" s="149" t="s">
        <v>23403</v>
      </c>
      <c r="N676" s="155">
        <v>1</v>
      </c>
      <c r="O676" s="152"/>
      <c r="P676" s="149" t="s">
        <v>11704</v>
      </c>
      <c r="Q676" s="157">
        <v>2</v>
      </c>
      <c r="R676" s="152"/>
      <c r="S676" s="149" t="s">
        <v>23405</v>
      </c>
      <c r="T676" s="158">
        <v>3</v>
      </c>
      <c r="U676" s="152"/>
      <c r="V676" s="149" t="s">
        <v>7266</v>
      </c>
      <c r="W676" s="157">
        <v>2</v>
      </c>
      <c r="X676" s="152"/>
      <c r="Y676" s="149" t="s">
        <v>265</v>
      </c>
      <c r="Z676" s="157">
        <v>2</v>
      </c>
      <c r="AA676" s="152"/>
      <c r="AB676" s="154" t="s">
        <v>5172</v>
      </c>
    </row>
    <row r="677" spans="1:28" x14ac:dyDescent="0.2">
      <c r="A677" s="146" t="s">
        <v>7267</v>
      </c>
      <c r="B677" s="147" t="s">
        <v>7268</v>
      </c>
      <c r="C677" s="147" t="s">
        <v>6362</v>
      </c>
      <c r="D677" s="148"/>
      <c r="E677" s="149" t="s">
        <v>7269</v>
      </c>
      <c r="F677" s="160">
        <v>2</v>
      </c>
      <c r="G677" s="149" t="s">
        <v>23406</v>
      </c>
      <c r="H677" s="157">
        <v>2</v>
      </c>
      <c r="I677" s="152"/>
      <c r="J677" s="149" t="s">
        <v>7269</v>
      </c>
      <c r="K677" s="157">
        <v>2</v>
      </c>
      <c r="L677" s="152"/>
      <c r="M677" s="149" t="s">
        <v>7269</v>
      </c>
      <c r="N677" s="157">
        <v>2</v>
      </c>
      <c r="O677" s="152"/>
      <c r="P677" s="149" t="s">
        <v>23407</v>
      </c>
      <c r="Q677" s="158">
        <v>3</v>
      </c>
      <c r="R677" s="152"/>
      <c r="S677" s="149" t="s">
        <v>47</v>
      </c>
      <c r="T677" s="153"/>
      <c r="U677" s="152"/>
      <c r="V677" s="149" t="s">
        <v>47</v>
      </c>
      <c r="W677" s="153"/>
      <c r="X677" s="152"/>
      <c r="Y677" s="149" t="s">
        <v>47</v>
      </c>
      <c r="Z677" s="153"/>
      <c r="AA677" s="152"/>
      <c r="AB677" s="154" t="s">
        <v>7270</v>
      </c>
    </row>
    <row r="678" spans="1:28" x14ac:dyDescent="0.2">
      <c r="A678" s="146" t="s">
        <v>7271</v>
      </c>
      <c r="B678" s="147" t="s">
        <v>7268</v>
      </c>
      <c r="C678" s="147" t="s">
        <v>7272</v>
      </c>
      <c r="D678" s="148"/>
      <c r="E678" s="149" t="s">
        <v>7273</v>
      </c>
      <c r="F678" s="150">
        <v>4</v>
      </c>
      <c r="G678" s="149" t="s">
        <v>405</v>
      </c>
      <c r="H678" s="158">
        <v>3</v>
      </c>
      <c r="I678" s="156" t="s">
        <v>46</v>
      </c>
      <c r="J678" s="149" t="s">
        <v>23408</v>
      </c>
      <c r="K678" s="155">
        <v>1</v>
      </c>
      <c r="L678" s="156" t="s">
        <v>40</v>
      </c>
      <c r="M678" s="149" t="s">
        <v>7273</v>
      </c>
      <c r="N678" s="151">
        <v>4</v>
      </c>
      <c r="O678" s="152"/>
      <c r="P678" s="149" t="s">
        <v>6188</v>
      </c>
      <c r="Q678" s="158">
        <v>3</v>
      </c>
      <c r="R678" s="156" t="s">
        <v>40</v>
      </c>
      <c r="S678" s="149" t="s">
        <v>23409</v>
      </c>
      <c r="T678" s="158">
        <v>3</v>
      </c>
      <c r="U678" s="152"/>
      <c r="V678" s="149" t="s">
        <v>7274</v>
      </c>
      <c r="W678" s="158">
        <v>3</v>
      </c>
      <c r="X678" s="152"/>
      <c r="Y678" s="149" t="s">
        <v>734</v>
      </c>
      <c r="Z678" s="155">
        <v>1</v>
      </c>
      <c r="AA678" s="152"/>
      <c r="AB678" s="154" t="s">
        <v>7275</v>
      </c>
    </row>
    <row r="679" spans="1:28" x14ac:dyDescent="0.2">
      <c r="A679" s="146" t="s">
        <v>7276</v>
      </c>
      <c r="B679" s="147" t="s">
        <v>7268</v>
      </c>
      <c r="C679" s="147" t="s">
        <v>6277</v>
      </c>
      <c r="D679" s="148"/>
      <c r="E679" s="149" t="s">
        <v>23410</v>
      </c>
      <c r="F679" s="161">
        <v>1</v>
      </c>
      <c r="G679" s="149" t="s">
        <v>23411</v>
      </c>
      <c r="H679" s="155">
        <v>1</v>
      </c>
      <c r="I679" s="152"/>
      <c r="J679" s="149" t="s">
        <v>23412</v>
      </c>
      <c r="K679" s="155">
        <v>1</v>
      </c>
      <c r="L679" s="152"/>
      <c r="M679" s="149" t="s">
        <v>23410</v>
      </c>
      <c r="N679" s="155">
        <v>1</v>
      </c>
      <c r="O679" s="152"/>
      <c r="P679" s="149" t="s">
        <v>23413</v>
      </c>
      <c r="Q679" s="157">
        <v>2</v>
      </c>
      <c r="R679" s="152"/>
      <c r="S679" s="149" t="s">
        <v>23414</v>
      </c>
      <c r="T679" s="157">
        <v>2</v>
      </c>
      <c r="U679" s="156" t="s">
        <v>40</v>
      </c>
      <c r="V679" s="149" t="s">
        <v>23415</v>
      </c>
      <c r="W679" s="158">
        <v>3</v>
      </c>
      <c r="X679" s="152"/>
      <c r="Y679" s="149" t="s">
        <v>23416</v>
      </c>
      <c r="Z679" s="158">
        <v>3</v>
      </c>
      <c r="AA679" s="152"/>
      <c r="AB679" s="154" t="s">
        <v>5179</v>
      </c>
    </row>
    <row r="680" spans="1:28" x14ac:dyDescent="0.2">
      <c r="A680" s="146" t="s">
        <v>7277</v>
      </c>
      <c r="B680" s="147" t="s">
        <v>7268</v>
      </c>
      <c r="C680" s="147" t="s">
        <v>7278</v>
      </c>
      <c r="D680" s="148"/>
      <c r="E680" s="149" t="s">
        <v>6600</v>
      </c>
      <c r="F680" s="150">
        <v>4</v>
      </c>
      <c r="G680" s="149" t="s">
        <v>7279</v>
      </c>
      <c r="H680" s="151">
        <v>4</v>
      </c>
      <c r="I680" s="156" t="s">
        <v>55</v>
      </c>
      <c r="J680" s="149" t="s">
        <v>700</v>
      </c>
      <c r="K680" s="151">
        <v>4</v>
      </c>
      <c r="L680" s="156" t="s">
        <v>55</v>
      </c>
      <c r="M680" s="149" t="s">
        <v>6600</v>
      </c>
      <c r="N680" s="151">
        <v>4</v>
      </c>
      <c r="O680" s="156" t="s">
        <v>46</v>
      </c>
      <c r="P680" s="149" t="s">
        <v>23417</v>
      </c>
      <c r="Q680" s="157">
        <v>2</v>
      </c>
      <c r="R680" s="152"/>
      <c r="S680" s="149" t="s">
        <v>7280</v>
      </c>
      <c r="T680" s="155">
        <v>1</v>
      </c>
      <c r="U680" s="152"/>
      <c r="V680" s="149" t="s">
        <v>734</v>
      </c>
      <c r="W680" s="155">
        <v>1</v>
      </c>
      <c r="X680" s="152"/>
      <c r="Y680" s="149" t="s">
        <v>2863</v>
      </c>
      <c r="Z680" s="151">
        <v>4</v>
      </c>
      <c r="AA680" s="152"/>
      <c r="AB680" s="154" t="s">
        <v>5185</v>
      </c>
    </row>
    <row r="681" spans="1:28" x14ac:dyDescent="0.2">
      <c r="A681" s="146" t="s">
        <v>5186</v>
      </c>
      <c r="B681" s="147" t="s">
        <v>6130</v>
      </c>
      <c r="C681" s="147" t="s">
        <v>6191</v>
      </c>
      <c r="D681" s="148" t="s">
        <v>6170</v>
      </c>
      <c r="E681" s="149" t="s">
        <v>23418</v>
      </c>
      <c r="F681" s="150">
        <v>4</v>
      </c>
      <c r="G681" s="149" t="s">
        <v>23419</v>
      </c>
      <c r="H681" s="155">
        <v>1</v>
      </c>
      <c r="I681" s="156" t="s">
        <v>157</v>
      </c>
      <c r="J681" s="149" t="s">
        <v>21944</v>
      </c>
      <c r="K681" s="158">
        <v>3</v>
      </c>
      <c r="L681" s="152"/>
      <c r="M681" s="149" t="s">
        <v>23418</v>
      </c>
      <c r="N681" s="151">
        <v>4</v>
      </c>
      <c r="O681" s="152"/>
      <c r="P681" s="149" t="s">
        <v>23420</v>
      </c>
      <c r="Q681" s="151">
        <v>4</v>
      </c>
      <c r="R681" s="152"/>
      <c r="S681" s="149" t="s">
        <v>23421</v>
      </c>
      <c r="T681" s="151">
        <v>4</v>
      </c>
      <c r="U681" s="152"/>
      <c r="V681" s="149" t="s">
        <v>6858</v>
      </c>
      <c r="W681" s="151">
        <v>4</v>
      </c>
      <c r="X681" s="152"/>
      <c r="Y681" s="149" t="s">
        <v>8855</v>
      </c>
      <c r="Z681" s="151">
        <v>4</v>
      </c>
      <c r="AA681" s="152"/>
      <c r="AB681" s="154" t="s">
        <v>5190</v>
      </c>
    </row>
    <row r="682" spans="1:28" x14ac:dyDescent="0.2">
      <c r="A682" s="146" t="s">
        <v>5191</v>
      </c>
      <c r="B682" s="147" t="s">
        <v>6130</v>
      </c>
      <c r="C682" s="147" t="s">
        <v>6175</v>
      </c>
      <c r="D682" s="148"/>
      <c r="E682" s="149" t="s">
        <v>23422</v>
      </c>
      <c r="F682" s="150">
        <v>4</v>
      </c>
      <c r="G682" s="149" t="s">
        <v>23423</v>
      </c>
      <c r="H682" s="151">
        <v>4</v>
      </c>
      <c r="I682" s="152"/>
      <c r="J682" s="149" t="s">
        <v>23424</v>
      </c>
      <c r="K682" s="151">
        <v>4</v>
      </c>
      <c r="L682" s="152"/>
      <c r="M682" s="149" t="s">
        <v>23422</v>
      </c>
      <c r="N682" s="151">
        <v>4</v>
      </c>
      <c r="O682" s="152"/>
      <c r="P682" s="149" t="s">
        <v>23425</v>
      </c>
      <c r="Q682" s="151">
        <v>4</v>
      </c>
      <c r="R682" s="152"/>
      <c r="S682" s="149" t="s">
        <v>23426</v>
      </c>
      <c r="T682" s="151">
        <v>4</v>
      </c>
      <c r="U682" s="152"/>
      <c r="V682" s="149" t="s">
        <v>23427</v>
      </c>
      <c r="W682" s="151">
        <v>4</v>
      </c>
      <c r="X682" s="152"/>
      <c r="Y682" s="149" t="s">
        <v>18433</v>
      </c>
      <c r="Z682" s="151">
        <v>4</v>
      </c>
      <c r="AA682" s="152"/>
      <c r="AB682" s="154" t="s">
        <v>5192</v>
      </c>
    </row>
    <row r="683" spans="1:28" x14ac:dyDescent="0.2">
      <c r="A683" s="146" t="s">
        <v>7281</v>
      </c>
      <c r="B683" s="147" t="s">
        <v>6130</v>
      </c>
      <c r="C683" s="147" t="s">
        <v>6167</v>
      </c>
      <c r="D683" s="148"/>
      <c r="E683" s="149" t="s">
        <v>23428</v>
      </c>
      <c r="F683" s="160">
        <v>2</v>
      </c>
      <c r="G683" s="149" t="s">
        <v>23429</v>
      </c>
      <c r="H683" s="157">
        <v>2</v>
      </c>
      <c r="I683" s="152"/>
      <c r="J683" s="149" t="s">
        <v>23430</v>
      </c>
      <c r="K683" s="157">
        <v>2</v>
      </c>
      <c r="L683" s="152"/>
      <c r="M683" s="149" t="s">
        <v>23428</v>
      </c>
      <c r="N683" s="157">
        <v>2</v>
      </c>
      <c r="O683" s="156" t="s">
        <v>40</v>
      </c>
      <c r="P683" s="149" t="s">
        <v>23431</v>
      </c>
      <c r="Q683" s="158">
        <v>3</v>
      </c>
      <c r="R683" s="152"/>
      <c r="S683" s="149" t="s">
        <v>18989</v>
      </c>
      <c r="T683" s="158">
        <v>3</v>
      </c>
      <c r="U683" s="152"/>
      <c r="V683" s="149" t="s">
        <v>23432</v>
      </c>
      <c r="W683" s="158">
        <v>3</v>
      </c>
      <c r="X683" s="152"/>
      <c r="Y683" s="149" t="s">
        <v>47</v>
      </c>
      <c r="Z683" s="153"/>
      <c r="AA683" s="152"/>
      <c r="AB683" s="154" t="s">
        <v>5196</v>
      </c>
    </row>
    <row r="684" spans="1:28" x14ac:dyDescent="0.2">
      <c r="A684" s="146" t="s">
        <v>7282</v>
      </c>
      <c r="B684" s="147" t="s">
        <v>6130</v>
      </c>
      <c r="C684" s="147" t="s">
        <v>6191</v>
      </c>
      <c r="D684" s="148"/>
      <c r="E684" s="149" t="s">
        <v>20843</v>
      </c>
      <c r="F684" s="160">
        <v>2</v>
      </c>
      <c r="G684" s="149" t="s">
        <v>23433</v>
      </c>
      <c r="H684" s="158">
        <v>3</v>
      </c>
      <c r="I684" s="156" t="s">
        <v>46</v>
      </c>
      <c r="J684" s="149" t="s">
        <v>7283</v>
      </c>
      <c r="K684" s="158">
        <v>3</v>
      </c>
      <c r="L684" s="156" t="s">
        <v>46</v>
      </c>
      <c r="M684" s="149" t="s">
        <v>20843</v>
      </c>
      <c r="N684" s="157">
        <v>2</v>
      </c>
      <c r="O684" s="156" t="s">
        <v>46</v>
      </c>
      <c r="P684" s="149" t="s">
        <v>23434</v>
      </c>
      <c r="Q684" s="155">
        <v>1</v>
      </c>
      <c r="R684" s="152"/>
      <c r="S684" s="149" t="s">
        <v>23435</v>
      </c>
      <c r="T684" s="155">
        <v>1</v>
      </c>
      <c r="U684" s="152"/>
      <c r="V684" s="149" t="s">
        <v>18549</v>
      </c>
      <c r="W684" s="155">
        <v>1</v>
      </c>
      <c r="X684" s="152"/>
      <c r="Y684" s="149" t="s">
        <v>47</v>
      </c>
      <c r="Z684" s="153"/>
      <c r="AA684" s="152"/>
      <c r="AB684" s="154" t="s">
        <v>5209</v>
      </c>
    </row>
    <row r="685" spans="1:28" x14ac:dyDescent="0.2">
      <c r="A685" s="146" t="s">
        <v>7284</v>
      </c>
      <c r="B685" s="147" t="s">
        <v>6130</v>
      </c>
      <c r="C685" s="147" t="s">
        <v>6203</v>
      </c>
      <c r="D685" s="148"/>
      <c r="E685" s="149" t="s">
        <v>23436</v>
      </c>
      <c r="F685" s="150">
        <v>4</v>
      </c>
      <c r="G685" s="149" t="s">
        <v>23437</v>
      </c>
      <c r="H685" s="151">
        <v>4</v>
      </c>
      <c r="I685" s="152"/>
      <c r="J685" s="149" t="s">
        <v>7285</v>
      </c>
      <c r="K685" s="151">
        <v>4</v>
      </c>
      <c r="L685" s="156" t="s">
        <v>46</v>
      </c>
      <c r="M685" s="149" t="s">
        <v>23436</v>
      </c>
      <c r="N685" s="151">
        <v>4</v>
      </c>
      <c r="O685" s="156" t="s">
        <v>55</v>
      </c>
      <c r="P685" s="149" t="s">
        <v>23438</v>
      </c>
      <c r="Q685" s="158">
        <v>3</v>
      </c>
      <c r="R685" s="156" t="s">
        <v>46</v>
      </c>
      <c r="S685" s="149" t="s">
        <v>23439</v>
      </c>
      <c r="T685" s="151">
        <v>4</v>
      </c>
      <c r="U685" s="156" t="s">
        <v>46</v>
      </c>
      <c r="V685" s="149" t="s">
        <v>23440</v>
      </c>
      <c r="W685" s="158">
        <v>3</v>
      </c>
      <c r="X685" s="152"/>
      <c r="Y685" s="149" t="s">
        <v>23441</v>
      </c>
      <c r="Z685" s="158">
        <v>3</v>
      </c>
      <c r="AA685" s="152"/>
      <c r="AB685" s="154" t="s">
        <v>5199</v>
      </c>
    </row>
    <row r="686" spans="1:28" x14ac:dyDescent="0.2">
      <c r="A686" s="146" t="s">
        <v>7286</v>
      </c>
      <c r="B686" s="147" t="s">
        <v>6130</v>
      </c>
      <c r="C686" s="147" t="s">
        <v>6469</v>
      </c>
      <c r="D686" s="148"/>
      <c r="E686" s="149" t="s">
        <v>2459</v>
      </c>
      <c r="F686" s="160">
        <v>2</v>
      </c>
      <c r="G686" s="149" t="s">
        <v>23442</v>
      </c>
      <c r="H686" s="151">
        <v>4</v>
      </c>
      <c r="I686" s="156" t="s">
        <v>46</v>
      </c>
      <c r="J686" s="149" t="s">
        <v>23443</v>
      </c>
      <c r="K686" s="158">
        <v>3</v>
      </c>
      <c r="L686" s="156" t="s">
        <v>55</v>
      </c>
      <c r="M686" s="149" t="s">
        <v>2459</v>
      </c>
      <c r="N686" s="157">
        <v>2</v>
      </c>
      <c r="O686" s="156" t="s">
        <v>46</v>
      </c>
      <c r="P686" s="149" t="s">
        <v>7287</v>
      </c>
      <c r="Q686" s="157">
        <v>2</v>
      </c>
      <c r="R686" s="156" t="s">
        <v>46</v>
      </c>
      <c r="S686" s="149" t="s">
        <v>23444</v>
      </c>
      <c r="T686" s="157">
        <v>2</v>
      </c>
      <c r="U686" s="152"/>
      <c r="V686" s="149" t="s">
        <v>23445</v>
      </c>
      <c r="W686" s="157">
        <v>2</v>
      </c>
      <c r="X686" s="152"/>
      <c r="Y686" s="149" t="s">
        <v>7288</v>
      </c>
      <c r="Z686" s="157">
        <v>2</v>
      </c>
      <c r="AA686" s="152"/>
      <c r="AB686" s="154" t="s">
        <v>5203</v>
      </c>
    </row>
    <row r="687" spans="1:28" x14ac:dyDescent="0.2">
      <c r="A687" s="146" t="s">
        <v>7289</v>
      </c>
      <c r="B687" s="147" t="s">
        <v>6130</v>
      </c>
      <c r="C687" s="147" t="s">
        <v>6167</v>
      </c>
      <c r="D687" s="148"/>
      <c r="E687" s="149" t="s">
        <v>23446</v>
      </c>
      <c r="F687" s="161">
        <v>1</v>
      </c>
      <c r="G687" s="149" t="s">
        <v>23447</v>
      </c>
      <c r="H687" s="158">
        <v>3</v>
      </c>
      <c r="I687" s="156" t="s">
        <v>55</v>
      </c>
      <c r="J687" s="149" t="s">
        <v>23448</v>
      </c>
      <c r="K687" s="157">
        <v>2</v>
      </c>
      <c r="L687" s="152"/>
      <c r="M687" s="149" t="s">
        <v>23446</v>
      </c>
      <c r="N687" s="155">
        <v>1</v>
      </c>
      <c r="O687" s="152"/>
      <c r="P687" s="149" t="s">
        <v>23449</v>
      </c>
      <c r="Q687" s="157">
        <v>2</v>
      </c>
      <c r="R687" s="156" t="s">
        <v>46</v>
      </c>
      <c r="S687" s="149" t="s">
        <v>23450</v>
      </c>
      <c r="T687" s="155">
        <v>1</v>
      </c>
      <c r="U687" s="152"/>
      <c r="V687" s="149" t="s">
        <v>23451</v>
      </c>
      <c r="W687" s="155">
        <v>1</v>
      </c>
      <c r="X687" s="152"/>
      <c r="Y687" s="149" t="s">
        <v>47</v>
      </c>
      <c r="Z687" s="153"/>
      <c r="AA687" s="152"/>
      <c r="AB687" s="154" t="s">
        <v>5205</v>
      </c>
    </row>
    <row r="688" spans="1:28" x14ac:dyDescent="0.2">
      <c r="A688" s="146" t="s">
        <v>7290</v>
      </c>
      <c r="B688" s="147" t="s">
        <v>6130</v>
      </c>
      <c r="C688" s="147" t="s">
        <v>6227</v>
      </c>
      <c r="D688" s="148"/>
      <c r="E688" s="149" t="s">
        <v>23452</v>
      </c>
      <c r="F688" s="159">
        <v>3</v>
      </c>
      <c r="G688" s="149" t="s">
        <v>23453</v>
      </c>
      <c r="H688" s="158">
        <v>3</v>
      </c>
      <c r="I688" s="156" t="s">
        <v>46</v>
      </c>
      <c r="J688" s="149" t="s">
        <v>23454</v>
      </c>
      <c r="K688" s="158">
        <v>3</v>
      </c>
      <c r="L688" s="152"/>
      <c r="M688" s="149" t="s">
        <v>23452</v>
      </c>
      <c r="N688" s="158">
        <v>3</v>
      </c>
      <c r="O688" s="156" t="s">
        <v>46</v>
      </c>
      <c r="P688" s="149" t="s">
        <v>23455</v>
      </c>
      <c r="Q688" s="158">
        <v>3</v>
      </c>
      <c r="R688" s="156" t="s">
        <v>46</v>
      </c>
      <c r="S688" s="149" t="s">
        <v>23456</v>
      </c>
      <c r="T688" s="157">
        <v>2</v>
      </c>
      <c r="U688" s="152"/>
      <c r="V688" s="149" t="s">
        <v>23457</v>
      </c>
      <c r="W688" s="157">
        <v>2</v>
      </c>
      <c r="X688" s="152"/>
      <c r="Y688" s="149" t="s">
        <v>23458</v>
      </c>
      <c r="Z688" s="157">
        <v>2</v>
      </c>
      <c r="AA688" s="152"/>
      <c r="AB688" s="154" t="s">
        <v>5207</v>
      </c>
    </row>
    <row r="689" spans="1:28" x14ac:dyDescent="0.2">
      <c r="A689" s="146" t="s">
        <v>7291</v>
      </c>
      <c r="B689" s="147" t="s">
        <v>7268</v>
      </c>
      <c r="C689" s="147" t="s">
        <v>7278</v>
      </c>
      <c r="D689" s="148"/>
      <c r="E689" s="149" t="s">
        <v>23417</v>
      </c>
      <c r="F689" s="160">
        <v>2</v>
      </c>
      <c r="G689" s="149" t="s">
        <v>23459</v>
      </c>
      <c r="H689" s="157">
        <v>2</v>
      </c>
      <c r="I689" s="152"/>
      <c r="J689" s="149" t="s">
        <v>4011</v>
      </c>
      <c r="K689" s="157">
        <v>2</v>
      </c>
      <c r="L689" s="156" t="s">
        <v>53</v>
      </c>
      <c r="M689" s="149" t="s">
        <v>23417</v>
      </c>
      <c r="N689" s="157">
        <v>2</v>
      </c>
      <c r="O689" s="156" t="s">
        <v>46</v>
      </c>
      <c r="P689" s="149" t="s">
        <v>23460</v>
      </c>
      <c r="Q689" s="155">
        <v>1</v>
      </c>
      <c r="R689" s="152"/>
      <c r="S689" s="149" t="s">
        <v>734</v>
      </c>
      <c r="T689" s="155">
        <v>1</v>
      </c>
      <c r="U689" s="156" t="s">
        <v>40</v>
      </c>
      <c r="V689" s="149" t="s">
        <v>740</v>
      </c>
      <c r="W689" s="157">
        <v>2</v>
      </c>
      <c r="X689" s="152"/>
      <c r="Y689" s="149" t="s">
        <v>47</v>
      </c>
      <c r="Z689" s="153"/>
      <c r="AA689" s="152"/>
      <c r="AB689" s="154" t="s">
        <v>7292</v>
      </c>
    </row>
    <row r="690" spans="1:28" x14ac:dyDescent="0.2">
      <c r="A690" s="146" t="s">
        <v>7293</v>
      </c>
      <c r="B690" s="147" t="s">
        <v>7268</v>
      </c>
      <c r="C690" s="147" t="s">
        <v>6629</v>
      </c>
      <c r="D690" s="148"/>
      <c r="E690" s="149" t="s">
        <v>8987</v>
      </c>
      <c r="F690" s="161">
        <v>1</v>
      </c>
      <c r="G690" s="149" t="s">
        <v>23461</v>
      </c>
      <c r="H690" s="155">
        <v>1</v>
      </c>
      <c r="I690" s="152"/>
      <c r="J690" s="149" t="s">
        <v>7294</v>
      </c>
      <c r="K690" s="155">
        <v>1</v>
      </c>
      <c r="L690" s="152"/>
      <c r="M690" s="149" t="s">
        <v>8987</v>
      </c>
      <c r="N690" s="155">
        <v>1</v>
      </c>
      <c r="O690" s="156" t="s">
        <v>40</v>
      </c>
      <c r="P690" s="149" t="s">
        <v>7295</v>
      </c>
      <c r="Q690" s="157">
        <v>2</v>
      </c>
      <c r="R690" s="152"/>
      <c r="S690" s="149" t="s">
        <v>21990</v>
      </c>
      <c r="T690" s="157">
        <v>2</v>
      </c>
      <c r="U690" s="152"/>
      <c r="V690" s="149" t="s">
        <v>21766</v>
      </c>
      <c r="W690" s="151">
        <v>4</v>
      </c>
      <c r="X690" s="152"/>
      <c r="Y690" s="149" t="s">
        <v>7296</v>
      </c>
      <c r="Z690" s="157">
        <v>2</v>
      </c>
      <c r="AA690" s="152"/>
      <c r="AB690" s="154" t="s">
        <v>5181</v>
      </c>
    </row>
    <row r="691" spans="1:28" x14ac:dyDescent="0.2">
      <c r="A691" s="146" t="s">
        <v>7297</v>
      </c>
      <c r="B691" s="147" t="s">
        <v>7268</v>
      </c>
      <c r="C691" s="147" t="s">
        <v>7272</v>
      </c>
      <c r="D691" s="148"/>
      <c r="E691" s="149" t="s">
        <v>7298</v>
      </c>
      <c r="F691" s="150">
        <v>4</v>
      </c>
      <c r="G691" s="149" t="s">
        <v>8311</v>
      </c>
      <c r="H691" s="155">
        <v>1</v>
      </c>
      <c r="I691" s="156" t="s">
        <v>157</v>
      </c>
      <c r="J691" s="149" t="s">
        <v>3830</v>
      </c>
      <c r="K691" s="158">
        <v>3</v>
      </c>
      <c r="L691" s="156" t="s">
        <v>40</v>
      </c>
      <c r="M691" s="149" t="s">
        <v>7298</v>
      </c>
      <c r="N691" s="151">
        <v>4</v>
      </c>
      <c r="O691" s="152"/>
      <c r="P691" s="149" t="s">
        <v>23462</v>
      </c>
      <c r="Q691" s="151">
        <v>4</v>
      </c>
      <c r="R691" s="152"/>
      <c r="S691" s="149" t="s">
        <v>21746</v>
      </c>
      <c r="T691" s="158">
        <v>3</v>
      </c>
      <c r="U691" s="156" t="s">
        <v>40</v>
      </c>
      <c r="V691" s="149" t="s">
        <v>6881</v>
      </c>
      <c r="W691" s="158">
        <v>3</v>
      </c>
      <c r="X691" s="152"/>
      <c r="Y691" s="149" t="s">
        <v>7299</v>
      </c>
      <c r="Z691" s="157">
        <v>2</v>
      </c>
      <c r="AA691" s="152"/>
      <c r="AB691" s="154" t="s">
        <v>7300</v>
      </c>
    </row>
    <row r="692" spans="1:28" x14ac:dyDescent="0.2">
      <c r="A692" s="146" t="s">
        <v>7301</v>
      </c>
      <c r="B692" s="147" t="s">
        <v>7268</v>
      </c>
      <c r="C692" s="147" t="s">
        <v>7278</v>
      </c>
      <c r="D692" s="148"/>
      <c r="E692" s="149" t="s">
        <v>6746</v>
      </c>
      <c r="F692" s="159">
        <v>3</v>
      </c>
      <c r="G692" s="149" t="s">
        <v>23460</v>
      </c>
      <c r="H692" s="155">
        <v>1</v>
      </c>
      <c r="I692" s="156" t="s">
        <v>157</v>
      </c>
      <c r="J692" s="149" t="s">
        <v>6746</v>
      </c>
      <c r="K692" s="158">
        <v>3</v>
      </c>
      <c r="L692" s="152"/>
      <c r="M692" s="149" t="s">
        <v>6746</v>
      </c>
      <c r="N692" s="158">
        <v>3</v>
      </c>
      <c r="O692" s="152"/>
      <c r="P692" s="149" t="s">
        <v>7302</v>
      </c>
      <c r="Q692" s="158">
        <v>3</v>
      </c>
      <c r="R692" s="152"/>
      <c r="S692" s="149" t="s">
        <v>741</v>
      </c>
      <c r="T692" s="158">
        <v>3</v>
      </c>
      <c r="U692" s="152"/>
      <c r="V692" s="149" t="s">
        <v>7303</v>
      </c>
      <c r="W692" s="158">
        <v>3</v>
      </c>
      <c r="X692" s="152"/>
      <c r="Y692" s="149" t="s">
        <v>6737</v>
      </c>
      <c r="Z692" s="158">
        <v>3</v>
      </c>
      <c r="AA692" s="152"/>
      <c r="AB692" s="154" t="s">
        <v>5183</v>
      </c>
    </row>
    <row r="693" spans="1:28" x14ac:dyDescent="0.2">
      <c r="A693" s="146" t="s">
        <v>7304</v>
      </c>
      <c r="B693" s="147" t="s">
        <v>7268</v>
      </c>
      <c r="C693" s="147" t="s">
        <v>6629</v>
      </c>
      <c r="D693" s="148"/>
      <c r="E693" s="149" t="s">
        <v>23463</v>
      </c>
      <c r="F693" s="161">
        <v>1</v>
      </c>
      <c r="G693" s="149" t="s">
        <v>21925</v>
      </c>
      <c r="H693" s="155">
        <v>1</v>
      </c>
      <c r="I693" s="152"/>
      <c r="J693" s="149" t="s">
        <v>23464</v>
      </c>
      <c r="K693" s="155">
        <v>1</v>
      </c>
      <c r="L693" s="152"/>
      <c r="M693" s="149" t="s">
        <v>23463</v>
      </c>
      <c r="N693" s="155">
        <v>1</v>
      </c>
      <c r="O693" s="152"/>
      <c r="P693" s="149" t="s">
        <v>7305</v>
      </c>
      <c r="Q693" s="155">
        <v>1</v>
      </c>
      <c r="R693" s="152"/>
      <c r="S693" s="149" t="s">
        <v>23465</v>
      </c>
      <c r="T693" s="157">
        <v>2</v>
      </c>
      <c r="U693" s="152"/>
      <c r="V693" s="149" t="s">
        <v>23466</v>
      </c>
      <c r="W693" s="151">
        <v>4</v>
      </c>
      <c r="X693" s="152"/>
      <c r="Y693" s="149" t="s">
        <v>47</v>
      </c>
      <c r="Z693" s="153"/>
      <c r="AA693" s="152"/>
      <c r="AB693" s="154" t="s">
        <v>7306</v>
      </c>
    </row>
    <row r="694" spans="1:28" x14ac:dyDescent="0.2">
      <c r="A694" s="146" t="s">
        <v>7307</v>
      </c>
      <c r="B694" s="147" t="s">
        <v>7268</v>
      </c>
      <c r="C694" s="147" t="s">
        <v>7308</v>
      </c>
      <c r="D694" s="148"/>
      <c r="E694" s="149" t="s">
        <v>23467</v>
      </c>
      <c r="F694" s="161">
        <v>1</v>
      </c>
      <c r="G694" s="149" t="s">
        <v>7309</v>
      </c>
      <c r="H694" s="155">
        <v>1</v>
      </c>
      <c r="I694" s="152"/>
      <c r="J694" s="149" t="s">
        <v>23468</v>
      </c>
      <c r="K694" s="155">
        <v>1</v>
      </c>
      <c r="L694" s="152"/>
      <c r="M694" s="149" t="s">
        <v>23467</v>
      </c>
      <c r="N694" s="155">
        <v>1</v>
      </c>
      <c r="O694" s="152"/>
      <c r="P694" s="149" t="s">
        <v>23469</v>
      </c>
      <c r="Q694" s="155">
        <v>1</v>
      </c>
      <c r="R694" s="152"/>
      <c r="S694" s="149" t="s">
        <v>23470</v>
      </c>
      <c r="T694" s="157">
        <v>2</v>
      </c>
      <c r="U694" s="152"/>
      <c r="V694" s="149" t="s">
        <v>7310</v>
      </c>
      <c r="W694" s="158">
        <v>3</v>
      </c>
      <c r="X694" s="156" t="s">
        <v>46</v>
      </c>
      <c r="Y694" s="149" t="s">
        <v>47</v>
      </c>
      <c r="Z694" s="153"/>
      <c r="AA694" s="152"/>
      <c r="AB694" s="154" t="s">
        <v>7311</v>
      </c>
    </row>
    <row r="695" spans="1:28" x14ac:dyDescent="0.2">
      <c r="A695" s="146" t="s">
        <v>7312</v>
      </c>
      <c r="B695" s="147" t="s">
        <v>7268</v>
      </c>
      <c r="C695" s="147" t="s">
        <v>7313</v>
      </c>
      <c r="D695" s="148"/>
      <c r="E695" s="149" t="s">
        <v>7314</v>
      </c>
      <c r="F695" s="161">
        <v>1</v>
      </c>
      <c r="G695" s="149" t="s">
        <v>12208</v>
      </c>
      <c r="H695" s="157">
        <v>2</v>
      </c>
      <c r="I695" s="156" t="s">
        <v>46</v>
      </c>
      <c r="J695" s="149" t="s">
        <v>23471</v>
      </c>
      <c r="K695" s="155">
        <v>1</v>
      </c>
      <c r="L695" s="152"/>
      <c r="M695" s="149" t="s">
        <v>7314</v>
      </c>
      <c r="N695" s="155">
        <v>1</v>
      </c>
      <c r="O695" s="152"/>
      <c r="P695" s="149" t="s">
        <v>22111</v>
      </c>
      <c r="Q695" s="155">
        <v>1</v>
      </c>
      <c r="R695" s="152"/>
      <c r="S695" s="149" t="s">
        <v>23472</v>
      </c>
      <c r="T695" s="157">
        <v>2</v>
      </c>
      <c r="U695" s="152"/>
      <c r="V695" s="149" t="s">
        <v>11511</v>
      </c>
      <c r="W695" s="157">
        <v>2</v>
      </c>
      <c r="X695" s="152"/>
      <c r="Y695" s="149" t="s">
        <v>47</v>
      </c>
      <c r="Z695" s="153"/>
      <c r="AA695" s="152"/>
      <c r="AB695" s="154" t="s">
        <v>7315</v>
      </c>
    </row>
    <row r="696" spans="1:28" x14ac:dyDescent="0.2">
      <c r="A696" s="146" t="s">
        <v>7316</v>
      </c>
      <c r="B696" s="147" t="s">
        <v>7268</v>
      </c>
      <c r="C696" s="147" t="s">
        <v>7272</v>
      </c>
      <c r="D696" s="148"/>
      <c r="E696" s="149" t="s">
        <v>7317</v>
      </c>
      <c r="F696" s="150">
        <v>4</v>
      </c>
      <c r="G696" s="149" t="s">
        <v>7101</v>
      </c>
      <c r="H696" s="157">
        <v>2</v>
      </c>
      <c r="I696" s="156" t="s">
        <v>40</v>
      </c>
      <c r="J696" s="149" t="s">
        <v>6609</v>
      </c>
      <c r="K696" s="158">
        <v>3</v>
      </c>
      <c r="L696" s="156" t="s">
        <v>40</v>
      </c>
      <c r="M696" s="149" t="s">
        <v>7317</v>
      </c>
      <c r="N696" s="151">
        <v>4</v>
      </c>
      <c r="O696" s="156" t="s">
        <v>46</v>
      </c>
      <c r="P696" s="149" t="s">
        <v>3747</v>
      </c>
      <c r="Q696" s="158">
        <v>3</v>
      </c>
      <c r="R696" s="152"/>
      <c r="S696" s="149" t="s">
        <v>7318</v>
      </c>
      <c r="T696" s="151">
        <v>4</v>
      </c>
      <c r="U696" s="156" t="s">
        <v>46</v>
      </c>
      <c r="V696" s="149" t="s">
        <v>7319</v>
      </c>
      <c r="W696" s="158">
        <v>3</v>
      </c>
      <c r="X696" s="152"/>
      <c r="Y696" s="149" t="s">
        <v>739</v>
      </c>
      <c r="Z696" s="151">
        <v>4</v>
      </c>
      <c r="AA696" s="152"/>
      <c r="AB696" s="154" t="s">
        <v>7320</v>
      </c>
    </row>
    <row r="697" spans="1:28" x14ac:dyDescent="0.2">
      <c r="A697" s="146" t="s">
        <v>7321</v>
      </c>
      <c r="B697" s="147" t="s">
        <v>6130</v>
      </c>
      <c r="C697" s="147" t="s">
        <v>6157</v>
      </c>
      <c r="D697" s="148" t="s">
        <v>6170</v>
      </c>
      <c r="E697" s="149" t="s">
        <v>23473</v>
      </c>
      <c r="F697" s="150">
        <v>4</v>
      </c>
      <c r="G697" s="149" t="s">
        <v>23474</v>
      </c>
      <c r="H697" s="158">
        <v>3</v>
      </c>
      <c r="I697" s="156" t="s">
        <v>40</v>
      </c>
      <c r="J697" s="149" t="s">
        <v>23475</v>
      </c>
      <c r="K697" s="151">
        <v>4</v>
      </c>
      <c r="L697" s="152"/>
      <c r="M697" s="149" t="s">
        <v>23473</v>
      </c>
      <c r="N697" s="151">
        <v>4</v>
      </c>
      <c r="O697" s="152"/>
      <c r="P697" s="149" t="s">
        <v>23476</v>
      </c>
      <c r="Q697" s="158">
        <v>3</v>
      </c>
      <c r="R697" s="152"/>
      <c r="S697" s="149" t="s">
        <v>23477</v>
      </c>
      <c r="T697" s="151">
        <v>4</v>
      </c>
      <c r="U697" s="152"/>
      <c r="V697" s="149" t="s">
        <v>23478</v>
      </c>
      <c r="W697" s="151">
        <v>4</v>
      </c>
      <c r="X697" s="152"/>
      <c r="Y697" s="149" t="s">
        <v>47</v>
      </c>
      <c r="Z697" s="153"/>
      <c r="AA697" s="152"/>
      <c r="AB697" s="154" t="s">
        <v>5259</v>
      </c>
    </row>
    <row r="698" spans="1:28" x14ac:dyDescent="0.2">
      <c r="A698" s="146" t="s">
        <v>7322</v>
      </c>
      <c r="B698" s="147" t="s">
        <v>6130</v>
      </c>
      <c r="C698" s="147" t="s">
        <v>6157</v>
      </c>
      <c r="D698" s="148"/>
      <c r="E698" s="149" t="s">
        <v>23479</v>
      </c>
      <c r="F698" s="160">
        <v>2</v>
      </c>
      <c r="G698" s="149" t="s">
        <v>23480</v>
      </c>
      <c r="H698" s="157">
        <v>2</v>
      </c>
      <c r="I698" s="152"/>
      <c r="J698" s="149" t="s">
        <v>23481</v>
      </c>
      <c r="K698" s="157">
        <v>2</v>
      </c>
      <c r="L698" s="152"/>
      <c r="M698" s="149" t="s">
        <v>23479</v>
      </c>
      <c r="N698" s="157">
        <v>2</v>
      </c>
      <c r="O698" s="156" t="s">
        <v>46</v>
      </c>
      <c r="P698" s="149" t="s">
        <v>23482</v>
      </c>
      <c r="Q698" s="155">
        <v>1</v>
      </c>
      <c r="R698" s="152"/>
      <c r="S698" s="149" t="s">
        <v>23483</v>
      </c>
      <c r="T698" s="157">
        <v>2</v>
      </c>
      <c r="U698" s="152"/>
      <c r="V698" s="149" t="s">
        <v>23484</v>
      </c>
      <c r="W698" s="155">
        <v>1</v>
      </c>
      <c r="X698" s="152"/>
      <c r="Y698" s="149" t="s">
        <v>47</v>
      </c>
      <c r="Z698" s="153"/>
      <c r="AA698" s="152"/>
      <c r="AB698" s="154" t="s">
        <v>5237</v>
      </c>
    </row>
    <row r="699" spans="1:28" x14ac:dyDescent="0.2">
      <c r="A699" s="146" t="s">
        <v>7323</v>
      </c>
      <c r="B699" s="147" t="s">
        <v>6755</v>
      </c>
      <c r="C699" s="147" t="s">
        <v>6157</v>
      </c>
      <c r="D699" s="148"/>
      <c r="E699" s="149" t="s">
        <v>23485</v>
      </c>
      <c r="F699" s="150">
        <v>4</v>
      </c>
      <c r="G699" s="149" t="s">
        <v>23486</v>
      </c>
      <c r="H699" s="155">
        <v>1</v>
      </c>
      <c r="I699" s="156" t="s">
        <v>157</v>
      </c>
      <c r="J699" s="149" t="s">
        <v>23487</v>
      </c>
      <c r="K699" s="158">
        <v>3</v>
      </c>
      <c r="L699" s="156" t="s">
        <v>40</v>
      </c>
      <c r="M699" s="149" t="s">
        <v>23485</v>
      </c>
      <c r="N699" s="151">
        <v>4</v>
      </c>
      <c r="O699" s="152"/>
      <c r="P699" s="149" t="s">
        <v>47</v>
      </c>
      <c r="Q699" s="153"/>
      <c r="R699" s="152"/>
      <c r="S699" s="149" t="s">
        <v>47</v>
      </c>
      <c r="T699" s="153"/>
      <c r="U699" s="152"/>
      <c r="V699" s="149" t="s">
        <v>47</v>
      </c>
      <c r="W699" s="153"/>
      <c r="X699" s="152"/>
      <c r="Y699" s="149" t="s">
        <v>47</v>
      </c>
      <c r="Z699" s="153"/>
      <c r="AA699" s="152"/>
      <c r="AB699" s="154" t="s">
        <v>5241</v>
      </c>
    </row>
    <row r="700" spans="1:28" x14ac:dyDescent="0.2">
      <c r="A700" s="146" t="s">
        <v>7324</v>
      </c>
      <c r="B700" s="147" t="s">
        <v>6130</v>
      </c>
      <c r="C700" s="147" t="s">
        <v>6711</v>
      </c>
      <c r="D700" s="148"/>
      <c r="E700" s="149" t="s">
        <v>23488</v>
      </c>
      <c r="F700" s="159">
        <v>3</v>
      </c>
      <c r="G700" s="149" t="s">
        <v>23489</v>
      </c>
      <c r="H700" s="155">
        <v>1</v>
      </c>
      <c r="I700" s="156" t="s">
        <v>157</v>
      </c>
      <c r="J700" s="149" t="s">
        <v>23490</v>
      </c>
      <c r="K700" s="151">
        <v>4</v>
      </c>
      <c r="L700" s="152"/>
      <c r="M700" s="149" t="s">
        <v>23488</v>
      </c>
      <c r="N700" s="158">
        <v>3</v>
      </c>
      <c r="O700" s="156" t="s">
        <v>40</v>
      </c>
      <c r="P700" s="149" t="s">
        <v>23491</v>
      </c>
      <c r="Q700" s="157">
        <v>2</v>
      </c>
      <c r="R700" s="152"/>
      <c r="S700" s="149" t="s">
        <v>10711</v>
      </c>
      <c r="T700" s="155">
        <v>1</v>
      </c>
      <c r="U700" s="152"/>
      <c r="V700" s="149" t="s">
        <v>23492</v>
      </c>
      <c r="W700" s="155">
        <v>1</v>
      </c>
      <c r="X700" s="152"/>
      <c r="Y700" s="149" t="s">
        <v>47</v>
      </c>
      <c r="Z700" s="153"/>
      <c r="AA700" s="152"/>
      <c r="AB700" s="154" t="s">
        <v>5266</v>
      </c>
    </row>
    <row r="701" spans="1:28" x14ac:dyDescent="0.2">
      <c r="A701" s="146" t="s">
        <v>23493</v>
      </c>
      <c r="B701" s="147" t="s">
        <v>6130</v>
      </c>
      <c r="C701" s="147" t="s">
        <v>6157</v>
      </c>
      <c r="D701" s="148"/>
      <c r="E701" s="149" t="s">
        <v>23494</v>
      </c>
      <c r="F701" s="150">
        <v>4</v>
      </c>
      <c r="G701" s="149" t="s">
        <v>23495</v>
      </c>
      <c r="H701" s="155">
        <v>1</v>
      </c>
      <c r="I701" s="156" t="s">
        <v>157</v>
      </c>
      <c r="J701" s="149" t="s">
        <v>23496</v>
      </c>
      <c r="K701" s="151">
        <v>4</v>
      </c>
      <c r="L701" s="152"/>
      <c r="M701" s="149" t="s">
        <v>23494</v>
      </c>
      <c r="N701" s="151">
        <v>4</v>
      </c>
      <c r="O701" s="152"/>
      <c r="P701" s="149" t="s">
        <v>23497</v>
      </c>
      <c r="Q701" s="157">
        <v>2</v>
      </c>
      <c r="R701" s="156" t="s">
        <v>40</v>
      </c>
      <c r="S701" s="149" t="s">
        <v>23498</v>
      </c>
      <c r="T701" s="157">
        <v>2</v>
      </c>
      <c r="U701" s="152"/>
      <c r="V701" s="149" t="s">
        <v>47</v>
      </c>
      <c r="W701" s="153"/>
      <c r="X701" s="152"/>
      <c r="Y701" s="149" t="s">
        <v>47</v>
      </c>
      <c r="Z701" s="153"/>
      <c r="AA701" s="152"/>
      <c r="AB701" s="154" t="s">
        <v>5275</v>
      </c>
    </row>
    <row r="702" spans="1:28" x14ac:dyDescent="0.2">
      <c r="A702" s="146" t="s">
        <v>7325</v>
      </c>
      <c r="B702" s="147" t="s">
        <v>6130</v>
      </c>
      <c r="C702" s="147" t="s">
        <v>6159</v>
      </c>
      <c r="D702" s="148"/>
      <c r="E702" s="149" t="s">
        <v>23499</v>
      </c>
      <c r="F702" s="150">
        <v>4</v>
      </c>
      <c r="G702" s="149" t="s">
        <v>23500</v>
      </c>
      <c r="H702" s="151">
        <v>4</v>
      </c>
      <c r="I702" s="156" t="s">
        <v>44</v>
      </c>
      <c r="J702" s="149" t="s">
        <v>23501</v>
      </c>
      <c r="K702" s="151">
        <v>4</v>
      </c>
      <c r="L702" s="152"/>
      <c r="M702" s="149" t="s">
        <v>23499</v>
      </c>
      <c r="N702" s="151">
        <v>4</v>
      </c>
      <c r="O702" s="156" t="s">
        <v>46</v>
      </c>
      <c r="P702" s="149" t="s">
        <v>23502</v>
      </c>
      <c r="Q702" s="158">
        <v>3</v>
      </c>
      <c r="R702" s="156" t="s">
        <v>46</v>
      </c>
      <c r="S702" s="149" t="s">
        <v>23503</v>
      </c>
      <c r="T702" s="158">
        <v>3</v>
      </c>
      <c r="U702" s="156" t="s">
        <v>46</v>
      </c>
      <c r="V702" s="149" t="s">
        <v>23504</v>
      </c>
      <c r="W702" s="157">
        <v>2</v>
      </c>
      <c r="X702" s="152"/>
      <c r="Y702" s="149" t="s">
        <v>47</v>
      </c>
      <c r="Z702" s="153"/>
      <c r="AA702" s="152"/>
      <c r="AB702" s="154" t="s">
        <v>5289</v>
      </c>
    </row>
    <row r="703" spans="1:28" x14ac:dyDescent="0.2">
      <c r="A703" s="146" t="s">
        <v>7326</v>
      </c>
      <c r="B703" s="147" t="s">
        <v>6130</v>
      </c>
      <c r="C703" s="147" t="s">
        <v>6157</v>
      </c>
      <c r="D703" s="148"/>
      <c r="E703" s="149" t="s">
        <v>23505</v>
      </c>
      <c r="F703" s="161">
        <v>1</v>
      </c>
      <c r="G703" s="149" t="s">
        <v>23506</v>
      </c>
      <c r="H703" s="155">
        <v>1</v>
      </c>
      <c r="I703" s="156" t="s">
        <v>40</v>
      </c>
      <c r="J703" s="149" t="s">
        <v>23507</v>
      </c>
      <c r="K703" s="155">
        <v>1</v>
      </c>
      <c r="L703" s="156" t="s">
        <v>40</v>
      </c>
      <c r="M703" s="149" t="s">
        <v>23505</v>
      </c>
      <c r="N703" s="155">
        <v>1</v>
      </c>
      <c r="O703" s="156" t="s">
        <v>40</v>
      </c>
      <c r="P703" s="149" t="s">
        <v>23508</v>
      </c>
      <c r="Q703" s="158">
        <v>3</v>
      </c>
      <c r="R703" s="156" t="s">
        <v>40</v>
      </c>
      <c r="S703" s="149" t="s">
        <v>23509</v>
      </c>
      <c r="T703" s="151">
        <v>4</v>
      </c>
      <c r="U703" s="152"/>
      <c r="V703" s="149" t="s">
        <v>23510</v>
      </c>
      <c r="W703" s="158">
        <v>3</v>
      </c>
      <c r="X703" s="152"/>
      <c r="Y703" s="149" t="s">
        <v>23511</v>
      </c>
      <c r="Z703" s="151">
        <v>4</v>
      </c>
      <c r="AA703" s="152"/>
      <c r="AB703" s="154" t="s">
        <v>5319</v>
      </c>
    </row>
    <row r="704" spans="1:28" x14ac:dyDescent="0.2">
      <c r="A704" s="146" t="s">
        <v>7327</v>
      </c>
      <c r="B704" s="147" t="s">
        <v>6130</v>
      </c>
      <c r="C704" s="147" t="s">
        <v>6379</v>
      </c>
      <c r="D704" s="148"/>
      <c r="E704" s="149" t="s">
        <v>23512</v>
      </c>
      <c r="F704" s="161">
        <v>1</v>
      </c>
      <c r="G704" s="149" t="s">
        <v>23513</v>
      </c>
      <c r="H704" s="155">
        <v>1</v>
      </c>
      <c r="I704" s="156" t="s">
        <v>40</v>
      </c>
      <c r="J704" s="149" t="s">
        <v>23514</v>
      </c>
      <c r="K704" s="155">
        <v>1</v>
      </c>
      <c r="L704" s="152"/>
      <c r="M704" s="149" t="s">
        <v>23512</v>
      </c>
      <c r="N704" s="155">
        <v>1</v>
      </c>
      <c r="O704" s="152"/>
      <c r="P704" s="149" t="s">
        <v>23515</v>
      </c>
      <c r="Q704" s="155">
        <v>1</v>
      </c>
      <c r="R704" s="152"/>
      <c r="S704" s="149" t="s">
        <v>23516</v>
      </c>
      <c r="T704" s="155">
        <v>1</v>
      </c>
      <c r="U704" s="152"/>
      <c r="V704" s="149" t="s">
        <v>23517</v>
      </c>
      <c r="W704" s="155">
        <v>1</v>
      </c>
      <c r="X704" s="152"/>
      <c r="Y704" s="149" t="s">
        <v>47</v>
      </c>
      <c r="Z704" s="153"/>
      <c r="AA704" s="152"/>
      <c r="AB704" s="154" t="s">
        <v>5332</v>
      </c>
    </row>
    <row r="705" spans="1:28" x14ac:dyDescent="0.2">
      <c r="A705" s="146" t="s">
        <v>7328</v>
      </c>
      <c r="B705" s="147" t="s">
        <v>6130</v>
      </c>
      <c r="C705" s="147" t="s">
        <v>6157</v>
      </c>
      <c r="D705" s="148"/>
      <c r="E705" s="149" t="s">
        <v>23518</v>
      </c>
      <c r="F705" s="160">
        <v>2</v>
      </c>
      <c r="G705" s="149" t="s">
        <v>23519</v>
      </c>
      <c r="H705" s="157">
        <v>2</v>
      </c>
      <c r="I705" s="156" t="s">
        <v>53</v>
      </c>
      <c r="J705" s="149" t="s">
        <v>23520</v>
      </c>
      <c r="K705" s="158">
        <v>3</v>
      </c>
      <c r="L705" s="152"/>
      <c r="M705" s="149" t="s">
        <v>23518</v>
      </c>
      <c r="N705" s="157">
        <v>2</v>
      </c>
      <c r="O705" s="156" t="s">
        <v>40</v>
      </c>
      <c r="P705" s="149" t="s">
        <v>23521</v>
      </c>
      <c r="Q705" s="158">
        <v>3</v>
      </c>
      <c r="R705" s="152"/>
      <c r="S705" s="149" t="s">
        <v>23522</v>
      </c>
      <c r="T705" s="151">
        <v>4</v>
      </c>
      <c r="U705" s="152"/>
      <c r="V705" s="149" t="s">
        <v>23523</v>
      </c>
      <c r="W705" s="151">
        <v>4</v>
      </c>
      <c r="X705" s="152"/>
      <c r="Y705" s="149" t="s">
        <v>47</v>
      </c>
      <c r="Z705" s="153"/>
      <c r="AA705" s="152"/>
      <c r="AB705" s="154" t="s">
        <v>5341</v>
      </c>
    </row>
    <row r="706" spans="1:28" x14ac:dyDescent="0.2">
      <c r="A706" s="146" t="s">
        <v>7329</v>
      </c>
      <c r="B706" s="147" t="s">
        <v>6130</v>
      </c>
      <c r="C706" s="147" t="s">
        <v>6157</v>
      </c>
      <c r="D706" s="148"/>
      <c r="E706" s="149" t="s">
        <v>23524</v>
      </c>
      <c r="F706" s="150">
        <v>4</v>
      </c>
      <c r="G706" s="149" t="s">
        <v>23525</v>
      </c>
      <c r="H706" s="155">
        <v>1</v>
      </c>
      <c r="I706" s="156" t="s">
        <v>157</v>
      </c>
      <c r="J706" s="149" t="s">
        <v>23526</v>
      </c>
      <c r="K706" s="151">
        <v>4</v>
      </c>
      <c r="L706" s="152"/>
      <c r="M706" s="149" t="s">
        <v>23524</v>
      </c>
      <c r="N706" s="151">
        <v>4</v>
      </c>
      <c r="O706" s="152"/>
      <c r="P706" s="149" t="s">
        <v>23527</v>
      </c>
      <c r="Q706" s="157">
        <v>2</v>
      </c>
      <c r="R706" s="156" t="s">
        <v>40</v>
      </c>
      <c r="S706" s="149" t="s">
        <v>47</v>
      </c>
      <c r="T706" s="153"/>
      <c r="U706" s="152"/>
      <c r="V706" s="149" t="s">
        <v>47</v>
      </c>
      <c r="W706" s="153"/>
      <c r="X706" s="152"/>
      <c r="Y706" s="149" t="s">
        <v>47</v>
      </c>
      <c r="Z706" s="153"/>
      <c r="AA706" s="152"/>
      <c r="AB706" s="154" t="s">
        <v>7330</v>
      </c>
    </row>
    <row r="707" spans="1:28" x14ac:dyDescent="0.2">
      <c r="A707" s="146" t="s">
        <v>7331</v>
      </c>
      <c r="B707" s="147" t="s">
        <v>6755</v>
      </c>
      <c r="C707" s="147" t="s">
        <v>6411</v>
      </c>
      <c r="D707" s="148"/>
      <c r="E707" s="149" t="s">
        <v>15417</v>
      </c>
      <c r="F707" s="160">
        <v>2</v>
      </c>
      <c r="G707" s="149" t="s">
        <v>16210</v>
      </c>
      <c r="H707" s="151">
        <v>4</v>
      </c>
      <c r="I707" s="156" t="s">
        <v>46</v>
      </c>
      <c r="J707" s="149" t="s">
        <v>3747</v>
      </c>
      <c r="K707" s="158">
        <v>3</v>
      </c>
      <c r="L707" s="156" t="s">
        <v>46</v>
      </c>
      <c r="M707" s="149" t="s">
        <v>15417</v>
      </c>
      <c r="N707" s="157">
        <v>2</v>
      </c>
      <c r="O707" s="152"/>
      <c r="P707" s="149" t="s">
        <v>6642</v>
      </c>
      <c r="Q707" s="157">
        <v>2</v>
      </c>
      <c r="R707" s="156" t="s">
        <v>40</v>
      </c>
      <c r="S707" s="149" t="s">
        <v>21064</v>
      </c>
      <c r="T707" s="151">
        <v>4</v>
      </c>
      <c r="U707" s="156" t="s">
        <v>46</v>
      </c>
      <c r="V707" s="149" t="s">
        <v>22326</v>
      </c>
      <c r="W707" s="157">
        <v>2</v>
      </c>
      <c r="X707" s="152"/>
      <c r="Y707" s="149" t="s">
        <v>47</v>
      </c>
      <c r="Z707" s="153"/>
      <c r="AA707" s="152"/>
      <c r="AB707" s="154" t="s">
        <v>5363</v>
      </c>
    </row>
    <row r="708" spans="1:28" x14ac:dyDescent="0.2">
      <c r="A708" s="146" t="s">
        <v>7332</v>
      </c>
      <c r="B708" s="147" t="s">
        <v>6130</v>
      </c>
      <c r="C708" s="147" t="s">
        <v>6229</v>
      </c>
      <c r="D708" s="148"/>
      <c r="E708" s="149" t="s">
        <v>23528</v>
      </c>
      <c r="F708" s="150">
        <v>4</v>
      </c>
      <c r="G708" s="149" t="s">
        <v>23529</v>
      </c>
      <c r="H708" s="157">
        <v>2</v>
      </c>
      <c r="I708" s="152"/>
      <c r="J708" s="149" t="s">
        <v>23530</v>
      </c>
      <c r="K708" s="157">
        <v>2</v>
      </c>
      <c r="L708" s="156" t="s">
        <v>40</v>
      </c>
      <c r="M708" s="149" t="s">
        <v>23528</v>
      </c>
      <c r="N708" s="151">
        <v>4</v>
      </c>
      <c r="O708" s="152"/>
      <c r="P708" s="149" t="s">
        <v>23531</v>
      </c>
      <c r="Q708" s="158">
        <v>3</v>
      </c>
      <c r="R708" s="152"/>
      <c r="S708" s="149" t="s">
        <v>47</v>
      </c>
      <c r="T708" s="153"/>
      <c r="U708" s="152"/>
      <c r="V708" s="149" t="s">
        <v>47</v>
      </c>
      <c r="W708" s="153"/>
      <c r="X708" s="152"/>
      <c r="Y708" s="149" t="s">
        <v>47</v>
      </c>
      <c r="Z708" s="153"/>
      <c r="AA708" s="152"/>
      <c r="AB708" s="154" t="s">
        <v>5395</v>
      </c>
    </row>
    <row r="709" spans="1:28" x14ac:dyDescent="0.2">
      <c r="A709" s="146" t="s">
        <v>23532</v>
      </c>
      <c r="B709" s="147" t="s">
        <v>6130</v>
      </c>
      <c r="C709" s="147" t="s">
        <v>6229</v>
      </c>
      <c r="D709" s="148"/>
      <c r="E709" s="149" t="s">
        <v>23533</v>
      </c>
      <c r="F709" s="150">
        <v>4</v>
      </c>
      <c r="G709" s="149" t="s">
        <v>17510</v>
      </c>
      <c r="H709" s="158">
        <v>3</v>
      </c>
      <c r="I709" s="152"/>
      <c r="J709" s="149" t="s">
        <v>23534</v>
      </c>
      <c r="K709" s="158">
        <v>3</v>
      </c>
      <c r="L709" s="156" t="s">
        <v>40</v>
      </c>
      <c r="M709" s="149" t="s">
        <v>23533</v>
      </c>
      <c r="N709" s="151">
        <v>4</v>
      </c>
      <c r="O709" s="156" t="s">
        <v>46</v>
      </c>
      <c r="P709" s="149" t="s">
        <v>47</v>
      </c>
      <c r="Q709" s="153"/>
      <c r="R709" s="152"/>
      <c r="S709" s="149" t="s">
        <v>47</v>
      </c>
      <c r="T709" s="153"/>
      <c r="U709" s="152"/>
      <c r="V709" s="149" t="s">
        <v>47</v>
      </c>
      <c r="W709" s="153"/>
      <c r="X709" s="152"/>
      <c r="Y709" s="149" t="s">
        <v>47</v>
      </c>
      <c r="Z709" s="153"/>
      <c r="AA709" s="152"/>
      <c r="AB709" s="154" t="s">
        <v>5398</v>
      </c>
    </row>
    <row r="710" spans="1:28" x14ac:dyDescent="0.2">
      <c r="A710" s="146" t="s">
        <v>5403</v>
      </c>
      <c r="B710" s="147" t="s">
        <v>6130</v>
      </c>
      <c r="C710" s="147" t="s">
        <v>6247</v>
      </c>
      <c r="D710" s="148"/>
      <c r="E710" s="149" t="s">
        <v>47</v>
      </c>
      <c r="F710" s="152"/>
      <c r="G710" s="149" t="s">
        <v>23535</v>
      </c>
      <c r="H710" s="158">
        <v>3</v>
      </c>
      <c r="I710" s="152"/>
      <c r="J710" s="149" t="s">
        <v>23536</v>
      </c>
      <c r="K710" s="158">
        <v>3</v>
      </c>
      <c r="L710" s="152"/>
      <c r="M710" s="149" t="s">
        <v>47</v>
      </c>
      <c r="N710" s="153"/>
      <c r="O710" s="152"/>
      <c r="P710" s="149" t="s">
        <v>47</v>
      </c>
      <c r="Q710" s="153"/>
      <c r="R710" s="152"/>
      <c r="S710" s="149" t="s">
        <v>47</v>
      </c>
      <c r="T710" s="153"/>
      <c r="U710" s="152"/>
      <c r="V710" s="149" t="s">
        <v>47</v>
      </c>
      <c r="W710" s="153"/>
      <c r="X710" s="152"/>
      <c r="Y710" s="149" t="s">
        <v>47</v>
      </c>
      <c r="Z710" s="153"/>
      <c r="AA710" s="152"/>
      <c r="AB710" s="154" t="s">
        <v>5405</v>
      </c>
    </row>
    <row r="711" spans="1:28" x14ac:dyDescent="0.2">
      <c r="A711" s="146" t="s">
        <v>7333</v>
      </c>
      <c r="B711" s="147" t="s">
        <v>6130</v>
      </c>
      <c r="C711" s="147" t="s">
        <v>6247</v>
      </c>
      <c r="D711" s="148"/>
      <c r="E711" s="149" t="s">
        <v>23537</v>
      </c>
      <c r="F711" s="150">
        <v>4</v>
      </c>
      <c r="G711" s="149" t="s">
        <v>23538</v>
      </c>
      <c r="H711" s="157">
        <v>2</v>
      </c>
      <c r="I711" s="156" t="s">
        <v>40</v>
      </c>
      <c r="J711" s="149" t="s">
        <v>23539</v>
      </c>
      <c r="K711" s="158">
        <v>3</v>
      </c>
      <c r="L711" s="156" t="s">
        <v>40</v>
      </c>
      <c r="M711" s="149" t="s">
        <v>23537</v>
      </c>
      <c r="N711" s="151">
        <v>4</v>
      </c>
      <c r="O711" s="152"/>
      <c r="P711" s="149" t="s">
        <v>23540</v>
      </c>
      <c r="Q711" s="151">
        <v>4</v>
      </c>
      <c r="R711" s="152"/>
      <c r="S711" s="149" t="s">
        <v>47</v>
      </c>
      <c r="T711" s="153"/>
      <c r="U711" s="152"/>
      <c r="V711" s="149" t="s">
        <v>47</v>
      </c>
      <c r="W711" s="153"/>
      <c r="X711" s="152"/>
      <c r="Y711" s="149" t="s">
        <v>47</v>
      </c>
      <c r="Z711" s="153"/>
      <c r="AA711" s="152"/>
      <c r="AB711" s="154" t="s">
        <v>5412</v>
      </c>
    </row>
    <row r="712" spans="1:28" x14ac:dyDescent="0.2">
      <c r="A712" s="146" t="s">
        <v>5413</v>
      </c>
      <c r="B712" s="147" t="s">
        <v>6130</v>
      </c>
      <c r="C712" s="147" t="s">
        <v>6157</v>
      </c>
      <c r="D712" s="148"/>
      <c r="E712" s="149" t="s">
        <v>23541</v>
      </c>
      <c r="F712" s="159">
        <v>3</v>
      </c>
      <c r="G712" s="149" t="s">
        <v>23542</v>
      </c>
      <c r="H712" s="158">
        <v>3</v>
      </c>
      <c r="I712" s="152"/>
      <c r="J712" s="149" t="s">
        <v>23543</v>
      </c>
      <c r="K712" s="158">
        <v>3</v>
      </c>
      <c r="L712" s="152"/>
      <c r="M712" s="149" t="s">
        <v>23541</v>
      </c>
      <c r="N712" s="158">
        <v>3</v>
      </c>
      <c r="O712" s="152"/>
      <c r="P712" s="149" t="s">
        <v>23544</v>
      </c>
      <c r="Q712" s="157">
        <v>2</v>
      </c>
      <c r="R712" s="152"/>
      <c r="S712" s="149" t="s">
        <v>23545</v>
      </c>
      <c r="T712" s="157">
        <v>2</v>
      </c>
      <c r="U712" s="152"/>
      <c r="V712" s="149" t="s">
        <v>23546</v>
      </c>
      <c r="W712" s="157">
        <v>2</v>
      </c>
      <c r="X712" s="156" t="s">
        <v>40</v>
      </c>
      <c r="Y712" s="149" t="s">
        <v>23547</v>
      </c>
      <c r="Z712" s="158">
        <v>3</v>
      </c>
      <c r="AA712" s="152"/>
      <c r="AB712" s="154" t="s">
        <v>5414</v>
      </c>
    </row>
    <row r="713" spans="1:28" x14ac:dyDescent="0.2">
      <c r="A713" s="146" t="s">
        <v>5417</v>
      </c>
      <c r="B713" s="147" t="s">
        <v>6130</v>
      </c>
      <c r="C713" s="147" t="s">
        <v>6247</v>
      </c>
      <c r="D713" s="148"/>
      <c r="E713" s="149" t="s">
        <v>23548</v>
      </c>
      <c r="F713" s="159">
        <v>3</v>
      </c>
      <c r="G713" s="149" t="s">
        <v>23549</v>
      </c>
      <c r="H713" s="157">
        <v>2</v>
      </c>
      <c r="I713" s="156" t="s">
        <v>40</v>
      </c>
      <c r="J713" s="149" t="s">
        <v>23550</v>
      </c>
      <c r="K713" s="157">
        <v>2</v>
      </c>
      <c r="L713" s="156" t="s">
        <v>40</v>
      </c>
      <c r="M713" s="149" t="s">
        <v>23548</v>
      </c>
      <c r="N713" s="158">
        <v>3</v>
      </c>
      <c r="O713" s="156" t="s">
        <v>40</v>
      </c>
      <c r="P713" s="149" t="s">
        <v>23551</v>
      </c>
      <c r="Q713" s="158">
        <v>3</v>
      </c>
      <c r="R713" s="152"/>
      <c r="S713" s="149" t="s">
        <v>23552</v>
      </c>
      <c r="T713" s="157">
        <v>2</v>
      </c>
      <c r="U713" s="152"/>
      <c r="V713" s="149" t="s">
        <v>23553</v>
      </c>
      <c r="W713" s="157">
        <v>2</v>
      </c>
      <c r="X713" s="156" t="s">
        <v>40</v>
      </c>
      <c r="Y713" s="149" t="s">
        <v>7334</v>
      </c>
      <c r="Z713" s="155">
        <v>1</v>
      </c>
      <c r="AA713" s="152"/>
      <c r="AB713" s="154" t="s">
        <v>5418</v>
      </c>
    </row>
    <row r="714" spans="1:28" x14ac:dyDescent="0.2">
      <c r="A714" s="146" t="s">
        <v>5421</v>
      </c>
      <c r="B714" s="147" t="s">
        <v>6130</v>
      </c>
      <c r="C714" s="147" t="s">
        <v>6192</v>
      </c>
      <c r="D714" s="148"/>
      <c r="E714" s="149" t="s">
        <v>23554</v>
      </c>
      <c r="F714" s="150">
        <v>4</v>
      </c>
      <c r="G714" s="149" t="s">
        <v>23555</v>
      </c>
      <c r="H714" s="158">
        <v>3</v>
      </c>
      <c r="I714" s="156" t="s">
        <v>40</v>
      </c>
      <c r="J714" s="149" t="s">
        <v>23556</v>
      </c>
      <c r="K714" s="151">
        <v>4</v>
      </c>
      <c r="L714" s="152"/>
      <c r="M714" s="149" t="s">
        <v>23554</v>
      </c>
      <c r="N714" s="151">
        <v>4</v>
      </c>
      <c r="O714" s="156" t="s">
        <v>46</v>
      </c>
      <c r="P714" s="149" t="s">
        <v>23557</v>
      </c>
      <c r="Q714" s="157">
        <v>2</v>
      </c>
      <c r="R714" s="152"/>
      <c r="S714" s="149" t="s">
        <v>23558</v>
      </c>
      <c r="T714" s="155">
        <v>1</v>
      </c>
      <c r="U714" s="152"/>
      <c r="V714" s="149" t="s">
        <v>23559</v>
      </c>
      <c r="W714" s="155">
        <v>1</v>
      </c>
      <c r="X714" s="152"/>
      <c r="Y714" s="149" t="s">
        <v>7335</v>
      </c>
      <c r="Z714" s="155">
        <v>1</v>
      </c>
      <c r="AA714" s="152"/>
      <c r="AB714" s="154" t="s">
        <v>5422</v>
      </c>
    </row>
    <row r="715" spans="1:28" x14ac:dyDescent="0.2">
      <c r="A715" s="146" t="s">
        <v>5425</v>
      </c>
      <c r="B715" s="147" t="s">
        <v>6130</v>
      </c>
      <c r="C715" s="147" t="s">
        <v>6229</v>
      </c>
      <c r="D715" s="148"/>
      <c r="E715" s="149" t="s">
        <v>23560</v>
      </c>
      <c r="F715" s="150">
        <v>4</v>
      </c>
      <c r="G715" s="149" t="s">
        <v>23561</v>
      </c>
      <c r="H715" s="158">
        <v>3</v>
      </c>
      <c r="I715" s="152"/>
      <c r="J715" s="149" t="s">
        <v>23562</v>
      </c>
      <c r="K715" s="158">
        <v>3</v>
      </c>
      <c r="L715" s="156" t="s">
        <v>40</v>
      </c>
      <c r="M715" s="149" t="s">
        <v>23560</v>
      </c>
      <c r="N715" s="151">
        <v>4</v>
      </c>
      <c r="O715" s="152"/>
      <c r="P715" s="149" t="s">
        <v>23563</v>
      </c>
      <c r="Q715" s="158">
        <v>3</v>
      </c>
      <c r="R715" s="152"/>
      <c r="S715" s="149" t="s">
        <v>23564</v>
      </c>
      <c r="T715" s="157">
        <v>2</v>
      </c>
      <c r="U715" s="152"/>
      <c r="V715" s="149" t="s">
        <v>23565</v>
      </c>
      <c r="W715" s="157">
        <v>2</v>
      </c>
      <c r="X715" s="156" t="s">
        <v>40</v>
      </c>
      <c r="Y715" s="149" t="s">
        <v>19881</v>
      </c>
      <c r="Z715" s="157">
        <v>2</v>
      </c>
      <c r="AA715" s="152"/>
      <c r="AB715" s="154" t="s">
        <v>5427</v>
      </c>
    </row>
    <row r="716" spans="1:28" x14ac:dyDescent="0.2">
      <c r="A716" s="146" t="s">
        <v>7336</v>
      </c>
      <c r="B716" s="147" t="s">
        <v>6130</v>
      </c>
      <c r="C716" s="147" t="s">
        <v>6131</v>
      </c>
      <c r="D716" s="148"/>
      <c r="E716" s="149" t="s">
        <v>23566</v>
      </c>
      <c r="F716" s="159">
        <v>3</v>
      </c>
      <c r="G716" s="149" t="s">
        <v>23567</v>
      </c>
      <c r="H716" s="157">
        <v>2</v>
      </c>
      <c r="I716" s="156" t="s">
        <v>40</v>
      </c>
      <c r="J716" s="149" t="s">
        <v>23568</v>
      </c>
      <c r="K716" s="157">
        <v>2</v>
      </c>
      <c r="L716" s="156" t="s">
        <v>40</v>
      </c>
      <c r="M716" s="149" t="s">
        <v>23566</v>
      </c>
      <c r="N716" s="158">
        <v>3</v>
      </c>
      <c r="O716" s="152"/>
      <c r="P716" s="149" t="s">
        <v>23569</v>
      </c>
      <c r="Q716" s="158">
        <v>3</v>
      </c>
      <c r="R716" s="152"/>
      <c r="S716" s="149" t="s">
        <v>47</v>
      </c>
      <c r="T716" s="153"/>
      <c r="U716" s="152"/>
      <c r="V716" s="149" t="s">
        <v>47</v>
      </c>
      <c r="W716" s="153"/>
      <c r="X716" s="152"/>
      <c r="Y716" s="149" t="s">
        <v>47</v>
      </c>
      <c r="Z716" s="153"/>
      <c r="AA716" s="152"/>
      <c r="AB716" s="154" t="s">
        <v>5431</v>
      </c>
    </row>
    <row r="717" spans="1:28" x14ac:dyDescent="0.2">
      <c r="A717" s="146" t="s">
        <v>23570</v>
      </c>
      <c r="B717" s="147" t="s">
        <v>6130</v>
      </c>
      <c r="C717" s="147" t="s">
        <v>6247</v>
      </c>
      <c r="D717" s="148"/>
      <c r="E717" s="149" t="s">
        <v>23571</v>
      </c>
      <c r="F717" s="150">
        <v>4</v>
      </c>
      <c r="G717" s="149" t="s">
        <v>23572</v>
      </c>
      <c r="H717" s="158">
        <v>3</v>
      </c>
      <c r="I717" s="152"/>
      <c r="J717" s="149" t="s">
        <v>23573</v>
      </c>
      <c r="K717" s="158">
        <v>3</v>
      </c>
      <c r="L717" s="156" t="s">
        <v>40</v>
      </c>
      <c r="M717" s="149" t="s">
        <v>23571</v>
      </c>
      <c r="N717" s="151">
        <v>4</v>
      </c>
      <c r="O717" s="152"/>
      <c r="P717" s="149" t="s">
        <v>47</v>
      </c>
      <c r="Q717" s="153"/>
      <c r="R717" s="152"/>
      <c r="S717" s="149" t="s">
        <v>47</v>
      </c>
      <c r="T717" s="153"/>
      <c r="U717" s="152"/>
      <c r="V717" s="149" t="s">
        <v>47</v>
      </c>
      <c r="W717" s="153"/>
      <c r="X717" s="152"/>
      <c r="Y717" s="149" t="s">
        <v>47</v>
      </c>
      <c r="Z717" s="153"/>
      <c r="AA717" s="152"/>
      <c r="AB717" s="154" t="s">
        <v>5402</v>
      </c>
    </row>
    <row r="718" spans="1:28" x14ac:dyDescent="0.2">
      <c r="A718" s="146" t="s">
        <v>7337</v>
      </c>
      <c r="B718" s="147" t="s">
        <v>6130</v>
      </c>
      <c r="C718" s="147" t="s">
        <v>6229</v>
      </c>
      <c r="D718" s="148"/>
      <c r="E718" s="149" t="s">
        <v>23574</v>
      </c>
      <c r="F718" s="150">
        <v>4</v>
      </c>
      <c r="G718" s="149" t="s">
        <v>23575</v>
      </c>
      <c r="H718" s="158">
        <v>3</v>
      </c>
      <c r="I718" s="156" t="s">
        <v>46</v>
      </c>
      <c r="J718" s="149" t="s">
        <v>23576</v>
      </c>
      <c r="K718" s="158">
        <v>3</v>
      </c>
      <c r="L718" s="152"/>
      <c r="M718" s="149" t="s">
        <v>23574</v>
      </c>
      <c r="N718" s="151">
        <v>4</v>
      </c>
      <c r="O718" s="152"/>
      <c r="P718" s="149" t="s">
        <v>23577</v>
      </c>
      <c r="Q718" s="151">
        <v>4</v>
      </c>
      <c r="R718" s="152"/>
      <c r="S718" s="149" t="s">
        <v>47</v>
      </c>
      <c r="T718" s="153"/>
      <c r="U718" s="152"/>
      <c r="V718" s="149" t="s">
        <v>47</v>
      </c>
      <c r="W718" s="153"/>
      <c r="X718" s="152"/>
      <c r="Y718" s="149" t="s">
        <v>47</v>
      </c>
      <c r="Z718" s="153"/>
      <c r="AA718" s="152"/>
      <c r="AB718" s="154" t="s">
        <v>5433</v>
      </c>
    </row>
    <row r="719" spans="1:28" x14ac:dyDescent="0.2">
      <c r="A719" s="146" t="s">
        <v>7338</v>
      </c>
      <c r="B719" s="147" t="s">
        <v>6130</v>
      </c>
      <c r="C719" s="147" t="s">
        <v>6229</v>
      </c>
      <c r="D719" s="148"/>
      <c r="E719" s="149" t="s">
        <v>23578</v>
      </c>
      <c r="F719" s="159">
        <v>3</v>
      </c>
      <c r="G719" s="149" t="s">
        <v>23579</v>
      </c>
      <c r="H719" s="157">
        <v>2</v>
      </c>
      <c r="I719" s="152"/>
      <c r="J719" s="149" t="s">
        <v>23580</v>
      </c>
      <c r="K719" s="157">
        <v>2</v>
      </c>
      <c r="L719" s="156" t="s">
        <v>40</v>
      </c>
      <c r="M719" s="149" t="s">
        <v>23578</v>
      </c>
      <c r="N719" s="158">
        <v>3</v>
      </c>
      <c r="O719" s="156" t="s">
        <v>40</v>
      </c>
      <c r="P719" s="149" t="s">
        <v>23581</v>
      </c>
      <c r="Q719" s="151">
        <v>4</v>
      </c>
      <c r="R719" s="152"/>
      <c r="S719" s="149" t="s">
        <v>47</v>
      </c>
      <c r="T719" s="153"/>
      <c r="U719" s="152"/>
      <c r="V719" s="149" t="s">
        <v>47</v>
      </c>
      <c r="W719" s="153"/>
      <c r="X719" s="152"/>
      <c r="Y719" s="149" t="s">
        <v>47</v>
      </c>
      <c r="Z719" s="153"/>
      <c r="AA719" s="152"/>
      <c r="AB719" s="154" t="s">
        <v>5437</v>
      </c>
    </row>
    <row r="720" spans="1:28" x14ac:dyDescent="0.2">
      <c r="A720" s="146" t="s">
        <v>7339</v>
      </c>
      <c r="B720" s="147" t="s">
        <v>6130</v>
      </c>
      <c r="C720" s="147" t="s">
        <v>6229</v>
      </c>
      <c r="D720" s="148"/>
      <c r="E720" s="149" t="s">
        <v>23582</v>
      </c>
      <c r="F720" s="150">
        <v>4</v>
      </c>
      <c r="G720" s="149" t="s">
        <v>8002</v>
      </c>
      <c r="H720" s="157">
        <v>2</v>
      </c>
      <c r="I720" s="156" t="s">
        <v>46</v>
      </c>
      <c r="J720" s="149" t="s">
        <v>23583</v>
      </c>
      <c r="K720" s="155">
        <v>1</v>
      </c>
      <c r="L720" s="156" t="s">
        <v>40</v>
      </c>
      <c r="M720" s="149" t="s">
        <v>23582</v>
      </c>
      <c r="N720" s="151">
        <v>4</v>
      </c>
      <c r="O720" s="152"/>
      <c r="P720" s="149" t="s">
        <v>47</v>
      </c>
      <c r="Q720" s="153"/>
      <c r="R720" s="152"/>
      <c r="S720" s="149" t="s">
        <v>47</v>
      </c>
      <c r="T720" s="153"/>
      <c r="U720" s="152"/>
      <c r="V720" s="149" t="s">
        <v>47</v>
      </c>
      <c r="W720" s="153"/>
      <c r="X720" s="152"/>
      <c r="Y720" s="149" t="s">
        <v>47</v>
      </c>
      <c r="Z720" s="153"/>
      <c r="AA720" s="152"/>
      <c r="AB720" s="154" t="s">
        <v>5435</v>
      </c>
    </row>
    <row r="721" spans="1:28" x14ac:dyDescent="0.2">
      <c r="A721" s="146" t="s">
        <v>7340</v>
      </c>
      <c r="B721" s="147" t="s">
        <v>6130</v>
      </c>
      <c r="C721" s="147" t="s">
        <v>6229</v>
      </c>
      <c r="D721" s="148"/>
      <c r="E721" s="149" t="s">
        <v>47</v>
      </c>
      <c r="F721" s="152"/>
      <c r="G721" s="149" t="s">
        <v>13879</v>
      </c>
      <c r="H721" s="157">
        <v>2</v>
      </c>
      <c r="I721" s="156" t="s">
        <v>40</v>
      </c>
      <c r="J721" s="149" t="s">
        <v>23584</v>
      </c>
      <c r="K721" s="158">
        <v>3</v>
      </c>
      <c r="L721" s="152"/>
      <c r="M721" s="149" t="s">
        <v>47</v>
      </c>
      <c r="N721" s="153"/>
      <c r="O721" s="152"/>
      <c r="P721" s="149" t="s">
        <v>47</v>
      </c>
      <c r="Q721" s="153"/>
      <c r="R721" s="152"/>
      <c r="S721" s="149" t="s">
        <v>47</v>
      </c>
      <c r="T721" s="153"/>
      <c r="U721" s="152"/>
      <c r="V721" s="149" t="s">
        <v>47</v>
      </c>
      <c r="W721" s="153"/>
      <c r="X721" s="152"/>
      <c r="Y721" s="149" t="s">
        <v>47</v>
      </c>
      <c r="Z721" s="153"/>
      <c r="AA721" s="152"/>
      <c r="AB721" s="154" t="s">
        <v>7341</v>
      </c>
    </row>
    <row r="722" spans="1:28" x14ac:dyDescent="0.2">
      <c r="A722" s="146" t="s">
        <v>7342</v>
      </c>
      <c r="B722" s="147" t="s">
        <v>6130</v>
      </c>
      <c r="C722" s="147" t="s">
        <v>6131</v>
      </c>
      <c r="D722" s="148"/>
      <c r="E722" s="149" t="s">
        <v>23585</v>
      </c>
      <c r="F722" s="161">
        <v>1</v>
      </c>
      <c r="G722" s="149" t="s">
        <v>23586</v>
      </c>
      <c r="H722" s="151">
        <v>4</v>
      </c>
      <c r="I722" s="156" t="s">
        <v>44</v>
      </c>
      <c r="J722" s="149" t="s">
        <v>23587</v>
      </c>
      <c r="K722" s="157">
        <v>2</v>
      </c>
      <c r="L722" s="156" t="s">
        <v>46</v>
      </c>
      <c r="M722" s="149" t="s">
        <v>23585</v>
      </c>
      <c r="N722" s="155">
        <v>1</v>
      </c>
      <c r="O722" s="152"/>
      <c r="P722" s="149" t="s">
        <v>23588</v>
      </c>
      <c r="Q722" s="155">
        <v>1</v>
      </c>
      <c r="R722" s="152"/>
      <c r="S722" s="149" t="s">
        <v>47</v>
      </c>
      <c r="T722" s="153"/>
      <c r="U722" s="152"/>
      <c r="V722" s="149" t="s">
        <v>47</v>
      </c>
      <c r="W722" s="153"/>
      <c r="X722" s="152"/>
      <c r="Y722" s="149" t="s">
        <v>47</v>
      </c>
      <c r="Z722" s="153"/>
      <c r="AA722" s="152"/>
      <c r="AB722" s="154" t="s">
        <v>5588</v>
      </c>
    </row>
    <row r="723" spans="1:28" x14ac:dyDescent="0.2">
      <c r="A723" s="146" t="s">
        <v>7343</v>
      </c>
      <c r="B723" s="147" t="s">
        <v>6130</v>
      </c>
      <c r="C723" s="147" t="s">
        <v>6131</v>
      </c>
      <c r="D723" s="148"/>
      <c r="E723" s="149" t="s">
        <v>23589</v>
      </c>
      <c r="F723" s="161">
        <v>1</v>
      </c>
      <c r="G723" s="149" t="s">
        <v>23590</v>
      </c>
      <c r="H723" s="155">
        <v>1</v>
      </c>
      <c r="I723" s="156" t="s">
        <v>40</v>
      </c>
      <c r="J723" s="149" t="s">
        <v>23591</v>
      </c>
      <c r="K723" s="155">
        <v>1</v>
      </c>
      <c r="L723" s="152"/>
      <c r="M723" s="149" t="s">
        <v>23589</v>
      </c>
      <c r="N723" s="155">
        <v>1</v>
      </c>
      <c r="O723" s="152"/>
      <c r="P723" s="149" t="s">
        <v>23592</v>
      </c>
      <c r="Q723" s="155">
        <v>1</v>
      </c>
      <c r="R723" s="152"/>
      <c r="S723" s="149" t="s">
        <v>23593</v>
      </c>
      <c r="T723" s="155">
        <v>1</v>
      </c>
      <c r="U723" s="152"/>
      <c r="V723" s="149" t="s">
        <v>47</v>
      </c>
      <c r="W723" s="153"/>
      <c r="X723" s="152"/>
      <c r="Y723" s="149" t="s">
        <v>47</v>
      </c>
      <c r="Z723" s="153"/>
      <c r="AA723" s="152"/>
      <c r="AB723" s="154" t="s">
        <v>5439</v>
      </c>
    </row>
    <row r="724" spans="1:28" x14ac:dyDescent="0.2">
      <c r="A724" s="146" t="s">
        <v>7344</v>
      </c>
      <c r="B724" s="147" t="s">
        <v>6130</v>
      </c>
      <c r="C724" s="147" t="s">
        <v>7345</v>
      </c>
      <c r="D724" s="148" t="s">
        <v>6170</v>
      </c>
      <c r="E724" s="149" t="s">
        <v>12100</v>
      </c>
      <c r="F724" s="160">
        <v>2</v>
      </c>
      <c r="G724" s="149" t="s">
        <v>23594</v>
      </c>
      <c r="H724" s="155">
        <v>1</v>
      </c>
      <c r="I724" s="152"/>
      <c r="J724" s="149" t="s">
        <v>23595</v>
      </c>
      <c r="K724" s="155">
        <v>1</v>
      </c>
      <c r="L724" s="152"/>
      <c r="M724" s="149" t="s">
        <v>12100</v>
      </c>
      <c r="N724" s="157">
        <v>2</v>
      </c>
      <c r="O724" s="152"/>
      <c r="P724" s="149" t="s">
        <v>23596</v>
      </c>
      <c r="Q724" s="157">
        <v>2</v>
      </c>
      <c r="R724" s="156" t="s">
        <v>40</v>
      </c>
      <c r="S724" s="149" t="s">
        <v>23597</v>
      </c>
      <c r="T724" s="158">
        <v>3</v>
      </c>
      <c r="U724" s="152"/>
      <c r="V724" s="149" t="s">
        <v>47</v>
      </c>
      <c r="W724" s="153"/>
      <c r="X724" s="152"/>
      <c r="Y724" s="149" t="s">
        <v>47</v>
      </c>
      <c r="Z724" s="153"/>
      <c r="AA724" s="152"/>
      <c r="AB724" s="154" t="s">
        <v>5441</v>
      </c>
    </row>
    <row r="725" spans="1:28" x14ac:dyDescent="0.2">
      <c r="A725" s="146" t="s">
        <v>7346</v>
      </c>
      <c r="B725" s="147" t="s">
        <v>6130</v>
      </c>
      <c r="C725" s="147" t="s">
        <v>6131</v>
      </c>
      <c r="D725" s="148"/>
      <c r="E725" s="149" t="s">
        <v>23598</v>
      </c>
      <c r="F725" s="161">
        <v>1</v>
      </c>
      <c r="G725" s="149" t="s">
        <v>23599</v>
      </c>
      <c r="H725" s="151">
        <v>4</v>
      </c>
      <c r="I725" s="156" t="s">
        <v>44</v>
      </c>
      <c r="J725" s="149" t="s">
        <v>23600</v>
      </c>
      <c r="K725" s="157">
        <v>2</v>
      </c>
      <c r="L725" s="156" t="s">
        <v>46</v>
      </c>
      <c r="M725" s="149" t="s">
        <v>23598</v>
      </c>
      <c r="N725" s="155">
        <v>1</v>
      </c>
      <c r="O725" s="152"/>
      <c r="P725" s="149" t="s">
        <v>23601</v>
      </c>
      <c r="Q725" s="155">
        <v>1</v>
      </c>
      <c r="R725" s="152"/>
      <c r="S725" s="149" t="s">
        <v>47</v>
      </c>
      <c r="T725" s="153"/>
      <c r="U725" s="152"/>
      <c r="V725" s="149" t="s">
        <v>47</v>
      </c>
      <c r="W725" s="153"/>
      <c r="X725" s="152"/>
      <c r="Y725" s="149" t="s">
        <v>47</v>
      </c>
      <c r="Z725" s="153"/>
      <c r="AA725" s="152"/>
      <c r="AB725" s="154" t="s">
        <v>5445</v>
      </c>
    </row>
    <row r="726" spans="1:28" x14ac:dyDescent="0.2">
      <c r="A726" s="146" t="s">
        <v>7347</v>
      </c>
      <c r="B726" s="147" t="s">
        <v>6130</v>
      </c>
      <c r="C726" s="147" t="s">
        <v>6131</v>
      </c>
      <c r="D726" s="148"/>
      <c r="E726" s="149" t="s">
        <v>7348</v>
      </c>
      <c r="F726" s="161">
        <v>1</v>
      </c>
      <c r="G726" s="149" t="s">
        <v>23602</v>
      </c>
      <c r="H726" s="151">
        <v>4</v>
      </c>
      <c r="I726" s="156" t="s">
        <v>44</v>
      </c>
      <c r="J726" s="149" t="s">
        <v>23603</v>
      </c>
      <c r="K726" s="157">
        <v>2</v>
      </c>
      <c r="L726" s="156" t="s">
        <v>46</v>
      </c>
      <c r="M726" s="149" t="s">
        <v>7348</v>
      </c>
      <c r="N726" s="155">
        <v>1</v>
      </c>
      <c r="O726" s="152"/>
      <c r="P726" s="149" t="s">
        <v>23604</v>
      </c>
      <c r="Q726" s="155">
        <v>1</v>
      </c>
      <c r="R726" s="152"/>
      <c r="S726" s="149" t="s">
        <v>47</v>
      </c>
      <c r="T726" s="153"/>
      <c r="U726" s="152"/>
      <c r="V726" s="149" t="s">
        <v>47</v>
      </c>
      <c r="W726" s="153"/>
      <c r="X726" s="152"/>
      <c r="Y726" s="149" t="s">
        <v>47</v>
      </c>
      <c r="Z726" s="153"/>
      <c r="AA726" s="152"/>
      <c r="AB726" s="154" t="s">
        <v>5447</v>
      </c>
    </row>
    <row r="727" spans="1:28" x14ac:dyDescent="0.2">
      <c r="A727" s="146" t="s">
        <v>7349</v>
      </c>
      <c r="B727" s="147" t="s">
        <v>6130</v>
      </c>
      <c r="C727" s="147" t="s">
        <v>6203</v>
      </c>
      <c r="D727" s="148" t="s">
        <v>6170</v>
      </c>
      <c r="E727" s="149" t="s">
        <v>23605</v>
      </c>
      <c r="F727" s="160">
        <v>2</v>
      </c>
      <c r="G727" s="149" t="s">
        <v>23606</v>
      </c>
      <c r="H727" s="151">
        <v>4</v>
      </c>
      <c r="I727" s="156" t="s">
        <v>44</v>
      </c>
      <c r="J727" s="149" t="s">
        <v>23607</v>
      </c>
      <c r="K727" s="157">
        <v>2</v>
      </c>
      <c r="L727" s="152"/>
      <c r="M727" s="149" t="s">
        <v>23605</v>
      </c>
      <c r="N727" s="157">
        <v>2</v>
      </c>
      <c r="O727" s="156" t="s">
        <v>40</v>
      </c>
      <c r="P727" s="149" t="s">
        <v>23608</v>
      </c>
      <c r="Q727" s="151">
        <v>4</v>
      </c>
      <c r="R727" s="152"/>
      <c r="S727" s="149" t="s">
        <v>23609</v>
      </c>
      <c r="T727" s="151">
        <v>4</v>
      </c>
      <c r="U727" s="152"/>
      <c r="V727" s="149" t="s">
        <v>23610</v>
      </c>
      <c r="W727" s="158">
        <v>3</v>
      </c>
      <c r="X727" s="152"/>
      <c r="Y727" s="149" t="s">
        <v>23611</v>
      </c>
      <c r="Z727" s="151">
        <v>4</v>
      </c>
      <c r="AA727" s="152"/>
      <c r="AB727" s="154" t="s">
        <v>5449</v>
      </c>
    </row>
    <row r="728" spans="1:28" x14ac:dyDescent="0.2">
      <c r="A728" s="146" t="s">
        <v>7350</v>
      </c>
      <c r="B728" s="147" t="s">
        <v>6130</v>
      </c>
      <c r="C728" s="147" t="s">
        <v>6157</v>
      </c>
      <c r="D728" s="148" t="s">
        <v>6160</v>
      </c>
      <c r="E728" s="149" t="s">
        <v>23612</v>
      </c>
      <c r="F728" s="161">
        <v>1</v>
      </c>
      <c r="G728" s="149" t="s">
        <v>23613</v>
      </c>
      <c r="H728" s="151">
        <v>4</v>
      </c>
      <c r="I728" s="156" t="s">
        <v>44</v>
      </c>
      <c r="J728" s="149" t="s">
        <v>23614</v>
      </c>
      <c r="K728" s="155">
        <v>1</v>
      </c>
      <c r="L728" s="152"/>
      <c r="M728" s="149" t="s">
        <v>23612</v>
      </c>
      <c r="N728" s="155">
        <v>1</v>
      </c>
      <c r="O728" s="152"/>
      <c r="P728" s="149" t="s">
        <v>23615</v>
      </c>
      <c r="Q728" s="155">
        <v>1</v>
      </c>
      <c r="R728" s="156" t="s">
        <v>40</v>
      </c>
      <c r="S728" s="149" t="s">
        <v>23616</v>
      </c>
      <c r="T728" s="158">
        <v>3</v>
      </c>
      <c r="U728" s="156" t="s">
        <v>40</v>
      </c>
      <c r="V728" s="149" t="s">
        <v>23617</v>
      </c>
      <c r="W728" s="151">
        <v>4</v>
      </c>
      <c r="X728" s="156" t="s">
        <v>46</v>
      </c>
      <c r="Y728" s="149" t="s">
        <v>23618</v>
      </c>
      <c r="Z728" s="151">
        <v>4</v>
      </c>
      <c r="AA728" s="152"/>
      <c r="AB728" s="154" t="s">
        <v>5451</v>
      </c>
    </row>
    <row r="729" spans="1:28" x14ac:dyDescent="0.2">
      <c r="A729" s="146" t="s">
        <v>7351</v>
      </c>
      <c r="B729" s="147" t="s">
        <v>6130</v>
      </c>
      <c r="C729" s="147" t="s">
        <v>6159</v>
      </c>
      <c r="D729" s="148" t="s">
        <v>6132</v>
      </c>
      <c r="E729" s="149" t="s">
        <v>23619</v>
      </c>
      <c r="F729" s="159">
        <v>3</v>
      </c>
      <c r="G729" s="149" t="s">
        <v>23620</v>
      </c>
      <c r="H729" s="158">
        <v>3</v>
      </c>
      <c r="I729" s="156" t="s">
        <v>40</v>
      </c>
      <c r="J729" s="149" t="s">
        <v>23621</v>
      </c>
      <c r="K729" s="158">
        <v>3</v>
      </c>
      <c r="L729" s="152"/>
      <c r="M729" s="149" t="s">
        <v>23619</v>
      </c>
      <c r="N729" s="158">
        <v>3</v>
      </c>
      <c r="O729" s="152"/>
      <c r="P729" s="149" t="s">
        <v>23622</v>
      </c>
      <c r="Q729" s="158">
        <v>3</v>
      </c>
      <c r="R729" s="152"/>
      <c r="S729" s="149" t="s">
        <v>23623</v>
      </c>
      <c r="T729" s="157">
        <v>2</v>
      </c>
      <c r="U729" s="152"/>
      <c r="V729" s="149" t="s">
        <v>23624</v>
      </c>
      <c r="W729" s="157">
        <v>2</v>
      </c>
      <c r="X729" s="152"/>
      <c r="Y729" s="149" t="s">
        <v>23625</v>
      </c>
      <c r="Z729" s="157">
        <v>2</v>
      </c>
      <c r="AA729" s="152"/>
      <c r="AB729" s="154" t="s">
        <v>5452</v>
      </c>
    </row>
    <row r="730" spans="1:28" x14ac:dyDescent="0.2">
      <c r="A730" s="146" t="s">
        <v>7352</v>
      </c>
      <c r="B730" s="147" t="s">
        <v>6130</v>
      </c>
      <c r="C730" s="147" t="s">
        <v>6227</v>
      </c>
      <c r="D730" s="148" t="s">
        <v>6132</v>
      </c>
      <c r="E730" s="149" t="s">
        <v>23626</v>
      </c>
      <c r="F730" s="150">
        <v>4</v>
      </c>
      <c r="G730" s="149" t="s">
        <v>23627</v>
      </c>
      <c r="H730" s="158">
        <v>3</v>
      </c>
      <c r="I730" s="156" t="s">
        <v>46</v>
      </c>
      <c r="J730" s="149" t="s">
        <v>23628</v>
      </c>
      <c r="K730" s="158">
        <v>3</v>
      </c>
      <c r="L730" s="152"/>
      <c r="M730" s="149" t="s">
        <v>23626</v>
      </c>
      <c r="N730" s="151">
        <v>4</v>
      </c>
      <c r="O730" s="156" t="s">
        <v>46</v>
      </c>
      <c r="P730" s="149" t="s">
        <v>23629</v>
      </c>
      <c r="Q730" s="158">
        <v>3</v>
      </c>
      <c r="R730" s="152"/>
      <c r="S730" s="149" t="s">
        <v>23630</v>
      </c>
      <c r="T730" s="157">
        <v>2</v>
      </c>
      <c r="U730" s="152"/>
      <c r="V730" s="149" t="s">
        <v>23631</v>
      </c>
      <c r="W730" s="158">
        <v>3</v>
      </c>
      <c r="X730" s="152"/>
      <c r="Y730" s="149" t="s">
        <v>23632</v>
      </c>
      <c r="Z730" s="157">
        <v>2</v>
      </c>
      <c r="AA730" s="152"/>
      <c r="AB730" s="154" t="s">
        <v>5454</v>
      </c>
    </row>
    <row r="731" spans="1:28" x14ac:dyDescent="0.2">
      <c r="A731" s="146" t="s">
        <v>5457</v>
      </c>
      <c r="B731" s="147" t="s">
        <v>6130</v>
      </c>
      <c r="C731" s="147" t="s">
        <v>6203</v>
      </c>
      <c r="D731" s="148" t="s">
        <v>6136</v>
      </c>
      <c r="E731" s="149" t="s">
        <v>23633</v>
      </c>
      <c r="F731" s="160">
        <v>2</v>
      </c>
      <c r="G731" s="149" t="s">
        <v>23634</v>
      </c>
      <c r="H731" s="158">
        <v>3</v>
      </c>
      <c r="I731" s="156" t="s">
        <v>55</v>
      </c>
      <c r="J731" s="149" t="s">
        <v>23635</v>
      </c>
      <c r="K731" s="157">
        <v>2</v>
      </c>
      <c r="L731" s="152"/>
      <c r="M731" s="149" t="s">
        <v>23633</v>
      </c>
      <c r="N731" s="157">
        <v>2</v>
      </c>
      <c r="O731" s="152"/>
      <c r="P731" s="149" t="s">
        <v>23636</v>
      </c>
      <c r="Q731" s="158">
        <v>3</v>
      </c>
      <c r="R731" s="152"/>
      <c r="S731" s="149" t="s">
        <v>23637</v>
      </c>
      <c r="T731" s="157">
        <v>2</v>
      </c>
      <c r="U731" s="152"/>
      <c r="V731" s="149" t="s">
        <v>23638</v>
      </c>
      <c r="W731" s="158">
        <v>3</v>
      </c>
      <c r="X731" s="152"/>
      <c r="Y731" s="149" t="s">
        <v>23639</v>
      </c>
      <c r="Z731" s="151">
        <v>4</v>
      </c>
      <c r="AA731" s="152"/>
      <c r="AB731" s="154" t="s">
        <v>5458</v>
      </c>
    </row>
    <row r="732" spans="1:28" x14ac:dyDescent="0.2">
      <c r="A732" s="146" t="s">
        <v>7353</v>
      </c>
      <c r="B732" s="147" t="s">
        <v>6130</v>
      </c>
      <c r="C732" s="147" t="s">
        <v>6206</v>
      </c>
      <c r="D732" s="148" t="s">
        <v>6136</v>
      </c>
      <c r="E732" s="149" t="s">
        <v>23640</v>
      </c>
      <c r="F732" s="159">
        <v>3</v>
      </c>
      <c r="G732" s="149" t="s">
        <v>23641</v>
      </c>
      <c r="H732" s="151">
        <v>4</v>
      </c>
      <c r="I732" s="156" t="s">
        <v>55</v>
      </c>
      <c r="J732" s="149" t="s">
        <v>23642</v>
      </c>
      <c r="K732" s="158">
        <v>3</v>
      </c>
      <c r="L732" s="156" t="s">
        <v>46</v>
      </c>
      <c r="M732" s="149" t="s">
        <v>23640</v>
      </c>
      <c r="N732" s="158">
        <v>3</v>
      </c>
      <c r="O732" s="156" t="s">
        <v>46</v>
      </c>
      <c r="P732" s="149" t="s">
        <v>23643</v>
      </c>
      <c r="Q732" s="158">
        <v>3</v>
      </c>
      <c r="R732" s="152"/>
      <c r="S732" s="149" t="s">
        <v>23644</v>
      </c>
      <c r="T732" s="158">
        <v>3</v>
      </c>
      <c r="U732" s="152"/>
      <c r="V732" s="149" t="s">
        <v>23645</v>
      </c>
      <c r="W732" s="158">
        <v>3</v>
      </c>
      <c r="X732" s="152"/>
      <c r="Y732" s="149" t="s">
        <v>23646</v>
      </c>
      <c r="Z732" s="158">
        <v>3</v>
      </c>
      <c r="AA732" s="152"/>
      <c r="AB732" s="154" t="s">
        <v>5461</v>
      </c>
    </row>
    <row r="733" spans="1:28" x14ac:dyDescent="0.2">
      <c r="A733" s="146" t="s">
        <v>7354</v>
      </c>
      <c r="B733" s="147" t="s">
        <v>6130</v>
      </c>
      <c r="C733" s="147" t="s">
        <v>6213</v>
      </c>
      <c r="D733" s="148" t="s">
        <v>6136</v>
      </c>
      <c r="E733" s="149" t="s">
        <v>18234</v>
      </c>
      <c r="F733" s="160">
        <v>2</v>
      </c>
      <c r="G733" s="149" t="s">
        <v>23647</v>
      </c>
      <c r="H733" s="151">
        <v>4</v>
      </c>
      <c r="I733" s="156" t="s">
        <v>55</v>
      </c>
      <c r="J733" s="149" t="s">
        <v>18234</v>
      </c>
      <c r="K733" s="157">
        <v>2</v>
      </c>
      <c r="L733" s="152"/>
      <c r="M733" s="149" t="s">
        <v>18234</v>
      </c>
      <c r="N733" s="157">
        <v>2</v>
      </c>
      <c r="O733" s="152"/>
      <c r="P733" s="149" t="s">
        <v>23648</v>
      </c>
      <c r="Q733" s="158">
        <v>3</v>
      </c>
      <c r="R733" s="152"/>
      <c r="S733" s="149" t="s">
        <v>23649</v>
      </c>
      <c r="T733" s="158">
        <v>3</v>
      </c>
      <c r="U733" s="152"/>
      <c r="V733" s="149" t="s">
        <v>23650</v>
      </c>
      <c r="W733" s="157">
        <v>2</v>
      </c>
      <c r="X733" s="152"/>
      <c r="Y733" s="149" t="s">
        <v>14878</v>
      </c>
      <c r="Z733" s="158">
        <v>3</v>
      </c>
      <c r="AA733" s="152"/>
      <c r="AB733" s="154" t="s">
        <v>5463</v>
      </c>
    </row>
    <row r="734" spans="1:28" x14ac:dyDescent="0.2">
      <c r="A734" s="146" t="s">
        <v>7355</v>
      </c>
      <c r="B734" s="147" t="s">
        <v>6130</v>
      </c>
      <c r="C734" s="147" t="s">
        <v>6210</v>
      </c>
      <c r="D734" s="148" t="s">
        <v>6160</v>
      </c>
      <c r="E734" s="149" t="s">
        <v>23651</v>
      </c>
      <c r="F734" s="159">
        <v>3</v>
      </c>
      <c r="G734" s="149" t="s">
        <v>23652</v>
      </c>
      <c r="H734" s="151">
        <v>4</v>
      </c>
      <c r="I734" s="156" t="s">
        <v>55</v>
      </c>
      <c r="J734" s="149" t="s">
        <v>23653</v>
      </c>
      <c r="K734" s="157">
        <v>2</v>
      </c>
      <c r="L734" s="152"/>
      <c r="M734" s="149" t="s">
        <v>23651</v>
      </c>
      <c r="N734" s="158">
        <v>3</v>
      </c>
      <c r="O734" s="152"/>
      <c r="P734" s="149" t="s">
        <v>23654</v>
      </c>
      <c r="Q734" s="151">
        <v>4</v>
      </c>
      <c r="R734" s="152"/>
      <c r="S734" s="149" t="s">
        <v>23655</v>
      </c>
      <c r="T734" s="151">
        <v>4</v>
      </c>
      <c r="U734" s="152"/>
      <c r="V734" s="149" t="s">
        <v>23656</v>
      </c>
      <c r="W734" s="158">
        <v>3</v>
      </c>
      <c r="X734" s="152"/>
      <c r="Y734" s="149" t="s">
        <v>18536</v>
      </c>
      <c r="Z734" s="158">
        <v>3</v>
      </c>
      <c r="AA734" s="152"/>
      <c r="AB734" s="154" t="s">
        <v>5467</v>
      </c>
    </row>
    <row r="735" spans="1:28" x14ac:dyDescent="0.2">
      <c r="A735" s="146" t="s">
        <v>7356</v>
      </c>
      <c r="B735" s="147" t="s">
        <v>6130</v>
      </c>
      <c r="C735" s="147" t="s">
        <v>6416</v>
      </c>
      <c r="D735" s="148" t="s">
        <v>6170</v>
      </c>
      <c r="E735" s="149" t="s">
        <v>23657</v>
      </c>
      <c r="F735" s="159">
        <v>3</v>
      </c>
      <c r="G735" s="149" t="s">
        <v>23658</v>
      </c>
      <c r="H735" s="151">
        <v>4</v>
      </c>
      <c r="I735" s="156" t="s">
        <v>55</v>
      </c>
      <c r="J735" s="149" t="s">
        <v>23659</v>
      </c>
      <c r="K735" s="158">
        <v>3</v>
      </c>
      <c r="L735" s="156" t="s">
        <v>46</v>
      </c>
      <c r="M735" s="149" t="s">
        <v>23657</v>
      </c>
      <c r="N735" s="158">
        <v>3</v>
      </c>
      <c r="O735" s="152"/>
      <c r="P735" s="149" t="s">
        <v>7357</v>
      </c>
      <c r="Q735" s="158">
        <v>3</v>
      </c>
      <c r="R735" s="156" t="s">
        <v>40</v>
      </c>
      <c r="S735" s="149" t="s">
        <v>23660</v>
      </c>
      <c r="T735" s="151">
        <v>4</v>
      </c>
      <c r="U735" s="152"/>
      <c r="V735" s="149" t="s">
        <v>23661</v>
      </c>
      <c r="W735" s="151">
        <v>4</v>
      </c>
      <c r="X735" s="152"/>
      <c r="Y735" s="149" t="s">
        <v>23662</v>
      </c>
      <c r="Z735" s="151">
        <v>4</v>
      </c>
      <c r="AA735" s="152"/>
      <c r="AB735" s="154" t="s">
        <v>5470</v>
      </c>
    </row>
    <row r="736" spans="1:28" x14ac:dyDescent="0.2">
      <c r="A736" s="146" t="s">
        <v>5471</v>
      </c>
      <c r="B736" s="147" t="s">
        <v>6130</v>
      </c>
      <c r="C736" s="147" t="s">
        <v>6157</v>
      </c>
      <c r="D736" s="148" t="s">
        <v>6136</v>
      </c>
      <c r="E736" s="149" t="s">
        <v>23663</v>
      </c>
      <c r="F736" s="150">
        <v>4</v>
      </c>
      <c r="G736" s="149" t="s">
        <v>23664</v>
      </c>
      <c r="H736" s="158">
        <v>3</v>
      </c>
      <c r="I736" s="152"/>
      <c r="J736" s="149" t="s">
        <v>23665</v>
      </c>
      <c r="K736" s="151">
        <v>4</v>
      </c>
      <c r="L736" s="156" t="s">
        <v>46</v>
      </c>
      <c r="M736" s="149" t="s">
        <v>23663</v>
      </c>
      <c r="N736" s="151">
        <v>4</v>
      </c>
      <c r="O736" s="156" t="s">
        <v>46</v>
      </c>
      <c r="P736" s="149" t="s">
        <v>23666</v>
      </c>
      <c r="Q736" s="158">
        <v>3</v>
      </c>
      <c r="R736" s="152"/>
      <c r="S736" s="149" t="s">
        <v>23667</v>
      </c>
      <c r="T736" s="157">
        <v>2</v>
      </c>
      <c r="U736" s="152"/>
      <c r="V736" s="149" t="s">
        <v>23668</v>
      </c>
      <c r="W736" s="158">
        <v>3</v>
      </c>
      <c r="X736" s="152"/>
      <c r="Y736" s="149" t="s">
        <v>23669</v>
      </c>
      <c r="Z736" s="158">
        <v>3</v>
      </c>
      <c r="AA736" s="152"/>
      <c r="AB736" s="154" t="s">
        <v>5472</v>
      </c>
    </row>
    <row r="737" spans="1:28" x14ac:dyDescent="0.2">
      <c r="A737" s="146" t="s">
        <v>7358</v>
      </c>
      <c r="B737" s="147" t="s">
        <v>6130</v>
      </c>
      <c r="C737" s="147" t="s">
        <v>6157</v>
      </c>
      <c r="D737" s="148" t="s">
        <v>6160</v>
      </c>
      <c r="E737" s="149" t="s">
        <v>23670</v>
      </c>
      <c r="F737" s="161">
        <v>1</v>
      </c>
      <c r="G737" s="149" t="s">
        <v>23671</v>
      </c>
      <c r="H737" s="155">
        <v>1</v>
      </c>
      <c r="I737" s="152"/>
      <c r="J737" s="149" t="s">
        <v>23672</v>
      </c>
      <c r="K737" s="155">
        <v>1</v>
      </c>
      <c r="L737" s="156" t="s">
        <v>40</v>
      </c>
      <c r="M737" s="149" t="s">
        <v>23670</v>
      </c>
      <c r="N737" s="155">
        <v>1</v>
      </c>
      <c r="O737" s="152"/>
      <c r="P737" s="149" t="s">
        <v>23673</v>
      </c>
      <c r="Q737" s="155">
        <v>1</v>
      </c>
      <c r="R737" s="152"/>
      <c r="S737" s="149" t="s">
        <v>23674</v>
      </c>
      <c r="T737" s="157">
        <v>2</v>
      </c>
      <c r="U737" s="152"/>
      <c r="V737" s="149" t="s">
        <v>23675</v>
      </c>
      <c r="W737" s="157">
        <v>2</v>
      </c>
      <c r="X737" s="152"/>
      <c r="Y737" s="149" t="s">
        <v>23676</v>
      </c>
      <c r="Z737" s="157">
        <v>2</v>
      </c>
      <c r="AA737" s="152"/>
      <c r="AB737" s="154" t="s">
        <v>5474</v>
      </c>
    </row>
    <row r="738" spans="1:28" x14ac:dyDescent="0.2">
      <c r="A738" s="146" t="s">
        <v>7359</v>
      </c>
      <c r="B738" s="147" t="s">
        <v>6130</v>
      </c>
      <c r="C738" s="147" t="s">
        <v>6218</v>
      </c>
      <c r="D738" s="148" t="s">
        <v>6160</v>
      </c>
      <c r="E738" s="149" t="s">
        <v>7360</v>
      </c>
      <c r="F738" s="159">
        <v>3</v>
      </c>
      <c r="G738" s="149" t="s">
        <v>23677</v>
      </c>
      <c r="H738" s="151">
        <v>4</v>
      </c>
      <c r="I738" s="156" t="s">
        <v>55</v>
      </c>
      <c r="J738" s="149" t="s">
        <v>23678</v>
      </c>
      <c r="K738" s="157">
        <v>2</v>
      </c>
      <c r="L738" s="156" t="s">
        <v>46</v>
      </c>
      <c r="M738" s="149" t="s">
        <v>7360</v>
      </c>
      <c r="N738" s="158">
        <v>3</v>
      </c>
      <c r="O738" s="156" t="s">
        <v>55</v>
      </c>
      <c r="P738" s="149" t="s">
        <v>20942</v>
      </c>
      <c r="Q738" s="151">
        <v>4</v>
      </c>
      <c r="R738" s="156" t="s">
        <v>46</v>
      </c>
      <c r="S738" s="149" t="s">
        <v>23679</v>
      </c>
      <c r="T738" s="151">
        <v>4</v>
      </c>
      <c r="U738" s="156" t="s">
        <v>46</v>
      </c>
      <c r="V738" s="149" t="s">
        <v>7361</v>
      </c>
      <c r="W738" s="151">
        <v>4</v>
      </c>
      <c r="X738" s="156" t="s">
        <v>46</v>
      </c>
      <c r="Y738" s="149" t="s">
        <v>7362</v>
      </c>
      <c r="Z738" s="158">
        <v>3</v>
      </c>
      <c r="AA738" s="152"/>
      <c r="AB738" s="154" t="s">
        <v>5476</v>
      </c>
    </row>
    <row r="739" spans="1:28" x14ac:dyDescent="0.2">
      <c r="A739" s="146" t="s">
        <v>7363</v>
      </c>
      <c r="B739" s="147" t="s">
        <v>6130</v>
      </c>
      <c r="C739" s="147" t="s">
        <v>6201</v>
      </c>
      <c r="D739" s="148" t="s">
        <v>6136</v>
      </c>
      <c r="E739" s="149" t="s">
        <v>23680</v>
      </c>
      <c r="F739" s="159">
        <v>3</v>
      </c>
      <c r="G739" s="149" t="s">
        <v>23681</v>
      </c>
      <c r="H739" s="158">
        <v>3</v>
      </c>
      <c r="I739" s="152"/>
      <c r="J739" s="149" t="s">
        <v>23681</v>
      </c>
      <c r="K739" s="158">
        <v>3</v>
      </c>
      <c r="L739" s="152"/>
      <c r="M739" s="149" t="s">
        <v>23680</v>
      </c>
      <c r="N739" s="158">
        <v>3</v>
      </c>
      <c r="O739" s="152"/>
      <c r="P739" s="149" t="s">
        <v>18945</v>
      </c>
      <c r="Q739" s="158">
        <v>3</v>
      </c>
      <c r="R739" s="152"/>
      <c r="S739" s="149" t="s">
        <v>23682</v>
      </c>
      <c r="T739" s="158">
        <v>3</v>
      </c>
      <c r="U739" s="156" t="s">
        <v>46</v>
      </c>
      <c r="V739" s="149" t="s">
        <v>15800</v>
      </c>
      <c r="W739" s="158">
        <v>3</v>
      </c>
      <c r="X739" s="156" t="s">
        <v>46</v>
      </c>
      <c r="Y739" s="149" t="s">
        <v>23683</v>
      </c>
      <c r="Z739" s="158">
        <v>3</v>
      </c>
      <c r="AA739" s="152"/>
      <c r="AB739" s="154" t="s">
        <v>5478</v>
      </c>
    </row>
    <row r="740" spans="1:28" x14ac:dyDescent="0.2">
      <c r="A740" s="146" t="s">
        <v>7364</v>
      </c>
      <c r="B740" s="147" t="s">
        <v>6130</v>
      </c>
      <c r="C740" s="147" t="s">
        <v>6157</v>
      </c>
      <c r="D740" s="148" t="s">
        <v>6170</v>
      </c>
      <c r="E740" s="149" t="s">
        <v>23684</v>
      </c>
      <c r="F740" s="150">
        <v>4</v>
      </c>
      <c r="G740" s="149" t="s">
        <v>23685</v>
      </c>
      <c r="H740" s="151">
        <v>4</v>
      </c>
      <c r="I740" s="152"/>
      <c r="J740" s="149" t="s">
        <v>23686</v>
      </c>
      <c r="K740" s="151">
        <v>4</v>
      </c>
      <c r="L740" s="152"/>
      <c r="M740" s="149" t="s">
        <v>23684</v>
      </c>
      <c r="N740" s="151">
        <v>4</v>
      </c>
      <c r="O740" s="152"/>
      <c r="P740" s="149" t="s">
        <v>23687</v>
      </c>
      <c r="Q740" s="151">
        <v>4</v>
      </c>
      <c r="R740" s="152"/>
      <c r="S740" s="149" t="s">
        <v>23688</v>
      </c>
      <c r="T740" s="151">
        <v>4</v>
      </c>
      <c r="U740" s="152"/>
      <c r="V740" s="149" t="s">
        <v>23689</v>
      </c>
      <c r="W740" s="151">
        <v>4</v>
      </c>
      <c r="X740" s="152"/>
      <c r="Y740" s="149" t="s">
        <v>23690</v>
      </c>
      <c r="Z740" s="151">
        <v>4</v>
      </c>
      <c r="AA740" s="152"/>
      <c r="AB740" s="154" t="s">
        <v>5482</v>
      </c>
    </row>
    <row r="741" spans="1:28" x14ac:dyDescent="0.2">
      <c r="A741" s="146" t="s">
        <v>7365</v>
      </c>
      <c r="B741" s="147" t="s">
        <v>6130</v>
      </c>
      <c r="C741" s="147" t="s">
        <v>6227</v>
      </c>
      <c r="D741" s="148" t="s">
        <v>6170</v>
      </c>
      <c r="E741" s="149" t="s">
        <v>23691</v>
      </c>
      <c r="F741" s="161">
        <v>1</v>
      </c>
      <c r="G741" s="149" t="s">
        <v>23692</v>
      </c>
      <c r="H741" s="155">
        <v>1</v>
      </c>
      <c r="I741" s="152"/>
      <c r="J741" s="149" t="s">
        <v>23693</v>
      </c>
      <c r="K741" s="155">
        <v>1</v>
      </c>
      <c r="L741" s="152"/>
      <c r="M741" s="149" t="s">
        <v>23691</v>
      </c>
      <c r="N741" s="155">
        <v>1</v>
      </c>
      <c r="O741" s="152"/>
      <c r="P741" s="149" t="s">
        <v>23694</v>
      </c>
      <c r="Q741" s="158">
        <v>3</v>
      </c>
      <c r="R741" s="152"/>
      <c r="S741" s="149" t="s">
        <v>23695</v>
      </c>
      <c r="T741" s="151">
        <v>4</v>
      </c>
      <c r="U741" s="152"/>
      <c r="V741" s="149" t="s">
        <v>23696</v>
      </c>
      <c r="W741" s="151">
        <v>4</v>
      </c>
      <c r="X741" s="152"/>
      <c r="Y741" s="149" t="s">
        <v>23697</v>
      </c>
      <c r="Z741" s="151">
        <v>4</v>
      </c>
      <c r="AA741" s="152"/>
      <c r="AB741" s="154" t="s">
        <v>5484</v>
      </c>
    </row>
    <row r="742" spans="1:28" x14ac:dyDescent="0.2">
      <c r="A742" s="146" t="s">
        <v>23698</v>
      </c>
      <c r="B742" s="147" t="s">
        <v>6130</v>
      </c>
      <c r="C742" s="147" t="s">
        <v>6175</v>
      </c>
      <c r="D742" s="148"/>
      <c r="E742" s="149" t="s">
        <v>47</v>
      </c>
      <c r="F742" s="152"/>
      <c r="G742" s="149" t="s">
        <v>47</v>
      </c>
      <c r="H742" s="153"/>
      <c r="I742" s="152"/>
      <c r="J742" s="149" t="s">
        <v>47</v>
      </c>
      <c r="K742" s="153"/>
      <c r="L742" s="152"/>
      <c r="M742" s="149" t="s">
        <v>47</v>
      </c>
      <c r="N742" s="153"/>
      <c r="O742" s="152"/>
      <c r="P742" s="149" t="s">
        <v>47</v>
      </c>
      <c r="Q742" s="153"/>
      <c r="R742" s="152"/>
      <c r="S742" s="149" t="s">
        <v>47</v>
      </c>
      <c r="T742" s="153"/>
      <c r="U742" s="152"/>
      <c r="V742" s="149" t="s">
        <v>47</v>
      </c>
      <c r="W742" s="153"/>
      <c r="X742" s="152"/>
      <c r="Y742" s="149" t="s">
        <v>47</v>
      </c>
      <c r="Z742" s="153"/>
      <c r="AA742" s="152"/>
      <c r="AB742" s="154" t="s">
        <v>5485</v>
      </c>
    </row>
    <row r="743" spans="1:28" x14ac:dyDescent="0.2">
      <c r="A743" s="146" t="s">
        <v>7366</v>
      </c>
      <c r="B743" s="147" t="s">
        <v>6130</v>
      </c>
      <c r="C743" s="147" t="s">
        <v>7075</v>
      </c>
      <c r="D743" s="148"/>
      <c r="E743" s="149" t="s">
        <v>47</v>
      </c>
      <c r="F743" s="152"/>
      <c r="G743" s="149" t="s">
        <v>6224</v>
      </c>
      <c r="H743" s="155">
        <v>1</v>
      </c>
      <c r="I743" s="156" t="s">
        <v>40</v>
      </c>
      <c r="J743" s="149" t="s">
        <v>23347</v>
      </c>
      <c r="K743" s="157">
        <v>2</v>
      </c>
      <c r="L743" s="152"/>
      <c r="M743" s="149" t="s">
        <v>47</v>
      </c>
      <c r="N743" s="153"/>
      <c r="O743" s="152"/>
      <c r="P743" s="149" t="s">
        <v>47</v>
      </c>
      <c r="Q743" s="153"/>
      <c r="R743" s="152"/>
      <c r="S743" s="149" t="s">
        <v>47</v>
      </c>
      <c r="T743" s="153"/>
      <c r="U743" s="152"/>
      <c r="V743" s="149" t="s">
        <v>47</v>
      </c>
      <c r="W743" s="153"/>
      <c r="X743" s="152"/>
      <c r="Y743" s="149" t="s">
        <v>47</v>
      </c>
      <c r="Z743" s="153"/>
      <c r="AA743" s="152"/>
      <c r="AB743" s="154" t="s">
        <v>7367</v>
      </c>
    </row>
    <row r="744" spans="1:28" x14ac:dyDescent="0.2">
      <c r="A744" s="146" t="s">
        <v>23699</v>
      </c>
      <c r="B744" s="147" t="s">
        <v>6130</v>
      </c>
      <c r="C744" s="147" t="s">
        <v>7075</v>
      </c>
      <c r="D744" s="148"/>
      <c r="E744" s="149" t="s">
        <v>47</v>
      </c>
      <c r="F744" s="152"/>
      <c r="G744" s="149" t="s">
        <v>6224</v>
      </c>
      <c r="H744" s="155">
        <v>1</v>
      </c>
      <c r="I744" s="156" t="s">
        <v>40</v>
      </c>
      <c r="J744" s="149" t="s">
        <v>47</v>
      </c>
      <c r="K744" s="153"/>
      <c r="L744" s="152"/>
      <c r="M744" s="149" t="s">
        <v>47</v>
      </c>
      <c r="N744" s="153"/>
      <c r="O744" s="152"/>
      <c r="P744" s="149" t="s">
        <v>47</v>
      </c>
      <c r="Q744" s="153"/>
      <c r="R744" s="152"/>
      <c r="S744" s="149" t="s">
        <v>47</v>
      </c>
      <c r="T744" s="153"/>
      <c r="U744" s="152"/>
      <c r="V744" s="149" t="s">
        <v>47</v>
      </c>
      <c r="W744" s="153"/>
      <c r="X744" s="152"/>
      <c r="Y744" s="149" t="s">
        <v>47</v>
      </c>
      <c r="Z744" s="153"/>
      <c r="AA744" s="152"/>
      <c r="AB744" s="154" t="s">
        <v>23700</v>
      </c>
    </row>
    <row r="745" spans="1:28" x14ac:dyDescent="0.2">
      <c r="A745" s="146" t="s">
        <v>7368</v>
      </c>
      <c r="B745" s="147" t="s">
        <v>6130</v>
      </c>
      <c r="C745" s="147" t="s">
        <v>6175</v>
      </c>
      <c r="D745" s="148"/>
      <c r="E745" s="149" t="s">
        <v>23701</v>
      </c>
      <c r="F745" s="160">
        <v>2</v>
      </c>
      <c r="G745" s="149" t="s">
        <v>23702</v>
      </c>
      <c r="H745" s="157">
        <v>2</v>
      </c>
      <c r="I745" s="152"/>
      <c r="J745" s="149" t="s">
        <v>23703</v>
      </c>
      <c r="K745" s="157">
        <v>2</v>
      </c>
      <c r="L745" s="152"/>
      <c r="M745" s="149" t="s">
        <v>23701</v>
      </c>
      <c r="N745" s="157">
        <v>2</v>
      </c>
      <c r="O745" s="152"/>
      <c r="P745" s="149" t="s">
        <v>47</v>
      </c>
      <c r="Q745" s="153"/>
      <c r="R745" s="152"/>
      <c r="S745" s="149" t="s">
        <v>47</v>
      </c>
      <c r="T745" s="153"/>
      <c r="U745" s="152"/>
      <c r="V745" s="149" t="s">
        <v>47</v>
      </c>
      <c r="W745" s="153"/>
      <c r="X745" s="152"/>
      <c r="Y745" s="149" t="s">
        <v>47</v>
      </c>
      <c r="Z745" s="153"/>
      <c r="AA745" s="152"/>
      <c r="AB745" s="154" t="s">
        <v>5489</v>
      </c>
    </row>
    <row r="746" spans="1:28" x14ac:dyDescent="0.2">
      <c r="A746" s="146" t="s">
        <v>7369</v>
      </c>
      <c r="B746" s="147" t="s">
        <v>6130</v>
      </c>
      <c r="C746" s="147" t="s">
        <v>7075</v>
      </c>
      <c r="D746" s="148"/>
      <c r="E746" s="149" t="s">
        <v>7370</v>
      </c>
      <c r="F746" s="159">
        <v>3</v>
      </c>
      <c r="G746" s="149" t="s">
        <v>12273</v>
      </c>
      <c r="H746" s="157">
        <v>2</v>
      </c>
      <c r="I746" s="156" t="s">
        <v>40</v>
      </c>
      <c r="J746" s="149" t="s">
        <v>6270</v>
      </c>
      <c r="K746" s="158">
        <v>3</v>
      </c>
      <c r="L746" s="156" t="s">
        <v>46</v>
      </c>
      <c r="M746" s="149" t="s">
        <v>7370</v>
      </c>
      <c r="N746" s="158">
        <v>3</v>
      </c>
      <c r="O746" s="152"/>
      <c r="P746" s="149" t="s">
        <v>47</v>
      </c>
      <c r="Q746" s="153"/>
      <c r="R746" s="152"/>
      <c r="S746" s="149" t="s">
        <v>47</v>
      </c>
      <c r="T746" s="153"/>
      <c r="U746" s="152"/>
      <c r="V746" s="149" t="s">
        <v>47</v>
      </c>
      <c r="W746" s="153"/>
      <c r="X746" s="152"/>
      <c r="Y746" s="149" t="s">
        <v>47</v>
      </c>
      <c r="Z746" s="153"/>
      <c r="AA746" s="152"/>
      <c r="AB746" s="154" t="s">
        <v>5487</v>
      </c>
    </row>
    <row r="747" spans="1:28" x14ac:dyDescent="0.2">
      <c r="A747" s="146" t="s">
        <v>7371</v>
      </c>
      <c r="B747" s="147" t="s">
        <v>6130</v>
      </c>
      <c r="C747" s="147" t="s">
        <v>6221</v>
      </c>
      <c r="D747" s="148" t="s">
        <v>6163</v>
      </c>
      <c r="E747" s="149" t="s">
        <v>23704</v>
      </c>
      <c r="F747" s="161">
        <v>1</v>
      </c>
      <c r="G747" s="149" t="s">
        <v>6182</v>
      </c>
      <c r="H747" s="158">
        <v>3</v>
      </c>
      <c r="I747" s="156" t="s">
        <v>55</v>
      </c>
      <c r="J747" s="149" t="s">
        <v>23705</v>
      </c>
      <c r="K747" s="155">
        <v>1</v>
      </c>
      <c r="L747" s="152"/>
      <c r="M747" s="149" t="s">
        <v>23704</v>
      </c>
      <c r="N747" s="155">
        <v>1</v>
      </c>
      <c r="O747" s="152"/>
      <c r="P747" s="149" t="s">
        <v>23706</v>
      </c>
      <c r="Q747" s="155">
        <v>1</v>
      </c>
      <c r="R747" s="152"/>
      <c r="S747" s="149" t="s">
        <v>7372</v>
      </c>
      <c r="T747" s="155">
        <v>1</v>
      </c>
      <c r="U747" s="152"/>
      <c r="V747" s="149" t="s">
        <v>47</v>
      </c>
      <c r="W747" s="153"/>
      <c r="X747" s="152"/>
      <c r="Y747" s="149" t="s">
        <v>47</v>
      </c>
      <c r="Z747" s="153"/>
      <c r="AA747" s="152"/>
      <c r="AB747" s="154" t="s">
        <v>5493</v>
      </c>
    </row>
    <row r="748" spans="1:28" x14ac:dyDescent="0.2">
      <c r="A748" s="146" t="s">
        <v>5494</v>
      </c>
      <c r="B748" s="147" t="s">
        <v>6130</v>
      </c>
      <c r="C748" s="147" t="s">
        <v>6145</v>
      </c>
      <c r="D748" s="148" t="s">
        <v>6170</v>
      </c>
      <c r="E748" s="149" t="s">
        <v>23707</v>
      </c>
      <c r="F748" s="160">
        <v>2</v>
      </c>
      <c r="G748" s="149" t="s">
        <v>23708</v>
      </c>
      <c r="H748" s="158">
        <v>3</v>
      </c>
      <c r="I748" s="156" t="s">
        <v>55</v>
      </c>
      <c r="J748" s="149" t="s">
        <v>23709</v>
      </c>
      <c r="K748" s="158">
        <v>3</v>
      </c>
      <c r="L748" s="156" t="s">
        <v>55</v>
      </c>
      <c r="M748" s="149" t="s">
        <v>23707</v>
      </c>
      <c r="N748" s="157">
        <v>2</v>
      </c>
      <c r="O748" s="152"/>
      <c r="P748" s="149" t="s">
        <v>23710</v>
      </c>
      <c r="Q748" s="157">
        <v>2</v>
      </c>
      <c r="R748" s="152"/>
      <c r="S748" s="149" t="s">
        <v>23711</v>
      </c>
      <c r="T748" s="151">
        <v>4</v>
      </c>
      <c r="U748" s="152"/>
      <c r="V748" s="149" t="s">
        <v>23712</v>
      </c>
      <c r="W748" s="151">
        <v>4</v>
      </c>
      <c r="X748" s="152"/>
      <c r="Y748" s="149" t="s">
        <v>47</v>
      </c>
      <c r="Z748" s="153"/>
      <c r="AA748" s="152"/>
      <c r="AB748" s="154" t="s">
        <v>5495</v>
      </c>
    </row>
    <row r="749" spans="1:28" x14ac:dyDescent="0.2">
      <c r="A749" s="146" t="s">
        <v>7373</v>
      </c>
      <c r="B749" s="147" t="s">
        <v>6130</v>
      </c>
      <c r="C749" s="147" t="s">
        <v>6175</v>
      </c>
      <c r="D749" s="148"/>
      <c r="E749" s="149" t="s">
        <v>23713</v>
      </c>
      <c r="F749" s="161">
        <v>1</v>
      </c>
      <c r="G749" s="149" t="s">
        <v>23714</v>
      </c>
      <c r="H749" s="151">
        <v>4</v>
      </c>
      <c r="I749" s="156" t="s">
        <v>44</v>
      </c>
      <c r="J749" s="149" t="s">
        <v>23715</v>
      </c>
      <c r="K749" s="155">
        <v>1</v>
      </c>
      <c r="L749" s="152"/>
      <c r="M749" s="149" t="s">
        <v>23713</v>
      </c>
      <c r="N749" s="155">
        <v>1</v>
      </c>
      <c r="O749" s="152"/>
      <c r="P749" s="149" t="s">
        <v>47</v>
      </c>
      <c r="Q749" s="153"/>
      <c r="R749" s="152"/>
      <c r="S749" s="149" t="s">
        <v>47</v>
      </c>
      <c r="T749" s="153"/>
      <c r="U749" s="152"/>
      <c r="V749" s="149" t="s">
        <v>47</v>
      </c>
      <c r="W749" s="153"/>
      <c r="X749" s="152"/>
      <c r="Y749" s="149" t="s">
        <v>47</v>
      </c>
      <c r="Z749" s="153"/>
      <c r="AA749" s="152"/>
      <c r="AB749" s="154" t="s">
        <v>7374</v>
      </c>
    </row>
    <row r="750" spans="1:28" x14ac:dyDescent="0.2">
      <c r="A750" s="146" t="s">
        <v>7375</v>
      </c>
      <c r="B750" s="147" t="s">
        <v>6130</v>
      </c>
      <c r="C750" s="147" t="s">
        <v>6175</v>
      </c>
      <c r="D750" s="148"/>
      <c r="E750" s="149" t="s">
        <v>23716</v>
      </c>
      <c r="F750" s="159">
        <v>3</v>
      </c>
      <c r="G750" s="149" t="s">
        <v>23717</v>
      </c>
      <c r="H750" s="155">
        <v>1</v>
      </c>
      <c r="I750" s="156" t="s">
        <v>53</v>
      </c>
      <c r="J750" s="149" t="s">
        <v>23718</v>
      </c>
      <c r="K750" s="157">
        <v>2</v>
      </c>
      <c r="L750" s="156" t="s">
        <v>40</v>
      </c>
      <c r="M750" s="149" t="s">
        <v>23716</v>
      </c>
      <c r="N750" s="158">
        <v>3</v>
      </c>
      <c r="O750" s="152"/>
      <c r="P750" s="149" t="s">
        <v>23719</v>
      </c>
      <c r="Q750" s="158">
        <v>3</v>
      </c>
      <c r="R750" s="152"/>
      <c r="S750" s="149" t="s">
        <v>23720</v>
      </c>
      <c r="T750" s="158">
        <v>3</v>
      </c>
      <c r="U750" s="152"/>
      <c r="V750" s="149" t="s">
        <v>23721</v>
      </c>
      <c r="W750" s="158">
        <v>3</v>
      </c>
      <c r="X750" s="152"/>
      <c r="Y750" s="149" t="s">
        <v>47</v>
      </c>
      <c r="Z750" s="153"/>
      <c r="AA750" s="152"/>
      <c r="AB750" s="154" t="s">
        <v>5497</v>
      </c>
    </row>
    <row r="751" spans="1:28" x14ac:dyDescent="0.2">
      <c r="A751" s="146" t="s">
        <v>7376</v>
      </c>
      <c r="B751" s="147" t="s">
        <v>6130</v>
      </c>
      <c r="C751" s="147" t="s">
        <v>6175</v>
      </c>
      <c r="D751" s="148"/>
      <c r="E751" s="149" t="s">
        <v>23722</v>
      </c>
      <c r="F751" s="159">
        <v>3</v>
      </c>
      <c r="G751" s="149" t="s">
        <v>23723</v>
      </c>
      <c r="H751" s="158">
        <v>3</v>
      </c>
      <c r="I751" s="152"/>
      <c r="J751" s="149" t="s">
        <v>13630</v>
      </c>
      <c r="K751" s="158">
        <v>3</v>
      </c>
      <c r="L751" s="152"/>
      <c r="M751" s="149" t="s">
        <v>23722</v>
      </c>
      <c r="N751" s="158">
        <v>3</v>
      </c>
      <c r="O751" s="152"/>
      <c r="P751" s="149" t="s">
        <v>23724</v>
      </c>
      <c r="Q751" s="158">
        <v>3</v>
      </c>
      <c r="R751" s="152"/>
      <c r="S751" s="149" t="s">
        <v>23725</v>
      </c>
      <c r="T751" s="158">
        <v>3</v>
      </c>
      <c r="U751" s="152"/>
      <c r="V751" s="149" t="s">
        <v>23726</v>
      </c>
      <c r="W751" s="151">
        <v>4</v>
      </c>
      <c r="X751" s="152"/>
      <c r="Y751" s="149" t="s">
        <v>23727</v>
      </c>
      <c r="Z751" s="151">
        <v>4</v>
      </c>
      <c r="AA751" s="152"/>
      <c r="AB751" s="154" t="s">
        <v>5501</v>
      </c>
    </row>
    <row r="752" spans="1:28" x14ac:dyDescent="0.2">
      <c r="A752" s="146" t="s">
        <v>7377</v>
      </c>
      <c r="B752" s="147" t="s">
        <v>6130</v>
      </c>
      <c r="C752" s="147" t="s">
        <v>6145</v>
      </c>
      <c r="D752" s="148" t="s">
        <v>6136</v>
      </c>
      <c r="E752" s="149" t="s">
        <v>23728</v>
      </c>
      <c r="F752" s="160">
        <v>2</v>
      </c>
      <c r="G752" s="149" t="s">
        <v>23729</v>
      </c>
      <c r="H752" s="151">
        <v>4</v>
      </c>
      <c r="I752" s="156" t="s">
        <v>55</v>
      </c>
      <c r="J752" s="149" t="s">
        <v>23730</v>
      </c>
      <c r="K752" s="151">
        <v>4</v>
      </c>
      <c r="L752" s="156" t="s">
        <v>44</v>
      </c>
      <c r="M752" s="149" t="s">
        <v>23728</v>
      </c>
      <c r="N752" s="157">
        <v>2</v>
      </c>
      <c r="O752" s="156" t="s">
        <v>46</v>
      </c>
      <c r="P752" s="149" t="s">
        <v>23731</v>
      </c>
      <c r="Q752" s="155">
        <v>1</v>
      </c>
      <c r="R752" s="152"/>
      <c r="S752" s="149" t="s">
        <v>23732</v>
      </c>
      <c r="T752" s="157">
        <v>2</v>
      </c>
      <c r="U752" s="152"/>
      <c r="V752" s="149" t="s">
        <v>23733</v>
      </c>
      <c r="W752" s="157">
        <v>2</v>
      </c>
      <c r="X752" s="152"/>
      <c r="Y752" s="149" t="s">
        <v>47</v>
      </c>
      <c r="Z752" s="153"/>
      <c r="AA752" s="152"/>
      <c r="AB752" s="154" t="s">
        <v>5503</v>
      </c>
    </row>
    <row r="753" spans="1:28" x14ac:dyDescent="0.2">
      <c r="A753" s="146" t="s">
        <v>7378</v>
      </c>
      <c r="B753" s="147" t="s">
        <v>6130</v>
      </c>
      <c r="C753" s="147" t="s">
        <v>6145</v>
      </c>
      <c r="D753" s="148"/>
      <c r="E753" s="149" t="s">
        <v>23734</v>
      </c>
      <c r="F753" s="160">
        <v>2</v>
      </c>
      <c r="G753" s="149" t="s">
        <v>23735</v>
      </c>
      <c r="H753" s="151">
        <v>4</v>
      </c>
      <c r="I753" s="156" t="s">
        <v>55</v>
      </c>
      <c r="J753" s="149" t="s">
        <v>23736</v>
      </c>
      <c r="K753" s="151">
        <v>4</v>
      </c>
      <c r="L753" s="156" t="s">
        <v>44</v>
      </c>
      <c r="M753" s="149" t="s">
        <v>23734</v>
      </c>
      <c r="N753" s="157">
        <v>2</v>
      </c>
      <c r="O753" s="156" t="s">
        <v>46</v>
      </c>
      <c r="P753" s="149" t="s">
        <v>23737</v>
      </c>
      <c r="Q753" s="155">
        <v>1</v>
      </c>
      <c r="R753" s="152"/>
      <c r="S753" s="149" t="s">
        <v>23738</v>
      </c>
      <c r="T753" s="158">
        <v>3</v>
      </c>
      <c r="U753" s="156" t="s">
        <v>46</v>
      </c>
      <c r="V753" s="149" t="s">
        <v>23739</v>
      </c>
      <c r="W753" s="157">
        <v>2</v>
      </c>
      <c r="X753" s="152"/>
      <c r="Y753" s="149" t="s">
        <v>47</v>
      </c>
      <c r="Z753" s="153"/>
      <c r="AA753" s="152"/>
      <c r="AB753" s="154" t="s">
        <v>5505</v>
      </c>
    </row>
    <row r="754" spans="1:28" x14ac:dyDescent="0.2">
      <c r="A754" s="146" t="s">
        <v>7379</v>
      </c>
      <c r="B754" s="147" t="s">
        <v>6130</v>
      </c>
      <c r="C754" s="147" t="s">
        <v>6145</v>
      </c>
      <c r="D754" s="148" t="s">
        <v>6163</v>
      </c>
      <c r="E754" s="149" t="s">
        <v>23740</v>
      </c>
      <c r="F754" s="161">
        <v>1</v>
      </c>
      <c r="G754" s="149" t="s">
        <v>23741</v>
      </c>
      <c r="H754" s="151">
        <v>4</v>
      </c>
      <c r="I754" s="156" t="s">
        <v>44</v>
      </c>
      <c r="J754" s="149" t="s">
        <v>23742</v>
      </c>
      <c r="K754" s="155">
        <v>1</v>
      </c>
      <c r="L754" s="152"/>
      <c r="M754" s="149" t="s">
        <v>23740</v>
      </c>
      <c r="N754" s="155">
        <v>1</v>
      </c>
      <c r="O754" s="152"/>
      <c r="P754" s="149" t="s">
        <v>23743</v>
      </c>
      <c r="Q754" s="155">
        <v>1</v>
      </c>
      <c r="R754" s="152"/>
      <c r="S754" s="149" t="s">
        <v>23744</v>
      </c>
      <c r="T754" s="155">
        <v>1</v>
      </c>
      <c r="U754" s="152"/>
      <c r="V754" s="149" t="s">
        <v>23745</v>
      </c>
      <c r="W754" s="155">
        <v>1</v>
      </c>
      <c r="X754" s="152"/>
      <c r="Y754" s="149" t="s">
        <v>47</v>
      </c>
      <c r="Z754" s="153"/>
      <c r="AA754" s="152"/>
      <c r="AB754" s="154" t="s">
        <v>5507</v>
      </c>
    </row>
    <row r="755" spans="1:28" x14ac:dyDescent="0.2">
      <c r="A755" s="146" t="s">
        <v>7380</v>
      </c>
      <c r="B755" s="147" t="s">
        <v>6130</v>
      </c>
      <c r="C755" s="147" t="s">
        <v>6145</v>
      </c>
      <c r="D755" s="148" t="s">
        <v>6163</v>
      </c>
      <c r="E755" s="149" t="s">
        <v>23746</v>
      </c>
      <c r="F755" s="160">
        <v>2</v>
      </c>
      <c r="G755" s="149" t="s">
        <v>23747</v>
      </c>
      <c r="H755" s="151">
        <v>4</v>
      </c>
      <c r="I755" s="156" t="s">
        <v>44</v>
      </c>
      <c r="J755" s="149" t="s">
        <v>23748</v>
      </c>
      <c r="K755" s="155">
        <v>1</v>
      </c>
      <c r="L755" s="152"/>
      <c r="M755" s="149" t="s">
        <v>23746</v>
      </c>
      <c r="N755" s="157">
        <v>2</v>
      </c>
      <c r="O755" s="156" t="s">
        <v>46</v>
      </c>
      <c r="P755" s="149" t="s">
        <v>23749</v>
      </c>
      <c r="Q755" s="155">
        <v>1</v>
      </c>
      <c r="R755" s="152"/>
      <c r="S755" s="149" t="s">
        <v>23750</v>
      </c>
      <c r="T755" s="155">
        <v>1</v>
      </c>
      <c r="U755" s="152"/>
      <c r="V755" s="149" t="s">
        <v>7381</v>
      </c>
      <c r="W755" s="155">
        <v>1</v>
      </c>
      <c r="X755" s="152"/>
      <c r="Y755" s="149" t="s">
        <v>47</v>
      </c>
      <c r="Z755" s="153"/>
      <c r="AA755" s="152"/>
      <c r="AB755" s="154" t="s">
        <v>5509</v>
      </c>
    </row>
    <row r="756" spans="1:28" x14ac:dyDescent="0.2">
      <c r="A756" s="146" t="s">
        <v>7382</v>
      </c>
      <c r="B756" s="147" t="s">
        <v>6130</v>
      </c>
      <c r="C756" s="147" t="s">
        <v>6145</v>
      </c>
      <c r="D756" s="148" t="s">
        <v>6163</v>
      </c>
      <c r="E756" s="149" t="s">
        <v>7383</v>
      </c>
      <c r="F756" s="161">
        <v>1</v>
      </c>
      <c r="G756" s="149" t="s">
        <v>23751</v>
      </c>
      <c r="H756" s="151">
        <v>4</v>
      </c>
      <c r="I756" s="156" t="s">
        <v>44</v>
      </c>
      <c r="J756" s="149" t="s">
        <v>23752</v>
      </c>
      <c r="K756" s="155">
        <v>1</v>
      </c>
      <c r="L756" s="152"/>
      <c r="M756" s="149" t="s">
        <v>7383</v>
      </c>
      <c r="N756" s="155">
        <v>1</v>
      </c>
      <c r="O756" s="152"/>
      <c r="P756" s="149" t="s">
        <v>23753</v>
      </c>
      <c r="Q756" s="155">
        <v>1</v>
      </c>
      <c r="R756" s="152"/>
      <c r="S756" s="149" t="s">
        <v>23754</v>
      </c>
      <c r="T756" s="155">
        <v>1</v>
      </c>
      <c r="U756" s="152"/>
      <c r="V756" s="149" t="s">
        <v>23755</v>
      </c>
      <c r="W756" s="155">
        <v>1</v>
      </c>
      <c r="X756" s="152"/>
      <c r="Y756" s="149" t="s">
        <v>47</v>
      </c>
      <c r="Z756" s="153"/>
      <c r="AA756" s="152"/>
      <c r="AB756" s="154" t="s">
        <v>5510</v>
      </c>
    </row>
    <row r="757" spans="1:28" x14ac:dyDescent="0.2">
      <c r="A757" s="146" t="s">
        <v>7384</v>
      </c>
      <c r="B757" s="147" t="s">
        <v>6130</v>
      </c>
      <c r="C757" s="147" t="s">
        <v>6145</v>
      </c>
      <c r="D757" s="148" t="s">
        <v>6163</v>
      </c>
      <c r="E757" s="149" t="s">
        <v>7385</v>
      </c>
      <c r="F757" s="161">
        <v>1</v>
      </c>
      <c r="G757" s="149" t="s">
        <v>23756</v>
      </c>
      <c r="H757" s="151">
        <v>4</v>
      </c>
      <c r="I757" s="156" t="s">
        <v>44</v>
      </c>
      <c r="J757" s="149" t="s">
        <v>23757</v>
      </c>
      <c r="K757" s="155">
        <v>1</v>
      </c>
      <c r="L757" s="152"/>
      <c r="M757" s="149" t="s">
        <v>7385</v>
      </c>
      <c r="N757" s="155">
        <v>1</v>
      </c>
      <c r="O757" s="152"/>
      <c r="P757" s="149" t="s">
        <v>23758</v>
      </c>
      <c r="Q757" s="155">
        <v>1</v>
      </c>
      <c r="R757" s="152"/>
      <c r="S757" s="149" t="s">
        <v>23759</v>
      </c>
      <c r="T757" s="155">
        <v>1</v>
      </c>
      <c r="U757" s="152"/>
      <c r="V757" s="149" t="s">
        <v>23760</v>
      </c>
      <c r="W757" s="155">
        <v>1</v>
      </c>
      <c r="X757" s="152"/>
      <c r="Y757" s="149" t="s">
        <v>47</v>
      </c>
      <c r="Z757" s="153"/>
      <c r="AA757" s="152"/>
      <c r="AB757" s="154" t="s">
        <v>5511</v>
      </c>
    </row>
    <row r="758" spans="1:28" x14ac:dyDescent="0.2">
      <c r="A758" s="146" t="s">
        <v>7386</v>
      </c>
      <c r="B758" s="147" t="s">
        <v>6130</v>
      </c>
      <c r="C758" s="147" t="s">
        <v>6154</v>
      </c>
      <c r="D758" s="148" t="s">
        <v>6160</v>
      </c>
      <c r="E758" s="149" t="s">
        <v>23761</v>
      </c>
      <c r="F758" s="160">
        <v>2</v>
      </c>
      <c r="G758" s="149" t="s">
        <v>23762</v>
      </c>
      <c r="H758" s="157">
        <v>2</v>
      </c>
      <c r="I758" s="156" t="s">
        <v>46</v>
      </c>
      <c r="J758" s="149" t="s">
        <v>10594</v>
      </c>
      <c r="K758" s="155">
        <v>1</v>
      </c>
      <c r="L758" s="156" t="s">
        <v>40</v>
      </c>
      <c r="M758" s="149" t="s">
        <v>23761</v>
      </c>
      <c r="N758" s="157">
        <v>2</v>
      </c>
      <c r="O758" s="152"/>
      <c r="P758" s="149" t="s">
        <v>7387</v>
      </c>
      <c r="Q758" s="158">
        <v>3</v>
      </c>
      <c r="R758" s="152"/>
      <c r="S758" s="149" t="s">
        <v>23763</v>
      </c>
      <c r="T758" s="158">
        <v>3</v>
      </c>
      <c r="U758" s="152"/>
      <c r="V758" s="149" t="s">
        <v>18276</v>
      </c>
      <c r="W758" s="158">
        <v>3</v>
      </c>
      <c r="X758" s="152"/>
      <c r="Y758" s="149" t="s">
        <v>23764</v>
      </c>
      <c r="Z758" s="158">
        <v>3</v>
      </c>
      <c r="AA758" s="152"/>
      <c r="AB758" s="154" t="s">
        <v>5513</v>
      </c>
    </row>
    <row r="759" spans="1:28" x14ac:dyDescent="0.2">
      <c r="A759" s="146" t="s">
        <v>7388</v>
      </c>
      <c r="B759" s="147" t="s">
        <v>6130</v>
      </c>
      <c r="C759" s="147" t="s">
        <v>6247</v>
      </c>
      <c r="D759" s="148" t="s">
        <v>6132</v>
      </c>
      <c r="E759" s="149" t="s">
        <v>23765</v>
      </c>
      <c r="F759" s="161">
        <v>1</v>
      </c>
      <c r="G759" s="149" t="s">
        <v>23766</v>
      </c>
      <c r="H759" s="157">
        <v>2</v>
      </c>
      <c r="I759" s="156" t="s">
        <v>46</v>
      </c>
      <c r="J759" s="149" t="s">
        <v>23767</v>
      </c>
      <c r="K759" s="155">
        <v>1</v>
      </c>
      <c r="L759" s="152"/>
      <c r="M759" s="149" t="s">
        <v>23765</v>
      </c>
      <c r="N759" s="155">
        <v>1</v>
      </c>
      <c r="O759" s="152"/>
      <c r="P759" s="149" t="s">
        <v>23768</v>
      </c>
      <c r="Q759" s="157">
        <v>2</v>
      </c>
      <c r="R759" s="152"/>
      <c r="S759" s="149" t="s">
        <v>23769</v>
      </c>
      <c r="T759" s="157">
        <v>2</v>
      </c>
      <c r="U759" s="152"/>
      <c r="V759" s="149" t="s">
        <v>9531</v>
      </c>
      <c r="W759" s="157">
        <v>2</v>
      </c>
      <c r="X759" s="156" t="s">
        <v>46</v>
      </c>
      <c r="Y759" s="149" t="s">
        <v>47</v>
      </c>
      <c r="Z759" s="153"/>
      <c r="AA759" s="152"/>
      <c r="AB759" s="154" t="s">
        <v>5515</v>
      </c>
    </row>
    <row r="760" spans="1:28" x14ac:dyDescent="0.2">
      <c r="A760" s="146" t="s">
        <v>7389</v>
      </c>
      <c r="B760" s="147" t="s">
        <v>6130</v>
      </c>
      <c r="C760" s="147" t="s">
        <v>6229</v>
      </c>
      <c r="D760" s="148" t="s">
        <v>6163</v>
      </c>
      <c r="E760" s="149" t="s">
        <v>23770</v>
      </c>
      <c r="F760" s="159">
        <v>3</v>
      </c>
      <c r="G760" s="149" t="s">
        <v>23771</v>
      </c>
      <c r="H760" s="151">
        <v>4</v>
      </c>
      <c r="I760" s="156" t="s">
        <v>55</v>
      </c>
      <c r="J760" s="149" t="s">
        <v>23772</v>
      </c>
      <c r="K760" s="158">
        <v>3</v>
      </c>
      <c r="L760" s="152"/>
      <c r="M760" s="149" t="s">
        <v>23770</v>
      </c>
      <c r="N760" s="158">
        <v>3</v>
      </c>
      <c r="O760" s="152"/>
      <c r="P760" s="149" t="s">
        <v>23773</v>
      </c>
      <c r="Q760" s="151">
        <v>4</v>
      </c>
      <c r="R760" s="156" t="s">
        <v>46</v>
      </c>
      <c r="S760" s="149" t="s">
        <v>23774</v>
      </c>
      <c r="T760" s="155">
        <v>1</v>
      </c>
      <c r="U760" s="152"/>
      <c r="V760" s="149" t="s">
        <v>23775</v>
      </c>
      <c r="W760" s="157">
        <v>2</v>
      </c>
      <c r="X760" s="152"/>
      <c r="Y760" s="149" t="s">
        <v>47</v>
      </c>
      <c r="Z760" s="153"/>
      <c r="AA760" s="152"/>
      <c r="AB760" s="154" t="s">
        <v>5523</v>
      </c>
    </row>
    <row r="761" spans="1:28" x14ac:dyDescent="0.2">
      <c r="A761" s="146" t="s">
        <v>23776</v>
      </c>
      <c r="B761" s="147" t="s">
        <v>6130</v>
      </c>
      <c r="C761" s="147" t="s">
        <v>6131</v>
      </c>
      <c r="D761" s="148"/>
      <c r="E761" s="149" t="s">
        <v>47</v>
      </c>
      <c r="F761" s="152"/>
      <c r="G761" s="149" t="s">
        <v>23777</v>
      </c>
      <c r="H761" s="151">
        <v>4</v>
      </c>
      <c r="I761" s="156" t="s">
        <v>46</v>
      </c>
      <c r="J761" s="149" t="s">
        <v>23778</v>
      </c>
      <c r="K761" s="151">
        <v>4</v>
      </c>
      <c r="L761" s="152"/>
      <c r="M761" s="149" t="s">
        <v>47</v>
      </c>
      <c r="N761" s="153"/>
      <c r="O761" s="152"/>
      <c r="P761" s="149" t="s">
        <v>47</v>
      </c>
      <c r="Q761" s="153"/>
      <c r="R761" s="152"/>
      <c r="S761" s="149" t="s">
        <v>47</v>
      </c>
      <c r="T761" s="153"/>
      <c r="U761" s="152"/>
      <c r="V761" s="149" t="s">
        <v>47</v>
      </c>
      <c r="W761" s="153"/>
      <c r="X761" s="152"/>
      <c r="Y761" s="149" t="s">
        <v>47</v>
      </c>
      <c r="Z761" s="153"/>
      <c r="AA761" s="152"/>
      <c r="AB761" s="154" t="s">
        <v>19093</v>
      </c>
    </row>
    <row r="762" spans="1:28" x14ac:dyDescent="0.2">
      <c r="A762" s="146" t="s">
        <v>23779</v>
      </c>
      <c r="B762" s="147" t="s">
        <v>6130</v>
      </c>
      <c r="C762" s="147" t="s">
        <v>6131</v>
      </c>
      <c r="D762" s="148"/>
      <c r="E762" s="149" t="s">
        <v>47</v>
      </c>
      <c r="F762" s="152"/>
      <c r="G762" s="149" t="s">
        <v>23780</v>
      </c>
      <c r="H762" s="151">
        <v>4</v>
      </c>
      <c r="I762" s="156" t="s">
        <v>46</v>
      </c>
      <c r="J762" s="149" t="s">
        <v>23781</v>
      </c>
      <c r="K762" s="151">
        <v>4</v>
      </c>
      <c r="L762" s="152"/>
      <c r="M762" s="149" t="s">
        <v>47</v>
      </c>
      <c r="N762" s="153"/>
      <c r="O762" s="152"/>
      <c r="P762" s="149" t="s">
        <v>47</v>
      </c>
      <c r="Q762" s="153"/>
      <c r="R762" s="152"/>
      <c r="S762" s="149" t="s">
        <v>47</v>
      </c>
      <c r="T762" s="153"/>
      <c r="U762" s="152"/>
      <c r="V762" s="149" t="s">
        <v>47</v>
      </c>
      <c r="W762" s="153"/>
      <c r="X762" s="152"/>
      <c r="Y762" s="149" t="s">
        <v>47</v>
      </c>
      <c r="Z762" s="153"/>
      <c r="AA762" s="152"/>
      <c r="AB762" s="154" t="s">
        <v>23782</v>
      </c>
    </row>
    <row r="763" spans="1:28" x14ac:dyDescent="0.2">
      <c r="A763" s="146" t="s">
        <v>5524</v>
      </c>
      <c r="B763" s="147" t="s">
        <v>6130</v>
      </c>
      <c r="C763" s="147" t="s">
        <v>6131</v>
      </c>
      <c r="D763" s="148"/>
      <c r="E763" s="149" t="s">
        <v>23783</v>
      </c>
      <c r="F763" s="160">
        <v>2</v>
      </c>
      <c r="G763" s="149" t="s">
        <v>23784</v>
      </c>
      <c r="H763" s="158">
        <v>3</v>
      </c>
      <c r="I763" s="156" t="s">
        <v>46</v>
      </c>
      <c r="J763" s="149" t="s">
        <v>23785</v>
      </c>
      <c r="K763" s="157">
        <v>2</v>
      </c>
      <c r="L763" s="152"/>
      <c r="M763" s="149" t="s">
        <v>23783</v>
      </c>
      <c r="N763" s="157">
        <v>2</v>
      </c>
      <c r="O763" s="152"/>
      <c r="P763" s="149" t="s">
        <v>47</v>
      </c>
      <c r="Q763" s="153"/>
      <c r="R763" s="152"/>
      <c r="S763" s="149" t="s">
        <v>47</v>
      </c>
      <c r="T763" s="153"/>
      <c r="U763" s="152"/>
      <c r="V763" s="149" t="s">
        <v>47</v>
      </c>
      <c r="W763" s="153"/>
      <c r="X763" s="152"/>
      <c r="Y763" s="149" t="s">
        <v>47</v>
      </c>
      <c r="Z763" s="153"/>
      <c r="AA763" s="152"/>
      <c r="AB763" s="154" t="s">
        <v>5525</v>
      </c>
    </row>
    <row r="764" spans="1:28" x14ac:dyDescent="0.2">
      <c r="A764" s="146" t="s">
        <v>7390</v>
      </c>
      <c r="B764" s="147" t="s">
        <v>6130</v>
      </c>
      <c r="C764" s="147" t="s">
        <v>6131</v>
      </c>
      <c r="D764" s="148"/>
      <c r="E764" s="149" t="s">
        <v>23786</v>
      </c>
      <c r="F764" s="160">
        <v>2</v>
      </c>
      <c r="G764" s="149" t="s">
        <v>23787</v>
      </c>
      <c r="H764" s="158">
        <v>3</v>
      </c>
      <c r="I764" s="156" t="s">
        <v>46</v>
      </c>
      <c r="J764" s="149" t="s">
        <v>23788</v>
      </c>
      <c r="K764" s="157">
        <v>2</v>
      </c>
      <c r="L764" s="152"/>
      <c r="M764" s="149" t="s">
        <v>23786</v>
      </c>
      <c r="N764" s="157">
        <v>2</v>
      </c>
      <c r="O764" s="152"/>
      <c r="P764" s="149" t="s">
        <v>47</v>
      </c>
      <c r="Q764" s="153"/>
      <c r="R764" s="152"/>
      <c r="S764" s="149" t="s">
        <v>47</v>
      </c>
      <c r="T764" s="153"/>
      <c r="U764" s="152"/>
      <c r="V764" s="149" t="s">
        <v>47</v>
      </c>
      <c r="W764" s="153"/>
      <c r="X764" s="152"/>
      <c r="Y764" s="149" t="s">
        <v>47</v>
      </c>
      <c r="Z764" s="153"/>
      <c r="AA764" s="152"/>
      <c r="AB764" s="154" t="s">
        <v>5527</v>
      </c>
    </row>
    <row r="765" spans="1:28" x14ac:dyDescent="0.2">
      <c r="A765" s="146" t="s">
        <v>7391</v>
      </c>
      <c r="B765" s="147" t="s">
        <v>6130</v>
      </c>
      <c r="C765" s="147" t="s">
        <v>6192</v>
      </c>
      <c r="D765" s="148" t="s">
        <v>6160</v>
      </c>
      <c r="E765" s="149" t="s">
        <v>23789</v>
      </c>
      <c r="F765" s="161">
        <v>1</v>
      </c>
      <c r="G765" s="149" t="s">
        <v>23790</v>
      </c>
      <c r="H765" s="157">
        <v>2</v>
      </c>
      <c r="I765" s="156" t="s">
        <v>46</v>
      </c>
      <c r="J765" s="149" t="s">
        <v>23791</v>
      </c>
      <c r="K765" s="155">
        <v>1</v>
      </c>
      <c r="L765" s="152"/>
      <c r="M765" s="149" t="s">
        <v>23789</v>
      </c>
      <c r="N765" s="155">
        <v>1</v>
      </c>
      <c r="O765" s="152"/>
      <c r="P765" s="149" t="s">
        <v>23792</v>
      </c>
      <c r="Q765" s="155">
        <v>1</v>
      </c>
      <c r="R765" s="156" t="s">
        <v>40</v>
      </c>
      <c r="S765" s="149" t="s">
        <v>23793</v>
      </c>
      <c r="T765" s="158">
        <v>3</v>
      </c>
      <c r="U765" s="152"/>
      <c r="V765" s="149" t="s">
        <v>23794</v>
      </c>
      <c r="W765" s="157">
        <v>2</v>
      </c>
      <c r="X765" s="152"/>
      <c r="Y765" s="149" t="s">
        <v>23795</v>
      </c>
      <c r="Z765" s="158">
        <v>3</v>
      </c>
      <c r="AA765" s="152"/>
      <c r="AB765" s="154" t="s">
        <v>5529</v>
      </c>
    </row>
    <row r="766" spans="1:28" x14ac:dyDescent="0.2">
      <c r="A766" s="146" t="s">
        <v>7392</v>
      </c>
      <c r="B766" s="147" t="s">
        <v>6130</v>
      </c>
      <c r="C766" s="147" t="s">
        <v>6192</v>
      </c>
      <c r="D766" s="148" t="s">
        <v>6160</v>
      </c>
      <c r="E766" s="149" t="s">
        <v>23796</v>
      </c>
      <c r="F766" s="159">
        <v>3</v>
      </c>
      <c r="G766" s="149" t="s">
        <v>23797</v>
      </c>
      <c r="H766" s="157">
        <v>2</v>
      </c>
      <c r="I766" s="152"/>
      <c r="J766" s="149" t="s">
        <v>23798</v>
      </c>
      <c r="K766" s="155">
        <v>1</v>
      </c>
      <c r="L766" s="156" t="s">
        <v>40</v>
      </c>
      <c r="M766" s="149" t="s">
        <v>23796</v>
      </c>
      <c r="N766" s="158">
        <v>3</v>
      </c>
      <c r="O766" s="152"/>
      <c r="P766" s="149" t="s">
        <v>23799</v>
      </c>
      <c r="Q766" s="158">
        <v>3</v>
      </c>
      <c r="R766" s="156" t="s">
        <v>40</v>
      </c>
      <c r="S766" s="149" t="s">
        <v>23800</v>
      </c>
      <c r="T766" s="151">
        <v>4</v>
      </c>
      <c r="U766" s="152"/>
      <c r="V766" s="149" t="s">
        <v>23801</v>
      </c>
      <c r="W766" s="158">
        <v>3</v>
      </c>
      <c r="X766" s="152"/>
      <c r="Y766" s="149" t="s">
        <v>23802</v>
      </c>
      <c r="Z766" s="158">
        <v>3</v>
      </c>
      <c r="AA766" s="152"/>
      <c r="AB766" s="154" t="s">
        <v>5532</v>
      </c>
    </row>
    <row r="767" spans="1:28" x14ac:dyDescent="0.2">
      <c r="A767" s="146" t="s">
        <v>7393</v>
      </c>
      <c r="B767" s="147" t="s">
        <v>6130</v>
      </c>
      <c r="C767" s="147" t="s">
        <v>6206</v>
      </c>
      <c r="D767" s="148" t="s">
        <v>6136</v>
      </c>
      <c r="E767" s="149" t="s">
        <v>23803</v>
      </c>
      <c r="F767" s="160">
        <v>2</v>
      </c>
      <c r="G767" s="149" t="s">
        <v>23804</v>
      </c>
      <c r="H767" s="158">
        <v>3</v>
      </c>
      <c r="I767" s="156" t="s">
        <v>46</v>
      </c>
      <c r="J767" s="149" t="s">
        <v>23805</v>
      </c>
      <c r="K767" s="157">
        <v>2</v>
      </c>
      <c r="L767" s="152"/>
      <c r="M767" s="149" t="s">
        <v>23803</v>
      </c>
      <c r="N767" s="157">
        <v>2</v>
      </c>
      <c r="O767" s="152"/>
      <c r="P767" s="149" t="s">
        <v>23806</v>
      </c>
      <c r="Q767" s="157">
        <v>2</v>
      </c>
      <c r="R767" s="152"/>
      <c r="S767" s="149" t="s">
        <v>23807</v>
      </c>
      <c r="T767" s="157">
        <v>2</v>
      </c>
      <c r="U767" s="156" t="s">
        <v>40</v>
      </c>
      <c r="V767" s="149" t="s">
        <v>23808</v>
      </c>
      <c r="W767" s="158">
        <v>3</v>
      </c>
      <c r="X767" s="156" t="s">
        <v>46</v>
      </c>
      <c r="Y767" s="149" t="s">
        <v>23809</v>
      </c>
      <c r="Z767" s="157">
        <v>2</v>
      </c>
      <c r="AA767" s="152"/>
      <c r="AB767" s="154" t="s">
        <v>5534</v>
      </c>
    </row>
    <row r="768" spans="1:28" x14ac:dyDescent="0.2">
      <c r="A768" s="146" t="s">
        <v>7394</v>
      </c>
      <c r="B768" s="147" t="s">
        <v>6130</v>
      </c>
      <c r="C768" s="147" t="s">
        <v>6175</v>
      </c>
      <c r="D768" s="148"/>
      <c r="E768" s="149" t="s">
        <v>23810</v>
      </c>
      <c r="F768" s="159">
        <v>3</v>
      </c>
      <c r="G768" s="149" t="s">
        <v>23811</v>
      </c>
      <c r="H768" s="158">
        <v>3</v>
      </c>
      <c r="I768" s="152"/>
      <c r="J768" s="149" t="s">
        <v>23812</v>
      </c>
      <c r="K768" s="158">
        <v>3</v>
      </c>
      <c r="L768" s="152"/>
      <c r="M768" s="149" t="s">
        <v>23810</v>
      </c>
      <c r="N768" s="158">
        <v>3</v>
      </c>
      <c r="O768" s="152"/>
      <c r="P768" s="149" t="s">
        <v>23813</v>
      </c>
      <c r="Q768" s="158">
        <v>3</v>
      </c>
      <c r="R768" s="152"/>
      <c r="S768" s="149" t="s">
        <v>23814</v>
      </c>
      <c r="T768" s="158">
        <v>3</v>
      </c>
      <c r="U768" s="152"/>
      <c r="V768" s="149" t="s">
        <v>23815</v>
      </c>
      <c r="W768" s="158">
        <v>3</v>
      </c>
      <c r="X768" s="152"/>
      <c r="Y768" s="149" t="s">
        <v>23816</v>
      </c>
      <c r="Z768" s="151">
        <v>4</v>
      </c>
      <c r="AA768" s="152"/>
      <c r="AB768" s="154" t="s">
        <v>5536</v>
      </c>
    </row>
    <row r="769" spans="1:28" x14ac:dyDescent="0.2">
      <c r="A769" s="146" t="s">
        <v>7395</v>
      </c>
      <c r="B769" s="147" t="s">
        <v>6130</v>
      </c>
      <c r="C769" s="147" t="s">
        <v>6175</v>
      </c>
      <c r="D769" s="148"/>
      <c r="E769" s="149" t="s">
        <v>23817</v>
      </c>
      <c r="F769" s="160">
        <v>2</v>
      </c>
      <c r="G769" s="149" t="s">
        <v>23818</v>
      </c>
      <c r="H769" s="157">
        <v>2</v>
      </c>
      <c r="I769" s="152"/>
      <c r="J769" s="149" t="s">
        <v>23819</v>
      </c>
      <c r="K769" s="157">
        <v>2</v>
      </c>
      <c r="L769" s="152"/>
      <c r="M769" s="149" t="s">
        <v>23817</v>
      </c>
      <c r="N769" s="157">
        <v>2</v>
      </c>
      <c r="O769" s="152"/>
      <c r="P769" s="149" t="s">
        <v>23820</v>
      </c>
      <c r="Q769" s="157">
        <v>2</v>
      </c>
      <c r="R769" s="152"/>
      <c r="S769" s="149" t="s">
        <v>23821</v>
      </c>
      <c r="T769" s="157">
        <v>2</v>
      </c>
      <c r="U769" s="152"/>
      <c r="V769" s="149" t="s">
        <v>23822</v>
      </c>
      <c r="W769" s="158">
        <v>3</v>
      </c>
      <c r="X769" s="152"/>
      <c r="Y769" s="149" t="s">
        <v>23823</v>
      </c>
      <c r="Z769" s="158">
        <v>3</v>
      </c>
      <c r="AA769" s="152"/>
      <c r="AB769" s="154" t="s">
        <v>5545</v>
      </c>
    </row>
    <row r="770" spans="1:28" x14ac:dyDescent="0.2">
      <c r="A770" s="146" t="s">
        <v>7396</v>
      </c>
      <c r="B770" s="147" t="s">
        <v>6130</v>
      </c>
      <c r="C770" s="147" t="s">
        <v>6167</v>
      </c>
      <c r="D770" s="148" t="s">
        <v>6170</v>
      </c>
      <c r="E770" s="149" t="s">
        <v>16326</v>
      </c>
      <c r="F770" s="159">
        <v>3</v>
      </c>
      <c r="G770" s="149" t="s">
        <v>23824</v>
      </c>
      <c r="H770" s="158">
        <v>3</v>
      </c>
      <c r="I770" s="156" t="s">
        <v>55</v>
      </c>
      <c r="J770" s="149" t="s">
        <v>23825</v>
      </c>
      <c r="K770" s="157">
        <v>2</v>
      </c>
      <c r="L770" s="156" t="s">
        <v>40</v>
      </c>
      <c r="M770" s="149" t="s">
        <v>16326</v>
      </c>
      <c r="N770" s="158">
        <v>3</v>
      </c>
      <c r="O770" s="156" t="s">
        <v>40</v>
      </c>
      <c r="P770" s="149" t="s">
        <v>23826</v>
      </c>
      <c r="Q770" s="151">
        <v>4</v>
      </c>
      <c r="R770" s="152"/>
      <c r="S770" s="149" t="s">
        <v>23827</v>
      </c>
      <c r="T770" s="151">
        <v>4</v>
      </c>
      <c r="U770" s="152"/>
      <c r="V770" s="149" t="s">
        <v>23828</v>
      </c>
      <c r="W770" s="151">
        <v>4</v>
      </c>
      <c r="X770" s="152"/>
      <c r="Y770" s="149" t="s">
        <v>23829</v>
      </c>
      <c r="Z770" s="151">
        <v>4</v>
      </c>
      <c r="AA770" s="152"/>
      <c r="AB770" s="154" t="s">
        <v>5547</v>
      </c>
    </row>
    <row r="771" spans="1:28" x14ac:dyDescent="0.2">
      <c r="A771" s="146" t="s">
        <v>19150</v>
      </c>
      <c r="B771" s="147" t="s">
        <v>6130</v>
      </c>
      <c r="C771" s="147" t="s">
        <v>6583</v>
      </c>
      <c r="D771" s="148" t="s">
        <v>6170</v>
      </c>
      <c r="E771" s="149" t="s">
        <v>23830</v>
      </c>
      <c r="F771" s="161">
        <v>1</v>
      </c>
      <c r="G771" s="149" t="s">
        <v>23831</v>
      </c>
      <c r="H771" s="155">
        <v>1</v>
      </c>
      <c r="I771" s="152"/>
      <c r="J771" s="149" t="s">
        <v>23832</v>
      </c>
      <c r="K771" s="155">
        <v>1</v>
      </c>
      <c r="L771" s="152"/>
      <c r="M771" s="149" t="s">
        <v>23830</v>
      </c>
      <c r="N771" s="155">
        <v>1</v>
      </c>
      <c r="O771" s="152"/>
      <c r="P771" s="149" t="s">
        <v>23833</v>
      </c>
      <c r="Q771" s="155">
        <v>1</v>
      </c>
      <c r="R771" s="156" t="s">
        <v>40</v>
      </c>
      <c r="S771" s="149" t="s">
        <v>23834</v>
      </c>
      <c r="T771" s="158">
        <v>3</v>
      </c>
      <c r="U771" s="156" t="s">
        <v>40</v>
      </c>
      <c r="V771" s="149" t="s">
        <v>23835</v>
      </c>
      <c r="W771" s="157">
        <v>2</v>
      </c>
      <c r="X771" s="152"/>
      <c r="Y771" s="149" t="s">
        <v>23836</v>
      </c>
      <c r="Z771" s="158">
        <v>3</v>
      </c>
      <c r="AA771" s="152"/>
      <c r="AB771" s="154" t="s">
        <v>5549</v>
      </c>
    </row>
    <row r="772" spans="1:28" x14ac:dyDescent="0.2">
      <c r="A772" s="146" t="s">
        <v>7397</v>
      </c>
      <c r="B772" s="147" t="s">
        <v>6130</v>
      </c>
      <c r="C772" s="147" t="s">
        <v>6259</v>
      </c>
      <c r="D772" s="148" t="s">
        <v>6132</v>
      </c>
      <c r="E772" s="149" t="s">
        <v>23837</v>
      </c>
      <c r="F772" s="161">
        <v>1</v>
      </c>
      <c r="G772" s="149" t="s">
        <v>23838</v>
      </c>
      <c r="H772" s="155">
        <v>1</v>
      </c>
      <c r="I772" s="152"/>
      <c r="J772" s="149" t="s">
        <v>23839</v>
      </c>
      <c r="K772" s="155">
        <v>1</v>
      </c>
      <c r="L772" s="152"/>
      <c r="M772" s="149" t="s">
        <v>23837</v>
      </c>
      <c r="N772" s="155">
        <v>1</v>
      </c>
      <c r="O772" s="152"/>
      <c r="P772" s="149" t="s">
        <v>23840</v>
      </c>
      <c r="Q772" s="155">
        <v>1</v>
      </c>
      <c r="R772" s="152"/>
      <c r="S772" s="149" t="s">
        <v>23841</v>
      </c>
      <c r="T772" s="155">
        <v>1</v>
      </c>
      <c r="U772" s="156" t="s">
        <v>40</v>
      </c>
      <c r="V772" s="149" t="s">
        <v>23842</v>
      </c>
      <c r="W772" s="157">
        <v>2</v>
      </c>
      <c r="X772" s="152"/>
      <c r="Y772" s="149" t="s">
        <v>23843</v>
      </c>
      <c r="Z772" s="155">
        <v>1</v>
      </c>
      <c r="AA772" s="152"/>
      <c r="AB772" s="154" t="s">
        <v>5554</v>
      </c>
    </row>
    <row r="773" spans="1:28" x14ac:dyDescent="0.2">
      <c r="A773" s="146" t="s">
        <v>7398</v>
      </c>
      <c r="B773" s="147" t="s">
        <v>6130</v>
      </c>
      <c r="C773" s="147" t="s">
        <v>6277</v>
      </c>
      <c r="D773" s="148" t="s">
        <v>6160</v>
      </c>
      <c r="E773" s="149" t="s">
        <v>23844</v>
      </c>
      <c r="F773" s="160">
        <v>2</v>
      </c>
      <c r="G773" s="149" t="s">
        <v>23845</v>
      </c>
      <c r="H773" s="157">
        <v>2</v>
      </c>
      <c r="I773" s="152"/>
      <c r="J773" s="149" t="s">
        <v>23846</v>
      </c>
      <c r="K773" s="155">
        <v>1</v>
      </c>
      <c r="L773" s="156" t="s">
        <v>40</v>
      </c>
      <c r="M773" s="149" t="s">
        <v>23844</v>
      </c>
      <c r="N773" s="157">
        <v>2</v>
      </c>
      <c r="O773" s="152"/>
      <c r="P773" s="149" t="s">
        <v>23847</v>
      </c>
      <c r="Q773" s="155">
        <v>1</v>
      </c>
      <c r="R773" s="152"/>
      <c r="S773" s="149" t="s">
        <v>23848</v>
      </c>
      <c r="T773" s="158">
        <v>3</v>
      </c>
      <c r="U773" s="152"/>
      <c r="V773" s="149" t="s">
        <v>23849</v>
      </c>
      <c r="W773" s="155">
        <v>1</v>
      </c>
      <c r="X773" s="152"/>
      <c r="Y773" s="149" t="s">
        <v>23850</v>
      </c>
      <c r="Z773" s="151">
        <v>4</v>
      </c>
      <c r="AA773" s="152"/>
      <c r="AB773" s="154" t="s">
        <v>5556</v>
      </c>
    </row>
    <row r="774" spans="1:28" x14ac:dyDescent="0.2">
      <c r="A774" s="146" t="s">
        <v>7399</v>
      </c>
      <c r="B774" s="147" t="s">
        <v>6130</v>
      </c>
      <c r="C774" s="147" t="s">
        <v>6583</v>
      </c>
      <c r="D774" s="148" t="s">
        <v>6132</v>
      </c>
      <c r="E774" s="149" t="s">
        <v>23851</v>
      </c>
      <c r="F774" s="160">
        <v>2</v>
      </c>
      <c r="G774" s="149" t="s">
        <v>7400</v>
      </c>
      <c r="H774" s="157">
        <v>2</v>
      </c>
      <c r="I774" s="156" t="s">
        <v>46</v>
      </c>
      <c r="J774" s="149" t="s">
        <v>23852</v>
      </c>
      <c r="K774" s="155">
        <v>1</v>
      </c>
      <c r="L774" s="152"/>
      <c r="M774" s="149" t="s">
        <v>23851</v>
      </c>
      <c r="N774" s="157">
        <v>2</v>
      </c>
      <c r="O774" s="152"/>
      <c r="P774" s="149" t="s">
        <v>23853</v>
      </c>
      <c r="Q774" s="157">
        <v>2</v>
      </c>
      <c r="R774" s="152"/>
      <c r="S774" s="149" t="s">
        <v>23854</v>
      </c>
      <c r="T774" s="155">
        <v>1</v>
      </c>
      <c r="U774" s="152"/>
      <c r="V774" s="149" t="s">
        <v>23855</v>
      </c>
      <c r="W774" s="155">
        <v>1</v>
      </c>
      <c r="X774" s="152"/>
      <c r="Y774" s="149" t="s">
        <v>23856</v>
      </c>
      <c r="Z774" s="155">
        <v>1</v>
      </c>
      <c r="AA774" s="152"/>
      <c r="AB774" s="154" t="s">
        <v>5558</v>
      </c>
    </row>
    <row r="775" spans="1:28" x14ac:dyDescent="0.2">
      <c r="A775" s="146" t="s">
        <v>5559</v>
      </c>
      <c r="B775" s="147" t="s">
        <v>6130</v>
      </c>
      <c r="C775" s="147" t="s">
        <v>6300</v>
      </c>
      <c r="D775" s="148" t="s">
        <v>6160</v>
      </c>
      <c r="E775" s="149" t="s">
        <v>23857</v>
      </c>
      <c r="F775" s="150">
        <v>4</v>
      </c>
      <c r="G775" s="149" t="s">
        <v>23858</v>
      </c>
      <c r="H775" s="155">
        <v>1</v>
      </c>
      <c r="I775" s="156" t="s">
        <v>157</v>
      </c>
      <c r="J775" s="149" t="s">
        <v>23859</v>
      </c>
      <c r="K775" s="158">
        <v>3</v>
      </c>
      <c r="L775" s="156" t="s">
        <v>40</v>
      </c>
      <c r="M775" s="149" t="s">
        <v>23857</v>
      </c>
      <c r="N775" s="151">
        <v>4</v>
      </c>
      <c r="O775" s="152"/>
      <c r="P775" s="149" t="s">
        <v>22870</v>
      </c>
      <c r="Q775" s="157">
        <v>2</v>
      </c>
      <c r="R775" s="156" t="s">
        <v>53</v>
      </c>
      <c r="S775" s="149" t="s">
        <v>7401</v>
      </c>
      <c r="T775" s="158">
        <v>3</v>
      </c>
      <c r="U775" s="152"/>
      <c r="V775" s="149" t="s">
        <v>7402</v>
      </c>
      <c r="W775" s="157">
        <v>2</v>
      </c>
      <c r="X775" s="152"/>
      <c r="Y775" s="149" t="s">
        <v>6613</v>
      </c>
      <c r="Z775" s="157">
        <v>2</v>
      </c>
      <c r="AA775" s="152"/>
      <c r="AB775" s="154" t="s">
        <v>5560</v>
      </c>
    </row>
    <row r="776" spans="1:28" x14ac:dyDescent="0.2">
      <c r="A776" s="146" t="s">
        <v>7403</v>
      </c>
      <c r="B776" s="147" t="s">
        <v>6130</v>
      </c>
      <c r="C776" s="147" t="s">
        <v>6277</v>
      </c>
      <c r="D776" s="148" t="s">
        <v>6160</v>
      </c>
      <c r="E776" s="149" t="s">
        <v>23860</v>
      </c>
      <c r="F776" s="160">
        <v>2</v>
      </c>
      <c r="G776" s="149" t="s">
        <v>23861</v>
      </c>
      <c r="H776" s="155">
        <v>1</v>
      </c>
      <c r="I776" s="152"/>
      <c r="J776" s="149" t="s">
        <v>23862</v>
      </c>
      <c r="K776" s="155">
        <v>1</v>
      </c>
      <c r="L776" s="152"/>
      <c r="M776" s="149" t="s">
        <v>23860</v>
      </c>
      <c r="N776" s="157">
        <v>2</v>
      </c>
      <c r="O776" s="152"/>
      <c r="P776" s="149" t="s">
        <v>23863</v>
      </c>
      <c r="Q776" s="158">
        <v>3</v>
      </c>
      <c r="R776" s="156" t="s">
        <v>40</v>
      </c>
      <c r="S776" s="149" t="s">
        <v>23864</v>
      </c>
      <c r="T776" s="158">
        <v>3</v>
      </c>
      <c r="U776" s="152"/>
      <c r="V776" s="149" t="s">
        <v>14909</v>
      </c>
      <c r="W776" s="155">
        <v>1</v>
      </c>
      <c r="X776" s="152"/>
      <c r="Y776" s="149" t="s">
        <v>23865</v>
      </c>
      <c r="Z776" s="157">
        <v>2</v>
      </c>
      <c r="AA776" s="152"/>
      <c r="AB776" s="154" t="s">
        <v>5565</v>
      </c>
    </row>
    <row r="777" spans="1:28" x14ac:dyDescent="0.2">
      <c r="A777" s="146" t="s">
        <v>7404</v>
      </c>
      <c r="B777" s="147" t="s">
        <v>6130</v>
      </c>
      <c r="C777" s="147" t="s">
        <v>6872</v>
      </c>
      <c r="D777" s="148" t="s">
        <v>6136</v>
      </c>
      <c r="E777" s="149" t="s">
        <v>23866</v>
      </c>
      <c r="F777" s="161">
        <v>1</v>
      </c>
      <c r="G777" s="149" t="s">
        <v>23373</v>
      </c>
      <c r="H777" s="155">
        <v>1</v>
      </c>
      <c r="I777" s="156" t="s">
        <v>40</v>
      </c>
      <c r="J777" s="149" t="s">
        <v>23867</v>
      </c>
      <c r="K777" s="155">
        <v>1</v>
      </c>
      <c r="L777" s="152"/>
      <c r="M777" s="149" t="s">
        <v>23866</v>
      </c>
      <c r="N777" s="155">
        <v>1</v>
      </c>
      <c r="O777" s="152"/>
      <c r="P777" s="149" t="s">
        <v>23868</v>
      </c>
      <c r="Q777" s="157">
        <v>2</v>
      </c>
      <c r="R777" s="156" t="s">
        <v>46</v>
      </c>
      <c r="S777" s="149" t="s">
        <v>23869</v>
      </c>
      <c r="T777" s="158">
        <v>3</v>
      </c>
      <c r="U777" s="152"/>
      <c r="V777" s="149" t="s">
        <v>7405</v>
      </c>
      <c r="W777" s="157">
        <v>2</v>
      </c>
      <c r="X777" s="152"/>
      <c r="Y777" s="149" t="s">
        <v>23870</v>
      </c>
      <c r="Z777" s="157">
        <v>2</v>
      </c>
      <c r="AA777" s="152"/>
      <c r="AB777" s="154" t="s">
        <v>5568</v>
      </c>
    </row>
    <row r="778" spans="1:28" x14ac:dyDescent="0.2">
      <c r="A778" s="146" t="s">
        <v>7406</v>
      </c>
      <c r="B778" s="147" t="s">
        <v>6130</v>
      </c>
      <c r="C778" s="147" t="s">
        <v>6583</v>
      </c>
      <c r="D778" s="148" t="s">
        <v>6160</v>
      </c>
      <c r="E778" s="149" t="s">
        <v>23871</v>
      </c>
      <c r="F778" s="160">
        <v>2</v>
      </c>
      <c r="G778" s="149" t="s">
        <v>23872</v>
      </c>
      <c r="H778" s="157">
        <v>2</v>
      </c>
      <c r="I778" s="152"/>
      <c r="J778" s="149" t="s">
        <v>23873</v>
      </c>
      <c r="K778" s="155">
        <v>1</v>
      </c>
      <c r="L778" s="156" t="s">
        <v>40</v>
      </c>
      <c r="M778" s="149" t="s">
        <v>23871</v>
      </c>
      <c r="N778" s="157">
        <v>2</v>
      </c>
      <c r="O778" s="152"/>
      <c r="P778" s="149" t="s">
        <v>23874</v>
      </c>
      <c r="Q778" s="157">
        <v>2</v>
      </c>
      <c r="R778" s="152"/>
      <c r="S778" s="149" t="s">
        <v>23875</v>
      </c>
      <c r="T778" s="158">
        <v>3</v>
      </c>
      <c r="U778" s="152"/>
      <c r="V778" s="149" t="s">
        <v>23876</v>
      </c>
      <c r="W778" s="155">
        <v>1</v>
      </c>
      <c r="X778" s="152"/>
      <c r="Y778" s="149" t="s">
        <v>23877</v>
      </c>
      <c r="Z778" s="157">
        <v>2</v>
      </c>
      <c r="AA778" s="152"/>
      <c r="AB778" s="154" t="s">
        <v>5571</v>
      </c>
    </row>
    <row r="779" spans="1:28" x14ac:dyDescent="0.2">
      <c r="A779" s="146" t="s">
        <v>23878</v>
      </c>
      <c r="B779" s="147" t="s">
        <v>6130</v>
      </c>
      <c r="C779" s="147" t="s">
        <v>6175</v>
      </c>
      <c r="D779" s="148"/>
      <c r="E779" s="149" t="s">
        <v>47</v>
      </c>
      <c r="F779" s="152"/>
      <c r="G779" s="149" t="s">
        <v>23879</v>
      </c>
      <c r="H779" s="157">
        <v>2</v>
      </c>
      <c r="I779" s="156" t="s">
        <v>40</v>
      </c>
      <c r="J779" s="149" t="s">
        <v>13600</v>
      </c>
      <c r="K779" s="158">
        <v>3</v>
      </c>
      <c r="L779" s="152"/>
      <c r="M779" s="149" t="s">
        <v>47</v>
      </c>
      <c r="N779" s="153"/>
      <c r="O779" s="152"/>
      <c r="P779" s="149" t="s">
        <v>47</v>
      </c>
      <c r="Q779" s="153"/>
      <c r="R779" s="152"/>
      <c r="S779" s="149" t="s">
        <v>47</v>
      </c>
      <c r="T779" s="153"/>
      <c r="U779" s="152"/>
      <c r="V779" s="149" t="s">
        <v>47</v>
      </c>
      <c r="W779" s="153"/>
      <c r="X779" s="152"/>
      <c r="Y779" s="149" t="s">
        <v>47</v>
      </c>
      <c r="Z779" s="153"/>
      <c r="AA779" s="152"/>
      <c r="AB779" s="154" t="s">
        <v>5575</v>
      </c>
    </row>
    <row r="780" spans="1:28" x14ac:dyDescent="0.2">
      <c r="A780" s="146" t="s">
        <v>23880</v>
      </c>
      <c r="B780" s="147" t="s">
        <v>6130</v>
      </c>
      <c r="C780" s="147" t="s">
        <v>6131</v>
      </c>
      <c r="D780" s="148"/>
      <c r="E780" s="149" t="s">
        <v>47</v>
      </c>
      <c r="F780" s="152"/>
      <c r="G780" s="149" t="s">
        <v>20455</v>
      </c>
      <c r="H780" s="155">
        <v>1</v>
      </c>
      <c r="I780" s="156" t="s">
        <v>53</v>
      </c>
      <c r="J780" s="149" t="s">
        <v>23881</v>
      </c>
      <c r="K780" s="157">
        <v>2</v>
      </c>
      <c r="L780" s="152"/>
      <c r="M780" s="149" t="s">
        <v>47</v>
      </c>
      <c r="N780" s="153"/>
      <c r="O780" s="152"/>
      <c r="P780" s="149" t="s">
        <v>47</v>
      </c>
      <c r="Q780" s="153"/>
      <c r="R780" s="152"/>
      <c r="S780" s="149" t="s">
        <v>47</v>
      </c>
      <c r="T780" s="153"/>
      <c r="U780" s="152"/>
      <c r="V780" s="149" t="s">
        <v>47</v>
      </c>
      <c r="W780" s="153"/>
      <c r="X780" s="152"/>
      <c r="Y780" s="149" t="s">
        <v>47</v>
      </c>
      <c r="Z780" s="153"/>
      <c r="AA780" s="152"/>
      <c r="AB780" s="154" t="s">
        <v>19240</v>
      </c>
    </row>
    <row r="781" spans="1:28" x14ac:dyDescent="0.2">
      <c r="A781" s="146" t="s">
        <v>23882</v>
      </c>
      <c r="B781" s="147" t="s">
        <v>6130</v>
      </c>
      <c r="C781" s="147" t="s">
        <v>6131</v>
      </c>
      <c r="D781" s="148"/>
      <c r="E781" s="149" t="s">
        <v>47</v>
      </c>
      <c r="F781" s="152"/>
      <c r="G781" s="149" t="s">
        <v>20455</v>
      </c>
      <c r="H781" s="155">
        <v>1</v>
      </c>
      <c r="I781" s="156" t="s">
        <v>53</v>
      </c>
      <c r="J781" s="149" t="s">
        <v>23881</v>
      </c>
      <c r="K781" s="157">
        <v>2</v>
      </c>
      <c r="L781" s="152"/>
      <c r="M781" s="149" t="s">
        <v>47</v>
      </c>
      <c r="N781" s="153"/>
      <c r="O781" s="152"/>
      <c r="P781" s="149" t="s">
        <v>47</v>
      </c>
      <c r="Q781" s="153"/>
      <c r="R781" s="152"/>
      <c r="S781" s="149" t="s">
        <v>47</v>
      </c>
      <c r="T781" s="153"/>
      <c r="U781" s="152"/>
      <c r="V781" s="149" t="s">
        <v>47</v>
      </c>
      <c r="W781" s="153"/>
      <c r="X781" s="152"/>
      <c r="Y781" s="149" t="s">
        <v>47</v>
      </c>
      <c r="Z781" s="153"/>
      <c r="AA781" s="152"/>
      <c r="AB781" s="154" t="s">
        <v>23883</v>
      </c>
    </row>
    <row r="782" spans="1:28" x14ac:dyDescent="0.2">
      <c r="A782" s="146" t="s">
        <v>7407</v>
      </c>
      <c r="B782" s="147" t="s">
        <v>6130</v>
      </c>
      <c r="C782" s="147" t="s">
        <v>6131</v>
      </c>
      <c r="D782" s="148"/>
      <c r="E782" s="149" t="s">
        <v>23884</v>
      </c>
      <c r="F782" s="161">
        <v>1</v>
      </c>
      <c r="G782" s="149" t="s">
        <v>23885</v>
      </c>
      <c r="H782" s="157">
        <v>2</v>
      </c>
      <c r="I782" s="152"/>
      <c r="J782" s="149" t="s">
        <v>23886</v>
      </c>
      <c r="K782" s="155">
        <v>1</v>
      </c>
      <c r="L782" s="152"/>
      <c r="M782" s="149" t="s">
        <v>23884</v>
      </c>
      <c r="N782" s="155">
        <v>1</v>
      </c>
      <c r="O782" s="156" t="s">
        <v>40</v>
      </c>
      <c r="P782" s="149" t="s">
        <v>47</v>
      </c>
      <c r="Q782" s="153"/>
      <c r="R782" s="152"/>
      <c r="S782" s="149" t="s">
        <v>47</v>
      </c>
      <c r="T782" s="153"/>
      <c r="U782" s="152"/>
      <c r="V782" s="149" t="s">
        <v>47</v>
      </c>
      <c r="W782" s="153"/>
      <c r="X782" s="152"/>
      <c r="Y782" s="149" t="s">
        <v>47</v>
      </c>
      <c r="Z782" s="153"/>
      <c r="AA782" s="152"/>
      <c r="AB782" s="154" t="s">
        <v>5578</v>
      </c>
    </row>
    <row r="783" spans="1:28" x14ac:dyDescent="0.2">
      <c r="A783" s="146" t="s">
        <v>7408</v>
      </c>
      <c r="B783" s="147" t="s">
        <v>6130</v>
      </c>
      <c r="C783" s="147" t="s">
        <v>6131</v>
      </c>
      <c r="D783" s="148"/>
      <c r="E783" s="149" t="s">
        <v>23887</v>
      </c>
      <c r="F783" s="161">
        <v>1</v>
      </c>
      <c r="G783" s="149" t="s">
        <v>23888</v>
      </c>
      <c r="H783" s="157">
        <v>2</v>
      </c>
      <c r="I783" s="152"/>
      <c r="J783" s="149" t="s">
        <v>23889</v>
      </c>
      <c r="K783" s="155">
        <v>1</v>
      </c>
      <c r="L783" s="152"/>
      <c r="M783" s="149" t="s">
        <v>23887</v>
      </c>
      <c r="N783" s="155">
        <v>1</v>
      </c>
      <c r="O783" s="156" t="s">
        <v>40</v>
      </c>
      <c r="P783" s="149" t="s">
        <v>47</v>
      </c>
      <c r="Q783" s="153"/>
      <c r="R783" s="152"/>
      <c r="S783" s="149" t="s">
        <v>47</v>
      </c>
      <c r="T783" s="153"/>
      <c r="U783" s="152"/>
      <c r="V783" s="149" t="s">
        <v>47</v>
      </c>
      <c r="W783" s="153"/>
      <c r="X783" s="152"/>
      <c r="Y783" s="149" t="s">
        <v>47</v>
      </c>
      <c r="Z783" s="153"/>
      <c r="AA783" s="152"/>
      <c r="AB783" s="154" t="s">
        <v>5580</v>
      </c>
    </row>
    <row r="784" spans="1:28" x14ac:dyDescent="0.2">
      <c r="A784" s="146" t="s">
        <v>5583</v>
      </c>
      <c r="B784" s="147" t="s">
        <v>6130</v>
      </c>
      <c r="C784" s="147" t="s">
        <v>6131</v>
      </c>
      <c r="D784" s="148"/>
      <c r="E784" s="149" t="s">
        <v>23890</v>
      </c>
      <c r="F784" s="161">
        <v>1</v>
      </c>
      <c r="G784" s="149" t="s">
        <v>23891</v>
      </c>
      <c r="H784" s="151">
        <v>4</v>
      </c>
      <c r="I784" s="156" t="s">
        <v>44</v>
      </c>
      <c r="J784" s="149" t="s">
        <v>23892</v>
      </c>
      <c r="K784" s="157">
        <v>2</v>
      </c>
      <c r="L784" s="156" t="s">
        <v>46</v>
      </c>
      <c r="M784" s="149" t="s">
        <v>23890</v>
      </c>
      <c r="N784" s="155">
        <v>1</v>
      </c>
      <c r="O784" s="152"/>
      <c r="P784" s="149" t="s">
        <v>23893</v>
      </c>
      <c r="Q784" s="155">
        <v>1</v>
      </c>
      <c r="R784" s="152"/>
      <c r="S784" s="149" t="s">
        <v>47</v>
      </c>
      <c r="T784" s="153"/>
      <c r="U784" s="152"/>
      <c r="V784" s="149" t="s">
        <v>47</v>
      </c>
      <c r="W784" s="153"/>
      <c r="X784" s="152"/>
      <c r="Y784" s="149" t="s">
        <v>47</v>
      </c>
      <c r="Z784" s="153"/>
      <c r="AA784" s="152"/>
      <c r="AB784" s="154" t="s">
        <v>5584</v>
      </c>
    </row>
    <row r="785" spans="1:28" x14ac:dyDescent="0.2">
      <c r="A785" s="146" t="s">
        <v>7409</v>
      </c>
      <c r="B785" s="147" t="s">
        <v>6130</v>
      </c>
      <c r="C785" s="147" t="s">
        <v>6131</v>
      </c>
      <c r="D785" s="148"/>
      <c r="E785" s="149" t="s">
        <v>23894</v>
      </c>
      <c r="F785" s="161">
        <v>1</v>
      </c>
      <c r="G785" s="149" t="s">
        <v>23895</v>
      </c>
      <c r="H785" s="158">
        <v>3</v>
      </c>
      <c r="I785" s="156" t="s">
        <v>46</v>
      </c>
      <c r="J785" s="149" t="s">
        <v>23896</v>
      </c>
      <c r="K785" s="155">
        <v>1</v>
      </c>
      <c r="L785" s="152"/>
      <c r="M785" s="149" t="s">
        <v>23894</v>
      </c>
      <c r="N785" s="155">
        <v>1</v>
      </c>
      <c r="O785" s="152"/>
      <c r="P785" s="149" t="s">
        <v>47</v>
      </c>
      <c r="Q785" s="153"/>
      <c r="R785" s="152"/>
      <c r="S785" s="149" t="s">
        <v>47</v>
      </c>
      <c r="T785" s="153"/>
      <c r="U785" s="152"/>
      <c r="V785" s="149" t="s">
        <v>47</v>
      </c>
      <c r="W785" s="153"/>
      <c r="X785" s="152"/>
      <c r="Y785" s="149" t="s">
        <v>47</v>
      </c>
      <c r="Z785" s="153"/>
      <c r="AA785" s="152"/>
      <c r="AB785" s="154" t="s">
        <v>5586</v>
      </c>
    </row>
    <row r="786" spans="1:28" x14ac:dyDescent="0.2">
      <c r="A786" s="146" t="s">
        <v>5589</v>
      </c>
      <c r="B786" s="147" t="s">
        <v>6130</v>
      </c>
      <c r="C786" s="147" t="s">
        <v>6131</v>
      </c>
      <c r="D786" s="148" t="s">
        <v>6136</v>
      </c>
      <c r="E786" s="149" t="s">
        <v>19486</v>
      </c>
      <c r="F786" s="160">
        <v>2</v>
      </c>
      <c r="G786" s="149" t="s">
        <v>23897</v>
      </c>
      <c r="H786" s="157">
        <v>2</v>
      </c>
      <c r="I786" s="152"/>
      <c r="J786" s="149" t="s">
        <v>23898</v>
      </c>
      <c r="K786" s="157">
        <v>2</v>
      </c>
      <c r="L786" s="152"/>
      <c r="M786" s="149" t="s">
        <v>19486</v>
      </c>
      <c r="N786" s="157">
        <v>2</v>
      </c>
      <c r="O786" s="156" t="s">
        <v>40</v>
      </c>
      <c r="P786" s="149" t="s">
        <v>23899</v>
      </c>
      <c r="Q786" s="158">
        <v>3</v>
      </c>
      <c r="R786" s="152"/>
      <c r="S786" s="149" t="s">
        <v>23900</v>
      </c>
      <c r="T786" s="158">
        <v>3</v>
      </c>
      <c r="U786" s="152"/>
      <c r="V786" s="149" t="s">
        <v>23901</v>
      </c>
      <c r="W786" s="158">
        <v>3</v>
      </c>
      <c r="X786" s="152"/>
      <c r="Y786" s="149" t="s">
        <v>47</v>
      </c>
      <c r="Z786" s="153"/>
      <c r="AA786" s="152"/>
      <c r="AB786" s="154" t="s">
        <v>5590</v>
      </c>
    </row>
    <row r="787" spans="1:28" x14ac:dyDescent="0.2">
      <c r="A787" s="146" t="s">
        <v>7410</v>
      </c>
      <c r="B787" s="147" t="s">
        <v>6130</v>
      </c>
      <c r="C787" s="147" t="s">
        <v>6229</v>
      </c>
      <c r="D787" s="148" t="s">
        <v>6170</v>
      </c>
      <c r="E787" s="149" t="s">
        <v>23902</v>
      </c>
      <c r="F787" s="160">
        <v>2</v>
      </c>
      <c r="G787" s="149" t="s">
        <v>23903</v>
      </c>
      <c r="H787" s="157">
        <v>2</v>
      </c>
      <c r="I787" s="156" t="s">
        <v>46</v>
      </c>
      <c r="J787" s="149" t="s">
        <v>23904</v>
      </c>
      <c r="K787" s="155">
        <v>1</v>
      </c>
      <c r="L787" s="156" t="s">
        <v>40</v>
      </c>
      <c r="M787" s="149" t="s">
        <v>23902</v>
      </c>
      <c r="N787" s="157">
        <v>2</v>
      </c>
      <c r="O787" s="156" t="s">
        <v>40</v>
      </c>
      <c r="P787" s="149" t="s">
        <v>23905</v>
      </c>
      <c r="Q787" s="151">
        <v>4</v>
      </c>
      <c r="R787" s="152"/>
      <c r="S787" s="149" t="s">
        <v>23906</v>
      </c>
      <c r="T787" s="151">
        <v>4</v>
      </c>
      <c r="U787" s="152"/>
      <c r="V787" s="149" t="s">
        <v>23907</v>
      </c>
      <c r="W787" s="151">
        <v>4</v>
      </c>
      <c r="X787" s="152"/>
      <c r="Y787" s="149" t="s">
        <v>47</v>
      </c>
      <c r="Z787" s="153"/>
      <c r="AA787" s="152"/>
      <c r="AB787" s="154" t="s">
        <v>5592</v>
      </c>
    </row>
    <row r="788" spans="1:28" x14ac:dyDescent="0.2">
      <c r="A788" s="146" t="s">
        <v>7411</v>
      </c>
      <c r="B788" s="147" t="s">
        <v>6130</v>
      </c>
      <c r="C788" s="147" t="s">
        <v>6145</v>
      </c>
      <c r="D788" s="148" t="s">
        <v>6136</v>
      </c>
      <c r="E788" s="149" t="s">
        <v>23908</v>
      </c>
      <c r="F788" s="160">
        <v>2</v>
      </c>
      <c r="G788" s="149" t="s">
        <v>23909</v>
      </c>
      <c r="H788" s="157">
        <v>2</v>
      </c>
      <c r="I788" s="152"/>
      <c r="J788" s="149" t="s">
        <v>23910</v>
      </c>
      <c r="K788" s="157">
        <v>2</v>
      </c>
      <c r="L788" s="156" t="s">
        <v>40</v>
      </c>
      <c r="M788" s="149" t="s">
        <v>23908</v>
      </c>
      <c r="N788" s="157">
        <v>2</v>
      </c>
      <c r="O788" s="156" t="s">
        <v>40</v>
      </c>
      <c r="P788" s="149" t="s">
        <v>23911</v>
      </c>
      <c r="Q788" s="158">
        <v>3</v>
      </c>
      <c r="R788" s="152"/>
      <c r="S788" s="149" t="s">
        <v>23912</v>
      </c>
      <c r="T788" s="158">
        <v>3</v>
      </c>
      <c r="U788" s="152"/>
      <c r="V788" s="149" t="s">
        <v>23913</v>
      </c>
      <c r="W788" s="151">
        <v>4</v>
      </c>
      <c r="X788" s="152"/>
      <c r="Y788" s="149" t="s">
        <v>47</v>
      </c>
      <c r="Z788" s="153"/>
      <c r="AA788" s="152"/>
      <c r="AB788" s="154" t="s">
        <v>5594</v>
      </c>
    </row>
    <row r="789" spans="1:28" x14ac:dyDescent="0.2">
      <c r="A789" s="146" t="s">
        <v>7412</v>
      </c>
      <c r="B789" s="147" t="s">
        <v>6130</v>
      </c>
      <c r="C789" s="147" t="s">
        <v>6175</v>
      </c>
      <c r="D789" s="148"/>
      <c r="E789" s="149" t="s">
        <v>23914</v>
      </c>
      <c r="F789" s="159">
        <v>3</v>
      </c>
      <c r="G789" s="149" t="s">
        <v>23915</v>
      </c>
      <c r="H789" s="158">
        <v>3</v>
      </c>
      <c r="I789" s="152"/>
      <c r="J789" s="149" t="s">
        <v>23916</v>
      </c>
      <c r="K789" s="158">
        <v>3</v>
      </c>
      <c r="L789" s="152"/>
      <c r="M789" s="149" t="s">
        <v>23914</v>
      </c>
      <c r="N789" s="158">
        <v>3</v>
      </c>
      <c r="O789" s="152"/>
      <c r="P789" s="149" t="s">
        <v>23917</v>
      </c>
      <c r="Q789" s="158">
        <v>3</v>
      </c>
      <c r="R789" s="152"/>
      <c r="S789" s="149" t="s">
        <v>23918</v>
      </c>
      <c r="T789" s="158">
        <v>3</v>
      </c>
      <c r="U789" s="152"/>
      <c r="V789" s="149" t="s">
        <v>23919</v>
      </c>
      <c r="W789" s="151">
        <v>4</v>
      </c>
      <c r="X789" s="152"/>
      <c r="Y789" s="149" t="s">
        <v>23920</v>
      </c>
      <c r="Z789" s="151">
        <v>4</v>
      </c>
      <c r="AA789" s="152"/>
      <c r="AB789" s="154" t="s">
        <v>5597</v>
      </c>
    </row>
    <row r="790" spans="1:28" x14ac:dyDescent="0.2">
      <c r="A790" s="146" t="s">
        <v>7413</v>
      </c>
      <c r="B790" s="147" t="s">
        <v>6130</v>
      </c>
      <c r="C790" s="147" t="s">
        <v>6131</v>
      </c>
      <c r="D790" s="148"/>
      <c r="E790" s="149" t="s">
        <v>23921</v>
      </c>
      <c r="F790" s="161">
        <v>1</v>
      </c>
      <c r="G790" s="149" t="s">
        <v>23922</v>
      </c>
      <c r="H790" s="158">
        <v>3</v>
      </c>
      <c r="I790" s="156" t="s">
        <v>46</v>
      </c>
      <c r="J790" s="149" t="s">
        <v>23923</v>
      </c>
      <c r="K790" s="155">
        <v>1</v>
      </c>
      <c r="L790" s="152"/>
      <c r="M790" s="149" t="s">
        <v>23921</v>
      </c>
      <c r="N790" s="155">
        <v>1</v>
      </c>
      <c r="O790" s="152"/>
      <c r="P790" s="149" t="s">
        <v>47</v>
      </c>
      <c r="Q790" s="153"/>
      <c r="R790" s="152"/>
      <c r="S790" s="149" t="s">
        <v>47</v>
      </c>
      <c r="T790" s="153"/>
      <c r="U790" s="152"/>
      <c r="V790" s="149" t="s">
        <v>47</v>
      </c>
      <c r="W790" s="153"/>
      <c r="X790" s="152"/>
      <c r="Y790" s="149" t="s">
        <v>47</v>
      </c>
      <c r="Z790" s="153"/>
      <c r="AA790" s="152"/>
      <c r="AB790" s="154" t="s">
        <v>5599</v>
      </c>
    </row>
    <row r="791" spans="1:28" x14ac:dyDescent="0.2">
      <c r="A791" s="146" t="s">
        <v>7414</v>
      </c>
      <c r="B791" s="147" t="s">
        <v>6130</v>
      </c>
      <c r="C791" s="147" t="s">
        <v>6131</v>
      </c>
      <c r="D791" s="148"/>
      <c r="E791" s="149" t="s">
        <v>23924</v>
      </c>
      <c r="F791" s="161">
        <v>1</v>
      </c>
      <c r="G791" s="149" t="s">
        <v>23925</v>
      </c>
      <c r="H791" s="158">
        <v>3</v>
      </c>
      <c r="I791" s="156" t="s">
        <v>46</v>
      </c>
      <c r="J791" s="149" t="s">
        <v>23926</v>
      </c>
      <c r="K791" s="155">
        <v>1</v>
      </c>
      <c r="L791" s="152"/>
      <c r="M791" s="149" t="s">
        <v>23924</v>
      </c>
      <c r="N791" s="155">
        <v>1</v>
      </c>
      <c r="O791" s="152"/>
      <c r="P791" s="149" t="s">
        <v>47</v>
      </c>
      <c r="Q791" s="153"/>
      <c r="R791" s="152"/>
      <c r="S791" s="149" t="s">
        <v>47</v>
      </c>
      <c r="T791" s="153"/>
      <c r="U791" s="152"/>
      <c r="V791" s="149" t="s">
        <v>47</v>
      </c>
      <c r="W791" s="153"/>
      <c r="X791" s="152"/>
      <c r="Y791" s="149" t="s">
        <v>47</v>
      </c>
      <c r="Z791" s="153"/>
      <c r="AA791" s="152"/>
      <c r="AB791" s="154" t="s">
        <v>5602</v>
      </c>
    </row>
    <row r="792" spans="1:28" x14ac:dyDescent="0.2">
      <c r="A792" s="146" t="s">
        <v>7415</v>
      </c>
      <c r="B792" s="147" t="s">
        <v>6130</v>
      </c>
      <c r="C792" s="147" t="s">
        <v>6131</v>
      </c>
      <c r="D792" s="148"/>
      <c r="E792" s="149" t="s">
        <v>23927</v>
      </c>
      <c r="F792" s="161">
        <v>1</v>
      </c>
      <c r="G792" s="149" t="s">
        <v>23928</v>
      </c>
      <c r="H792" s="157">
        <v>2</v>
      </c>
      <c r="I792" s="156" t="s">
        <v>40</v>
      </c>
      <c r="J792" s="149" t="s">
        <v>23929</v>
      </c>
      <c r="K792" s="155">
        <v>1</v>
      </c>
      <c r="L792" s="152"/>
      <c r="M792" s="149" t="s">
        <v>23927</v>
      </c>
      <c r="N792" s="155">
        <v>1</v>
      </c>
      <c r="O792" s="152"/>
      <c r="P792" s="149" t="s">
        <v>23930</v>
      </c>
      <c r="Q792" s="155">
        <v>1</v>
      </c>
      <c r="R792" s="152"/>
      <c r="S792" s="149" t="s">
        <v>47</v>
      </c>
      <c r="T792" s="153"/>
      <c r="U792" s="152"/>
      <c r="V792" s="149" t="s">
        <v>47</v>
      </c>
      <c r="W792" s="153"/>
      <c r="X792" s="152"/>
      <c r="Y792" s="149" t="s">
        <v>47</v>
      </c>
      <c r="Z792" s="153"/>
      <c r="AA792" s="152"/>
      <c r="AB792" s="154" t="s">
        <v>5604</v>
      </c>
    </row>
    <row r="793" spans="1:28" x14ac:dyDescent="0.2">
      <c r="A793" s="146" t="s">
        <v>7416</v>
      </c>
      <c r="B793" s="147" t="s">
        <v>6130</v>
      </c>
      <c r="C793" s="147" t="s">
        <v>6175</v>
      </c>
      <c r="D793" s="148"/>
      <c r="E793" s="149" t="s">
        <v>23931</v>
      </c>
      <c r="F793" s="159">
        <v>3</v>
      </c>
      <c r="G793" s="149" t="s">
        <v>23932</v>
      </c>
      <c r="H793" s="157">
        <v>2</v>
      </c>
      <c r="I793" s="156" t="s">
        <v>40</v>
      </c>
      <c r="J793" s="149" t="s">
        <v>23933</v>
      </c>
      <c r="K793" s="158">
        <v>3</v>
      </c>
      <c r="L793" s="152"/>
      <c r="M793" s="149" t="s">
        <v>23931</v>
      </c>
      <c r="N793" s="158">
        <v>3</v>
      </c>
      <c r="O793" s="152"/>
      <c r="P793" s="149" t="s">
        <v>23934</v>
      </c>
      <c r="Q793" s="158">
        <v>3</v>
      </c>
      <c r="R793" s="152"/>
      <c r="S793" s="149" t="s">
        <v>23935</v>
      </c>
      <c r="T793" s="158">
        <v>3</v>
      </c>
      <c r="U793" s="152"/>
      <c r="V793" s="149" t="s">
        <v>23936</v>
      </c>
      <c r="W793" s="158">
        <v>3</v>
      </c>
      <c r="X793" s="152"/>
      <c r="Y793" s="149" t="s">
        <v>47</v>
      </c>
      <c r="Z793" s="153"/>
      <c r="AA793" s="152"/>
      <c r="AB793" s="154" t="s">
        <v>5613</v>
      </c>
    </row>
    <row r="794" spans="1:28" x14ac:dyDescent="0.2">
      <c r="A794" s="146" t="s">
        <v>7417</v>
      </c>
      <c r="B794" s="147" t="s">
        <v>6130</v>
      </c>
      <c r="C794" s="147" t="s">
        <v>7075</v>
      </c>
      <c r="D794" s="148"/>
      <c r="E794" s="149" t="s">
        <v>23937</v>
      </c>
      <c r="F794" s="159">
        <v>3</v>
      </c>
      <c r="G794" s="149" t="s">
        <v>406</v>
      </c>
      <c r="H794" s="158">
        <v>3</v>
      </c>
      <c r="I794" s="156" t="s">
        <v>40</v>
      </c>
      <c r="J794" s="149" t="s">
        <v>7418</v>
      </c>
      <c r="K794" s="158">
        <v>3</v>
      </c>
      <c r="L794" s="156" t="s">
        <v>40</v>
      </c>
      <c r="M794" s="149" t="s">
        <v>23937</v>
      </c>
      <c r="N794" s="158">
        <v>3</v>
      </c>
      <c r="O794" s="152"/>
      <c r="P794" s="149" t="s">
        <v>2852</v>
      </c>
      <c r="Q794" s="158">
        <v>3</v>
      </c>
      <c r="R794" s="152"/>
      <c r="S794" s="149" t="s">
        <v>23938</v>
      </c>
      <c r="T794" s="158">
        <v>3</v>
      </c>
      <c r="U794" s="152"/>
      <c r="V794" s="149" t="s">
        <v>7419</v>
      </c>
      <c r="W794" s="158">
        <v>3</v>
      </c>
      <c r="X794" s="152"/>
      <c r="Y794" s="149" t="s">
        <v>23939</v>
      </c>
      <c r="Z794" s="157">
        <v>2</v>
      </c>
      <c r="AA794" s="152"/>
      <c r="AB794" s="154" t="s">
        <v>5615</v>
      </c>
    </row>
    <row r="795" spans="1:28" x14ac:dyDescent="0.2">
      <c r="A795" s="146" t="s">
        <v>7420</v>
      </c>
      <c r="B795" s="147" t="s">
        <v>6130</v>
      </c>
      <c r="C795" s="147" t="s">
        <v>6131</v>
      </c>
      <c r="D795" s="148" t="s">
        <v>6163</v>
      </c>
      <c r="E795" s="149" t="s">
        <v>23940</v>
      </c>
      <c r="F795" s="161">
        <v>1</v>
      </c>
      <c r="G795" s="149" t="s">
        <v>23941</v>
      </c>
      <c r="H795" s="158">
        <v>3</v>
      </c>
      <c r="I795" s="156" t="s">
        <v>46</v>
      </c>
      <c r="J795" s="149" t="s">
        <v>7421</v>
      </c>
      <c r="K795" s="155">
        <v>1</v>
      </c>
      <c r="L795" s="152"/>
      <c r="M795" s="149" t="s">
        <v>23940</v>
      </c>
      <c r="N795" s="155">
        <v>1</v>
      </c>
      <c r="O795" s="152"/>
      <c r="P795" s="149" t="s">
        <v>23942</v>
      </c>
      <c r="Q795" s="155">
        <v>1</v>
      </c>
      <c r="R795" s="152"/>
      <c r="S795" s="149" t="s">
        <v>23943</v>
      </c>
      <c r="T795" s="155">
        <v>1</v>
      </c>
      <c r="U795" s="156" t="s">
        <v>40</v>
      </c>
      <c r="V795" s="149" t="s">
        <v>47</v>
      </c>
      <c r="W795" s="153"/>
      <c r="X795" s="152"/>
      <c r="Y795" s="149" t="s">
        <v>47</v>
      </c>
      <c r="Z795" s="153"/>
      <c r="AA795" s="152"/>
      <c r="AB795" s="154" t="s">
        <v>5620</v>
      </c>
    </row>
    <row r="796" spans="1:28" x14ac:dyDescent="0.2">
      <c r="A796" s="146" t="s">
        <v>7422</v>
      </c>
      <c r="B796" s="147" t="s">
        <v>6130</v>
      </c>
      <c r="C796" s="147" t="s">
        <v>7345</v>
      </c>
      <c r="D796" s="148"/>
      <c r="E796" s="149" t="s">
        <v>356</v>
      </c>
      <c r="F796" s="161">
        <v>1</v>
      </c>
      <c r="G796" s="149" t="s">
        <v>7423</v>
      </c>
      <c r="H796" s="158">
        <v>3</v>
      </c>
      <c r="I796" s="156" t="s">
        <v>55</v>
      </c>
      <c r="J796" s="149" t="s">
        <v>7424</v>
      </c>
      <c r="K796" s="155">
        <v>1</v>
      </c>
      <c r="L796" s="152"/>
      <c r="M796" s="149" t="s">
        <v>356</v>
      </c>
      <c r="N796" s="155">
        <v>1</v>
      </c>
      <c r="O796" s="152"/>
      <c r="P796" s="149" t="s">
        <v>23469</v>
      </c>
      <c r="Q796" s="155">
        <v>1</v>
      </c>
      <c r="R796" s="152"/>
      <c r="S796" s="149" t="s">
        <v>47</v>
      </c>
      <c r="T796" s="153"/>
      <c r="U796" s="152"/>
      <c r="V796" s="149" t="s">
        <v>47</v>
      </c>
      <c r="W796" s="153"/>
      <c r="X796" s="152"/>
      <c r="Y796" s="149" t="s">
        <v>47</v>
      </c>
      <c r="Z796" s="153"/>
      <c r="AA796" s="152"/>
      <c r="AB796" s="154" t="s">
        <v>5622</v>
      </c>
    </row>
    <row r="797" spans="1:28" x14ac:dyDescent="0.2">
      <c r="A797" s="146" t="s">
        <v>5623</v>
      </c>
      <c r="B797" s="147" t="s">
        <v>6130</v>
      </c>
      <c r="C797" s="147" t="s">
        <v>6131</v>
      </c>
      <c r="D797" s="148" t="s">
        <v>6163</v>
      </c>
      <c r="E797" s="149" t="s">
        <v>18871</v>
      </c>
      <c r="F797" s="161">
        <v>1</v>
      </c>
      <c r="G797" s="149" t="s">
        <v>23944</v>
      </c>
      <c r="H797" s="157">
        <v>2</v>
      </c>
      <c r="I797" s="152"/>
      <c r="J797" s="149" t="s">
        <v>23945</v>
      </c>
      <c r="K797" s="155">
        <v>1</v>
      </c>
      <c r="L797" s="152"/>
      <c r="M797" s="149" t="s">
        <v>18871</v>
      </c>
      <c r="N797" s="155">
        <v>1</v>
      </c>
      <c r="O797" s="152"/>
      <c r="P797" s="149" t="s">
        <v>23946</v>
      </c>
      <c r="Q797" s="155">
        <v>1</v>
      </c>
      <c r="R797" s="152"/>
      <c r="S797" s="149" t="s">
        <v>23947</v>
      </c>
      <c r="T797" s="155">
        <v>1</v>
      </c>
      <c r="U797" s="152"/>
      <c r="V797" s="149" t="s">
        <v>47</v>
      </c>
      <c r="W797" s="153"/>
      <c r="X797" s="152"/>
      <c r="Y797" s="149" t="s">
        <v>47</v>
      </c>
      <c r="Z797" s="153"/>
      <c r="AA797" s="152"/>
      <c r="AB797" s="154" t="s">
        <v>5624</v>
      </c>
    </row>
    <row r="798" spans="1:28" x14ac:dyDescent="0.2">
      <c r="A798" s="146" t="s">
        <v>5625</v>
      </c>
      <c r="B798" s="147" t="s">
        <v>6130</v>
      </c>
      <c r="C798" s="147" t="s">
        <v>6131</v>
      </c>
      <c r="D798" s="148"/>
      <c r="E798" s="149" t="s">
        <v>47</v>
      </c>
      <c r="F798" s="152"/>
      <c r="G798" s="149" t="s">
        <v>23948</v>
      </c>
      <c r="H798" s="158">
        <v>3</v>
      </c>
      <c r="I798" s="152"/>
      <c r="J798" s="149" t="s">
        <v>23949</v>
      </c>
      <c r="K798" s="157">
        <v>2</v>
      </c>
      <c r="L798" s="156" t="s">
        <v>46</v>
      </c>
      <c r="M798" s="149" t="s">
        <v>47</v>
      </c>
      <c r="N798" s="153"/>
      <c r="O798" s="152"/>
      <c r="P798" s="149" t="s">
        <v>47</v>
      </c>
      <c r="Q798" s="153"/>
      <c r="R798" s="152"/>
      <c r="S798" s="149" t="s">
        <v>47</v>
      </c>
      <c r="T798" s="153"/>
      <c r="U798" s="152"/>
      <c r="V798" s="149" t="s">
        <v>47</v>
      </c>
      <c r="W798" s="153"/>
      <c r="X798" s="152"/>
      <c r="Y798" s="149" t="s">
        <v>47</v>
      </c>
      <c r="Z798" s="153"/>
      <c r="AA798" s="152"/>
      <c r="AB798" s="154" t="s">
        <v>5626</v>
      </c>
    </row>
    <row r="799" spans="1:28" x14ac:dyDescent="0.2">
      <c r="A799" s="146" t="s">
        <v>7425</v>
      </c>
      <c r="B799" s="147" t="s">
        <v>6130</v>
      </c>
      <c r="C799" s="147" t="s">
        <v>6131</v>
      </c>
      <c r="D799" s="148"/>
      <c r="E799" s="149" t="s">
        <v>23950</v>
      </c>
      <c r="F799" s="161">
        <v>1</v>
      </c>
      <c r="G799" s="149" t="s">
        <v>23951</v>
      </c>
      <c r="H799" s="157">
        <v>2</v>
      </c>
      <c r="I799" s="152"/>
      <c r="J799" s="149" t="s">
        <v>23952</v>
      </c>
      <c r="K799" s="155">
        <v>1</v>
      </c>
      <c r="L799" s="152"/>
      <c r="M799" s="149" t="s">
        <v>23950</v>
      </c>
      <c r="N799" s="155">
        <v>1</v>
      </c>
      <c r="O799" s="152"/>
      <c r="P799" s="149" t="s">
        <v>23953</v>
      </c>
      <c r="Q799" s="155">
        <v>1</v>
      </c>
      <c r="R799" s="152"/>
      <c r="S799" s="149" t="s">
        <v>47</v>
      </c>
      <c r="T799" s="153"/>
      <c r="U799" s="152"/>
      <c r="V799" s="149" t="s">
        <v>47</v>
      </c>
      <c r="W799" s="153"/>
      <c r="X799" s="152"/>
      <c r="Y799" s="149" t="s">
        <v>47</v>
      </c>
      <c r="Z799" s="153"/>
      <c r="AA799" s="152"/>
      <c r="AB799" s="154" t="s">
        <v>5628</v>
      </c>
    </row>
    <row r="800" spans="1:28" x14ac:dyDescent="0.2">
      <c r="A800" s="146" t="s">
        <v>7426</v>
      </c>
      <c r="B800" s="147" t="s">
        <v>6130</v>
      </c>
      <c r="C800" s="147" t="s">
        <v>6131</v>
      </c>
      <c r="D800" s="148"/>
      <c r="E800" s="149" t="s">
        <v>23954</v>
      </c>
      <c r="F800" s="161">
        <v>1</v>
      </c>
      <c r="G800" s="149" t="s">
        <v>23955</v>
      </c>
      <c r="H800" s="158">
        <v>3</v>
      </c>
      <c r="I800" s="156" t="s">
        <v>46</v>
      </c>
      <c r="J800" s="149" t="s">
        <v>7427</v>
      </c>
      <c r="K800" s="155">
        <v>1</v>
      </c>
      <c r="L800" s="152"/>
      <c r="M800" s="149" t="s">
        <v>23954</v>
      </c>
      <c r="N800" s="155">
        <v>1</v>
      </c>
      <c r="O800" s="152"/>
      <c r="P800" s="149" t="s">
        <v>47</v>
      </c>
      <c r="Q800" s="153"/>
      <c r="R800" s="152"/>
      <c r="S800" s="149" t="s">
        <v>47</v>
      </c>
      <c r="T800" s="153"/>
      <c r="U800" s="152"/>
      <c r="V800" s="149" t="s">
        <v>47</v>
      </c>
      <c r="W800" s="153"/>
      <c r="X800" s="152"/>
      <c r="Y800" s="149" t="s">
        <v>47</v>
      </c>
      <c r="Z800" s="153"/>
      <c r="AA800" s="152"/>
      <c r="AB800" s="154" t="s">
        <v>5630</v>
      </c>
    </row>
    <row r="801" spans="1:28" x14ac:dyDescent="0.2">
      <c r="A801" s="146" t="s">
        <v>5631</v>
      </c>
      <c r="B801" s="147" t="s">
        <v>6130</v>
      </c>
      <c r="C801" s="147" t="s">
        <v>6131</v>
      </c>
      <c r="D801" s="148" t="s">
        <v>6163</v>
      </c>
      <c r="E801" s="149" t="s">
        <v>23956</v>
      </c>
      <c r="F801" s="161">
        <v>1</v>
      </c>
      <c r="G801" s="149" t="s">
        <v>23957</v>
      </c>
      <c r="H801" s="158">
        <v>3</v>
      </c>
      <c r="I801" s="156" t="s">
        <v>46</v>
      </c>
      <c r="J801" s="149" t="s">
        <v>23958</v>
      </c>
      <c r="K801" s="155">
        <v>1</v>
      </c>
      <c r="L801" s="152"/>
      <c r="M801" s="149" t="s">
        <v>23956</v>
      </c>
      <c r="N801" s="155">
        <v>1</v>
      </c>
      <c r="O801" s="152"/>
      <c r="P801" s="149" t="s">
        <v>23959</v>
      </c>
      <c r="Q801" s="155">
        <v>1</v>
      </c>
      <c r="R801" s="152"/>
      <c r="S801" s="149" t="s">
        <v>23960</v>
      </c>
      <c r="T801" s="155">
        <v>1</v>
      </c>
      <c r="U801" s="156" t="s">
        <v>40</v>
      </c>
      <c r="V801" s="149" t="s">
        <v>47</v>
      </c>
      <c r="W801" s="153"/>
      <c r="X801" s="152"/>
      <c r="Y801" s="149" t="s">
        <v>47</v>
      </c>
      <c r="Z801" s="153"/>
      <c r="AA801" s="152"/>
      <c r="AB801" s="154" t="s">
        <v>5632</v>
      </c>
    </row>
    <row r="802" spans="1:28" x14ac:dyDescent="0.2">
      <c r="A802" s="146" t="s">
        <v>7428</v>
      </c>
      <c r="B802" s="147" t="s">
        <v>6130</v>
      </c>
      <c r="C802" s="147" t="s">
        <v>7345</v>
      </c>
      <c r="D802" s="148"/>
      <c r="E802" s="149" t="s">
        <v>23961</v>
      </c>
      <c r="F802" s="161">
        <v>1</v>
      </c>
      <c r="G802" s="149" t="s">
        <v>2215</v>
      </c>
      <c r="H802" s="158">
        <v>3</v>
      </c>
      <c r="I802" s="156" t="s">
        <v>55</v>
      </c>
      <c r="J802" s="149" t="s">
        <v>23962</v>
      </c>
      <c r="K802" s="155">
        <v>1</v>
      </c>
      <c r="L802" s="152"/>
      <c r="M802" s="149" t="s">
        <v>23961</v>
      </c>
      <c r="N802" s="155">
        <v>1</v>
      </c>
      <c r="O802" s="152"/>
      <c r="P802" s="149" t="s">
        <v>23963</v>
      </c>
      <c r="Q802" s="155">
        <v>1</v>
      </c>
      <c r="R802" s="152"/>
      <c r="S802" s="149" t="s">
        <v>47</v>
      </c>
      <c r="T802" s="153"/>
      <c r="U802" s="152"/>
      <c r="V802" s="149" t="s">
        <v>47</v>
      </c>
      <c r="W802" s="153"/>
      <c r="X802" s="152"/>
      <c r="Y802" s="149" t="s">
        <v>47</v>
      </c>
      <c r="Z802" s="153"/>
      <c r="AA802" s="152"/>
      <c r="AB802" s="154" t="s">
        <v>5634</v>
      </c>
    </row>
    <row r="803" spans="1:28" x14ac:dyDescent="0.2">
      <c r="A803" s="146" t="s">
        <v>5635</v>
      </c>
      <c r="B803" s="147" t="s">
        <v>6130</v>
      </c>
      <c r="C803" s="147" t="s">
        <v>6131</v>
      </c>
      <c r="D803" s="148" t="s">
        <v>6163</v>
      </c>
      <c r="E803" s="149" t="s">
        <v>23964</v>
      </c>
      <c r="F803" s="161">
        <v>1</v>
      </c>
      <c r="G803" s="149" t="s">
        <v>23965</v>
      </c>
      <c r="H803" s="157">
        <v>2</v>
      </c>
      <c r="I803" s="152"/>
      <c r="J803" s="149" t="s">
        <v>7429</v>
      </c>
      <c r="K803" s="155">
        <v>1</v>
      </c>
      <c r="L803" s="152"/>
      <c r="M803" s="149" t="s">
        <v>23964</v>
      </c>
      <c r="N803" s="155">
        <v>1</v>
      </c>
      <c r="O803" s="152"/>
      <c r="P803" s="149" t="s">
        <v>23966</v>
      </c>
      <c r="Q803" s="155">
        <v>1</v>
      </c>
      <c r="R803" s="152"/>
      <c r="S803" s="149" t="s">
        <v>23967</v>
      </c>
      <c r="T803" s="155">
        <v>1</v>
      </c>
      <c r="U803" s="152"/>
      <c r="V803" s="149" t="s">
        <v>47</v>
      </c>
      <c r="W803" s="153"/>
      <c r="X803" s="152"/>
      <c r="Y803" s="149" t="s">
        <v>47</v>
      </c>
      <c r="Z803" s="153"/>
      <c r="AA803" s="152"/>
      <c r="AB803" s="154" t="s">
        <v>5636</v>
      </c>
    </row>
    <row r="804" spans="1:28" x14ac:dyDescent="0.2">
      <c r="A804" s="146" t="s">
        <v>7430</v>
      </c>
      <c r="B804" s="147" t="s">
        <v>6130</v>
      </c>
      <c r="C804" s="147" t="s">
        <v>6131</v>
      </c>
      <c r="D804" s="148"/>
      <c r="E804" s="149" t="s">
        <v>23968</v>
      </c>
      <c r="F804" s="160">
        <v>2</v>
      </c>
      <c r="G804" s="149" t="s">
        <v>23969</v>
      </c>
      <c r="H804" s="158">
        <v>3</v>
      </c>
      <c r="I804" s="152"/>
      <c r="J804" s="149" t="s">
        <v>23970</v>
      </c>
      <c r="K804" s="157">
        <v>2</v>
      </c>
      <c r="L804" s="156" t="s">
        <v>46</v>
      </c>
      <c r="M804" s="149" t="s">
        <v>23968</v>
      </c>
      <c r="N804" s="157">
        <v>2</v>
      </c>
      <c r="O804" s="152"/>
      <c r="P804" s="149" t="s">
        <v>47</v>
      </c>
      <c r="Q804" s="153"/>
      <c r="R804" s="152"/>
      <c r="S804" s="149" t="s">
        <v>47</v>
      </c>
      <c r="T804" s="153"/>
      <c r="U804" s="152"/>
      <c r="V804" s="149" t="s">
        <v>47</v>
      </c>
      <c r="W804" s="153"/>
      <c r="X804" s="152"/>
      <c r="Y804" s="149" t="s">
        <v>47</v>
      </c>
      <c r="Z804" s="153"/>
      <c r="AA804" s="152"/>
      <c r="AB804" s="154" t="s">
        <v>5638</v>
      </c>
    </row>
    <row r="805" spans="1:28" x14ac:dyDescent="0.2">
      <c r="A805" s="146" t="s">
        <v>7431</v>
      </c>
      <c r="B805" s="147" t="s">
        <v>6130</v>
      </c>
      <c r="C805" s="147" t="s">
        <v>6131</v>
      </c>
      <c r="D805" s="148"/>
      <c r="E805" s="149" t="s">
        <v>23971</v>
      </c>
      <c r="F805" s="161">
        <v>1</v>
      </c>
      <c r="G805" s="149" t="s">
        <v>23972</v>
      </c>
      <c r="H805" s="157">
        <v>2</v>
      </c>
      <c r="I805" s="152"/>
      <c r="J805" s="149" t="s">
        <v>23973</v>
      </c>
      <c r="K805" s="155">
        <v>1</v>
      </c>
      <c r="L805" s="152"/>
      <c r="M805" s="149" t="s">
        <v>23971</v>
      </c>
      <c r="N805" s="155">
        <v>1</v>
      </c>
      <c r="O805" s="152"/>
      <c r="P805" s="149" t="s">
        <v>23974</v>
      </c>
      <c r="Q805" s="155">
        <v>1</v>
      </c>
      <c r="R805" s="152"/>
      <c r="S805" s="149" t="s">
        <v>47</v>
      </c>
      <c r="T805" s="153"/>
      <c r="U805" s="152"/>
      <c r="V805" s="149" t="s">
        <v>47</v>
      </c>
      <c r="W805" s="153"/>
      <c r="X805" s="152"/>
      <c r="Y805" s="149" t="s">
        <v>47</v>
      </c>
      <c r="Z805" s="153"/>
      <c r="AA805" s="152"/>
      <c r="AB805" s="154" t="s">
        <v>5640</v>
      </c>
    </row>
    <row r="806" spans="1:28" x14ac:dyDescent="0.2">
      <c r="A806" s="146" t="s">
        <v>5643</v>
      </c>
      <c r="B806" s="147" t="s">
        <v>6130</v>
      </c>
      <c r="C806" s="147" t="s">
        <v>6131</v>
      </c>
      <c r="D806" s="148"/>
      <c r="E806" s="149" t="s">
        <v>19474</v>
      </c>
      <c r="F806" s="160">
        <v>2</v>
      </c>
      <c r="G806" s="149" t="s">
        <v>23975</v>
      </c>
      <c r="H806" s="158">
        <v>3</v>
      </c>
      <c r="I806" s="152"/>
      <c r="J806" s="149" t="s">
        <v>23976</v>
      </c>
      <c r="K806" s="158">
        <v>3</v>
      </c>
      <c r="L806" s="156" t="s">
        <v>55</v>
      </c>
      <c r="M806" s="149" t="s">
        <v>19474</v>
      </c>
      <c r="N806" s="157">
        <v>2</v>
      </c>
      <c r="O806" s="156" t="s">
        <v>40</v>
      </c>
      <c r="P806" s="149" t="s">
        <v>47</v>
      </c>
      <c r="Q806" s="153"/>
      <c r="R806" s="152"/>
      <c r="S806" s="149" t="s">
        <v>47</v>
      </c>
      <c r="T806" s="153"/>
      <c r="U806" s="152"/>
      <c r="V806" s="149" t="s">
        <v>47</v>
      </c>
      <c r="W806" s="153"/>
      <c r="X806" s="152"/>
      <c r="Y806" s="149" t="s">
        <v>47</v>
      </c>
      <c r="Z806" s="153"/>
      <c r="AA806" s="152"/>
      <c r="AB806" s="154" t="s">
        <v>5644</v>
      </c>
    </row>
    <row r="807" spans="1:28" x14ac:dyDescent="0.2">
      <c r="A807" s="146" t="s">
        <v>5647</v>
      </c>
      <c r="B807" s="147" t="s">
        <v>6130</v>
      </c>
      <c r="C807" s="147" t="s">
        <v>6131</v>
      </c>
      <c r="D807" s="148"/>
      <c r="E807" s="149" t="s">
        <v>23977</v>
      </c>
      <c r="F807" s="160">
        <v>2</v>
      </c>
      <c r="G807" s="149" t="s">
        <v>23978</v>
      </c>
      <c r="H807" s="158">
        <v>3</v>
      </c>
      <c r="I807" s="152"/>
      <c r="J807" s="149" t="s">
        <v>23979</v>
      </c>
      <c r="K807" s="158">
        <v>3</v>
      </c>
      <c r="L807" s="156" t="s">
        <v>55</v>
      </c>
      <c r="M807" s="149" t="s">
        <v>23977</v>
      </c>
      <c r="N807" s="157">
        <v>2</v>
      </c>
      <c r="O807" s="156" t="s">
        <v>40</v>
      </c>
      <c r="P807" s="149" t="s">
        <v>47</v>
      </c>
      <c r="Q807" s="153"/>
      <c r="R807" s="152"/>
      <c r="S807" s="149" t="s">
        <v>47</v>
      </c>
      <c r="T807" s="153"/>
      <c r="U807" s="152"/>
      <c r="V807" s="149" t="s">
        <v>47</v>
      </c>
      <c r="W807" s="153"/>
      <c r="X807" s="152"/>
      <c r="Y807" s="149" t="s">
        <v>47</v>
      </c>
      <c r="Z807" s="153"/>
      <c r="AA807" s="152"/>
      <c r="AB807" s="154" t="s">
        <v>5648</v>
      </c>
    </row>
    <row r="808" spans="1:28" x14ac:dyDescent="0.2">
      <c r="A808" s="146" t="s">
        <v>7432</v>
      </c>
      <c r="B808" s="147" t="s">
        <v>6130</v>
      </c>
      <c r="C808" s="147" t="s">
        <v>6829</v>
      </c>
      <c r="D808" s="148"/>
      <c r="E808" s="149" t="s">
        <v>23980</v>
      </c>
      <c r="F808" s="160">
        <v>2</v>
      </c>
      <c r="G808" s="149" t="s">
        <v>23981</v>
      </c>
      <c r="H808" s="157">
        <v>2</v>
      </c>
      <c r="I808" s="152"/>
      <c r="J808" s="149" t="s">
        <v>23982</v>
      </c>
      <c r="K808" s="157">
        <v>2</v>
      </c>
      <c r="L808" s="152"/>
      <c r="M808" s="149" t="s">
        <v>23980</v>
      </c>
      <c r="N808" s="157">
        <v>2</v>
      </c>
      <c r="O808" s="156" t="s">
        <v>40</v>
      </c>
      <c r="P808" s="149" t="s">
        <v>23983</v>
      </c>
      <c r="Q808" s="157">
        <v>2</v>
      </c>
      <c r="R808" s="152"/>
      <c r="S808" s="149" t="s">
        <v>23984</v>
      </c>
      <c r="T808" s="155">
        <v>1</v>
      </c>
      <c r="U808" s="152"/>
      <c r="V808" s="149" t="s">
        <v>47</v>
      </c>
      <c r="W808" s="153"/>
      <c r="X808" s="152"/>
      <c r="Y808" s="149" t="s">
        <v>47</v>
      </c>
      <c r="Z808" s="153"/>
      <c r="AA808" s="152"/>
      <c r="AB808" s="154" t="s">
        <v>5650</v>
      </c>
    </row>
    <row r="809" spans="1:28" x14ac:dyDescent="0.2">
      <c r="A809" s="146" t="s">
        <v>7433</v>
      </c>
      <c r="B809" s="147" t="s">
        <v>6130</v>
      </c>
      <c r="C809" s="147" t="s">
        <v>6131</v>
      </c>
      <c r="D809" s="148" t="s">
        <v>6136</v>
      </c>
      <c r="E809" s="149" t="s">
        <v>23985</v>
      </c>
      <c r="F809" s="159">
        <v>3</v>
      </c>
      <c r="G809" s="149" t="s">
        <v>23986</v>
      </c>
      <c r="H809" s="155">
        <v>1</v>
      </c>
      <c r="I809" s="156" t="s">
        <v>53</v>
      </c>
      <c r="J809" s="149" t="s">
        <v>23987</v>
      </c>
      <c r="K809" s="157">
        <v>2</v>
      </c>
      <c r="L809" s="156" t="s">
        <v>40</v>
      </c>
      <c r="M809" s="149" t="s">
        <v>23985</v>
      </c>
      <c r="N809" s="158">
        <v>3</v>
      </c>
      <c r="O809" s="156" t="s">
        <v>40</v>
      </c>
      <c r="P809" s="149" t="s">
        <v>23988</v>
      </c>
      <c r="Q809" s="157">
        <v>2</v>
      </c>
      <c r="R809" s="156" t="s">
        <v>40</v>
      </c>
      <c r="S809" s="149" t="s">
        <v>23989</v>
      </c>
      <c r="T809" s="157">
        <v>2</v>
      </c>
      <c r="U809" s="152"/>
      <c r="V809" s="149" t="s">
        <v>23990</v>
      </c>
      <c r="W809" s="155">
        <v>1</v>
      </c>
      <c r="X809" s="152"/>
      <c r="Y809" s="149" t="s">
        <v>47</v>
      </c>
      <c r="Z809" s="153"/>
      <c r="AA809" s="152"/>
      <c r="AB809" s="154" t="s">
        <v>5652</v>
      </c>
    </row>
    <row r="810" spans="1:28" x14ac:dyDescent="0.2">
      <c r="A810" s="146" t="s">
        <v>7434</v>
      </c>
      <c r="B810" s="147" t="s">
        <v>6130</v>
      </c>
      <c r="C810" s="147" t="s">
        <v>6583</v>
      </c>
      <c r="D810" s="148" t="s">
        <v>6170</v>
      </c>
      <c r="E810" s="149" t="s">
        <v>23991</v>
      </c>
      <c r="F810" s="160">
        <v>2</v>
      </c>
      <c r="G810" s="149" t="s">
        <v>23992</v>
      </c>
      <c r="H810" s="157">
        <v>2</v>
      </c>
      <c r="I810" s="152"/>
      <c r="J810" s="149" t="s">
        <v>23993</v>
      </c>
      <c r="K810" s="155">
        <v>1</v>
      </c>
      <c r="L810" s="152"/>
      <c r="M810" s="149" t="s">
        <v>23991</v>
      </c>
      <c r="N810" s="157">
        <v>2</v>
      </c>
      <c r="O810" s="156" t="s">
        <v>40</v>
      </c>
      <c r="P810" s="149" t="s">
        <v>23994</v>
      </c>
      <c r="Q810" s="157">
        <v>2</v>
      </c>
      <c r="R810" s="152"/>
      <c r="S810" s="149" t="s">
        <v>23995</v>
      </c>
      <c r="T810" s="158">
        <v>3</v>
      </c>
      <c r="U810" s="152"/>
      <c r="V810" s="149" t="s">
        <v>47</v>
      </c>
      <c r="W810" s="153"/>
      <c r="X810" s="152"/>
      <c r="Y810" s="149" t="s">
        <v>47</v>
      </c>
      <c r="Z810" s="153"/>
      <c r="AA810" s="152"/>
      <c r="AB810" s="154" t="s">
        <v>5654</v>
      </c>
    </row>
    <row r="811" spans="1:28" x14ac:dyDescent="0.2">
      <c r="A811" s="146" t="s">
        <v>7435</v>
      </c>
      <c r="B811" s="147" t="s">
        <v>6130</v>
      </c>
      <c r="C811" s="147" t="s">
        <v>6210</v>
      </c>
      <c r="D811" s="148" t="s">
        <v>6132</v>
      </c>
      <c r="E811" s="149" t="s">
        <v>7436</v>
      </c>
      <c r="F811" s="160">
        <v>2</v>
      </c>
      <c r="G811" s="149" t="s">
        <v>23996</v>
      </c>
      <c r="H811" s="158">
        <v>3</v>
      </c>
      <c r="I811" s="156" t="s">
        <v>55</v>
      </c>
      <c r="J811" s="149" t="s">
        <v>23997</v>
      </c>
      <c r="K811" s="157">
        <v>2</v>
      </c>
      <c r="L811" s="152"/>
      <c r="M811" s="149" t="s">
        <v>7436</v>
      </c>
      <c r="N811" s="157">
        <v>2</v>
      </c>
      <c r="O811" s="152"/>
      <c r="P811" s="149" t="s">
        <v>7437</v>
      </c>
      <c r="Q811" s="158">
        <v>3</v>
      </c>
      <c r="R811" s="156" t="s">
        <v>46</v>
      </c>
      <c r="S811" s="149" t="s">
        <v>23998</v>
      </c>
      <c r="T811" s="157">
        <v>2</v>
      </c>
      <c r="U811" s="152"/>
      <c r="V811" s="149" t="s">
        <v>7438</v>
      </c>
      <c r="W811" s="157">
        <v>2</v>
      </c>
      <c r="X811" s="152"/>
      <c r="Y811" s="149" t="s">
        <v>4789</v>
      </c>
      <c r="Z811" s="157">
        <v>2</v>
      </c>
      <c r="AA811" s="152"/>
      <c r="AB811" s="154" t="s">
        <v>5664</v>
      </c>
    </row>
    <row r="812" spans="1:28" x14ac:dyDescent="0.2">
      <c r="A812" s="146" t="s">
        <v>7439</v>
      </c>
      <c r="B812" s="147" t="s">
        <v>6130</v>
      </c>
      <c r="C812" s="147" t="s">
        <v>6169</v>
      </c>
      <c r="D812" s="148"/>
      <c r="E812" s="149" t="s">
        <v>23999</v>
      </c>
      <c r="F812" s="159">
        <v>3</v>
      </c>
      <c r="G812" s="149" t="s">
        <v>24000</v>
      </c>
      <c r="H812" s="157">
        <v>2</v>
      </c>
      <c r="I812" s="156" t="s">
        <v>53</v>
      </c>
      <c r="J812" s="149" t="s">
        <v>24001</v>
      </c>
      <c r="K812" s="158">
        <v>3</v>
      </c>
      <c r="L812" s="152"/>
      <c r="M812" s="149" t="s">
        <v>23999</v>
      </c>
      <c r="N812" s="158">
        <v>3</v>
      </c>
      <c r="O812" s="156" t="s">
        <v>40</v>
      </c>
      <c r="P812" s="149" t="s">
        <v>24002</v>
      </c>
      <c r="Q812" s="158">
        <v>3</v>
      </c>
      <c r="R812" s="152"/>
      <c r="S812" s="149" t="s">
        <v>24003</v>
      </c>
      <c r="T812" s="151">
        <v>4</v>
      </c>
      <c r="U812" s="152"/>
      <c r="V812" s="149" t="s">
        <v>24004</v>
      </c>
      <c r="W812" s="151">
        <v>4</v>
      </c>
      <c r="X812" s="152"/>
      <c r="Y812" s="149" t="s">
        <v>24005</v>
      </c>
      <c r="Z812" s="151">
        <v>4</v>
      </c>
      <c r="AA812" s="152"/>
      <c r="AB812" s="154" t="s">
        <v>5673</v>
      </c>
    </row>
    <row r="813" spans="1:28" x14ac:dyDescent="0.2">
      <c r="A813" s="146" t="s">
        <v>7440</v>
      </c>
      <c r="B813" s="147" t="s">
        <v>6130</v>
      </c>
      <c r="C813" s="147" t="s">
        <v>6159</v>
      </c>
      <c r="D813" s="148" t="s">
        <v>6132</v>
      </c>
      <c r="E813" s="149" t="s">
        <v>24006</v>
      </c>
      <c r="F813" s="159">
        <v>3</v>
      </c>
      <c r="G813" s="149" t="s">
        <v>24007</v>
      </c>
      <c r="H813" s="158">
        <v>3</v>
      </c>
      <c r="I813" s="152"/>
      <c r="J813" s="149" t="s">
        <v>24008</v>
      </c>
      <c r="K813" s="158">
        <v>3</v>
      </c>
      <c r="L813" s="152"/>
      <c r="M813" s="149" t="s">
        <v>24006</v>
      </c>
      <c r="N813" s="158">
        <v>3</v>
      </c>
      <c r="O813" s="156" t="s">
        <v>46</v>
      </c>
      <c r="P813" s="149" t="s">
        <v>24009</v>
      </c>
      <c r="Q813" s="158">
        <v>3</v>
      </c>
      <c r="R813" s="156" t="s">
        <v>46</v>
      </c>
      <c r="S813" s="149" t="s">
        <v>24010</v>
      </c>
      <c r="T813" s="157">
        <v>2</v>
      </c>
      <c r="U813" s="156" t="s">
        <v>46</v>
      </c>
      <c r="V813" s="149" t="s">
        <v>24011</v>
      </c>
      <c r="W813" s="157">
        <v>2</v>
      </c>
      <c r="X813" s="152"/>
      <c r="Y813" s="149" t="s">
        <v>47</v>
      </c>
      <c r="Z813" s="153"/>
      <c r="AA813" s="152"/>
      <c r="AB813" s="154" t="s">
        <v>5677</v>
      </c>
    </row>
    <row r="814" spans="1:28" x14ac:dyDescent="0.2">
      <c r="A814" s="146" t="s">
        <v>7441</v>
      </c>
      <c r="B814" s="147" t="s">
        <v>6130</v>
      </c>
      <c r="C814" s="147" t="s">
        <v>6203</v>
      </c>
      <c r="D814" s="148" t="s">
        <v>6132</v>
      </c>
      <c r="E814" s="149" t="s">
        <v>24012</v>
      </c>
      <c r="F814" s="160">
        <v>2</v>
      </c>
      <c r="G814" s="149" t="s">
        <v>24013</v>
      </c>
      <c r="H814" s="157">
        <v>2</v>
      </c>
      <c r="I814" s="152"/>
      <c r="J814" s="149" t="s">
        <v>24014</v>
      </c>
      <c r="K814" s="157">
        <v>2</v>
      </c>
      <c r="L814" s="156" t="s">
        <v>46</v>
      </c>
      <c r="M814" s="149" t="s">
        <v>24012</v>
      </c>
      <c r="N814" s="157">
        <v>2</v>
      </c>
      <c r="O814" s="152"/>
      <c r="P814" s="149" t="s">
        <v>7442</v>
      </c>
      <c r="Q814" s="155">
        <v>1</v>
      </c>
      <c r="R814" s="156" t="s">
        <v>40</v>
      </c>
      <c r="S814" s="149" t="s">
        <v>24015</v>
      </c>
      <c r="T814" s="157">
        <v>2</v>
      </c>
      <c r="U814" s="152"/>
      <c r="V814" s="149" t="s">
        <v>47</v>
      </c>
      <c r="W814" s="153"/>
      <c r="X814" s="152"/>
      <c r="Y814" s="149" t="s">
        <v>47</v>
      </c>
      <c r="Z814" s="153"/>
      <c r="AA814" s="152"/>
      <c r="AB814" s="154" t="s">
        <v>7443</v>
      </c>
    </row>
    <row r="815" spans="1:28" x14ac:dyDescent="0.2">
      <c r="A815" s="146" t="s">
        <v>7444</v>
      </c>
      <c r="B815" s="147" t="s">
        <v>6130</v>
      </c>
      <c r="C815" s="147" t="s">
        <v>6249</v>
      </c>
      <c r="D815" s="148" t="s">
        <v>6160</v>
      </c>
      <c r="E815" s="149" t="s">
        <v>7445</v>
      </c>
      <c r="F815" s="159">
        <v>3</v>
      </c>
      <c r="G815" s="149" t="s">
        <v>7446</v>
      </c>
      <c r="H815" s="157">
        <v>2</v>
      </c>
      <c r="I815" s="156" t="s">
        <v>46</v>
      </c>
      <c r="J815" s="149" t="s">
        <v>1940</v>
      </c>
      <c r="K815" s="157">
        <v>2</v>
      </c>
      <c r="L815" s="152"/>
      <c r="M815" s="149" t="s">
        <v>7445</v>
      </c>
      <c r="N815" s="158">
        <v>3</v>
      </c>
      <c r="O815" s="152"/>
      <c r="P815" s="149" t="s">
        <v>24016</v>
      </c>
      <c r="Q815" s="158">
        <v>3</v>
      </c>
      <c r="R815" s="152"/>
      <c r="S815" s="149" t="s">
        <v>7447</v>
      </c>
      <c r="T815" s="151">
        <v>4</v>
      </c>
      <c r="U815" s="152"/>
      <c r="V815" s="149" t="s">
        <v>7448</v>
      </c>
      <c r="W815" s="158">
        <v>3</v>
      </c>
      <c r="X815" s="152"/>
      <c r="Y815" s="149" t="s">
        <v>24017</v>
      </c>
      <c r="Z815" s="151">
        <v>4</v>
      </c>
      <c r="AA815" s="152"/>
      <c r="AB815" s="154" t="s">
        <v>5668</v>
      </c>
    </row>
    <row r="816" spans="1:28" x14ac:dyDescent="0.2">
      <c r="A816" s="146" t="s">
        <v>7449</v>
      </c>
      <c r="B816" s="147" t="s">
        <v>6130</v>
      </c>
      <c r="C816" s="147" t="s">
        <v>6175</v>
      </c>
      <c r="D816" s="148"/>
      <c r="E816" s="149" t="s">
        <v>24018</v>
      </c>
      <c r="F816" s="159">
        <v>3</v>
      </c>
      <c r="G816" s="149" t="s">
        <v>24019</v>
      </c>
      <c r="H816" s="157">
        <v>2</v>
      </c>
      <c r="I816" s="156" t="s">
        <v>40</v>
      </c>
      <c r="J816" s="149" t="s">
        <v>24020</v>
      </c>
      <c r="K816" s="158">
        <v>3</v>
      </c>
      <c r="L816" s="152"/>
      <c r="M816" s="149" t="s">
        <v>24018</v>
      </c>
      <c r="N816" s="158">
        <v>3</v>
      </c>
      <c r="O816" s="152"/>
      <c r="P816" s="149" t="s">
        <v>24021</v>
      </c>
      <c r="Q816" s="158">
        <v>3</v>
      </c>
      <c r="R816" s="152"/>
      <c r="S816" s="149" t="s">
        <v>24022</v>
      </c>
      <c r="T816" s="158">
        <v>3</v>
      </c>
      <c r="U816" s="152"/>
      <c r="V816" s="149" t="s">
        <v>24023</v>
      </c>
      <c r="W816" s="158">
        <v>3</v>
      </c>
      <c r="X816" s="152"/>
      <c r="Y816" s="149" t="s">
        <v>24024</v>
      </c>
      <c r="Z816" s="158">
        <v>3</v>
      </c>
      <c r="AA816" s="152"/>
      <c r="AB816" s="154" t="s">
        <v>5680</v>
      </c>
    </row>
    <row r="817" spans="1:28" x14ac:dyDescent="0.2">
      <c r="A817" s="146" t="s">
        <v>7450</v>
      </c>
      <c r="B817" s="147" t="s">
        <v>6130</v>
      </c>
      <c r="C817" s="147" t="s">
        <v>6766</v>
      </c>
      <c r="D817" s="148"/>
      <c r="E817" s="149" t="s">
        <v>24025</v>
      </c>
      <c r="F817" s="161">
        <v>1</v>
      </c>
      <c r="G817" s="149" t="s">
        <v>22647</v>
      </c>
      <c r="H817" s="155">
        <v>1</v>
      </c>
      <c r="I817" s="156" t="s">
        <v>40</v>
      </c>
      <c r="J817" s="149" t="s">
        <v>24026</v>
      </c>
      <c r="K817" s="155">
        <v>1</v>
      </c>
      <c r="L817" s="156" t="s">
        <v>40</v>
      </c>
      <c r="M817" s="149" t="s">
        <v>24025</v>
      </c>
      <c r="N817" s="155">
        <v>1</v>
      </c>
      <c r="O817" s="156" t="s">
        <v>40</v>
      </c>
      <c r="P817" s="149" t="s">
        <v>24027</v>
      </c>
      <c r="Q817" s="158">
        <v>3</v>
      </c>
      <c r="R817" s="152"/>
      <c r="S817" s="149" t="s">
        <v>24028</v>
      </c>
      <c r="T817" s="158">
        <v>3</v>
      </c>
      <c r="U817" s="152"/>
      <c r="V817" s="149" t="s">
        <v>24029</v>
      </c>
      <c r="W817" s="158">
        <v>3</v>
      </c>
      <c r="X817" s="152"/>
      <c r="Y817" s="149" t="s">
        <v>47</v>
      </c>
      <c r="Z817" s="153"/>
      <c r="AA817" s="152"/>
      <c r="AB817" s="154" t="s">
        <v>7451</v>
      </c>
    </row>
    <row r="818" spans="1:28" x14ac:dyDescent="0.2">
      <c r="A818" s="146" t="s">
        <v>7452</v>
      </c>
      <c r="B818" s="147" t="s">
        <v>6130</v>
      </c>
      <c r="C818" s="147" t="s">
        <v>6154</v>
      </c>
      <c r="D818" s="148" t="s">
        <v>6163</v>
      </c>
      <c r="E818" s="149" t="s">
        <v>24030</v>
      </c>
      <c r="F818" s="160">
        <v>2</v>
      </c>
      <c r="G818" s="149" t="s">
        <v>24031</v>
      </c>
      <c r="H818" s="157">
        <v>2</v>
      </c>
      <c r="I818" s="156" t="s">
        <v>46</v>
      </c>
      <c r="J818" s="149" t="s">
        <v>24032</v>
      </c>
      <c r="K818" s="155">
        <v>1</v>
      </c>
      <c r="L818" s="156" t="s">
        <v>40</v>
      </c>
      <c r="M818" s="149" t="s">
        <v>24030</v>
      </c>
      <c r="N818" s="157">
        <v>2</v>
      </c>
      <c r="O818" s="152"/>
      <c r="P818" s="149" t="s">
        <v>24033</v>
      </c>
      <c r="Q818" s="158">
        <v>3</v>
      </c>
      <c r="R818" s="156" t="s">
        <v>46</v>
      </c>
      <c r="S818" s="149" t="s">
        <v>7453</v>
      </c>
      <c r="T818" s="157">
        <v>2</v>
      </c>
      <c r="U818" s="152"/>
      <c r="V818" s="149" t="s">
        <v>24034</v>
      </c>
      <c r="W818" s="155">
        <v>1</v>
      </c>
      <c r="X818" s="152"/>
      <c r="Y818" s="149" t="s">
        <v>24035</v>
      </c>
      <c r="Z818" s="155">
        <v>1</v>
      </c>
      <c r="AA818" s="152"/>
      <c r="AB818" s="154" t="s">
        <v>5682</v>
      </c>
    </row>
    <row r="819" spans="1:28" x14ac:dyDescent="0.2">
      <c r="A819" s="146" t="s">
        <v>7454</v>
      </c>
      <c r="B819" s="147" t="s">
        <v>6130</v>
      </c>
      <c r="C819" s="147" t="s">
        <v>6192</v>
      </c>
      <c r="D819" s="148" t="s">
        <v>6160</v>
      </c>
      <c r="E819" s="149" t="s">
        <v>24036</v>
      </c>
      <c r="F819" s="150">
        <v>4</v>
      </c>
      <c r="G819" s="149" t="s">
        <v>24037</v>
      </c>
      <c r="H819" s="158">
        <v>3</v>
      </c>
      <c r="I819" s="152"/>
      <c r="J819" s="149" t="s">
        <v>24038</v>
      </c>
      <c r="K819" s="158">
        <v>3</v>
      </c>
      <c r="L819" s="152"/>
      <c r="M819" s="149" t="s">
        <v>24036</v>
      </c>
      <c r="N819" s="151">
        <v>4</v>
      </c>
      <c r="O819" s="152"/>
      <c r="P819" s="149" t="s">
        <v>24039</v>
      </c>
      <c r="Q819" s="151">
        <v>4</v>
      </c>
      <c r="R819" s="152"/>
      <c r="S819" s="149" t="s">
        <v>24040</v>
      </c>
      <c r="T819" s="151">
        <v>4</v>
      </c>
      <c r="U819" s="152"/>
      <c r="V819" s="149" t="s">
        <v>24041</v>
      </c>
      <c r="W819" s="151">
        <v>4</v>
      </c>
      <c r="X819" s="152"/>
      <c r="Y819" s="149" t="s">
        <v>47</v>
      </c>
      <c r="Z819" s="153"/>
      <c r="AA819" s="152"/>
      <c r="AB819" s="154" t="s">
        <v>5684</v>
      </c>
    </row>
    <row r="820" spans="1:28" x14ac:dyDescent="0.2">
      <c r="A820" s="146" t="s">
        <v>7455</v>
      </c>
      <c r="B820" s="147" t="s">
        <v>6130</v>
      </c>
      <c r="C820" s="147" t="s">
        <v>6229</v>
      </c>
      <c r="D820" s="148" t="s">
        <v>6163</v>
      </c>
      <c r="E820" s="149" t="s">
        <v>24042</v>
      </c>
      <c r="F820" s="160">
        <v>2</v>
      </c>
      <c r="G820" s="149" t="s">
        <v>11442</v>
      </c>
      <c r="H820" s="151">
        <v>4</v>
      </c>
      <c r="I820" s="156" t="s">
        <v>55</v>
      </c>
      <c r="J820" s="149" t="s">
        <v>24043</v>
      </c>
      <c r="K820" s="158">
        <v>3</v>
      </c>
      <c r="L820" s="152"/>
      <c r="M820" s="149" t="s">
        <v>24042</v>
      </c>
      <c r="N820" s="157">
        <v>2</v>
      </c>
      <c r="O820" s="152"/>
      <c r="P820" s="149" t="s">
        <v>24044</v>
      </c>
      <c r="Q820" s="158">
        <v>3</v>
      </c>
      <c r="R820" s="156" t="s">
        <v>46</v>
      </c>
      <c r="S820" s="149" t="s">
        <v>24045</v>
      </c>
      <c r="T820" s="155">
        <v>1</v>
      </c>
      <c r="U820" s="152"/>
      <c r="V820" s="149" t="s">
        <v>24046</v>
      </c>
      <c r="W820" s="155">
        <v>1</v>
      </c>
      <c r="X820" s="152"/>
      <c r="Y820" s="149" t="s">
        <v>7456</v>
      </c>
      <c r="Z820" s="155">
        <v>1</v>
      </c>
      <c r="AA820" s="152"/>
      <c r="AB820" s="154" t="s">
        <v>5685</v>
      </c>
    </row>
    <row r="821" spans="1:28" x14ac:dyDescent="0.2">
      <c r="A821" s="146" t="s">
        <v>5686</v>
      </c>
      <c r="B821" s="147" t="s">
        <v>6130</v>
      </c>
      <c r="C821" s="147" t="s">
        <v>6362</v>
      </c>
      <c r="D821" s="148"/>
      <c r="E821" s="149" t="s">
        <v>7457</v>
      </c>
      <c r="F821" s="150">
        <v>4</v>
      </c>
      <c r="G821" s="149" t="s">
        <v>21601</v>
      </c>
      <c r="H821" s="151">
        <v>4</v>
      </c>
      <c r="I821" s="152"/>
      <c r="J821" s="149" t="s">
        <v>7458</v>
      </c>
      <c r="K821" s="151">
        <v>4</v>
      </c>
      <c r="L821" s="152"/>
      <c r="M821" s="149" t="s">
        <v>7457</v>
      </c>
      <c r="N821" s="151">
        <v>4</v>
      </c>
      <c r="O821" s="156" t="s">
        <v>46</v>
      </c>
      <c r="P821" s="149" t="s">
        <v>24047</v>
      </c>
      <c r="Q821" s="157">
        <v>2</v>
      </c>
      <c r="R821" s="156" t="s">
        <v>46</v>
      </c>
      <c r="S821" s="149" t="s">
        <v>24048</v>
      </c>
      <c r="T821" s="157">
        <v>2</v>
      </c>
      <c r="U821" s="152"/>
      <c r="V821" s="149" t="s">
        <v>7459</v>
      </c>
      <c r="W821" s="157">
        <v>2</v>
      </c>
      <c r="X821" s="152"/>
      <c r="Y821" s="149" t="s">
        <v>47</v>
      </c>
      <c r="Z821" s="153"/>
      <c r="AA821" s="152"/>
      <c r="AB821" s="154" t="s">
        <v>5688</v>
      </c>
    </row>
    <row r="822" spans="1:28" x14ac:dyDescent="0.2">
      <c r="A822" s="146" t="s">
        <v>7460</v>
      </c>
      <c r="B822" s="147" t="s">
        <v>6314</v>
      </c>
      <c r="C822" s="147" t="s">
        <v>7461</v>
      </c>
      <c r="D822" s="148"/>
      <c r="E822" s="149" t="s">
        <v>734</v>
      </c>
      <c r="F822" s="161">
        <v>1</v>
      </c>
      <c r="G822" s="149" t="s">
        <v>24049</v>
      </c>
      <c r="H822" s="155">
        <v>1</v>
      </c>
      <c r="I822" s="156" t="s">
        <v>40</v>
      </c>
      <c r="J822" s="149" t="s">
        <v>7280</v>
      </c>
      <c r="K822" s="155">
        <v>1</v>
      </c>
      <c r="L822" s="156" t="s">
        <v>53</v>
      </c>
      <c r="M822" s="149" t="s">
        <v>734</v>
      </c>
      <c r="N822" s="155">
        <v>1</v>
      </c>
      <c r="O822" s="156" t="s">
        <v>40</v>
      </c>
      <c r="P822" s="149" t="s">
        <v>24050</v>
      </c>
      <c r="Q822" s="155">
        <v>1</v>
      </c>
      <c r="R822" s="152"/>
      <c r="S822" s="149" t="s">
        <v>8353</v>
      </c>
      <c r="T822" s="155">
        <v>1</v>
      </c>
      <c r="U822" s="152"/>
      <c r="V822" s="149" t="s">
        <v>47</v>
      </c>
      <c r="W822" s="153"/>
      <c r="X822" s="152"/>
      <c r="Y822" s="149" t="s">
        <v>47</v>
      </c>
      <c r="Z822" s="153"/>
      <c r="AA822" s="152"/>
      <c r="AB822" s="154" t="s">
        <v>7462</v>
      </c>
    </row>
    <row r="823" spans="1:28" x14ac:dyDescent="0.2">
      <c r="A823" s="146" t="s">
        <v>7463</v>
      </c>
      <c r="B823" s="147" t="s">
        <v>6130</v>
      </c>
      <c r="C823" s="147" t="s">
        <v>6131</v>
      </c>
      <c r="D823" s="148"/>
      <c r="E823" s="149" t="s">
        <v>24051</v>
      </c>
      <c r="F823" s="161">
        <v>1</v>
      </c>
      <c r="G823" s="149" t="s">
        <v>24052</v>
      </c>
      <c r="H823" s="158">
        <v>3</v>
      </c>
      <c r="I823" s="156" t="s">
        <v>46</v>
      </c>
      <c r="J823" s="149" t="s">
        <v>24053</v>
      </c>
      <c r="K823" s="157">
        <v>2</v>
      </c>
      <c r="L823" s="156" t="s">
        <v>46</v>
      </c>
      <c r="M823" s="149" t="s">
        <v>24051</v>
      </c>
      <c r="N823" s="155">
        <v>1</v>
      </c>
      <c r="O823" s="152"/>
      <c r="P823" s="149" t="s">
        <v>24054</v>
      </c>
      <c r="Q823" s="155">
        <v>1</v>
      </c>
      <c r="R823" s="152"/>
      <c r="S823" s="149" t="s">
        <v>24055</v>
      </c>
      <c r="T823" s="157">
        <v>2</v>
      </c>
      <c r="U823" s="152"/>
      <c r="V823" s="149" t="s">
        <v>24056</v>
      </c>
      <c r="W823" s="155">
        <v>1</v>
      </c>
      <c r="X823" s="152"/>
      <c r="Y823" s="149" t="s">
        <v>47</v>
      </c>
      <c r="Z823" s="153"/>
      <c r="AA823" s="152"/>
      <c r="AB823" s="154" t="s">
        <v>5690</v>
      </c>
    </row>
    <row r="824" spans="1:28" x14ac:dyDescent="0.2">
      <c r="A824" s="146" t="s">
        <v>5691</v>
      </c>
      <c r="B824" s="147" t="s">
        <v>6130</v>
      </c>
      <c r="C824" s="147" t="s">
        <v>6131</v>
      </c>
      <c r="D824" s="148" t="s">
        <v>6163</v>
      </c>
      <c r="E824" s="149" t="s">
        <v>24057</v>
      </c>
      <c r="F824" s="161">
        <v>1</v>
      </c>
      <c r="G824" s="149" t="s">
        <v>24058</v>
      </c>
      <c r="H824" s="151">
        <v>4</v>
      </c>
      <c r="I824" s="156" t="s">
        <v>55</v>
      </c>
      <c r="J824" s="149" t="s">
        <v>24059</v>
      </c>
      <c r="K824" s="157">
        <v>2</v>
      </c>
      <c r="L824" s="156" t="s">
        <v>46</v>
      </c>
      <c r="M824" s="149" t="s">
        <v>24057</v>
      </c>
      <c r="N824" s="155">
        <v>1</v>
      </c>
      <c r="O824" s="152"/>
      <c r="P824" s="149" t="s">
        <v>24060</v>
      </c>
      <c r="Q824" s="155">
        <v>1</v>
      </c>
      <c r="R824" s="152"/>
      <c r="S824" s="149" t="s">
        <v>24061</v>
      </c>
      <c r="T824" s="157">
        <v>2</v>
      </c>
      <c r="U824" s="152"/>
      <c r="V824" s="149" t="s">
        <v>24062</v>
      </c>
      <c r="W824" s="155">
        <v>1</v>
      </c>
      <c r="X824" s="152"/>
      <c r="Y824" s="149" t="s">
        <v>47</v>
      </c>
      <c r="Z824" s="153"/>
      <c r="AA824" s="152"/>
      <c r="AB824" s="154" t="s">
        <v>5692</v>
      </c>
    </row>
    <row r="825" spans="1:28" x14ac:dyDescent="0.2">
      <c r="A825" s="146" t="s">
        <v>5693</v>
      </c>
      <c r="B825" s="147" t="s">
        <v>6130</v>
      </c>
      <c r="C825" s="147" t="s">
        <v>6175</v>
      </c>
      <c r="D825" s="148"/>
      <c r="E825" s="149" t="s">
        <v>47</v>
      </c>
      <c r="F825" s="152"/>
      <c r="G825" s="149" t="s">
        <v>24063</v>
      </c>
      <c r="H825" s="158">
        <v>3</v>
      </c>
      <c r="I825" s="152"/>
      <c r="J825" s="149" t="s">
        <v>47</v>
      </c>
      <c r="K825" s="153"/>
      <c r="L825" s="152"/>
      <c r="M825" s="149" t="s">
        <v>47</v>
      </c>
      <c r="N825" s="153"/>
      <c r="O825" s="152"/>
      <c r="P825" s="149" t="s">
        <v>47</v>
      </c>
      <c r="Q825" s="153"/>
      <c r="R825" s="152"/>
      <c r="S825" s="149" t="s">
        <v>47</v>
      </c>
      <c r="T825" s="153"/>
      <c r="U825" s="152"/>
      <c r="V825" s="149" t="s">
        <v>47</v>
      </c>
      <c r="W825" s="153"/>
      <c r="X825" s="152"/>
      <c r="Y825" s="149" t="s">
        <v>47</v>
      </c>
      <c r="Z825" s="153"/>
      <c r="AA825" s="152"/>
      <c r="AB825" s="154" t="s">
        <v>5696</v>
      </c>
    </row>
    <row r="826" spans="1:28" x14ac:dyDescent="0.2">
      <c r="A826" s="146" t="s">
        <v>7464</v>
      </c>
      <c r="B826" s="147" t="s">
        <v>6130</v>
      </c>
      <c r="C826" s="147" t="s">
        <v>6131</v>
      </c>
      <c r="D826" s="148"/>
      <c r="E826" s="149" t="s">
        <v>24064</v>
      </c>
      <c r="F826" s="161">
        <v>1</v>
      </c>
      <c r="G826" s="149" t="s">
        <v>24065</v>
      </c>
      <c r="H826" s="158">
        <v>3</v>
      </c>
      <c r="I826" s="156" t="s">
        <v>46</v>
      </c>
      <c r="J826" s="149" t="s">
        <v>24066</v>
      </c>
      <c r="K826" s="157">
        <v>2</v>
      </c>
      <c r="L826" s="156" t="s">
        <v>46</v>
      </c>
      <c r="M826" s="149" t="s">
        <v>24064</v>
      </c>
      <c r="N826" s="155">
        <v>1</v>
      </c>
      <c r="O826" s="152"/>
      <c r="P826" s="149" t="s">
        <v>24067</v>
      </c>
      <c r="Q826" s="155">
        <v>1</v>
      </c>
      <c r="R826" s="152"/>
      <c r="S826" s="149" t="s">
        <v>24068</v>
      </c>
      <c r="T826" s="157">
        <v>2</v>
      </c>
      <c r="U826" s="152"/>
      <c r="V826" s="149" t="s">
        <v>24069</v>
      </c>
      <c r="W826" s="155">
        <v>1</v>
      </c>
      <c r="X826" s="152"/>
      <c r="Y826" s="149" t="s">
        <v>47</v>
      </c>
      <c r="Z826" s="153"/>
      <c r="AA826" s="152"/>
      <c r="AB826" s="154" t="s">
        <v>5698</v>
      </c>
    </row>
    <row r="827" spans="1:28" x14ac:dyDescent="0.2">
      <c r="A827" s="146" t="s">
        <v>5699</v>
      </c>
      <c r="B827" s="147" t="s">
        <v>6130</v>
      </c>
      <c r="C827" s="147" t="s">
        <v>6131</v>
      </c>
      <c r="D827" s="148" t="s">
        <v>6132</v>
      </c>
      <c r="E827" s="149" t="s">
        <v>24070</v>
      </c>
      <c r="F827" s="161">
        <v>1</v>
      </c>
      <c r="G827" s="149" t="s">
        <v>24071</v>
      </c>
      <c r="H827" s="151">
        <v>4</v>
      </c>
      <c r="I827" s="156" t="s">
        <v>55</v>
      </c>
      <c r="J827" s="149" t="s">
        <v>24072</v>
      </c>
      <c r="K827" s="157">
        <v>2</v>
      </c>
      <c r="L827" s="156" t="s">
        <v>46</v>
      </c>
      <c r="M827" s="149" t="s">
        <v>24070</v>
      </c>
      <c r="N827" s="155">
        <v>1</v>
      </c>
      <c r="O827" s="152"/>
      <c r="P827" s="149" t="s">
        <v>24073</v>
      </c>
      <c r="Q827" s="155">
        <v>1</v>
      </c>
      <c r="R827" s="152"/>
      <c r="S827" s="149" t="s">
        <v>24074</v>
      </c>
      <c r="T827" s="157">
        <v>2</v>
      </c>
      <c r="U827" s="152"/>
      <c r="V827" s="149" t="s">
        <v>24075</v>
      </c>
      <c r="W827" s="155">
        <v>1</v>
      </c>
      <c r="X827" s="152"/>
      <c r="Y827" s="149" t="s">
        <v>47</v>
      </c>
      <c r="Z827" s="153"/>
      <c r="AA827" s="152"/>
      <c r="AB827" s="154" t="s">
        <v>5700</v>
      </c>
    </row>
    <row r="828" spans="1:28" x14ac:dyDescent="0.2">
      <c r="A828" s="146" t="s">
        <v>24076</v>
      </c>
      <c r="B828" s="147" t="s">
        <v>6130</v>
      </c>
      <c r="C828" s="147" t="s">
        <v>6175</v>
      </c>
      <c r="D828" s="148"/>
      <c r="E828" s="149" t="s">
        <v>47</v>
      </c>
      <c r="F828" s="152"/>
      <c r="G828" s="149" t="s">
        <v>22992</v>
      </c>
      <c r="H828" s="155">
        <v>1</v>
      </c>
      <c r="I828" s="152"/>
      <c r="J828" s="149" t="s">
        <v>47</v>
      </c>
      <c r="K828" s="153"/>
      <c r="L828" s="152"/>
      <c r="M828" s="149" t="s">
        <v>47</v>
      </c>
      <c r="N828" s="153"/>
      <c r="O828" s="152"/>
      <c r="P828" s="149" t="s">
        <v>47</v>
      </c>
      <c r="Q828" s="153"/>
      <c r="R828" s="152"/>
      <c r="S828" s="149" t="s">
        <v>47</v>
      </c>
      <c r="T828" s="153"/>
      <c r="U828" s="152"/>
      <c r="V828" s="149" t="s">
        <v>47</v>
      </c>
      <c r="W828" s="153"/>
      <c r="X828" s="152"/>
      <c r="Y828" s="149" t="s">
        <v>47</v>
      </c>
      <c r="Z828" s="153"/>
      <c r="AA828" s="152"/>
      <c r="AB828" s="154" t="s">
        <v>5701</v>
      </c>
    </row>
    <row r="829" spans="1:28" x14ac:dyDescent="0.2">
      <c r="A829" s="146" t="s">
        <v>7465</v>
      </c>
      <c r="B829" s="147" t="s">
        <v>6130</v>
      </c>
      <c r="C829" s="147" t="s">
        <v>6192</v>
      </c>
      <c r="D829" s="148"/>
      <c r="E829" s="149" t="s">
        <v>24077</v>
      </c>
      <c r="F829" s="161">
        <v>1</v>
      </c>
      <c r="G829" s="149" t="s">
        <v>24078</v>
      </c>
      <c r="H829" s="151">
        <v>4</v>
      </c>
      <c r="I829" s="156" t="s">
        <v>44</v>
      </c>
      <c r="J829" s="149" t="s">
        <v>24079</v>
      </c>
      <c r="K829" s="155">
        <v>1</v>
      </c>
      <c r="L829" s="152"/>
      <c r="M829" s="149" t="s">
        <v>24077</v>
      </c>
      <c r="N829" s="155">
        <v>1</v>
      </c>
      <c r="O829" s="152"/>
      <c r="P829" s="149" t="s">
        <v>24080</v>
      </c>
      <c r="Q829" s="155">
        <v>1</v>
      </c>
      <c r="R829" s="152"/>
      <c r="S829" s="149" t="s">
        <v>24081</v>
      </c>
      <c r="T829" s="157">
        <v>2</v>
      </c>
      <c r="U829" s="152"/>
      <c r="V829" s="149" t="s">
        <v>24082</v>
      </c>
      <c r="W829" s="155">
        <v>1</v>
      </c>
      <c r="X829" s="152"/>
      <c r="Y829" s="149" t="s">
        <v>24083</v>
      </c>
      <c r="Z829" s="157">
        <v>2</v>
      </c>
      <c r="AA829" s="152"/>
      <c r="AB829" s="154" t="s">
        <v>7466</v>
      </c>
    </row>
    <row r="830" spans="1:28" x14ac:dyDescent="0.2">
      <c r="A830" s="146" t="s">
        <v>24084</v>
      </c>
      <c r="B830" s="147" t="s">
        <v>6130</v>
      </c>
      <c r="C830" s="147" t="s">
        <v>6175</v>
      </c>
      <c r="D830" s="148"/>
      <c r="E830" s="149" t="s">
        <v>47</v>
      </c>
      <c r="F830" s="152"/>
      <c r="G830" s="149" t="s">
        <v>22992</v>
      </c>
      <c r="H830" s="155">
        <v>1</v>
      </c>
      <c r="I830" s="152"/>
      <c r="J830" s="149" t="s">
        <v>47</v>
      </c>
      <c r="K830" s="153"/>
      <c r="L830" s="152"/>
      <c r="M830" s="149" t="s">
        <v>47</v>
      </c>
      <c r="N830" s="153"/>
      <c r="O830" s="152"/>
      <c r="P830" s="149" t="s">
        <v>47</v>
      </c>
      <c r="Q830" s="153"/>
      <c r="R830" s="152"/>
      <c r="S830" s="149" t="s">
        <v>47</v>
      </c>
      <c r="T830" s="153"/>
      <c r="U830" s="152"/>
      <c r="V830" s="149" t="s">
        <v>47</v>
      </c>
      <c r="W830" s="153"/>
      <c r="X830" s="152"/>
      <c r="Y830" s="149" t="s">
        <v>47</v>
      </c>
      <c r="Z830" s="153"/>
      <c r="AA830" s="152"/>
      <c r="AB830" s="154" t="s">
        <v>5702</v>
      </c>
    </row>
    <row r="831" spans="1:28" x14ac:dyDescent="0.2">
      <c r="A831" s="146" t="s">
        <v>7467</v>
      </c>
      <c r="B831" s="147" t="s">
        <v>6130</v>
      </c>
      <c r="C831" s="147" t="s">
        <v>6766</v>
      </c>
      <c r="D831" s="148"/>
      <c r="E831" s="149" t="s">
        <v>24085</v>
      </c>
      <c r="F831" s="150">
        <v>4</v>
      </c>
      <c r="G831" s="149" t="s">
        <v>24086</v>
      </c>
      <c r="H831" s="157">
        <v>2</v>
      </c>
      <c r="I831" s="156" t="s">
        <v>53</v>
      </c>
      <c r="J831" s="149" t="s">
        <v>24087</v>
      </c>
      <c r="K831" s="158">
        <v>3</v>
      </c>
      <c r="L831" s="156" t="s">
        <v>40</v>
      </c>
      <c r="M831" s="149" t="s">
        <v>24085</v>
      </c>
      <c r="N831" s="151">
        <v>4</v>
      </c>
      <c r="O831" s="152"/>
      <c r="P831" s="149" t="s">
        <v>24088</v>
      </c>
      <c r="Q831" s="151">
        <v>4</v>
      </c>
      <c r="R831" s="152"/>
      <c r="S831" s="149" t="s">
        <v>24089</v>
      </c>
      <c r="T831" s="151">
        <v>4</v>
      </c>
      <c r="U831" s="152"/>
      <c r="V831" s="149" t="s">
        <v>24090</v>
      </c>
      <c r="W831" s="151">
        <v>4</v>
      </c>
      <c r="X831" s="152"/>
      <c r="Y831" s="149" t="s">
        <v>24091</v>
      </c>
      <c r="Z831" s="157">
        <v>2</v>
      </c>
      <c r="AA831" s="152"/>
      <c r="AB831" s="154" t="s">
        <v>7468</v>
      </c>
    </row>
    <row r="832" spans="1:28" x14ac:dyDescent="0.2">
      <c r="A832" s="146" t="s">
        <v>7469</v>
      </c>
      <c r="B832" s="147" t="s">
        <v>6130</v>
      </c>
      <c r="C832" s="147" t="s">
        <v>6766</v>
      </c>
      <c r="D832" s="148"/>
      <c r="E832" s="149" t="s">
        <v>24092</v>
      </c>
      <c r="F832" s="159">
        <v>3</v>
      </c>
      <c r="G832" s="149" t="s">
        <v>7470</v>
      </c>
      <c r="H832" s="155">
        <v>1</v>
      </c>
      <c r="I832" s="152"/>
      <c r="J832" s="149" t="s">
        <v>24093</v>
      </c>
      <c r="K832" s="157">
        <v>2</v>
      </c>
      <c r="L832" s="152"/>
      <c r="M832" s="149" t="s">
        <v>24092</v>
      </c>
      <c r="N832" s="158">
        <v>3</v>
      </c>
      <c r="O832" s="156" t="s">
        <v>40</v>
      </c>
      <c r="P832" s="149" t="s">
        <v>24094</v>
      </c>
      <c r="Q832" s="151">
        <v>4</v>
      </c>
      <c r="R832" s="152"/>
      <c r="S832" s="149" t="s">
        <v>24095</v>
      </c>
      <c r="T832" s="151">
        <v>4</v>
      </c>
      <c r="U832" s="152"/>
      <c r="V832" s="149" t="s">
        <v>24096</v>
      </c>
      <c r="W832" s="151">
        <v>4</v>
      </c>
      <c r="X832" s="152"/>
      <c r="Y832" s="149" t="s">
        <v>24097</v>
      </c>
      <c r="Z832" s="158">
        <v>3</v>
      </c>
      <c r="AA832" s="152"/>
      <c r="AB832" s="154" t="s">
        <v>7471</v>
      </c>
    </row>
    <row r="833" spans="1:28" x14ac:dyDescent="0.2">
      <c r="A833" s="146" t="s">
        <v>5724</v>
      </c>
      <c r="B833" s="147" t="s">
        <v>6130</v>
      </c>
      <c r="C833" s="147" t="s">
        <v>7472</v>
      </c>
      <c r="D833" s="148" t="s">
        <v>6163</v>
      </c>
      <c r="E833" s="149" t="s">
        <v>7473</v>
      </c>
      <c r="F833" s="161">
        <v>1</v>
      </c>
      <c r="G833" s="149" t="s">
        <v>7474</v>
      </c>
      <c r="H833" s="158">
        <v>3</v>
      </c>
      <c r="I833" s="156" t="s">
        <v>55</v>
      </c>
      <c r="J833" s="149" t="s">
        <v>7475</v>
      </c>
      <c r="K833" s="155">
        <v>1</v>
      </c>
      <c r="L833" s="152"/>
      <c r="M833" s="149" t="s">
        <v>7473</v>
      </c>
      <c r="N833" s="155">
        <v>1</v>
      </c>
      <c r="O833" s="152"/>
      <c r="P833" s="149" t="s">
        <v>1156</v>
      </c>
      <c r="Q833" s="155">
        <v>1</v>
      </c>
      <c r="R833" s="152"/>
      <c r="S833" s="149" t="s">
        <v>6302</v>
      </c>
      <c r="T833" s="155">
        <v>1</v>
      </c>
      <c r="U833" s="152"/>
      <c r="V833" s="149" t="s">
        <v>24098</v>
      </c>
      <c r="W833" s="155">
        <v>1</v>
      </c>
      <c r="X833" s="152"/>
      <c r="Y833" s="149" t="s">
        <v>6273</v>
      </c>
      <c r="Z833" s="151">
        <v>4</v>
      </c>
      <c r="AA833" s="152"/>
      <c r="AB833" s="154" t="s">
        <v>5725</v>
      </c>
    </row>
    <row r="834" spans="1:28" x14ac:dyDescent="0.2">
      <c r="A834" s="146" t="s">
        <v>7476</v>
      </c>
      <c r="B834" s="147" t="s">
        <v>6130</v>
      </c>
      <c r="C834" s="147" t="s">
        <v>6247</v>
      </c>
      <c r="D834" s="148" t="s">
        <v>6132</v>
      </c>
      <c r="E834" s="149" t="s">
        <v>24099</v>
      </c>
      <c r="F834" s="160">
        <v>2</v>
      </c>
      <c r="G834" s="149" t="s">
        <v>24100</v>
      </c>
      <c r="H834" s="158">
        <v>3</v>
      </c>
      <c r="I834" s="156" t="s">
        <v>40</v>
      </c>
      <c r="J834" s="149" t="s">
        <v>24101</v>
      </c>
      <c r="K834" s="151">
        <v>4</v>
      </c>
      <c r="L834" s="156" t="s">
        <v>46</v>
      </c>
      <c r="M834" s="149" t="s">
        <v>24099</v>
      </c>
      <c r="N834" s="157">
        <v>2</v>
      </c>
      <c r="O834" s="152"/>
      <c r="P834" s="149" t="s">
        <v>24102</v>
      </c>
      <c r="Q834" s="157">
        <v>2</v>
      </c>
      <c r="R834" s="156" t="s">
        <v>46</v>
      </c>
      <c r="S834" s="149" t="s">
        <v>24103</v>
      </c>
      <c r="T834" s="155">
        <v>1</v>
      </c>
      <c r="U834" s="152"/>
      <c r="V834" s="149" t="s">
        <v>24104</v>
      </c>
      <c r="W834" s="155">
        <v>1</v>
      </c>
      <c r="X834" s="152"/>
      <c r="Y834" s="149" t="s">
        <v>47</v>
      </c>
      <c r="Z834" s="153"/>
      <c r="AA834" s="152"/>
      <c r="AB834" s="154" t="s">
        <v>5727</v>
      </c>
    </row>
    <row r="835" spans="1:28" x14ac:dyDescent="0.2">
      <c r="A835" s="146" t="s">
        <v>24105</v>
      </c>
      <c r="B835" s="147" t="s">
        <v>6130</v>
      </c>
      <c r="C835" s="147" t="s">
        <v>6259</v>
      </c>
      <c r="D835" s="148"/>
      <c r="E835" s="149" t="s">
        <v>47</v>
      </c>
      <c r="F835" s="152"/>
      <c r="G835" s="149" t="s">
        <v>24106</v>
      </c>
      <c r="H835" s="155">
        <v>1</v>
      </c>
      <c r="I835" s="152"/>
      <c r="J835" s="149" t="s">
        <v>47</v>
      </c>
      <c r="K835" s="153"/>
      <c r="L835" s="152"/>
      <c r="M835" s="149" t="s">
        <v>47</v>
      </c>
      <c r="N835" s="153"/>
      <c r="O835" s="152"/>
      <c r="P835" s="149" t="s">
        <v>47</v>
      </c>
      <c r="Q835" s="153"/>
      <c r="R835" s="152"/>
      <c r="S835" s="149" t="s">
        <v>47</v>
      </c>
      <c r="T835" s="153"/>
      <c r="U835" s="152"/>
      <c r="V835" s="149" t="s">
        <v>47</v>
      </c>
      <c r="W835" s="153"/>
      <c r="X835" s="152"/>
      <c r="Y835" s="149" t="s">
        <v>47</v>
      </c>
      <c r="Z835" s="153"/>
      <c r="AA835" s="152"/>
      <c r="AB835" s="154" t="s">
        <v>19616</v>
      </c>
    </row>
    <row r="836" spans="1:28" x14ac:dyDescent="0.2">
      <c r="A836" s="146" t="s">
        <v>7477</v>
      </c>
      <c r="B836" s="147" t="s">
        <v>6130</v>
      </c>
      <c r="C836" s="147" t="s">
        <v>6349</v>
      </c>
      <c r="D836" s="148"/>
      <c r="E836" s="149" t="s">
        <v>24107</v>
      </c>
      <c r="F836" s="159">
        <v>3</v>
      </c>
      <c r="G836" s="149" t="s">
        <v>24108</v>
      </c>
      <c r="H836" s="155">
        <v>1</v>
      </c>
      <c r="I836" s="156" t="s">
        <v>40</v>
      </c>
      <c r="J836" s="149" t="s">
        <v>24109</v>
      </c>
      <c r="K836" s="155">
        <v>1</v>
      </c>
      <c r="L836" s="156" t="s">
        <v>53</v>
      </c>
      <c r="M836" s="149" t="s">
        <v>24107</v>
      </c>
      <c r="N836" s="158">
        <v>3</v>
      </c>
      <c r="O836" s="152"/>
      <c r="P836" s="149" t="s">
        <v>24110</v>
      </c>
      <c r="Q836" s="158">
        <v>3</v>
      </c>
      <c r="R836" s="152"/>
      <c r="S836" s="149" t="s">
        <v>47</v>
      </c>
      <c r="T836" s="153"/>
      <c r="U836" s="152"/>
      <c r="V836" s="149" t="s">
        <v>47</v>
      </c>
      <c r="W836" s="153"/>
      <c r="X836" s="152"/>
      <c r="Y836" s="149" t="s">
        <v>47</v>
      </c>
      <c r="Z836" s="153"/>
      <c r="AA836" s="152"/>
      <c r="AB836" s="154" t="s">
        <v>7478</v>
      </c>
    </row>
    <row r="837" spans="1:28" x14ac:dyDescent="0.2">
      <c r="A837" s="146" t="s">
        <v>7479</v>
      </c>
      <c r="B837" s="147" t="s">
        <v>6130</v>
      </c>
      <c r="C837" s="147" t="s">
        <v>6203</v>
      </c>
      <c r="D837" s="148"/>
      <c r="E837" s="149" t="s">
        <v>24111</v>
      </c>
      <c r="F837" s="160">
        <v>2</v>
      </c>
      <c r="G837" s="149" t="s">
        <v>24112</v>
      </c>
      <c r="H837" s="151">
        <v>4</v>
      </c>
      <c r="I837" s="156" t="s">
        <v>44</v>
      </c>
      <c r="J837" s="149" t="s">
        <v>24113</v>
      </c>
      <c r="K837" s="158">
        <v>3</v>
      </c>
      <c r="L837" s="156" t="s">
        <v>46</v>
      </c>
      <c r="M837" s="149" t="s">
        <v>24111</v>
      </c>
      <c r="N837" s="157">
        <v>2</v>
      </c>
      <c r="O837" s="152"/>
      <c r="P837" s="149" t="s">
        <v>24114</v>
      </c>
      <c r="Q837" s="151">
        <v>4</v>
      </c>
      <c r="R837" s="156" t="s">
        <v>55</v>
      </c>
      <c r="S837" s="149" t="s">
        <v>47</v>
      </c>
      <c r="T837" s="153"/>
      <c r="U837" s="152"/>
      <c r="V837" s="149" t="s">
        <v>47</v>
      </c>
      <c r="W837" s="153"/>
      <c r="X837" s="152"/>
      <c r="Y837" s="149" t="s">
        <v>47</v>
      </c>
      <c r="Z837" s="153"/>
      <c r="AA837" s="152"/>
      <c r="AB837" s="154" t="s">
        <v>7480</v>
      </c>
    </row>
    <row r="838" spans="1:28" x14ac:dyDescent="0.2">
      <c r="A838" s="146" t="s">
        <v>7481</v>
      </c>
      <c r="B838" s="147" t="s">
        <v>6130</v>
      </c>
      <c r="C838" s="147" t="s">
        <v>6583</v>
      </c>
      <c r="D838" s="148"/>
      <c r="E838" s="149" t="s">
        <v>24115</v>
      </c>
      <c r="F838" s="160">
        <v>2</v>
      </c>
      <c r="G838" s="149" t="s">
        <v>24116</v>
      </c>
      <c r="H838" s="157">
        <v>2</v>
      </c>
      <c r="I838" s="156" t="s">
        <v>40</v>
      </c>
      <c r="J838" s="149" t="s">
        <v>24117</v>
      </c>
      <c r="K838" s="158">
        <v>3</v>
      </c>
      <c r="L838" s="152"/>
      <c r="M838" s="149" t="s">
        <v>24115</v>
      </c>
      <c r="N838" s="157">
        <v>2</v>
      </c>
      <c r="O838" s="152"/>
      <c r="P838" s="149" t="s">
        <v>24118</v>
      </c>
      <c r="Q838" s="157">
        <v>2</v>
      </c>
      <c r="R838" s="152"/>
      <c r="S838" s="149" t="s">
        <v>24119</v>
      </c>
      <c r="T838" s="151">
        <v>4</v>
      </c>
      <c r="U838" s="152"/>
      <c r="V838" s="149" t="s">
        <v>47</v>
      </c>
      <c r="W838" s="153"/>
      <c r="X838" s="152"/>
      <c r="Y838" s="149" t="s">
        <v>47</v>
      </c>
      <c r="Z838" s="153"/>
      <c r="AA838" s="152"/>
      <c r="AB838" s="154" t="s">
        <v>5735</v>
      </c>
    </row>
    <row r="839" spans="1:28" x14ac:dyDescent="0.2">
      <c r="A839" s="146" t="s">
        <v>7482</v>
      </c>
      <c r="B839" s="147" t="s">
        <v>6130</v>
      </c>
      <c r="C839" s="147" t="s">
        <v>6583</v>
      </c>
      <c r="D839" s="148"/>
      <c r="E839" s="149" t="s">
        <v>24120</v>
      </c>
      <c r="F839" s="160">
        <v>2</v>
      </c>
      <c r="G839" s="149" t="s">
        <v>24121</v>
      </c>
      <c r="H839" s="157">
        <v>2</v>
      </c>
      <c r="I839" s="152"/>
      <c r="J839" s="149" t="s">
        <v>24122</v>
      </c>
      <c r="K839" s="155">
        <v>1</v>
      </c>
      <c r="L839" s="152"/>
      <c r="M839" s="149" t="s">
        <v>24120</v>
      </c>
      <c r="N839" s="157">
        <v>2</v>
      </c>
      <c r="O839" s="152"/>
      <c r="P839" s="149" t="s">
        <v>24123</v>
      </c>
      <c r="Q839" s="157">
        <v>2</v>
      </c>
      <c r="R839" s="152"/>
      <c r="S839" s="149" t="s">
        <v>24124</v>
      </c>
      <c r="T839" s="158">
        <v>3</v>
      </c>
      <c r="U839" s="152"/>
      <c r="V839" s="149" t="s">
        <v>24125</v>
      </c>
      <c r="W839" s="151">
        <v>4</v>
      </c>
      <c r="X839" s="152"/>
      <c r="Y839" s="149" t="s">
        <v>24126</v>
      </c>
      <c r="Z839" s="151">
        <v>4</v>
      </c>
      <c r="AA839" s="152"/>
      <c r="AB839" s="154" t="s">
        <v>5738</v>
      </c>
    </row>
    <row r="840" spans="1:28" x14ac:dyDescent="0.2">
      <c r="A840" s="146" t="s">
        <v>7483</v>
      </c>
      <c r="B840" s="147" t="s">
        <v>6130</v>
      </c>
      <c r="C840" s="147" t="s">
        <v>6169</v>
      </c>
      <c r="D840" s="148"/>
      <c r="E840" s="149" t="s">
        <v>24127</v>
      </c>
      <c r="F840" s="160">
        <v>2</v>
      </c>
      <c r="G840" s="149" t="s">
        <v>24128</v>
      </c>
      <c r="H840" s="158">
        <v>3</v>
      </c>
      <c r="I840" s="156" t="s">
        <v>55</v>
      </c>
      <c r="J840" s="149" t="s">
        <v>24129</v>
      </c>
      <c r="K840" s="155">
        <v>1</v>
      </c>
      <c r="L840" s="152"/>
      <c r="M840" s="149" t="s">
        <v>24127</v>
      </c>
      <c r="N840" s="157">
        <v>2</v>
      </c>
      <c r="O840" s="152"/>
      <c r="P840" s="149" t="s">
        <v>24130</v>
      </c>
      <c r="Q840" s="157">
        <v>2</v>
      </c>
      <c r="R840" s="156" t="s">
        <v>46</v>
      </c>
      <c r="S840" s="149" t="s">
        <v>24131</v>
      </c>
      <c r="T840" s="155">
        <v>1</v>
      </c>
      <c r="U840" s="152"/>
      <c r="V840" s="149" t="s">
        <v>24132</v>
      </c>
      <c r="W840" s="158">
        <v>3</v>
      </c>
      <c r="X840" s="152"/>
      <c r="Y840" s="149" t="s">
        <v>24133</v>
      </c>
      <c r="Z840" s="151">
        <v>4</v>
      </c>
      <c r="AA840" s="152"/>
      <c r="AB840" s="154" t="s">
        <v>5737</v>
      </c>
    </row>
    <row r="841" spans="1:28" x14ac:dyDescent="0.2">
      <c r="A841" s="146" t="s">
        <v>7484</v>
      </c>
      <c r="B841" s="147" t="s">
        <v>6130</v>
      </c>
      <c r="C841" s="147" t="s">
        <v>6203</v>
      </c>
      <c r="D841" s="148"/>
      <c r="E841" s="149" t="s">
        <v>24134</v>
      </c>
      <c r="F841" s="160">
        <v>2</v>
      </c>
      <c r="G841" s="149" t="s">
        <v>16756</v>
      </c>
      <c r="H841" s="157">
        <v>2</v>
      </c>
      <c r="I841" s="156" t="s">
        <v>40</v>
      </c>
      <c r="J841" s="149" t="s">
        <v>24135</v>
      </c>
      <c r="K841" s="158">
        <v>3</v>
      </c>
      <c r="L841" s="152"/>
      <c r="M841" s="149" t="s">
        <v>24134</v>
      </c>
      <c r="N841" s="157">
        <v>2</v>
      </c>
      <c r="O841" s="152"/>
      <c r="P841" s="149" t="s">
        <v>24136</v>
      </c>
      <c r="Q841" s="155">
        <v>1</v>
      </c>
      <c r="R841" s="156" t="s">
        <v>40</v>
      </c>
      <c r="S841" s="149" t="s">
        <v>24137</v>
      </c>
      <c r="T841" s="157">
        <v>2</v>
      </c>
      <c r="U841" s="152"/>
      <c r="V841" s="149" t="s">
        <v>24138</v>
      </c>
      <c r="W841" s="155">
        <v>1</v>
      </c>
      <c r="X841" s="152"/>
      <c r="Y841" s="149" t="s">
        <v>47</v>
      </c>
      <c r="Z841" s="153"/>
      <c r="AA841" s="152"/>
      <c r="AB841" s="154" t="s">
        <v>5740</v>
      </c>
    </row>
    <row r="842" spans="1:28" x14ac:dyDescent="0.2">
      <c r="A842" s="146" t="s">
        <v>7485</v>
      </c>
      <c r="B842" s="147" t="s">
        <v>6130</v>
      </c>
      <c r="C842" s="147" t="s">
        <v>6213</v>
      </c>
      <c r="D842" s="148"/>
      <c r="E842" s="149" t="s">
        <v>24139</v>
      </c>
      <c r="F842" s="161">
        <v>1</v>
      </c>
      <c r="G842" s="149" t="s">
        <v>24140</v>
      </c>
      <c r="H842" s="155">
        <v>1</v>
      </c>
      <c r="I842" s="156" t="s">
        <v>40</v>
      </c>
      <c r="J842" s="149" t="s">
        <v>7486</v>
      </c>
      <c r="K842" s="155">
        <v>1</v>
      </c>
      <c r="L842" s="156" t="s">
        <v>40</v>
      </c>
      <c r="M842" s="149" t="s">
        <v>24139</v>
      </c>
      <c r="N842" s="155">
        <v>1</v>
      </c>
      <c r="O842" s="152"/>
      <c r="P842" s="149" t="s">
        <v>24141</v>
      </c>
      <c r="Q842" s="155">
        <v>1</v>
      </c>
      <c r="R842" s="152"/>
      <c r="S842" s="149" t="s">
        <v>24142</v>
      </c>
      <c r="T842" s="155">
        <v>1</v>
      </c>
      <c r="U842" s="152"/>
      <c r="V842" s="149" t="s">
        <v>24143</v>
      </c>
      <c r="W842" s="155">
        <v>1</v>
      </c>
      <c r="X842" s="152"/>
      <c r="Y842" s="149" t="s">
        <v>47</v>
      </c>
      <c r="Z842" s="153"/>
      <c r="AA842" s="152"/>
      <c r="AB842" s="154" t="s">
        <v>5742</v>
      </c>
    </row>
    <row r="843" spans="1:28" x14ac:dyDescent="0.2">
      <c r="A843" s="146" t="s">
        <v>24144</v>
      </c>
      <c r="B843" s="147" t="s">
        <v>6130</v>
      </c>
      <c r="C843" s="147" t="s">
        <v>6277</v>
      </c>
      <c r="D843" s="148"/>
      <c r="E843" s="149" t="s">
        <v>24145</v>
      </c>
      <c r="F843" s="160">
        <v>2</v>
      </c>
      <c r="G843" s="149" t="s">
        <v>24146</v>
      </c>
      <c r="H843" s="157">
        <v>2</v>
      </c>
      <c r="I843" s="152"/>
      <c r="J843" s="149" t="s">
        <v>24147</v>
      </c>
      <c r="K843" s="157">
        <v>2</v>
      </c>
      <c r="L843" s="152"/>
      <c r="M843" s="149" t="s">
        <v>24145</v>
      </c>
      <c r="N843" s="157">
        <v>2</v>
      </c>
      <c r="O843" s="156" t="s">
        <v>40</v>
      </c>
      <c r="P843" s="149" t="s">
        <v>24148</v>
      </c>
      <c r="Q843" s="158">
        <v>3</v>
      </c>
      <c r="R843" s="152"/>
      <c r="S843" s="149" t="s">
        <v>24149</v>
      </c>
      <c r="T843" s="151">
        <v>4</v>
      </c>
      <c r="U843" s="152"/>
      <c r="V843" s="149" t="s">
        <v>24150</v>
      </c>
      <c r="W843" s="157">
        <v>2</v>
      </c>
      <c r="X843" s="152"/>
      <c r="Y843" s="149" t="s">
        <v>24151</v>
      </c>
      <c r="Z843" s="151">
        <v>4</v>
      </c>
      <c r="AA843" s="152"/>
      <c r="AB843" s="154" t="s">
        <v>5744</v>
      </c>
    </row>
    <row r="844" spans="1:28" x14ac:dyDescent="0.2">
      <c r="A844" s="146" t="s">
        <v>7487</v>
      </c>
      <c r="B844" s="147" t="s">
        <v>6130</v>
      </c>
      <c r="C844" s="147" t="s">
        <v>6131</v>
      </c>
      <c r="D844" s="148" t="s">
        <v>6136</v>
      </c>
      <c r="E844" s="149" t="s">
        <v>24152</v>
      </c>
      <c r="F844" s="159">
        <v>3</v>
      </c>
      <c r="G844" s="149" t="s">
        <v>24153</v>
      </c>
      <c r="H844" s="155">
        <v>1</v>
      </c>
      <c r="I844" s="156" t="s">
        <v>53</v>
      </c>
      <c r="J844" s="149" t="s">
        <v>24154</v>
      </c>
      <c r="K844" s="158">
        <v>3</v>
      </c>
      <c r="L844" s="152"/>
      <c r="M844" s="149" t="s">
        <v>24152</v>
      </c>
      <c r="N844" s="158">
        <v>3</v>
      </c>
      <c r="O844" s="152"/>
      <c r="P844" s="149" t="s">
        <v>24155</v>
      </c>
      <c r="Q844" s="158">
        <v>3</v>
      </c>
      <c r="R844" s="152"/>
      <c r="S844" s="149" t="s">
        <v>24156</v>
      </c>
      <c r="T844" s="157">
        <v>2</v>
      </c>
      <c r="U844" s="152"/>
      <c r="V844" s="149" t="s">
        <v>24157</v>
      </c>
      <c r="W844" s="155">
        <v>1</v>
      </c>
      <c r="X844" s="152"/>
      <c r="Y844" s="149" t="s">
        <v>47</v>
      </c>
      <c r="Z844" s="153"/>
      <c r="AA844" s="152"/>
      <c r="AB844" s="154" t="s">
        <v>5748</v>
      </c>
    </row>
    <row r="845" spans="1:28" x14ac:dyDescent="0.2">
      <c r="A845" s="146" t="s">
        <v>7488</v>
      </c>
      <c r="B845" s="147" t="s">
        <v>6130</v>
      </c>
      <c r="C845" s="147" t="s">
        <v>6131</v>
      </c>
      <c r="D845" s="148" t="s">
        <v>6132</v>
      </c>
      <c r="E845" s="149" t="s">
        <v>24158</v>
      </c>
      <c r="F845" s="160">
        <v>2</v>
      </c>
      <c r="G845" s="149" t="s">
        <v>24159</v>
      </c>
      <c r="H845" s="155">
        <v>1</v>
      </c>
      <c r="I845" s="156" t="s">
        <v>53</v>
      </c>
      <c r="J845" s="149" t="s">
        <v>24160</v>
      </c>
      <c r="K845" s="158">
        <v>3</v>
      </c>
      <c r="L845" s="152"/>
      <c r="M845" s="149" t="s">
        <v>24158</v>
      </c>
      <c r="N845" s="157">
        <v>2</v>
      </c>
      <c r="O845" s="156" t="s">
        <v>40</v>
      </c>
      <c r="P845" s="149" t="s">
        <v>24161</v>
      </c>
      <c r="Q845" s="158">
        <v>3</v>
      </c>
      <c r="R845" s="152"/>
      <c r="S845" s="149" t="s">
        <v>24162</v>
      </c>
      <c r="T845" s="157">
        <v>2</v>
      </c>
      <c r="U845" s="152"/>
      <c r="V845" s="149" t="s">
        <v>24163</v>
      </c>
      <c r="W845" s="155">
        <v>1</v>
      </c>
      <c r="X845" s="152"/>
      <c r="Y845" s="149" t="s">
        <v>47</v>
      </c>
      <c r="Z845" s="153"/>
      <c r="AA845" s="152"/>
      <c r="AB845" s="154" t="s">
        <v>5750</v>
      </c>
    </row>
    <row r="846" spans="1:28" x14ac:dyDescent="0.2">
      <c r="A846" s="146" t="s">
        <v>7489</v>
      </c>
      <c r="B846" s="147" t="s">
        <v>6130</v>
      </c>
      <c r="C846" s="147" t="s">
        <v>6131</v>
      </c>
      <c r="D846" s="148" t="s">
        <v>6136</v>
      </c>
      <c r="E846" s="149" t="s">
        <v>24164</v>
      </c>
      <c r="F846" s="159">
        <v>3</v>
      </c>
      <c r="G846" s="149" t="s">
        <v>24165</v>
      </c>
      <c r="H846" s="155">
        <v>1</v>
      </c>
      <c r="I846" s="156" t="s">
        <v>157</v>
      </c>
      <c r="J846" s="149" t="s">
        <v>24166</v>
      </c>
      <c r="K846" s="157">
        <v>2</v>
      </c>
      <c r="L846" s="156" t="s">
        <v>40</v>
      </c>
      <c r="M846" s="149" t="s">
        <v>24164</v>
      </c>
      <c r="N846" s="158">
        <v>3</v>
      </c>
      <c r="O846" s="156" t="s">
        <v>40</v>
      </c>
      <c r="P846" s="149" t="s">
        <v>24167</v>
      </c>
      <c r="Q846" s="158">
        <v>3</v>
      </c>
      <c r="R846" s="152"/>
      <c r="S846" s="149" t="s">
        <v>24168</v>
      </c>
      <c r="T846" s="158">
        <v>3</v>
      </c>
      <c r="U846" s="156" t="s">
        <v>46</v>
      </c>
      <c r="V846" s="149" t="s">
        <v>24169</v>
      </c>
      <c r="W846" s="155">
        <v>1</v>
      </c>
      <c r="X846" s="152"/>
      <c r="Y846" s="149" t="s">
        <v>47</v>
      </c>
      <c r="Z846" s="153"/>
      <c r="AA846" s="152"/>
      <c r="AB846" s="154" t="s">
        <v>5756</v>
      </c>
    </row>
    <row r="847" spans="1:28" x14ac:dyDescent="0.2">
      <c r="A847" s="146" t="s">
        <v>5757</v>
      </c>
      <c r="B847" s="147" t="s">
        <v>6130</v>
      </c>
      <c r="C847" s="147" t="s">
        <v>6395</v>
      </c>
      <c r="D847" s="148" t="s">
        <v>6163</v>
      </c>
      <c r="E847" s="149" t="s">
        <v>24170</v>
      </c>
      <c r="F847" s="159">
        <v>3</v>
      </c>
      <c r="G847" s="149" t="s">
        <v>23683</v>
      </c>
      <c r="H847" s="158">
        <v>3</v>
      </c>
      <c r="I847" s="152"/>
      <c r="J847" s="149" t="s">
        <v>9957</v>
      </c>
      <c r="K847" s="158">
        <v>3</v>
      </c>
      <c r="L847" s="152"/>
      <c r="M847" s="149" t="s">
        <v>24170</v>
      </c>
      <c r="N847" s="158">
        <v>3</v>
      </c>
      <c r="O847" s="152"/>
      <c r="P847" s="149" t="s">
        <v>12917</v>
      </c>
      <c r="Q847" s="158">
        <v>3</v>
      </c>
      <c r="R847" s="152"/>
      <c r="S847" s="149" t="s">
        <v>8984</v>
      </c>
      <c r="T847" s="157">
        <v>2</v>
      </c>
      <c r="U847" s="152"/>
      <c r="V847" s="149" t="s">
        <v>24171</v>
      </c>
      <c r="W847" s="157">
        <v>2</v>
      </c>
      <c r="X847" s="152"/>
      <c r="Y847" s="149" t="s">
        <v>24172</v>
      </c>
      <c r="Z847" s="157">
        <v>2</v>
      </c>
      <c r="AA847" s="152"/>
      <c r="AB847" s="154" t="s">
        <v>5759</v>
      </c>
    </row>
    <row r="848" spans="1:28" x14ac:dyDescent="0.2">
      <c r="A848" s="146" t="s">
        <v>5760</v>
      </c>
      <c r="B848" s="147" t="s">
        <v>6130</v>
      </c>
      <c r="C848" s="147" t="s">
        <v>6221</v>
      </c>
      <c r="D848" s="148" t="s">
        <v>6163</v>
      </c>
      <c r="E848" s="149" t="s">
        <v>7490</v>
      </c>
      <c r="F848" s="161">
        <v>1</v>
      </c>
      <c r="G848" s="149" t="s">
        <v>7491</v>
      </c>
      <c r="H848" s="158">
        <v>3</v>
      </c>
      <c r="I848" s="156" t="s">
        <v>55</v>
      </c>
      <c r="J848" s="149" t="s">
        <v>7492</v>
      </c>
      <c r="K848" s="155">
        <v>1</v>
      </c>
      <c r="L848" s="152"/>
      <c r="M848" s="149" t="s">
        <v>7490</v>
      </c>
      <c r="N848" s="155">
        <v>1</v>
      </c>
      <c r="O848" s="152"/>
      <c r="P848" s="149" t="s">
        <v>22870</v>
      </c>
      <c r="Q848" s="157">
        <v>2</v>
      </c>
      <c r="R848" s="156" t="s">
        <v>46</v>
      </c>
      <c r="S848" s="149" t="s">
        <v>24173</v>
      </c>
      <c r="T848" s="155">
        <v>1</v>
      </c>
      <c r="U848" s="152"/>
      <c r="V848" s="149" t="s">
        <v>47</v>
      </c>
      <c r="W848" s="153"/>
      <c r="X848" s="152"/>
      <c r="Y848" s="149" t="s">
        <v>47</v>
      </c>
      <c r="Z848" s="153"/>
      <c r="AA848" s="152"/>
      <c r="AB848" s="154" t="s">
        <v>5762</v>
      </c>
    </row>
    <row r="849" spans="1:28" x14ac:dyDescent="0.2">
      <c r="A849" s="146" t="s">
        <v>24174</v>
      </c>
      <c r="B849" s="147" t="s">
        <v>6130</v>
      </c>
      <c r="C849" s="147" t="s">
        <v>6203</v>
      </c>
      <c r="D849" s="148" t="s">
        <v>6170</v>
      </c>
      <c r="E849" s="149" t="s">
        <v>24175</v>
      </c>
      <c r="F849" s="150">
        <v>4</v>
      </c>
      <c r="G849" s="149" t="s">
        <v>24176</v>
      </c>
      <c r="H849" s="157">
        <v>2</v>
      </c>
      <c r="I849" s="156" t="s">
        <v>40</v>
      </c>
      <c r="J849" s="149" t="s">
        <v>24177</v>
      </c>
      <c r="K849" s="158">
        <v>3</v>
      </c>
      <c r="L849" s="152"/>
      <c r="M849" s="149" t="s">
        <v>24175</v>
      </c>
      <c r="N849" s="151">
        <v>4</v>
      </c>
      <c r="O849" s="152"/>
      <c r="P849" s="149" t="s">
        <v>24178</v>
      </c>
      <c r="Q849" s="158">
        <v>3</v>
      </c>
      <c r="R849" s="156" t="s">
        <v>40</v>
      </c>
      <c r="S849" s="149" t="s">
        <v>24179</v>
      </c>
      <c r="T849" s="151">
        <v>4</v>
      </c>
      <c r="U849" s="152"/>
      <c r="V849" s="149" t="s">
        <v>24180</v>
      </c>
      <c r="W849" s="151">
        <v>4</v>
      </c>
      <c r="X849" s="156" t="s">
        <v>46</v>
      </c>
      <c r="Y849" s="149" t="s">
        <v>24181</v>
      </c>
      <c r="Z849" s="151">
        <v>4</v>
      </c>
      <c r="AA849" s="152"/>
      <c r="AB849" s="154" t="s">
        <v>5764</v>
      </c>
    </row>
    <row r="850" spans="1:28" x14ac:dyDescent="0.2">
      <c r="A850" s="146" t="s">
        <v>5765</v>
      </c>
      <c r="B850" s="147" t="s">
        <v>6130</v>
      </c>
      <c r="C850" s="147" t="s">
        <v>6203</v>
      </c>
      <c r="D850" s="148" t="s">
        <v>6170</v>
      </c>
      <c r="E850" s="149" t="s">
        <v>24182</v>
      </c>
      <c r="F850" s="150">
        <v>4</v>
      </c>
      <c r="G850" s="149" t="s">
        <v>24183</v>
      </c>
      <c r="H850" s="155">
        <v>1</v>
      </c>
      <c r="I850" s="152"/>
      <c r="J850" s="149" t="s">
        <v>7493</v>
      </c>
      <c r="K850" s="157">
        <v>2</v>
      </c>
      <c r="L850" s="156" t="s">
        <v>53</v>
      </c>
      <c r="M850" s="149" t="s">
        <v>24182</v>
      </c>
      <c r="N850" s="151">
        <v>4</v>
      </c>
      <c r="O850" s="152"/>
      <c r="P850" s="149" t="s">
        <v>24184</v>
      </c>
      <c r="Q850" s="158">
        <v>3</v>
      </c>
      <c r="R850" s="156" t="s">
        <v>40</v>
      </c>
      <c r="S850" s="149" t="s">
        <v>24185</v>
      </c>
      <c r="T850" s="151">
        <v>4</v>
      </c>
      <c r="U850" s="152"/>
      <c r="V850" s="149" t="s">
        <v>24186</v>
      </c>
      <c r="W850" s="151">
        <v>4</v>
      </c>
      <c r="X850" s="152"/>
      <c r="Y850" s="149" t="s">
        <v>24187</v>
      </c>
      <c r="Z850" s="151">
        <v>4</v>
      </c>
      <c r="AA850" s="152"/>
      <c r="AB850" s="154" t="s">
        <v>5766</v>
      </c>
    </row>
    <row r="851" spans="1:28" x14ac:dyDescent="0.2">
      <c r="A851" s="146" t="s">
        <v>5769</v>
      </c>
      <c r="B851" s="147" t="s">
        <v>6130</v>
      </c>
      <c r="C851" s="147" t="s">
        <v>6206</v>
      </c>
      <c r="D851" s="148" t="s">
        <v>6136</v>
      </c>
      <c r="E851" s="149" t="s">
        <v>24188</v>
      </c>
      <c r="F851" s="159">
        <v>3</v>
      </c>
      <c r="G851" s="149" t="s">
        <v>24189</v>
      </c>
      <c r="H851" s="158">
        <v>3</v>
      </c>
      <c r="I851" s="156" t="s">
        <v>46</v>
      </c>
      <c r="J851" s="149" t="s">
        <v>24190</v>
      </c>
      <c r="K851" s="158">
        <v>3</v>
      </c>
      <c r="L851" s="156" t="s">
        <v>46</v>
      </c>
      <c r="M851" s="149" t="s">
        <v>24188</v>
      </c>
      <c r="N851" s="158">
        <v>3</v>
      </c>
      <c r="O851" s="152"/>
      <c r="P851" s="149" t="s">
        <v>24191</v>
      </c>
      <c r="Q851" s="158">
        <v>3</v>
      </c>
      <c r="R851" s="152"/>
      <c r="S851" s="149" t="s">
        <v>24192</v>
      </c>
      <c r="T851" s="158">
        <v>3</v>
      </c>
      <c r="U851" s="152"/>
      <c r="V851" s="149" t="s">
        <v>24193</v>
      </c>
      <c r="W851" s="158">
        <v>3</v>
      </c>
      <c r="X851" s="152"/>
      <c r="Y851" s="149" t="s">
        <v>24194</v>
      </c>
      <c r="Z851" s="158">
        <v>3</v>
      </c>
      <c r="AA851" s="152"/>
      <c r="AB851" s="154" t="s">
        <v>5770</v>
      </c>
    </row>
    <row r="852" spans="1:28" x14ac:dyDescent="0.2">
      <c r="A852" s="146" t="s">
        <v>7494</v>
      </c>
      <c r="B852" s="147" t="s">
        <v>6130</v>
      </c>
      <c r="C852" s="147" t="s">
        <v>6206</v>
      </c>
      <c r="D852" s="148" t="s">
        <v>6160</v>
      </c>
      <c r="E852" s="149" t="s">
        <v>24195</v>
      </c>
      <c r="F852" s="159">
        <v>3</v>
      </c>
      <c r="G852" s="149" t="s">
        <v>24196</v>
      </c>
      <c r="H852" s="151">
        <v>4</v>
      </c>
      <c r="I852" s="156" t="s">
        <v>44</v>
      </c>
      <c r="J852" s="149" t="s">
        <v>24197</v>
      </c>
      <c r="K852" s="158">
        <v>3</v>
      </c>
      <c r="L852" s="156" t="s">
        <v>46</v>
      </c>
      <c r="M852" s="149" t="s">
        <v>24195</v>
      </c>
      <c r="N852" s="158">
        <v>3</v>
      </c>
      <c r="O852" s="152"/>
      <c r="P852" s="149" t="s">
        <v>24198</v>
      </c>
      <c r="Q852" s="158">
        <v>3</v>
      </c>
      <c r="R852" s="156" t="s">
        <v>40</v>
      </c>
      <c r="S852" s="149" t="s">
        <v>24199</v>
      </c>
      <c r="T852" s="151">
        <v>4</v>
      </c>
      <c r="U852" s="152"/>
      <c r="V852" s="149" t="s">
        <v>24200</v>
      </c>
      <c r="W852" s="151">
        <v>4</v>
      </c>
      <c r="X852" s="152"/>
      <c r="Y852" s="149" t="s">
        <v>24201</v>
      </c>
      <c r="Z852" s="158">
        <v>3</v>
      </c>
      <c r="AA852" s="152"/>
      <c r="AB852" s="154" t="s">
        <v>5772</v>
      </c>
    </row>
    <row r="853" spans="1:28" x14ac:dyDescent="0.2">
      <c r="A853" s="146" t="s">
        <v>5773</v>
      </c>
      <c r="B853" s="147" t="s">
        <v>6130</v>
      </c>
      <c r="C853" s="147" t="s">
        <v>6206</v>
      </c>
      <c r="D853" s="148" t="s">
        <v>6160</v>
      </c>
      <c r="E853" s="149" t="s">
        <v>24202</v>
      </c>
      <c r="F853" s="159">
        <v>3</v>
      </c>
      <c r="G853" s="149" t="s">
        <v>24203</v>
      </c>
      <c r="H853" s="151">
        <v>4</v>
      </c>
      <c r="I853" s="156" t="s">
        <v>55</v>
      </c>
      <c r="J853" s="149" t="s">
        <v>24204</v>
      </c>
      <c r="K853" s="158">
        <v>3</v>
      </c>
      <c r="L853" s="152"/>
      <c r="M853" s="149" t="s">
        <v>24202</v>
      </c>
      <c r="N853" s="158">
        <v>3</v>
      </c>
      <c r="O853" s="152"/>
      <c r="P853" s="149" t="s">
        <v>24205</v>
      </c>
      <c r="Q853" s="158">
        <v>3</v>
      </c>
      <c r="R853" s="156" t="s">
        <v>40</v>
      </c>
      <c r="S853" s="149" t="s">
        <v>24206</v>
      </c>
      <c r="T853" s="158">
        <v>3</v>
      </c>
      <c r="U853" s="152"/>
      <c r="V853" s="149" t="s">
        <v>24207</v>
      </c>
      <c r="W853" s="158">
        <v>3</v>
      </c>
      <c r="X853" s="152"/>
      <c r="Y853" s="149" t="s">
        <v>24208</v>
      </c>
      <c r="Z853" s="151">
        <v>4</v>
      </c>
      <c r="AA853" s="152"/>
      <c r="AB853" s="154" t="s">
        <v>5775</v>
      </c>
    </row>
    <row r="854" spans="1:28" x14ac:dyDescent="0.2">
      <c r="A854" s="146" t="s">
        <v>5782</v>
      </c>
      <c r="B854" s="147" t="s">
        <v>6130</v>
      </c>
      <c r="C854" s="147" t="s">
        <v>6416</v>
      </c>
      <c r="D854" s="148" t="s">
        <v>6170</v>
      </c>
      <c r="E854" s="149" t="s">
        <v>6826</v>
      </c>
      <c r="F854" s="150">
        <v>4</v>
      </c>
      <c r="G854" s="149" t="s">
        <v>24209</v>
      </c>
      <c r="H854" s="151">
        <v>4</v>
      </c>
      <c r="I854" s="156" t="s">
        <v>46</v>
      </c>
      <c r="J854" s="149" t="s">
        <v>24210</v>
      </c>
      <c r="K854" s="151">
        <v>4</v>
      </c>
      <c r="L854" s="156" t="s">
        <v>46</v>
      </c>
      <c r="M854" s="149" t="s">
        <v>6826</v>
      </c>
      <c r="N854" s="151">
        <v>4</v>
      </c>
      <c r="O854" s="152"/>
      <c r="P854" s="149" t="s">
        <v>24211</v>
      </c>
      <c r="Q854" s="151">
        <v>4</v>
      </c>
      <c r="R854" s="152"/>
      <c r="S854" s="149" t="s">
        <v>24212</v>
      </c>
      <c r="T854" s="151">
        <v>4</v>
      </c>
      <c r="U854" s="152"/>
      <c r="V854" s="149" t="s">
        <v>7495</v>
      </c>
      <c r="W854" s="151">
        <v>4</v>
      </c>
      <c r="X854" s="152"/>
      <c r="Y854" s="149" t="s">
        <v>14896</v>
      </c>
      <c r="Z854" s="158">
        <v>3</v>
      </c>
      <c r="AA854" s="152"/>
      <c r="AB854" s="154" t="s">
        <v>5786</v>
      </c>
    </row>
    <row r="855" spans="1:28" x14ac:dyDescent="0.2">
      <c r="A855" s="146" t="s">
        <v>7496</v>
      </c>
      <c r="B855" s="147" t="s">
        <v>6130</v>
      </c>
      <c r="C855" s="147" t="s">
        <v>6206</v>
      </c>
      <c r="D855" s="148" t="s">
        <v>6160</v>
      </c>
      <c r="E855" s="149" t="s">
        <v>24213</v>
      </c>
      <c r="F855" s="159">
        <v>3</v>
      </c>
      <c r="G855" s="149" t="s">
        <v>24214</v>
      </c>
      <c r="H855" s="158">
        <v>3</v>
      </c>
      <c r="I855" s="152"/>
      <c r="J855" s="149" t="s">
        <v>24215</v>
      </c>
      <c r="K855" s="151">
        <v>4</v>
      </c>
      <c r="L855" s="156" t="s">
        <v>46</v>
      </c>
      <c r="M855" s="149" t="s">
        <v>24213</v>
      </c>
      <c r="N855" s="158">
        <v>3</v>
      </c>
      <c r="O855" s="152"/>
      <c r="P855" s="149" t="s">
        <v>24216</v>
      </c>
      <c r="Q855" s="158">
        <v>3</v>
      </c>
      <c r="R855" s="152"/>
      <c r="S855" s="149" t="s">
        <v>24217</v>
      </c>
      <c r="T855" s="158">
        <v>3</v>
      </c>
      <c r="U855" s="152"/>
      <c r="V855" s="149" t="s">
        <v>24218</v>
      </c>
      <c r="W855" s="158">
        <v>3</v>
      </c>
      <c r="X855" s="156" t="s">
        <v>46</v>
      </c>
      <c r="Y855" s="149" t="s">
        <v>24219</v>
      </c>
      <c r="Z855" s="151">
        <v>4</v>
      </c>
      <c r="AA855" s="152"/>
      <c r="AB855" s="154" t="s">
        <v>5788</v>
      </c>
    </row>
    <row r="856" spans="1:28" x14ac:dyDescent="0.2">
      <c r="A856" s="146" t="s">
        <v>5789</v>
      </c>
      <c r="B856" s="147" t="s">
        <v>6130</v>
      </c>
      <c r="C856" s="147" t="s">
        <v>6206</v>
      </c>
      <c r="D856" s="148" t="s">
        <v>6170</v>
      </c>
      <c r="E856" s="149" t="s">
        <v>24220</v>
      </c>
      <c r="F856" s="160">
        <v>2</v>
      </c>
      <c r="G856" s="149" t="s">
        <v>24221</v>
      </c>
      <c r="H856" s="158">
        <v>3</v>
      </c>
      <c r="I856" s="152"/>
      <c r="J856" s="149" t="s">
        <v>24222</v>
      </c>
      <c r="K856" s="158">
        <v>3</v>
      </c>
      <c r="L856" s="152"/>
      <c r="M856" s="149" t="s">
        <v>24220</v>
      </c>
      <c r="N856" s="157">
        <v>2</v>
      </c>
      <c r="O856" s="156" t="s">
        <v>46</v>
      </c>
      <c r="P856" s="149" t="s">
        <v>7497</v>
      </c>
      <c r="Q856" s="157">
        <v>2</v>
      </c>
      <c r="R856" s="156" t="s">
        <v>40</v>
      </c>
      <c r="S856" s="149" t="s">
        <v>24223</v>
      </c>
      <c r="T856" s="151">
        <v>4</v>
      </c>
      <c r="U856" s="152"/>
      <c r="V856" s="149" t="s">
        <v>24224</v>
      </c>
      <c r="W856" s="151">
        <v>4</v>
      </c>
      <c r="X856" s="152"/>
      <c r="Y856" s="149" t="s">
        <v>24225</v>
      </c>
      <c r="Z856" s="151">
        <v>4</v>
      </c>
      <c r="AA856" s="152"/>
      <c r="AB856" s="154" t="s">
        <v>5790</v>
      </c>
    </row>
    <row r="857" spans="1:28" x14ac:dyDescent="0.2">
      <c r="A857" s="146" t="s">
        <v>7498</v>
      </c>
      <c r="B857" s="147" t="s">
        <v>6130</v>
      </c>
      <c r="C857" s="147" t="s">
        <v>6206</v>
      </c>
      <c r="D857" s="148" t="s">
        <v>6160</v>
      </c>
      <c r="E857" s="149" t="s">
        <v>24226</v>
      </c>
      <c r="F857" s="150">
        <v>4</v>
      </c>
      <c r="G857" s="149" t="s">
        <v>24227</v>
      </c>
      <c r="H857" s="157">
        <v>2</v>
      </c>
      <c r="I857" s="152"/>
      <c r="J857" s="149" t="s">
        <v>24228</v>
      </c>
      <c r="K857" s="158">
        <v>3</v>
      </c>
      <c r="L857" s="156" t="s">
        <v>46</v>
      </c>
      <c r="M857" s="149" t="s">
        <v>24226</v>
      </c>
      <c r="N857" s="151">
        <v>4</v>
      </c>
      <c r="O857" s="156" t="s">
        <v>46</v>
      </c>
      <c r="P857" s="149" t="s">
        <v>24229</v>
      </c>
      <c r="Q857" s="158">
        <v>3</v>
      </c>
      <c r="R857" s="156" t="s">
        <v>40</v>
      </c>
      <c r="S857" s="149" t="s">
        <v>24230</v>
      </c>
      <c r="T857" s="158">
        <v>3</v>
      </c>
      <c r="U857" s="152"/>
      <c r="V857" s="149" t="s">
        <v>24231</v>
      </c>
      <c r="W857" s="151">
        <v>4</v>
      </c>
      <c r="X857" s="152"/>
      <c r="Y857" s="149" t="s">
        <v>24232</v>
      </c>
      <c r="Z857" s="151">
        <v>4</v>
      </c>
      <c r="AA857" s="152"/>
      <c r="AB857" s="154" t="s">
        <v>5792</v>
      </c>
    </row>
    <row r="858" spans="1:28" x14ac:dyDescent="0.2">
      <c r="A858" s="146" t="s">
        <v>7499</v>
      </c>
      <c r="B858" s="147" t="s">
        <v>6130</v>
      </c>
      <c r="C858" s="147" t="s">
        <v>6213</v>
      </c>
      <c r="D858" s="148" t="s">
        <v>6136</v>
      </c>
      <c r="E858" s="149" t="s">
        <v>24233</v>
      </c>
      <c r="F858" s="160">
        <v>2</v>
      </c>
      <c r="G858" s="149" t="s">
        <v>24234</v>
      </c>
      <c r="H858" s="158">
        <v>3</v>
      </c>
      <c r="I858" s="156" t="s">
        <v>46</v>
      </c>
      <c r="J858" s="149" t="s">
        <v>7500</v>
      </c>
      <c r="K858" s="157">
        <v>2</v>
      </c>
      <c r="L858" s="156" t="s">
        <v>40</v>
      </c>
      <c r="M858" s="149" t="s">
        <v>24233</v>
      </c>
      <c r="N858" s="157">
        <v>2</v>
      </c>
      <c r="O858" s="156" t="s">
        <v>40</v>
      </c>
      <c r="P858" s="149" t="s">
        <v>7501</v>
      </c>
      <c r="Q858" s="158">
        <v>3</v>
      </c>
      <c r="R858" s="152"/>
      <c r="S858" s="149" t="s">
        <v>24235</v>
      </c>
      <c r="T858" s="157">
        <v>2</v>
      </c>
      <c r="U858" s="152"/>
      <c r="V858" s="149" t="s">
        <v>22256</v>
      </c>
      <c r="W858" s="157">
        <v>2</v>
      </c>
      <c r="X858" s="152"/>
      <c r="Y858" s="149" t="s">
        <v>24236</v>
      </c>
      <c r="Z858" s="158">
        <v>3</v>
      </c>
      <c r="AA858" s="152"/>
      <c r="AB858" s="154" t="s">
        <v>5794</v>
      </c>
    </row>
    <row r="859" spans="1:28" x14ac:dyDescent="0.2">
      <c r="A859" s="146" t="s">
        <v>5795</v>
      </c>
      <c r="B859" s="147" t="s">
        <v>6130</v>
      </c>
      <c r="C859" s="147" t="s">
        <v>6213</v>
      </c>
      <c r="D859" s="148" t="s">
        <v>6170</v>
      </c>
      <c r="E859" s="149" t="s">
        <v>24237</v>
      </c>
      <c r="F859" s="159">
        <v>3</v>
      </c>
      <c r="G859" s="149" t="s">
        <v>24238</v>
      </c>
      <c r="H859" s="157">
        <v>2</v>
      </c>
      <c r="I859" s="152"/>
      <c r="J859" s="149" t="s">
        <v>18258</v>
      </c>
      <c r="K859" s="158">
        <v>3</v>
      </c>
      <c r="L859" s="156" t="s">
        <v>40</v>
      </c>
      <c r="M859" s="149" t="s">
        <v>24237</v>
      </c>
      <c r="N859" s="158">
        <v>3</v>
      </c>
      <c r="O859" s="156" t="s">
        <v>40</v>
      </c>
      <c r="P859" s="149" t="s">
        <v>24239</v>
      </c>
      <c r="Q859" s="151">
        <v>4</v>
      </c>
      <c r="R859" s="152"/>
      <c r="S859" s="149" t="s">
        <v>24240</v>
      </c>
      <c r="T859" s="151">
        <v>4</v>
      </c>
      <c r="U859" s="152"/>
      <c r="V859" s="149" t="s">
        <v>24241</v>
      </c>
      <c r="W859" s="151">
        <v>4</v>
      </c>
      <c r="X859" s="152"/>
      <c r="Y859" s="149" t="s">
        <v>24242</v>
      </c>
      <c r="Z859" s="158">
        <v>3</v>
      </c>
      <c r="AA859" s="152"/>
      <c r="AB859" s="154" t="s">
        <v>5796</v>
      </c>
    </row>
    <row r="860" spans="1:28" x14ac:dyDescent="0.2">
      <c r="A860" s="146" t="s">
        <v>7502</v>
      </c>
      <c r="B860" s="147" t="s">
        <v>6130</v>
      </c>
      <c r="C860" s="147" t="s">
        <v>6213</v>
      </c>
      <c r="D860" s="148" t="s">
        <v>6170</v>
      </c>
      <c r="E860" s="149" t="s">
        <v>18141</v>
      </c>
      <c r="F860" s="159">
        <v>3</v>
      </c>
      <c r="G860" s="149" t="s">
        <v>20681</v>
      </c>
      <c r="H860" s="151">
        <v>4</v>
      </c>
      <c r="I860" s="156" t="s">
        <v>44</v>
      </c>
      <c r="J860" s="149" t="s">
        <v>24243</v>
      </c>
      <c r="K860" s="158">
        <v>3</v>
      </c>
      <c r="L860" s="156" t="s">
        <v>55</v>
      </c>
      <c r="M860" s="149" t="s">
        <v>18141</v>
      </c>
      <c r="N860" s="158">
        <v>3</v>
      </c>
      <c r="O860" s="152"/>
      <c r="P860" s="149" t="s">
        <v>24244</v>
      </c>
      <c r="Q860" s="151">
        <v>4</v>
      </c>
      <c r="R860" s="152"/>
      <c r="S860" s="149" t="s">
        <v>24245</v>
      </c>
      <c r="T860" s="151">
        <v>4</v>
      </c>
      <c r="U860" s="152"/>
      <c r="V860" s="149" t="s">
        <v>24246</v>
      </c>
      <c r="W860" s="151">
        <v>4</v>
      </c>
      <c r="X860" s="156" t="s">
        <v>46</v>
      </c>
      <c r="Y860" s="149" t="s">
        <v>47</v>
      </c>
      <c r="Z860" s="153"/>
      <c r="AA860" s="152"/>
      <c r="AB860" s="154" t="s">
        <v>5798</v>
      </c>
    </row>
    <row r="861" spans="1:28" x14ac:dyDescent="0.2">
      <c r="A861" s="146" t="s">
        <v>5802</v>
      </c>
      <c r="B861" s="147" t="s">
        <v>6130</v>
      </c>
      <c r="C861" s="147" t="s">
        <v>6213</v>
      </c>
      <c r="D861" s="148" t="s">
        <v>6136</v>
      </c>
      <c r="E861" s="149" t="s">
        <v>24247</v>
      </c>
      <c r="F861" s="150">
        <v>4</v>
      </c>
      <c r="G861" s="149" t="s">
        <v>24248</v>
      </c>
      <c r="H861" s="151">
        <v>4</v>
      </c>
      <c r="I861" s="156" t="s">
        <v>46</v>
      </c>
      <c r="J861" s="149" t="s">
        <v>24249</v>
      </c>
      <c r="K861" s="151">
        <v>4</v>
      </c>
      <c r="L861" s="156" t="s">
        <v>46</v>
      </c>
      <c r="M861" s="149" t="s">
        <v>24247</v>
      </c>
      <c r="N861" s="151">
        <v>4</v>
      </c>
      <c r="O861" s="152"/>
      <c r="P861" s="149" t="s">
        <v>12943</v>
      </c>
      <c r="Q861" s="158">
        <v>3</v>
      </c>
      <c r="R861" s="156" t="s">
        <v>46</v>
      </c>
      <c r="S861" s="149" t="s">
        <v>24250</v>
      </c>
      <c r="T861" s="158">
        <v>3</v>
      </c>
      <c r="U861" s="152"/>
      <c r="V861" s="149" t="s">
        <v>24251</v>
      </c>
      <c r="W861" s="158">
        <v>3</v>
      </c>
      <c r="X861" s="152"/>
      <c r="Y861" s="149" t="s">
        <v>24252</v>
      </c>
      <c r="Z861" s="158">
        <v>3</v>
      </c>
      <c r="AA861" s="152"/>
      <c r="AB861" s="154" t="s">
        <v>5805</v>
      </c>
    </row>
    <row r="862" spans="1:28" x14ac:dyDescent="0.2">
      <c r="A862" s="146" t="s">
        <v>5806</v>
      </c>
      <c r="B862" s="147" t="s">
        <v>6130</v>
      </c>
      <c r="C862" s="147" t="s">
        <v>6213</v>
      </c>
      <c r="D862" s="148" t="s">
        <v>6160</v>
      </c>
      <c r="E862" s="149" t="s">
        <v>24234</v>
      </c>
      <c r="F862" s="159">
        <v>3</v>
      </c>
      <c r="G862" s="149" t="s">
        <v>6439</v>
      </c>
      <c r="H862" s="158">
        <v>3</v>
      </c>
      <c r="I862" s="156" t="s">
        <v>46</v>
      </c>
      <c r="J862" s="149" t="s">
        <v>24253</v>
      </c>
      <c r="K862" s="158">
        <v>3</v>
      </c>
      <c r="L862" s="152"/>
      <c r="M862" s="149" t="s">
        <v>24234</v>
      </c>
      <c r="N862" s="158">
        <v>3</v>
      </c>
      <c r="O862" s="152"/>
      <c r="P862" s="149" t="s">
        <v>24254</v>
      </c>
      <c r="Q862" s="158">
        <v>3</v>
      </c>
      <c r="R862" s="152"/>
      <c r="S862" s="149" t="s">
        <v>24255</v>
      </c>
      <c r="T862" s="158">
        <v>3</v>
      </c>
      <c r="U862" s="152"/>
      <c r="V862" s="149" t="s">
        <v>7503</v>
      </c>
      <c r="W862" s="158">
        <v>3</v>
      </c>
      <c r="X862" s="152"/>
      <c r="Y862" s="149" t="s">
        <v>24256</v>
      </c>
      <c r="Z862" s="158">
        <v>3</v>
      </c>
      <c r="AA862" s="152"/>
      <c r="AB862" s="154" t="s">
        <v>5808</v>
      </c>
    </row>
    <row r="863" spans="1:28" x14ac:dyDescent="0.2">
      <c r="A863" s="146" t="s">
        <v>24257</v>
      </c>
      <c r="B863" s="147" t="s">
        <v>6130</v>
      </c>
      <c r="C863" s="147" t="s">
        <v>6213</v>
      </c>
      <c r="D863" s="148" t="s">
        <v>6170</v>
      </c>
      <c r="E863" s="149" t="s">
        <v>24258</v>
      </c>
      <c r="F863" s="150">
        <v>4</v>
      </c>
      <c r="G863" s="149" t="s">
        <v>24253</v>
      </c>
      <c r="H863" s="158">
        <v>3</v>
      </c>
      <c r="I863" s="152"/>
      <c r="J863" s="149" t="s">
        <v>24259</v>
      </c>
      <c r="K863" s="151">
        <v>4</v>
      </c>
      <c r="L863" s="152"/>
      <c r="M863" s="149" t="s">
        <v>24258</v>
      </c>
      <c r="N863" s="151">
        <v>4</v>
      </c>
      <c r="O863" s="152"/>
      <c r="P863" s="149" t="s">
        <v>24260</v>
      </c>
      <c r="Q863" s="151">
        <v>4</v>
      </c>
      <c r="R863" s="152"/>
      <c r="S863" s="149" t="s">
        <v>24261</v>
      </c>
      <c r="T863" s="151">
        <v>4</v>
      </c>
      <c r="U863" s="152"/>
      <c r="V863" s="149" t="s">
        <v>24262</v>
      </c>
      <c r="W863" s="151">
        <v>4</v>
      </c>
      <c r="X863" s="152"/>
      <c r="Y863" s="149" t="s">
        <v>24263</v>
      </c>
      <c r="Z863" s="151">
        <v>4</v>
      </c>
      <c r="AA863" s="152"/>
      <c r="AB863" s="154" t="s">
        <v>5812</v>
      </c>
    </row>
    <row r="864" spans="1:28" x14ac:dyDescent="0.2">
      <c r="A864" s="146" t="s">
        <v>5813</v>
      </c>
      <c r="B864" s="147" t="s">
        <v>6130</v>
      </c>
      <c r="C864" s="147" t="s">
        <v>6210</v>
      </c>
      <c r="D864" s="148" t="s">
        <v>6160</v>
      </c>
      <c r="E864" s="149" t="s">
        <v>24264</v>
      </c>
      <c r="F864" s="159">
        <v>3</v>
      </c>
      <c r="G864" s="149" t="s">
        <v>24265</v>
      </c>
      <c r="H864" s="151">
        <v>4</v>
      </c>
      <c r="I864" s="156" t="s">
        <v>55</v>
      </c>
      <c r="J864" s="149" t="s">
        <v>7504</v>
      </c>
      <c r="K864" s="157">
        <v>2</v>
      </c>
      <c r="L864" s="152"/>
      <c r="M864" s="149" t="s">
        <v>24264</v>
      </c>
      <c r="N864" s="158">
        <v>3</v>
      </c>
      <c r="O864" s="152"/>
      <c r="P864" s="149" t="s">
        <v>24266</v>
      </c>
      <c r="Q864" s="151">
        <v>4</v>
      </c>
      <c r="R864" s="152"/>
      <c r="S864" s="149" t="s">
        <v>24267</v>
      </c>
      <c r="T864" s="151">
        <v>4</v>
      </c>
      <c r="U864" s="152"/>
      <c r="V864" s="149" t="s">
        <v>24268</v>
      </c>
      <c r="W864" s="158">
        <v>3</v>
      </c>
      <c r="X864" s="152"/>
      <c r="Y864" s="149" t="s">
        <v>7505</v>
      </c>
      <c r="Z864" s="158">
        <v>3</v>
      </c>
      <c r="AA864" s="152"/>
      <c r="AB864" s="154" t="s">
        <v>5814</v>
      </c>
    </row>
    <row r="865" spans="1:28" x14ac:dyDescent="0.2">
      <c r="A865" s="146" t="s">
        <v>5820</v>
      </c>
      <c r="B865" s="147" t="s">
        <v>6130</v>
      </c>
      <c r="C865" s="147" t="s">
        <v>6342</v>
      </c>
      <c r="D865" s="148" t="s">
        <v>6160</v>
      </c>
      <c r="E865" s="149" t="s">
        <v>7506</v>
      </c>
      <c r="F865" s="150">
        <v>4</v>
      </c>
      <c r="G865" s="149" t="s">
        <v>24269</v>
      </c>
      <c r="H865" s="157">
        <v>2</v>
      </c>
      <c r="I865" s="152"/>
      <c r="J865" s="149" t="s">
        <v>24270</v>
      </c>
      <c r="K865" s="157">
        <v>2</v>
      </c>
      <c r="L865" s="156" t="s">
        <v>40</v>
      </c>
      <c r="M865" s="149" t="s">
        <v>7506</v>
      </c>
      <c r="N865" s="151">
        <v>4</v>
      </c>
      <c r="O865" s="152"/>
      <c r="P865" s="149" t="s">
        <v>24271</v>
      </c>
      <c r="Q865" s="158">
        <v>3</v>
      </c>
      <c r="R865" s="152"/>
      <c r="S865" s="149" t="s">
        <v>24272</v>
      </c>
      <c r="T865" s="151">
        <v>4</v>
      </c>
      <c r="U865" s="152"/>
      <c r="V865" s="149" t="s">
        <v>9981</v>
      </c>
      <c r="W865" s="151">
        <v>4</v>
      </c>
      <c r="X865" s="152"/>
      <c r="Y865" s="149" t="s">
        <v>24273</v>
      </c>
      <c r="Z865" s="151">
        <v>4</v>
      </c>
      <c r="AA865" s="152"/>
      <c r="AB865" s="154" t="s">
        <v>5821</v>
      </c>
    </row>
    <row r="866" spans="1:28" x14ac:dyDescent="0.2">
      <c r="A866" s="146" t="s">
        <v>5822</v>
      </c>
      <c r="B866" s="147" t="s">
        <v>6130</v>
      </c>
      <c r="C866" s="147" t="s">
        <v>6513</v>
      </c>
      <c r="D866" s="148" t="s">
        <v>6132</v>
      </c>
      <c r="E866" s="149" t="s">
        <v>7507</v>
      </c>
      <c r="F866" s="160">
        <v>2</v>
      </c>
      <c r="G866" s="149" t="s">
        <v>7508</v>
      </c>
      <c r="H866" s="155">
        <v>1</v>
      </c>
      <c r="I866" s="156" t="s">
        <v>53</v>
      </c>
      <c r="J866" s="149" t="s">
        <v>23470</v>
      </c>
      <c r="K866" s="157">
        <v>2</v>
      </c>
      <c r="L866" s="152"/>
      <c r="M866" s="149" t="s">
        <v>7507</v>
      </c>
      <c r="N866" s="157">
        <v>2</v>
      </c>
      <c r="O866" s="152"/>
      <c r="P866" s="149" t="s">
        <v>14421</v>
      </c>
      <c r="Q866" s="157">
        <v>2</v>
      </c>
      <c r="R866" s="156" t="s">
        <v>46</v>
      </c>
      <c r="S866" s="149" t="s">
        <v>6420</v>
      </c>
      <c r="T866" s="157">
        <v>2</v>
      </c>
      <c r="U866" s="152"/>
      <c r="V866" s="149" t="s">
        <v>7509</v>
      </c>
      <c r="W866" s="158">
        <v>3</v>
      </c>
      <c r="X866" s="152"/>
      <c r="Y866" s="149" t="s">
        <v>6575</v>
      </c>
      <c r="Z866" s="155">
        <v>1</v>
      </c>
      <c r="AA866" s="152"/>
      <c r="AB866" s="154" t="s">
        <v>5824</v>
      </c>
    </row>
    <row r="867" spans="1:28" x14ac:dyDescent="0.2">
      <c r="A867" s="146" t="s">
        <v>7510</v>
      </c>
      <c r="B867" s="147" t="s">
        <v>6130</v>
      </c>
      <c r="C867" s="147" t="s">
        <v>6157</v>
      </c>
      <c r="D867" s="148" t="s">
        <v>6170</v>
      </c>
      <c r="E867" s="149" t="s">
        <v>24274</v>
      </c>
      <c r="F867" s="150">
        <v>4</v>
      </c>
      <c r="G867" s="149" t="s">
        <v>24275</v>
      </c>
      <c r="H867" s="151">
        <v>4</v>
      </c>
      <c r="I867" s="152"/>
      <c r="J867" s="149" t="s">
        <v>24276</v>
      </c>
      <c r="K867" s="151">
        <v>4</v>
      </c>
      <c r="L867" s="152"/>
      <c r="M867" s="149" t="s">
        <v>24274</v>
      </c>
      <c r="N867" s="151">
        <v>4</v>
      </c>
      <c r="O867" s="152"/>
      <c r="P867" s="149" t="s">
        <v>24277</v>
      </c>
      <c r="Q867" s="151">
        <v>4</v>
      </c>
      <c r="R867" s="152"/>
      <c r="S867" s="149" t="s">
        <v>24278</v>
      </c>
      <c r="T867" s="151">
        <v>4</v>
      </c>
      <c r="U867" s="152"/>
      <c r="V867" s="149" t="s">
        <v>24279</v>
      </c>
      <c r="W867" s="151">
        <v>4</v>
      </c>
      <c r="X867" s="152"/>
      <c r="Y867" s="149" t="s">
        <v>24280</v>
      </c>
      <c r="Z867" s="151">
        <v>4</v>
      </c>
      <c r="AA867" s="152"/>
      <c r="AB867" s="154" t="s">
        <v>5827</v>
      </c>
    </row>
    <row r="868" spans="1:28" x14ac:dyDescent="0.2">
      <c r="A868" s="146" t="s">
        <v>5828</v>
      </c>
      <c r="B868" s="147" t="s">
        <v>6130</v>
      </c>
      <c r="C868" s="147" t="s">
        <v>6157</v>
      </c>
      <c r="D868" s="148" t="s">
        <v>6136</v>
      </c>
      <c r="E868" s="149" t="s">
        <v>24281</v>
      </c>
      <c r="F868" s="150">
        <v>4</v>
      </c>
      <c r="G868" s="149" t="s">
        <v>24282</v>
      </c>
      <c r="H868" s="158">
        <v>3</v>
      </c>
      <c r="I868" s="152"/>
      <c r="J868" s="149" t="s">
        <v>24283</v>
      </c>
      <c r="K868" s="151">
        <v>4</v>
      </c>
      <c r="L868" s="152"/>
      <c r="M868" s="149" t="s">
        <v>24281</v>
      </c>
      <c r="N868" s="151">
        <v>4</v>
      </c>
      <c r="O868" s="152"/>
      <c r="P868" s="149" t="s">
        <v>24284</v>
      </c>
      <c r="Q868" s="158">
        <v>3</v>
      </c>
      <c r="R868" s="152"/>
      <c r="S868" s="149" t="s">
        <v>24285</v>
      </c>
      <c r="T868" s="157">
        <v>2</v>
      </c>
      <c r="U868" s="152"/>
      <c r="V868" s="149" t="s">
        <v>24286</v>
      </c>
      <c r="W868" s="158">
        <v>3</v>
      </c>
      <c r="X868" s="152"/>
      <c r="Y868" s="149" t="s">
        <v>24287</v>
      </c>
      <c r="Z868" s="158">
        <v>3</v>
      </c>
      <c r="AA868" s="152"/>
      <c r="AB868" s="154" t="s">
        <v>5829</v>
      </c>
    </row>
    <row r="869" spans="1:28" x14ac:dyDescent="0.2">
      <c r="A869" s="146" t="s">
        <v>5830</v>
      </c>
      <c r="B869" s="147" t="s">
        <v>6130</v>
      </c>
      <c r="C869" s="147" t="s">
        <v>6159</v>
      </c>
      <c r="D869" s="148" t="s">
        <v>6160</v>
      </c>
      <c r="E869" s="149" t="s">
        <v>24288</v>
      </c>
      <c r="F869" s="159">
        <v>3</v>
      </c>
      <c r="G869" s="149" t="s">
        <v>24289</v>
      </c>
      <c r="H869" s="158">
        <v>3</v>
      </c>
      <c r="I869" s="152"/>
      <c r="J869" s="149" t="s">
        <v>24290</v>
      </c>
      <c r="K869" s="158">
        <v>3</v>
      </c>
      <c r="L869" s="152"/>
      <c r="M869" s="149" t="s">
        <v>24288</v>
      </c>
      <c r="N869" s="158">
        <v>3</v>
      </c>
      <c r="O869" s="152"/>
      <c r="P869" s="149" t="s">
        <v>24291</v>
      </c>
      <c r="Q869" s="158">
        <v>3</v>
      </c>
      <c r="R869" s="156" t="s">
        <v>46</v>
      </c>
      <c r="S869" s="149" t="s">
        <v>24292</v>
      </c>
      <c r="T869" s="158">
        <v>3</v>
      </c>
      <c r="U869" s="152"/>
      <c r="V869" s="149" t="s">
        <v>24293</v>
      </c>
      <c r="W869" s="151">
        <v>4</v>
      </c>
      <c r="X869" s="152"/>
      <c r="Y869" s="149" t="s">
        <v>47</v>
      </c>
      <c r="Z869" s="153"/>
      <c r="AA869" s="152"/>
      <c r="AB869" s="154" t="s">
        <v>5831</v>
      </c>
    </row>
    <row r="870" spans="1:28" x14ac:dyDescent="0.2">
      <c r="A870" s="146" t="s">
        <v>7511</v>
      </c>
      <c r="B870" s="147" t="s">
        <v>6130</v>
      </c>
      <c r="C870" s="147" t="s">
        <v>6157</v>
      </c>
      <c r="D870" s="148" t="s">
        <v>6136</v>
      </c>
      <c r="E870" s="149" t="s">
        <v>24294</v>
      </c>
      <c r="F870" s="159">
        <v>3</v>
      </c>
      <c r="G870" s="149" t="s">
        <v>24295</v>
      </c>
      <c r="H870" s="158">
        <v>3</v>
      </c>
      <c r="I870" s="152"/>
      <c r="J870" s="149" t="s">
        <v>24296</v>
      </c>
      <c r="K870" s="151">
        <v>4</v>
      </c>
      <c r="L870" s="156" t="s">
        <v>46</v>
      </c>
      <c r="M870" s="149" t="s">
        <v>24294</v>
      </c>
      <c r="N870" s="158">
        <v>3</v>
      </c>
      <c r="O870" s="152"/>
      <c r="P870" s="149" t="s">
        <v>24297</v>
      </c>
      <c r="Q870" s="158">
        <v>3</v>
      </c>
      <c r="R870" s="152"/>
      <c r="S870" s="149" t="s">
        <v>24298</v>
      </c>
      <c r="T870" s="157">
        <v>2</v>
      </c>
      <c r="U870" s="152"/>
      <c r="V870" s="149" t="s">
        <v>24299</v>
      </c>
      <c r="W870" s="157">
        <v>2</v>
      </c>
      <c r="X870" s="152"/>
      <c r="Y870" s="149" t="s">
        <v>24300</v>
      </c>
      <c r="Z870" s="157">
        <v>2</v>
      </c>
      <c r="AA870" s="152"/>
      <c r="AB870" s="154" t="s">
        <v>5833</v>
      </c>
    </row>
    <row r="871" spans="1:28" x14ac:dyDescent="0.2">
      <c r="A871" s="146" t="s">
        <v>24301</v>
      </c>
      <c r="B871" s="147" t="s">
        <v>6130</v>
      </c>
      <c r="C871" s="147" t="s">
        <v>6157</v>
      </c>
      <c r="D871" s="148" t="s">
        <v>6136</v>
      </c>
      <c r="E871" s="149" t="s">
        <v>24302</v>
      </c>
      <c r="F871" s="150">
        <v>4</v>
      </c>
      <c r="G871" s="149" t="s">
        <v>24303</v>
      </c>
      <c r="H871" s="151">
        <v>4</v>
      </c>
      <c r="I871" s="156" t="s">
        <v>46</v>
      </c>
      <c r="J871" s="149" t="s">
        <v>24304</v>
      </c>
      <c r="K871" s="151">
        <v>4</v>
      </c>
      <c r="L871" s="152"/>
      <c r="M871" s="149" t="s">
        <v>24302</v>
      </c>
      <c r="N871" s="151">
        <v>4</v>
      </c>
      <c r="O871" s="156" t="s">
        <v>46</v>
      </c>
      <c r="P871" s="149" t="s">
        <v>24305</v>
      </c>
      <c r="Q871" s="158">
        <v>3</v>
      </c>
      <c r="R871" s="152"/>
      <c r="S871" s="149" t="s">
        <v>24306</v>
      </c>
      <c r="T871" s="157">
        <v>2</v>
      </c>
      <c r="U871" s="152"/>
      <c r="V871" s="149" t="s">
        <v>24307</v>
      </c>
      <c r="W871" s="158">
        <v>3</v>
      </c>
      <c r="X871" s="152"/>
      <c r="Y871" s="149" t="s">
        <v>24308</v>
      </c>
      <c r="Z871" s="158">
        <v>3</v>
      </c>
      <c r="AA871" s="152"/>
      <c r="AB871" s="154" t="s">
        <v>5836</v>
      </c>
    </row>
    <row r="872" spans="1:28" x14ac:dyDescent="0.2">
      <c r="A872" s="146" t="s">
        <v>5837</v>
      </c>
      <c r="B872" s="147" t="s">
        <v>6130</v>
      </c>
      <c r="C872" s="147" t="s">
        <v>7512</v>
      </c>
      <c r="D872" s="148" t="s">
        <v>6160</v>
      </c>
      <c r="E872" s="149" t="s">
        <v>19744</v>
      </c>
      <c r="F872" s="159">
        <v>3</v>
      </c>
      <c r="G872" s="149" t="s">
        <v>24309</v>
      </c>
      <c r="H872" s="157">
        <v>2</v>
      </c>
      <c r="I872" s="156" t="s">
        <v>40</v>
      </c>
      <c r="J872" s="149" t="s">
        <v>2188</v>
      </c>
      <c r="K872" s="158">
        <v>3</v>
      </c>
      <c r="L872" s="152"/>
      <c r="M872" s="149" t="s">
        <v>19744</v>
      </c>
      <c r="N872" s="158">
        <v>3</v>
      </c>
      <c r="O872" s="152"/>
      <c r="P872" s="149" t="s">
        <v>24310</v>
      </c>
      <c r="Q872" s="158">
        <v>3</v>
      </c>
      <c r="R872" s="156" t="s">
        <v>46</v>
      </c>
      <c r="S872" s="149" t="s">
        <v>24311</v>
      </c>
      <c r="T872" s="157">
        <v>2</v>
      </c>
      <c r="U872" s="152"/>
      <c r="V872" s="149" t="s">
        <v>7188</v>
      </c>
      <c r="W872" s="158">
        <v>3</v>
      </c>
      <c r="X872" s="152"/>
      <c r="Y872" s="149" t="s">
        <v>24312</v>
      </c>
      <c r="Z872" s="158">
        <v>3</v>
      </c>
      <c r="AA872" s="152"/>
      <c r="AB872" s="154" t="s">
        <v>5839</v>
      </c>
    </row>
    <row r="873" spans="1:28" x14ac:dyDescent="0.2">
      <c r="A873" s="146" t="s">
        <v>5840</v>
      </c>
      <c r="B873" s="147" t="s">
        <v>6130</v>
      </c>
      <c r="C873" s="147" t="s">
        <v>6218</v>
      </c>
      <c r="D873" s="148" t="s">
        <v>6160</v>
      </c>
      <c r="E873" s="149" t="s">
        <v>7513</v>
      </c>
      <c r="F873" s="159">
        <v>3</v>
      </c>
      <c r="G873" s="149" t="s">
        <v>24313</v>
      </c>
      <c r="H873" s="151">
        <v>4</v>
      </c>
      <c r="I873" s="156" t="s">
        <v>55</v>
      </c>
      <c r="J873" s="149" t="s">
        <v>24314</v>
      </c>
      <c r="K873" s="157">
        <v>2</v>
      </c>
      <c r="L873" s="156" t="s">
        <v>46</v>
      </c>
      <c r="M873" s="149" t="s">
        <v>7513</v>
      </c>
      <c r="N873" s="158">
        <v>3</v>
      </c>
      <c r="O873" s="156" t="s">
        <v>55</v>
      </c>
      <c r="P873" s="149" t="s">
        <v>24315</v>
      </c>
      <c r="Q873" s="151">
        <v>4</v>
      </c>
      <c r="R873" s="156" t="s">
        <v>46</v>
      </c>
      <c r="S873" s="149" t="s">
        <v>24316</v>
      </c>
      <c r="T873" s="151">
        <v>4</v>
      </c>
      <c r="U873" s="156" t="s">
        <v>46</v>
      </c>
      <c r="V873" s="149" t="s">
        <v>24317</v>
      </c>
      <c r="W873" s="151">
        <v>4</v>
      </c>
      <c r="X873" s="152"/>
      <c r="Y873" s="149" t="s">
        <v>7514</v>
      </c>
      <c r="Z873" s="151">
        <v>4</v>
      </c>
      <c r="AA873" s="156" t="s">
        <v>46</v>
      </c>
      <c r="AB873" s="154" t="s">
        <v>5842</v>
      </c>
    </row>
    <row r="874" spans="1:28" x14ac:dyDescent="0.2">
      <c r="A874" s="146" t="s">
        <v>7515</v>
      </c>
      <c r="B874" s="147" t="s">
        <v>6130</v>
      </c>
      <c r="C874" s="147" t="s">
        <v>6227</v>
      </c>
      <c r="D874" s="148" t="s">
        <v>6160</v>
      </c>
      <c r="E874" s="149" t="s">
        <v>24318</v>
      </c>
      <c r="F874" s="159">
        <v>3</v>
      </c>
      <c r="G874" s="149" t="s">
        <v>24319</v>
      </c>
      <c r="H874" s="155">
        <v>1</v>
      </c>
      <c r="I874" s="156" t="s">
        <v>53</v>
      </c>
      <c r="J874" s="149" t="s">
        <v>24320</v>
      </c>
      <c r="K874" s="158">
        <v>3</v>
      </c>
      <c r="L874" s="152"/>
      <c r="M874" s="149" t="s">
        <v>24318</v>
      </c>
      <c r="N874" s="158">
        <v>3</v>
      </c>
      <c r="O874" s="156" t="s">
        <v>40</v>
      </c>
      <c r="P874" s="149" t="s">
        <v>24321</v>
      </c>
      <c r="Q874" s="157">
        <v>2</v>
      </c>
      <c r="R874" s="152"/>
      <c r="S874" s="149" t="s">
        <v>24322</v>
      </c>
      <c r="T874" s="151">
        <v>4</v>
      </c>
      <c r="U874" s="152"/>
      <c r="V874" s="149" t="s">
        <v>24323</v>
      </c>
      <c r="W874" s="151">
        <v>4</v>
      </c>
      <c r="X874" s="152"/>
      <c r="Y874" s="149" t="s">
        <v>24324</v>
      </c>
      <c r="Z874" s="151">
        <v>4</v>
      </c>
      <c r="AA874" s="152"/>
      <c r="AB874" s="154" t="s">
        <v>5847</v>
      </c>
    </row>
    <row r="875" spans="1:28" x14ac:dyDescent="0.2">
      <c r="A875" s="146" t="s">
        <v>24325</v>
      </c>
      <c r="B875" s="147" t="s">
        <v>6130</v>
      </c>
      <c r="C875" s="147" t="s">
        <v>7019</v>
      </c>
      <c r="D875" s="148" t="s">
        <v>6132</v>
      </c>
      <c r="E875" s="149" t="s">
        <v>18744</v>
      </c>
      <c r="F875" s="160">
        <v>2</v>
      </c>
      <c r="G875" s="149" t="s">
        <v>7516</v>
      </c>
      <c r="H875" s="151">
        <v>4</v>
      </c>
      <c r="I875" s="156" t="s">
        <v>44</v>
      </c>
      <c r="J875" s="149" t="s">
        <v>7517</v>
      </c>
      <c r="K875" s="155">
        <v>1</v>
      </c>
      <c r="L875" s="152"/>
      <c r="M875" s="149" t="s">
        <v>18744</v>
      </c>
      <c r="N875" s="157">
        <v>2</v>
      </c>
      <c r="O875" s="156" t="s">
        <v>46</v>
      </c>
      <c r="P875" s="149" t="s">
        <v>24326</v>
      </c>
      <c r="Q875" s="157">
        <v>2</v>
      </c>
      <c r="R875" s="156" t="s">
        <v>46</v>
      </c>
      <c r="S875" s="149" t="s">
        <v>18794</v>
      </c>
      <c r="T875" s="155">
        <v>1</v>
      </c>
      <c r="U875" s="156" t="s">
        <v>40</v>
      </c>
      <c r="V875" s="149" t="s">
        <v>2081</v>
      </c>
      <c r="W875" s="157">
        <v>2</v>
      </c>
      <c r="X875" s="156" t="s">
        <v>46</v>
      </c>
      <c r="Y875" s="149" t="s">
        <v>8856</v>
      </c>
      <c r="Z875" s="158">
        <v>3</v>
      </c>
      <c r="AA875" s="152"/>
      <c r="AB875" s="154" t="s">
        <v>5849</v>
      </c>
    </row>
    <row r="876" spans="1:28" x14ac:dyDescent="0.2">
      <c r="A876" s="146" t="s">
        <v>24327</v>
      </c>
      <c r="B876" s="147" t="s">
        <v>6130</v>
      </c>
      <c r="C876" s="147" t="s">
        <v>6131</v>
      </c>
      <c r="D876" s="148"/>
      <c r="E876" s="149" t="s">
        <v>24328</v>
      </c>
      <c r="F876" s="161">
        <v>1</v>
      </c>
      <c r="G876" s="149" t="s">
        <v>24329</v>
      </c>
      <c r="H876" s="155">
        <v>1</v>
      </c>
      <c r="I876" s="156" t="s">
        <v>53</v>
      </c>
      <c r="J876" s="149" t="s">
        <v>24330</v>
      </c>
      <c r="K876" s="157">
        <v>2</v>
      </c>
      <c r="L876" s="152"/>
      <c r="M876" s="149" t="s">
        <v>24328</v>
      </c>
      <c r="N876" s="155">
        <v>1</v>
      </c>
      <c r="O876" s="156" t="s">
        <v>40</v>
      </c>
      <c r="P876" s="149" t="s">
        <v>24331</v>
      </c>
      <c r="Q876" s="157">
        <v>2</v>
      </c>
      <c r="R876" s="152"/>
      <c r="S876" s="149" t="s">
        <v>47</v>
      </c>
      <c r="T876" s="153"/>
      <c r="U876" s="152"/>
      <c r="V876" s="149" t="s">
        <v>47</v>
      </c>
      <c r="W876" s="153"/>
      <c r="X876" s="152"/>
      <c r="Y876" s="149" t="s">
        <v>47</v>
      </c>
      <c r="Z876" s="153"/>
      <c r="AA876" s="152"/>
      <c r="AB876" s="154" t="s">
        <v>5851</v>
      </c>
    </row>
    <row r="877" spans="1:28" x14ac:dyDescent="0.2">
      <c r="A877" s="146" t="s">
        <v>24332</v>
      </c>
      <c r="B877" s="147" t="s">
        <v>6130</v>
      </c>
      <c r="C877" s="147" t="s">
        <v>6229</v>
      </c>
      <c r="D877" s="148" t="s">
        <v>6136</v>
      </c>
      <c r="E877" s="149" t="s">
        <v>24333</v>
      </c>
      <c r="F877" s="159">
        <v>3</v>
      </c>
      <c r="G877" s="149" t="s">
        <v>17075</v>
      </c>
      <c r="H877" s="157">
        <v>2</v>
      </c>
      <c r="I877" s="152"/>
      <c r="J877" s="149" t="s">
        <v>24334</v>
      </c>
      <c r="K877" s="157">
        <v>2</v>
      </c>
      <c r="L877" s="156" t="s">
        <v>46</v>
      </c>
      <c r="M877" s="149" t="s">
        <v>24333</v>
      </c>
      <c r="N877" s="158">
        <v>3</v>
      </c>
      <c r="O877" s="152"/>
      <c r="P877" s="149" t="s">
        <v>24335</v>
      </c>
      <c r="Q877" s="158">
        <v>3</v>
      </c>
      <c r="R877" s="156" t="s">
        <v>40</v>
      </c>
      <c r="S877" s="149" t="s">
        <v>24336</v>
      </c>
      <c r="T877" s="157">
        <v>2</v>
      </c>
      <c r="U877" s="152"/>
      <c r="V877" s="149" t="s">
        <v>47</v>
      </c>
      <c r="W877" s="153"/>
      <c r="X877" s="152"/>
      <c r="Y877" s="149" t="s">
        <v>47</v>
      </c>
      <c r="Z877" s="153"/>
      <c r="AA877" s="152"/>
      <c r="AB877" s="154" t="s">
        <v>5877</v>
      </c>
    </row>
    <row r="878" spans="1:28" x14ac:dyDescent="0.2">
      <c r="A878" s="146" t="s">
        <v>24337</v>
      </c>
      <c r="B878" s="147" t="s">
        <v>6130</v>
      </c>
      <c r="C878" s="147" t="s">
        <v>6175</v>
      </c>
      <c r="D878" s="148"/>
      <c r="E878" s="149" t="s">
        <v>24338</v>
      </c>
      <c r="F878" s="159">
        <v>3</v>
      </c>
      <c r="G878" s="149" t="s">
        <v>24339</v>
      </c>
      <c r="H878" s="158">
        <v>3</v>
      </c>
      <c r="I878" s="152"/>
      <c r="J878" s="149" t="s">
        <v>24340</v>
      </c>
      <c r="K878" s="158">
        <v>3</v>
      </c>
      <c r="L878" s="152"/>
      <c r="M878" s="149" t="s">
        <v>24338</v>
      </c>
      <c r="N878" s="158">
        <v>3</v>
      </c>
      <c r="O878" s="152"/>
      <c r="P878" s="149" t="s">
        <v>12653</v>
      </c>
      <c r="Q878" s="158">
        <v>3</v>
      </c>
      <c r="R878" s="152"/>
      <c r="S878" s="149" t="s">
        <v>24341</v>
      </c>
      <c r="T878" s="158">
        <v>3</v>
      </c>
      <c r="U878" s="152"/>
      <c r="V878" s="149" t="s">
        <v>24342</v>
      </c>
      <c r="W878" s="151">
        <v>4</v>
      </c>
      <c r="X878" s="152"/>
      <c r="Y878" s="149" t="s">
        <v>24343</v>
      </c>
      <c r="Z878" s="151">
        <v>4</v>
      </c>
      <c r="AA878" s="152"/>
      <c r="AB878" s="154" t="s">
        <v>5880</v>
      </c>
    </row>
    <row r="879" spans="1:28" x14ac:dyDescent="0.2">
      <c r="A879" s="146" t="s">
        <v>24344</v>
      </c>
      <c r="B879" s="147" t="s">
        <v>6130</v>
      </c>
      <c r="C879" s="147" t="s">
        <v>6175</v>
      </c>
      <c r="D879" s="148"/>
      <c r="E879" s="149" t="s">
        <v>24345</v>
      </c>
      <c r="F879" s="160">
        <v>2</v>
      </c>
      <c r="G879" s="149" t="s">
        <v>24346</v>
      </c>
      <c r="H879" s="157">
        <v>2</v>
      </c>
      <c r="I879" s="152"/>
      <c r="J879" s="149" t="s">
        <v>24347</v>
      </c>
      <c r="K879" s="157">
        <v>2</v>
      </c>
      <c r="L879" s="152"/>
      <c r="M879" s="149" t="s">
        <v>24345</v>
      </c>
      <c r="N879" s="157">
        <v>2</v>
      </c>
      <c r="O879" s="152"/>
      <c r="P879" s="149" t="s">
        <v>19892</v>
      </c>
      <c r="Q879" s="157">
        <v>2</v>
      </c>
      <c r="R879" s="152"/>
      <c r="S879" s="149" t="s">
        <v>24348</v>
      </c>
      <c r="T879" s="157">
        <v>2</v>
      </c>
      <c r="U879" s="152"/>
      <c r="V879" s="149" t="s">
        <v>24349</v>
      </c>
      <c r="W879" s="157">
        <v>2</v>
      </c>
      <c r="X879" s="156" t="s">
        <v>40</v>
      </c>
      <c r="Y879" s="149" t="s">
        <v>24350</v>
      </c>
      <c r="Z879" s="157">
        <v>2</v>
      </c>
      <c r="AA879" s="152"/>
      <c r="AB879" s="154" t="s">
        <v>5884</v>
      </c>
    </row>
    <row r="880" spans="1:28" x14ac:dyDescent="0.2">
      <c r="A880" s="146" t="s">
        <v>7518</v>
      </c>
      <c r="B880" s="147" t="s">
        <v>6314</v>
      </c>
      <c r="C880" s="147" t="s">
        <v>6673</v>
      </c>
      <c r="D880" s="148"/>
      <c r="E880" s="149" t="s">
        <v>24351</v>
      </c>
      <c r="F880" s="161">
        <v>1</v>
      </c>
      <c r="G880" s="149" t="s">
        <v>24352</v>
      </c>
      <c r="H880" s="155">
        <v>1</v>
      </c>
      <c r="I880" s="152"/>
      <c r="J880" s="149" t="s">
        <v>7519</v>
      </c>
      <c r="K880" s="155">
        <v>1</v>
      </c>
      <c r="L880" s="152"/>
      <c r="M880" s="149" t="s">
        <v>24351</v>
      </c>
      <c r="N880" s="155">
        <v>1</v>
      </c>
      <c r="O880" s="152"/>
      <c r="P880" s="149" t="s">
        <v>24353</v>
      </c>
      <c r="Q880" s="155">
        <v>1</v>
      </c>
      <c r="R880" s="152"/>
      <c r="S880" s="149" t="s">
        <v>24354</v>
      </c>
      <c r="T880" s="155">
        <v>1</v>
      </c>
      <c r="U880" s="152"/>
      <c r="V880" s="149" t="s">
        <v>7520</v>
      </c>
      <c r="W880" s="157">
        <v>2</v>
      </c>
      <c r="X880" s="152"/>
      <c r="Y880" s="149" t="s">
        <v>7521</v>
      </c>
      <c r="Z880" s="155">
        <v>1</v>
      </c>
      <c r="AA880" s="152"/>
      <c r="AB880" s="154" t="s">
        <v>5887</v>
      </c>
    </row>
    <row r="881" spans="1:28" x14ac:dyDescent="0.2">
      <c r="A881" s="146" t="s">
        <v>24355</v>
      </c>
      <c r="B881" s="147" t="s">
        <v>6130</v>
      </c>
      <c r="C881" s="147" t="s">
        <v>6175</v>
      </c>
      <c r="D881" s="148"/>
      <c r="E881" s="149" t="s">
        <v>24356</v>
      </c>
      <c r="F881" s="159">
        <v>3</v>
      </c>
      <c r="G881" s="149" t="s">
        <v>24357</v>
      </c>
      <c r="H881" s="158">
        <v>3</v>
      </c>
      <c r="I881" s="152"/>
      <c r="J881" s="149" t="s">
        <v>24358</v>
      </c>
      <c r="K881" s="158">
        <v>3</v>
      </c>
      <c r="L881" s="152"/>
      <c r="M881" s="149" t="s">
        <v>24356</v>
      </c>
      <c r="N881" s="158">
        <v>3</v>
      </c>
      <c r="O881" s="152"/>
      <c r="P881" s="149" t="s">
        <v>24359</v>
      </c>
      <c r="Q881" s="158">
        <v>3</v>
      </c>
      <c r="R881" s="152"/>
      <c r="S881" s="149" t="s">
        <v>24360</v>
      </c>
      <c r="T881" s="158">
        <v>3</v>
      </c>
      <c r="U881" s="152"/>
      <c r="V881" s="149" t="s">
        <v>24361</v>
      </c>
      <c r="W881" s="158">
        <v>3</v>
      </c>
      <c r="X881" s="152"/>
      <c r="Y881" s="149" t="s">
        <v>24362</v>
      </c>
      <c r="Z881" s="157">
        <v>2</v>
      </c>
      <c r="AA881" s="152"/>
      <c r="AB881" s="154" t="s">
        <v>5893</v>
      </c>
    </row>
    <row r="882" spans="1:28" x14ac:dyDescent="0.2">
      <c r="A882" s="146" t="s">
        <v>24363</v>
      </c>
      <c r="B882" s="147" t="s">
        <v>6130</v>
      </c>
      <c r="C882" s="147" t="s">
        <v>6175</v>
      </c>
      <c r="D882" s="148"/>
      <c r="E882" s="149" t="s">
        <v>24364</v>
      </c>
      <c r="F882" s="150">
        <v>4</v>
      </c>
      <c r="G882" s="149" t="s">
        <v>24365</v>
      </c>
      <c r="H882" s="158">
        <v>3</v>
      </c>
      <c r="I882" s="156" t="s">
        <v>40</v>
      </c>
      <c r="J882" s="149" t="s">
        <v>24366</v>
      </c>
      <c r="K882" s="151">
        <v>4</v>
      </c>
      <c r="L882" s="152"/>
      <c r="M882" s="149" t="s">
        <v>24364</v>
      </c>
      <c r="N882" s="151">
        <v>4</v>
      </c>
      <c r="O882" s="152"/>
      <c r="P882" s="149" t="s">
        <v>24367</v>
      </c>
      <c r="Q882" s="151">
        <v>4</v>
      </c>
      <c r="R882" s="152"/>
      <c r="S882" s="149" t="s">
        <v>24368</v>
      </c>
      <c r="T882" s="151">
        <v>4</v>
      </c>
      <c r="U882" s="152"/>
      <c r="V882" s="149" t="s">
        <v>24369</v>
      </c>
      <c r="W882" s="151">
        <v>4</v>
      </c>
      <c r="X882" s="152"/>
      <c r="Y882" s="149" t="s">
        <v>19942</v>
      </c>
      <c r="Z882" s="151">
        <v>4</v>
      </c>
      <c r="AA882" s="152"/>
      <c r="AB882" s="154" t="s">
        <v>5901</v>
      </c>
    </row>
    <row r="883" spans="1:28" x14ac:dyDescent="0.2">
      <c r="A883" s="146" t="s">
        <v>7522</v>
      </c>
      <c r="B883" s="147" t="s">
        <v>6130</v>
      </c>
      <c r="C883" s="147" t="s">
        <v>6175</v>
      </c>
      <c r="D883" s="148"/>
      <c r="E883" s="149" t="s">
        <v>24370</v>
      </c>
      <c r="F883" s="160">
        <v>2</v>
      </c>
      <c r="G883" s="149" t="s">
        <v>24371</v>
      </c>
      <c r="H883" s="155">
        <v>1</v>
      </c>
      <c r="I883" s="156" t="s">
        <v>40</v>
      </c>
      <c r="J883" s="149" t="s">
        <v>24372</v>
      </c>
      <c r="K883" s="157">
        <v>2</v>
      </c>
      <c r="L883" s="152"/>
      <c r="M883" s="149" t="s">
        <v>24370</v>
      </c>
      <c r="N883" s="157">
        <v>2</v>
      </c>
      <c r="O883" s="152"/>
      <c r="P883" s="149" t="s">
        <v>24373</v>
      </c>
      <c r="Q883" s="157">
        <v>2</v>
      </c>
      <c r="R883" s="152"/>
      <c r="S883" s="149" t="s">
        <v>24374</v>
      </c>
      <c r="T883" s="155">
        <v>1</v>
      </c>
      <c r="U883" s="152"/>
      <c r="V883" s="149" t="s">
        <v>24375</v>
      </c>
      <c r="W883" s="157">
        <v>2</v>
      </c>
      <c r="X883" s="152"/>
      <c r="Y883" s="149" t="s">
        <v>4393</v>
      </c>
      <c r="Z883" s="157">
        <v>2</v>
      </c>
      <c r="AA883" s="152"/>
      <c r="AB883" s="154" t="s">
        <v>5907</v>
      </c>
    </row>
    <row r="884" spans="1:28" x14ac:dyDescent="0.2">
      <c r="A884" s="146" t="s">
        <v>5914</v>
      </c>
      <c r="B884" s="147" t="s">
        <v>6130</v>
      </c>
      <c r="C884" s="147" t="s">
        <v>6249</v>
      </c>
      <c r="D884" s="148" t="s">
        <v>6170</v>
      </c>
      <c r="E884" s="149" t="s">
        <v>12910</v>
      </c>
      <c r="F884" s="159">
        <v>3</v>
      </c>
      <c r="G884" s="149" t="s">
        <v>24376</v>
      </c>
      <c r="H884" s="157">
        <v>2</v>
      </c>
      <c r="I884" s="156" t="s">
        <v>46</v>
      </c>
      <c r="J884" s="149" t="s">
        <v>24377</v>
      </c>
      <c r="K884" s="157">
        <v>2</v>
      </c>
      <c r="L884" s="156" t="s">
        <v>40</v>
      </c>
      <c r="M884" s="149" t="s">
        <v>12910</v>
      </c>
      <c r="N884" s="158">
        <v>3</v>
      </c>
      <c r="O884" s="152"/>
      <c r="P884" s="149" t="s">
        <v>24378</v>
      </c>
      <c r="Q884" s="158">
        <v>3</v>
      </c>
      <c r="R884" s="152"/>
      <c r="S884" s="149" t="s">
        <v>7523</v>
      </c>
      <c r="T884" s="151">
        <v>4</v>
      </c>
      <c r="U884" s="152"/>
      <c r="V884" s="149" t="s">
        <v>3982</v>
      </c>
      <c r="W884" s="158">
        <v>3</v>
      </c>
      <c r="X884" s="152"/>
      <c r="Y884" s="149" t="s">
        <v>24379</v>
      </c>
      <c r="Z884" s="157">
        <v>2</v>
      </c>
      <c r="AA884" s="152"/>
      <c r="AB884" s="154" t="s">
        <v>5915</v>
      </c>
    </row>
    <row r="885" spans="1:28" x14ac:dyDescent="0.2">
      <c r="A885" s="146" t="s">
        <v>5916</v>
      </c>
      <c r="B885" s="147" t="s">
        <v>6130</v>
      </c>
      <c r="C885" s="147" t="s">
        <v>6254</v>
      </c>
      <c r="D885" s="148" t="s">
        <v>6132</v>
      </c>
      <c r="E885" s="149" t="s">
        <v>10089</v>
      </c>
      <c r="F885" s="161">
        <v>1</v>
      </c>
      <c r="G885" s="149" t="s">
        <v>24380</v>
      </c>
      <c r="H885" s="155">
        <v>1</v>
      </c>
      <c r="I885" s="156" t="s">
        <v>40</v>
      </c>
      <c r="J885" s="149" t="s">
        <v>20805</v>
      </c>
      <c r="K885" s="155">
        <v>1</v>
      </c>
      <c r="L885" s="152"/>
      <c r="M885" s="149" t="s">
        <v>10089</v>
      </c>
      <c r="N885" s="155">
        <v>1</v>
      </c>
      <c r="O885" s="156" t="s">
        <v>40</v>
      </c>
      <c r="P885" s="149" t="s">
        <v>24381</v>
      </c>
      <c r="Q885" s="157">
        <v>2</v>
      </c>
      <c r="R885" s="152"/>
      <c r="S885" s="149" t="s">
        <v>17626</v>
      </c>
      <c r="T885" s="157">
        <v>2</v>
      </c>
      <c r="U885" s="152"/>
      <c r="V885" s="149" t="s">
        <v>2559</v>
      </c>
      <c r="W885" s="157">
        <v>2</v>
      </c>
      <c r="X885" s="152"/>
      <c r="Y885" s="149" t="s">
        <v>19406</v>
      </c>
      <c r="Z885" s="155">
        <v>1</v>
      </c>
      <c r="AA885" s="152"/>
      <c r="AB885" s="154" t="s">
        <v>5917</v>
      </c>
    </row>
    <row r="886" spans="1:28" x14ac:dyDescent="0.2">
      <c r="A886" s="146" t="s">
        <v>5920</v>
      </c>
      <c r="B886" s="147" t="s">
        <v>6130</v>
      </c>
      <c r="C886" s="147" t="s">
        <v>6259</v>
      </c>
      <c r="D886" s="148" t="s">
        <v>6160</v>
      </c>
      <c r="E886" s="149" t="s">
        <v>24382</v>
      </c>
      <c r="F886" s="161">
        <v>1</v>
      </c>
      <c r="G886" s="149" t="s">
        <v>24383</v>
      </c>
      <c r="H886" s="155">
        <v>1</v>
      </c>
      <c r="I886" s="156" t="s">
        <v>40</v>
      </c>
      <c r="J886" s="149" t="s">
        <v>7524</v>
      </c>
      <c r="K886" s="155">
        <v>1</v>
      </c>
      <c r="L886" s="152"/>
      <c r="M886" s="149" t="s">
        <v>24382</v>
      </c>
      <c r="N886" s="155">
        <v>1</v>
      </c>
      <c r="O886" s="156" t="s">
        <v>40</v>
      </c>
      <c r="P886" s="149" t="s">
        <v>24384</v>
      </c>
      <c r="Q886" s="157">
        <v>2</v>
      </c>
      <c r="R886" s="152"/>
      <c r="S886" s="149" t="s">
        <v>24385</v>
      </c>
      <c r="T886" s="158">
        <v>3</v>
      </c>
      <c r="U886" s="156" t="s">
        <v>40</v>
      </c>
      <c r="V886" s="149" t="s">
        <v>9817</v>
      </c>
      <c r="W886" s="151">
        <v>4</v>
      </c>
      <c r="X886" s="152"/>
      <c r="Y886" s="149" t="s">
        <v>24386</v>
      </c>
      <c r="Z886" s="151">
        <v>4</v>
      </c>
      <c r="AA886" s="152"/>
      <c r="AB886" s="154" t="s">
        <v>5921</v>
      </c>
    </row>
    <row r="887" spans="1:28" x14ac:dyDescent="0.2">
      <c r="A887" s="146" t="s">
        <v>5922</v>
      </c>
      <c r="B887" s="147" t="s">
        <v>6130</v>
      </c>
      <c r="C887" s="147" t="s">
        <v>6328</v>
      </c>
      <c r="D887" s="148" t="s">
        <v>6136</v>
      </c>
      <c r="E887" s="149" t="s">
        <v>24387</v>
      </c>
      <c r="F887" s="159">
        <v>3</v>
      </c>
      <c r="G887" s="149" t="s">
        <v>24388</v>
      </c>
      <c r="H887" s="155">
        <v>1</v>
      </c>
      <c r="I887" s="156" t="s">
        <v>40</v>
      </c>
      <c r="J887" s="149" t="s">
        <v>24389</v>
      </c>
      <c r="K887" s="155">
        <v>1</v>
      </c>
      <c r="L887" s="156" t="s">
        <v>53</v>
      </c>
      <c r="M887" s="149" t="s">
        <v>24387</v>
      </c>
      <c r="N887" s="158">
        <v>3</v>
      </c>
      <c r="O887" s="152"/>
      <c r="P887" s="149" t="s">
        <v>24390</v>
      </c>
      <c r="Q887" s="151">
        <v>4</v>
      </c>
      <c r="R887" s="152"/>
      <c r="S887" s="149" t="s">
        <v>24391</v>
      </c>
      <c r="T887" s="157">
        <v>2</v>
      </c>
      <c r="U887" s="152"/>
      <c r="V887" s="149" t="s">
        <v>12340</v>
      </c>
      <c r="W887" s="157">
        <v>2</v>
      </c>
      <c r="X887" s="152"/>
      <c r="Y887" s="149" t="s">
        <v>47</v>
      </c>
      <c r="Z887" s="153"/>
      <c r="AA887" s="152"/>
      <c r="AB887" s="154" t="s">
        <v>5923</v>
      </c>
    </row>
    <row r="888" spans="1:28" x14ac:dyDescent="0.2">
      <c r="A888" s="146" t="s">
        <v>7525</v>
      </c>
      <c r="B888" s="147" t="s">
        <v>6130</v>
      </c>
      <c r="C888" s="147" t="s">
        <v>6653</v>
      </c>
      <c r="D888" s="148" t="s">
        <v>6136</v>
      </c>
      <c r="E888" s="149" t="s">
        <v>24392</v>
      </c>
      <c r="F888" s="161">
        <v>1</v>
      </c>
      <c r="G888" s="149" t="s">
        <v>24393</v>
      </c>
      <c r="H888" s="155">
        <v>1</v>
      </c>
      <c r="I888" s="152"/>
      <c r="J888" s="149" t="s">
        <v>24394</v>
      </c>
      <c r="K888" s="155">
        <v>1</v>
      </c>
      <c r="L888" s="152"/>
      <c r="M888" s="149" t="s">
        <v>24392</v>
      </c>
      <c r="N888" s="155">
        <v>1</v>
      </c>
      <c r="O888" s="152"/>
      <c r="P888" s="149" t="s">
        <v>24395</v>
      </c>
      <c r="Q888" s="157">
        <v>2</v>
      </c>
      <c r="R888" s="156" t="s">
        <v>40</v>
      </c>
      <c r="S888" s="149" t="s">
        <v>24396</v>
      </c>
      <c r="T888" s="157">
        <v>2</v>
      </c>
      <c r="U888" s="152"/>
      <c r="V888" s="149" t="s">
        <v>13193</v>
      </c>
      <c r="W888" s="157">
        <v>2</v>
      </c>
      <c r="X888" s="152"/>
      <c r="Y888" s="149" t="s">
        <v>7526</v>
      </c>
      <c r="Z888" s="151">
        <v>4</v>
      </c>
      <c r="AA888" s="152"/>
      <c r="AB888" s="154" t="s">
        <v>5929</v>
      </c>
    </row>
    <row r="889" spans="1:28" x14ac:dyDescent="0.2">
      <c r="A889" s="146" t="s">
        <v>24397</v>
      </c>
      <c r="B889" s="147" t="s">
        <v>6130</v>
      </c>
      <c r="C889" s="147" t="s">
        <v>6300</v>
      </c>
      <c r="D889" s="148" t="s">
        <v>6170</v>
      </c>
      <c r="E889" s="149" t="s">
        <v>24398</v>
      </c>
      <c r="F889" s="150">
        <v>4</v>
      </c>
      <c r="G889" s="149" t="s">
        <v>1163</v>
      </c>
      <c r="H889" s="155">
        <v>1</v>
      </c>
      <c r="I889" s="156" t="s">
        <v>157</v>
      </c>
      <c r="J889" s="149" t="s">
        <v>24399</v>
      </c>
      <c r="K889" s="151">
        <v>4</v>
      </c>
      <c r="L889" s="152"/>
      <c r="M889" s="149" t="s">
        <v>24398</v>
      </c>
      <c r="N889" s="151">
        <v>4</v>
      </c>
      <c r="O889" s="152"/>
      <c r="P889" s="149" t="s">
        <v>7527</v>
      </c>
      <c r="Q889" s="155">
        <v>1</v>
      </c>
      <c r="R889" s="156" t="s">
        <v>157</v>
      </c>
      <c r="S889" s="149" t="s">
        <v>7528</v>
      </c>
      <c r="T889" s="151">
        <v>4</v>
      </c>
      <c r="U889" s="152"/>
      <c r="V889" s="149" t="s">
        <v>6960</v>
      </c>
      <c r="W889" s="158">
        <v>3</v>
      </c>
      <c r="X889" s="152"/>
      <c r="Y889" s="149" t="s">
        <v>7529</v>
      </c>
      <c r="Z889" s="151">
        <v>4</v>
      </c>
      <c r="AA889" s="152"/>
      <c r="AB889" s="154" t="s">
        <v>5934</v>
      </c>
    </row>
    <row r="890" spans="1:28" x14ac:dyDescent="0.2">
      <c r="A890" s="146" t="s">
        <v>7530</v>
      </c>
      <c r="B890" s="147" t="s">
        <v>6130</v>
      </c>
      <c r="C890" s="147" t="s">
        <v>6277</v>
      </c>
      <c r="D890" s="148" t="s">
        <v>6132</v>
      </c>
      <c r="E890" s="149" t="s">
        <v>24400</v>
      </c>
      <c r="F890" s="159">
        <v>3</v>
      </c>
      <c r="G890" s="149" t="s">
        <v>24401</v>
      </c>
      <c r="H890" s="157">
        <v>2</v>
      </c>
      <c r="I890" s="156" t="s">
        <v>40</v>
      </c>
      <c r="J890" s="149" t="s">
        <v>24402</v>
      </c>
      <c r="K890" s="158">
        <v>3</v>
      </c>
      <c r="L890" s="152"/>
      <c r="M890" s="149" t="s">
        <v>24400</v>
      </c>
      <c r="N890" s="158">
        <v>3</v>
      </c>
      <c r="O890" s="152"/>
      <c r="P890" s="149" t="s">
        <v>24403</v>
      </c>
      <c r="Q890" s="158">
        <v>3</v>
      </c>
      <c r="R890" s="152"/>
      <c r="S890" s="149" t="s">
        <v>24404</v>
      </c>
      <c r="T890" s="155">
        <v>1</v>
      </c>
      <c r="U890" s="152"/>
      <c r="V890" s="149" t="s">
        <v>24405</v>
      </c>
      <c r="W890" s="155">
        <v>1</v>
      </c>
      <c r="X890" s="152"/>
      <c r="Y890" s="149" t="s">
        <v>24406</v>
      </c>
      <c r="Z890" s="157">
        <v>2</v>
      </c>
      <c r="AA890" s="152"/>
      <c r="AB890" s="154" t="s">
        <v>5936</v>
      </c>
    </row>
    <row r="891" spans="1:28" x14ac:dyDescent="0.2">
      <c r="A891" s="146" t="s">
        <v>5937</v>
      </c>
      <c r="B891" s="147" t="s">
        <v>6130</v>
      </c>
      <c r="C891" s="147" t="s">
        <v>6894</v>
      </c>
      <c r="D891" s="148" t="s">
        <v>6132</v>
      </c>
      <c r="E891" s="149" t="s">
        <v>24407</v>
      </c>
      <c r="F891" s="150">
        <v>4</v>
      </c>
      <c r="G891" s="149" t="s">
        <v>7531</v>
      </c>
      <c r="H891" s="157">
        <v>2</v>
      </c>
      <c r="I891" s="152"/>
      <c r="J891" s="149" t="s">
        <v>7532</v>
      </c>
      <c r="K891" s="157">
        <v>2</v>
      </c>
      <c r="L891" s="156" t="s">
        <v>53</v>
      </c>
      <c r="M891" s="149" t="s">
        <v>24407</v>
      </c>
      <c r="N891" s="151">
        <v>4</v>
      </c>
      <c r="O891" s="156" t="s">
        <v>46</v>
      </c>
      <c r="P891" s="149" t="s">
        <v>20711</v>
      </c>
      <c r="Q891" s="151">
        <v>4</v>
      </c>
      <c r="R891" s="152"/>
      <c r="S891" s="149" t="s">
        <v>7533</v>
      </c>
      <c r="T891" s="157">
        <v>2</v>
      </c>
      <c r="U891" s="152"/>
      <c r="V891" s="149" t="s">
        <v>24408</v>
      </c>
      <c r="W891" s="155">
        <v>1</v>
      </c>
      <c r="X891" s="152"/>
      <c r="Y891" s="149" t="s">
        <v>24409</v>
      </c>
      <c r="Z891" s="155">
        <v>1</v>
      </c>
      <c r="AA891" s="152"/>
      <c r="AB891" s="154" t="s">
        <v>5938</v>
      </c>
    </row>
    <row r="892" spans="1:28" x14ac:dyDescent="0.2">
      <c r="A892" s="146" t="s">
        <v>7534</v>
      </c>
      <c r="B892" s="147" t="s">
        <v>6130</v>
      </c>
      <c r="C892" s="147" t="s">
        <v>6894</v>
      </c>
      <c r="D892" s="148"/>
      <c r="E892" s="149" t="s">
        <v>7535</v>
      </c>
      <c r="F892" s="160">
        <v>2</v>
      </c>
      <c r="G892" s="149" t="s">
        <v>24410</v>
      </c>
      <c r="H892" s="157">
        <v>2</v>
      </c>
      <c r="I892" s="156" t="s">
        <v>40</v>
      </c>
      <c r="J892" s="149" t="s">
        <v>24411</v>
      </c>
      <c r="K892" s="157">
        <v>2</v>
      </c>
      <c r="L892" s="156" t="s">
        <v>40</v>
      </c>
      <c r="M892" s="149" t="s">
        <v>7535</v>
      </c>
      <c r="N892" s="157">
        <v>2</v>
      </c>
      <c r="O892" s="152"/>
      <c r="P892" s="149" t="s">
        <v>22425</v>
      </c>
      <c r="Q892" s="157">
        <v>2</v>
      </c>
      <c r="R892" s="152"/>
      <c r="S892" s="149" t="s">
        <v>9615</v>
      </c>
      <c r="T892" s="157">
        <v>2</v>
      </c>
      <c r="U892" s="152"/>
      <c r="V892" s="149" t="s">
        <v>24412</v>
      </c>
      <c r="W892" s="157">
        <v>2</v>
      </c>
      <c r="X892" s="156" t="s">
        <v>46</v>
      </c>
      <c r="Y892" s="149" t="s">
        <v>6256</v>
      </c>
      <c r="Z892" s="155">
        <v>1</v>
      </c>
      <c r="AA892" s="152"/>
      <c r="AB892" s="154" t="s">
        <v>5942</v>
      </c>
    </row>
    <row r="893" spans="1:28" x14ac:dyDescent="0.2">
      <c r="A893" s="146" t="s">
        <v>5949</v>
      </c>
      <c r="B893" s="147" t="s">
        <v>6130</v>
      </c>
      <c r="C893" s="147" t="s">
        <v>6583</v>
      </c>
      <c r="D893" s="148" t="s">
        <v>6132</v>
      </c>
      <c r="E893" s="149" t="s">
        <v>24413</v>
      </c>
      <c r="F893" s="160">
        <v>2</v>
      </c>
      <c r="G893" s="149" t="s">
        <v>24414</v>
      </c>
      <c r="H893" s="155">
        <v>1</v>
      </c>
      <c r="I893" s="156" t="s">
        <v>40</v>
      </c>
      <c r="J893" s="149" t="s">
        <v>24415</v>
      </c>
      <c r="K893" s="155">
        <v>1</v>
      </c>
      <c r="L893" s="156" t="s">
        <v>40</v>
      </c>
      <c r="M893" s="149" t="s">
        <v>24413</v>
      </c>
      <c r="N893" s="157">
        <v>2</v>
      </c>
      <c r="O893" s="152"/>
      <c r="P893" s="149" t="s">
        <v>24416</v>
      </c>
      <c r="Q893" s="158">
        <v>3</v>
      </c>
      <c r="R893" s="156" t="s">
        <v>46</v>
      </c>
      <c r="S893" s="149" t="s">
        <v>24417</v>
      </c>
      <c r="T893" s="155">
        <v>1</v>
      </c>
      <c r="U893" s="152"/>
      <c r="V893" s="149" t="s">
        <v>24418</v>
      </c>
      <c r="W893" s="155">
        <v>1</v>
      </c>
      <c r="X893" s="152"/>
      <c r="Y893" s="149" t="s">
        <v>24419</v>
      </c>
      <c r="Z893" s="157">
        <v>2</v>
      </c>
      <c r="AA893" s="152"/>
      <c r="AB893" s="154" t="s">
        <v>5950</v>
      </c>
    </row>
    <row r="894" spans="1:28" x14ac:dyDescent="0.2">
      <c r="A894" s="146" t="s">
        <v>7536</v>
      </c>
      <c r="B894" s="147" t="s">
        <v>6130</v>
      </c>
      <c r="C894" s="147" t="s">
        <v>6192</v>
      </c>
      <c r="D894" s="148" t="s">
        <v>6160</v>
      </c>
      <c r="E894" s="149" t="s">
        <v>24420</v>
      </c>
      <c r="F894" s="159">
        <v>3</v>
      </c>
      <c r="G894" s="149" t="s">
        <v>24421</v>
      </c>
      <c r="H894" s="157">
        <v>2</v>
      </c>
      <c r="I894" s="152"/>
      <c r="J894" s="149" t="s">
        <v>24422</v>
      </c>
      <c r="K894" s="157">
        <v>2</v>
      </c>
      <c r="L894" s="156" t="s">
        <v>40</v>
      </c>
      <c r="M894" s="149" t="s">
        <v>24420</v>
      </c>
      <c r="N894" s="158">
        <v>3</v>
      </c>
      <c r="O894" s="152"/>
      <c r="P894" s="149" t="s">
        <v>24423</v>
      </c>
      <c r="Q894" s="151">
        <v>4</v>
      </c>
      <c r="R894" s="152"/>
      <c r="S894" s="149" t="s">
        <v>24424</v>
      </c>
      <c r="T894" s="151">
        <v>4</v>
      </c>
      <c r="U894" s="152"/>
      <c r="V894" s="149" t="s">
        <v>47</v>
      </c>
      <c r="W894" s="153"/>
      <c r="X894" s="152"/>
      <c r="Y894" s="149" t="s">
        <v>47</v>
      </c>
      <c r="Z894" s="153"/>
      <c r="AA894" s="152"/>
      <c r="AB894" s="154" t="s">
        <v>5952</v>
      </c>
    </row>
    <row r="895" spans="1:28" x14ac:dyDescent="0.2">
      <c r="A895" s="146" t="s">
        <v>7537</v>
      </c>
      <c r="B895" s="147" t="s">
        <v>6130</v>
      </c>
      <c r="C895" s="147" t="s">
        <v>6192</v>
      </c>
      <c r="D895" s="148"/>
      <c r="E895" s="149" t="s">
        <v>24425</v>
      </c>
      <c r="F895" s="159">
        <v>3</v>
      </c>
      <c r="G895" s="149" t="s">
        <v>24426</v>
      </c>
      <c r="H895" s="157">
        <v>2</v>
      </c>
      <c r="I895" s="152"/>
      <c r="J895" s="149" t="s">
        <v>24427</v>
      </c>
      <c r="K895" s="157">
        <v>2</v>
      </c>
      <c r="L895" s="152"/>
      <c r="M895" s="149" t="s">
        <v>24425</v>
      </c>
      <c r="N895" s="158">
        <v>3</v>
      </c>
      <c r="O895" s="152"/>
      <c r="P895" s="149" t="s">
        <v>24428</v>
      </c>
      <c r="Q895" s="151">
        <v>4</v>
      </c>
      <c r="R895" s="152"/>
      <c r="S895" s="149" t="s">
        <v>47</v>
      </c>
      <c r="T895" s="153"/>
      <c r="U895" s="152"/>
      <c r="V895" s="149" t="s">
        <v>47</v>
      </c>
      <c r="W895" s="153"/>
      <c r="X895" s="152"/>
      <c r="Y895" s="149" t="s">
        <v>47</v>
      </c>
      <c r="Z895" s="153"/>
      <c r="AA895" s="152"/>
      <c r="AB895" s="154" t="s">
        <v>5954</v>
      </c>
    </row>
    <row r="896" spans="1:28" x14ac:dyDescent="0.2">
      <c r="A896" s="146" t="s">
        <v>5955</v>
      </c>
      <c r="B896" s="147" t="s">
        <v>6130</v>
      </c>
      <c r="C896" s="147" t="s">
        <v>7075</v>
      </c>
      <c r="D896" s="148"/>
      <c r="E896" s="149" t="s">
        <v>7538</v>
      </c>
      <c r="F896" s="150">
        <v>4</v>
      </c>
      <c r="G896" s="149" t="s">
        <v>6609</v>
      </c>
      <c r="H896" s="158">
        <v>3</v>
      </c>
      <c r="I896" s="156" t="s">
        <v>40</v>
      </c>
      <c r="J896" s="149" t="s">
        <v>7539</v>
      </c>
      <c r="K896" s="151">
        <v>4</v>
      </c>
      <c r="L896" s="152"/>
      <c r="M896" s="149" t="s">
        <v>7538</v>
      </c>
      <c r="N896" s="151">
        <v>4</v>
      </c>
      <c r="O896" s="152"/>
      <c r="P896" s="149" t="s">
        <v>12435</v>
      </c>
      <c r="Q896" s="151">
        <v>4</v>
      </c>
      <c r="R896" s="152"/>
      <c r="S896" s="149" t="s">
        <v>7540</v>
      </c>
      <c r="T896" s="151">
        <v>4</v>
      </c>
      <c r="U896" s="152"/>
      <c r="V896" s="149" t="s">
        <v>21065</v>
      </c>
      <c r="W896" s="151">
        <v>4</v>
      </c>
      <c r="X896" s="152"/>
      <c r="Y896" s="149" t="s">
        <v>6690</v>
      </c>
      <c r="Z896" s="151">
        <v>4</v>
      </c>
      <c r="AA896" s="152"/>
      <c r="AB896" s="154" t="s">
        <v>5958</v>
      </c>
    </row>
    <row r="897" spans="1:28" x14ac:dyDescent="0.2">
      <c r="A897" s="146" t="s">
        <v>24429</v>
      </c>
      <c r="B897" s="147" t="s">
        <v>6130</v>
      </c>
      <c r="C897" s="147" t="s">
        <v>6747</v>
      </c>
      <c r="D897" s="148"/>
      <c r="E897" s="149" t="s">
        <v>23269</v>
      </c>
      <c r="F897" s="159">
        <v>3</v>
      </c>
      <c r="G897" s="149" t="s">
        <v>7541</v>
      </c>
      <c r="H897" s="157">
        <v>2</v>
      </c>
      <c r="I897" s="152"/>
      <c r="J897" s="149" t="s">
        <v>7542</v>
      </c>
      <c r="K897" s="157">
        <v>2</v>
      </c>
      <c r="L897" s="156" t="s">
        <v>40</v>
      </c>
      <c r="M897" s="149" t="s">
        <v>23269</v>
      </c>
      <c r="N897" s="158">
        <v>3</v>
      </c>
      <c r="O897" s="152"/>
      <c r="P897" s="149" t="s">
        <v>9095</v>
      </c>
      <c r="Q897" s="151">
        <v>4</v>
      </c>
      <c r="R897" s="152"/>
      <c r="S897" s="149" t="s">
        <v>47</v>
      </c>
      <c r="T897" s="153"/>
      <c r="U897" s="152"/>
      <c r="V897" s="149" t="s">
        <v>47</v>
      </c>
      <c r="W897" s="153"/>
      <c r="X897" s="152"/>
      <c r="Y897" s="149" t="s">
        <v>47</v>
      </c>
      <c r="Z897" s="153"/>
      <c r="AA897" s="152"/>
      <c r="AB897" s="154" t="s">
        <v>5960</v>
      </c>
    </row>
    <row r="898" spans="1:28" x14ac:dyDescent="0.2">
      <c r="A898" s="146" t="s">
        <v>24430</v>
      </c>
      <c r="B898" s="147" t="s">
        <v>6130</v>
      </c>
      <c r="C898" s="147" t="s">
        <v>7075</v>
      </c>
      <c r="D898" s="148"/>
      <c r="E898" s="149" t="s">
        <v>6644</v>
      </c>
      <c r="F898" s="160">
        <v>2</v>
      </c>
      <c r="G898" s="149" t="s">
        <v>3830</v>
      </c>
      <c r="H898" s="158">
        <v>3</v>
      </c>
      <c r="I898" s="156" t="s">
        <v>46</v>
      </c>
      <c r="J898" s="149" t="s">
        <v>24431</v>
      </c>
      <c r="K898" s="157">
        <v>2</v>
      </c>
      <c r="L898" s="156" t="s">
        <v>40</v>
      </c>
      <c r="M898" s="149" t="s">
        <v>6644</v>
      </c>
      <c r="N898" s="157">
        <v>2</v>
      </c>
      <c r="O898" s="152"/>
      <c r="P898" s="149" t="s">
        <v>4848</v>
      </c>
      <c r="Q898" s="157">
        <v>2</v>
      </c>
      <c r="R898" s="152"/>
      <c r="S898" s="149" t="s">
        <v>3833</v>
      </c>
      <c r="T898" s="157">
        <v>2</v>
      </c>
      <c r="U898" s="152"/>
      <c r="V898" s="149" t="s">
        <v>7543</v>
      </c>
      <c r="W898" s="157">
        <v>2</v>
      </c>
      <c r="X898" s="152"/>
      <c r="Y898" s="149" t="s">
        <v>47</v>
      </c>
      <c r="Z898" s="153"/>
      <c r="AA898" s="152"/>
      <c r="AB898" s="154" t="s">
        <v>5969</v>
      </c>
    </row>
    <row r="899" spans="1:28" x14ac:dyDescent="0.2">
      <c r="A899" s="146" t="s">
        <v>24432</v>
      </c>
      <c r="B899" s="147" t="s">
        <v>6130</v>
      </c>
      <c r="C899" s="147" t="s">
        <v>7075</v>
      </c>
      <c r="D899" s="148"/>
      <c r="E899" s="149" t="s">
        <v>24433</v>
      </c>
      <c r="F899" s="159">
        <v>3</v>
      </c>
      <c r="G899" s="149" t="s">
        <v>7544</v>
      </c>
      <c r="H899" s="157">
        <v>2</v>
      </c>
      <c r="I899" s="152"/>
      <c r="J899" s="149" t="s">
        <v>6589</v>
      </c>
      <c r="K899" s="158">
        <v>3</v>
      </c>
      <c r="L899" s="152"/>
      <c r="M899" s="149" t="s">
        <v>24433</v>
      </c>
      <c r="N899" s="158">
        <v>3</v>
      </c>
      <c r="O899" s="152"/>
      <c r="P899" s="149" t="s">
        <v>2678</v>
      </c>
      <c r="Q899" s="158">
        <v>3</v>
      </c>
      <c r="R899" s="152"/>
      <c r="S899" s="149" t="s">
        <v>6366</v>
      </c>
      <c r="T899" s="157">
        <v>2</v>
      </c>
      <c r="U899" s="152"/>
      <c r="V899" s="149" t="s">
        <v>22326</v>
      </c>
      <c r="W899" s="157">
        <v>2</v>
      </c>
      <c r="X899" s="152"/>
      <c r="Y899" s="149" t="s">
        <v>47</v>
      </c>
      <c r="Z899" s="153"/>
      <c r="AA899" s="152"/>
      <c r="AB899" s="154" t="s">
        <v>5976</v>
      </c>
    </row>
    <row r="900" spans="1:28" x14ac:dyDescent="0.2">
      <c r="A900" s="146" t="s">
        <v>5979</v>
      </c>
      <c r="B900" s="147" t="s">
        <v>6130</v>
      </c>
      <c r="C900" s="147" t="s">
        <v>6213</v>
      </c>
      <c r="D900" s="148" t="s">
        <v>6160</v>
      </c>
      <c r="E900" s="149" t="s">
        <v>24434</v>
      </c>
      <c r="F900" s="150">
        <v>4</v>
      </c>
      <c r="G900" s="149" t="s">
        <v>24435</v>
      </c>
      <c r="H900" s="151">
        <v>4</v>
      </c>
      <c r="I900" s="152"/>
      <c r="J900" s="149" t="s">
        <v>24436</v>
      </c>
      <c r="K900" s="151">
        <v>4</v>
      </c>
      <c r="L900" s="156" t="s">
        <v>46</v>
      </c>
      <c r="M900" s="149" t="s">
        <v>24434</v>
      </c>
      <c r="N900" s="151">
        <v>4</v>
      </c>
      <c r="O900" s="156" t="s">
        <v>46</v>
      </c>
      <c r="P900" s="149" t="s">
        <v>24437</v>
      </c>
      <c r="Q900" s="158">
        <v>3</v>
      </c>
      <c r="R900" s="156" t="s">
        <v>40</v>
      </c>
      <c r="S900" s="149" t="s">
        <v>24438</v>
      </c>
      <c r="T900" s="151">
        <v>4</v>
      </c>
      <c r="U900" s="156" t="s">
        <v>46</v>
      </c>
      <c r="V900" s="149" t="s">
        <v>24439</v>
      </c>
      <c r="W900" s="151">
        <v>4</v>
      </c>
      <c r="X900" s="152"/>
      <c r="Y900" s="149" t="s">
        <v>24440</v>
      </c>
      <c r="Z900" s="151">
        <v>4</v>
      </c>
      <c r="AA900" s="152"/>
      <c r="AB900" s="154" t="s">
        <v>5980</v>
      </c>
    </row>
    <row r="901" spans="1:28" x14ac:dyDescent="0.2">
      <c r="A901" s="146" t="s">
        <v>24441</v>
      </c>
      <c r="B901" s="147" t="s">
        <v>6130</v>
      </c>
      <c r="C901" s="147" t="s">
        <v>6227</v>
      </c>
      <c r="D901" s="148" t="s">
        <v>6132</v>
      </c>
      <c r="E901" s="149" t="s">
        <v>24442</v>
      </c>
      <c r="F901" s="159">
        <v>3</v>
      </c>
      <c r="G901" s="149" t="s">
        <v>24443</v>
      </c>
      <c r="H901" s="158">
        <v>3</v>
      </c>
      <c r="I901" s="152"/>
      <c r="J901" s="149" t="s">
        <v>24444</v>
      </c>
      <c r="K901" s="158">
        <v>3</v>
      </c>
      <c r="L901" s="156" t="s">
        <v>46</v>
      </c>
      <c r="M901" s="149" t="s">
        <v>24442</v>
      </c>
      <c r="N901" s="158">
        <v>3</v>
      </c>
      <c r="O901" s="156" t="s">
        <v>46</v>
      </c>
      <c r="P901" s="149" t="s">
        <v>24445</v>
      </c>
      <c r="Q901" s="158">
        <v>3</v>
      </c>
      <c r="R901" s="152"/>
      <c r="S901" s="149" t="s">
        <v>24446</v>
      </c>
      <c r="T901" s="157">
        <v>2</v>
      </c>
      <c r="U901" s="152"/>
      <c r="V901" s="149" t="s">
        <v>24447</v>
      </c>
      <c r="W901" s="158">
        <v>3</v>
      </c>
      <c r="X901" s="156" t="s">
        <v>46</v>
      </c>
      <c r="Y901" s="149" t="s">
        <v>24448</v>
      </c>
      <c r="Z901" s="158">
        <v>3</v>
      </c>
      <c r="AA901" s="152"/>
      <c r="AB901" s="154" t="s">
        <v>5844</v>
      </c>
    </row>
    <row r="902" spans="1:28" x14ac:dyDescent="0.2">
      <c r="A902" s="146" t="s">
        <v>24449</v>
      </c>
      <c r="B902" s="147" t="s">
        <v>6130</v>
      </c>
      <c r="C902" s="147" t="s">
        <v>6157</v>
      </c>
      <c r="D902" s="148" t="s">
        <v>6160</v>
      </c>
      <c r="E902" s="149" t="s">
        <v>24450</v>
      </c>
      <c r="F902" s="160">
        <v>2</v>
      </c>
      <c r="G902" s="149" t="s">
        <v>24451</v>
      </c>
      <c r="H902" s="151">
        <v>4</v>
      </c>
      <c r="I902" s="156" t="s">
        <v>55</v>
      </c>
      <c r="J902" s="149" t="s">
        <v>24452</v>
      </c>
      <c r="K902" s="157">
        <v>2</v>
      </c>
      <c r="L902" s="156" t="s">
        <v>46</v>
      </c>
      <c r="M902" s="149" t="s">
        <v>24450</v>
      </c>
      <c r="N902" s="157">
        <v>2</v>
      </c>
      <c r="O902" s="156" t="s">
        <v>46</v>
      </c>
      <c r="P902" s="149" t="s">
        <v>24453</v>
      </c>
      <c r="Q902" s="155">
        <v>1</v>
      </c>
      <c r="R902" s="152"/>
      <c r="S902" s="149" t="s">
        <v>24454</v>
      </c>
      <c r="T902" s="158">
        <v>3</v>
      </c>
      <c r="U902" s="152"/>
      <c r="V902" s="149" t="s">
        <v>24455</v>
      </c>
      <c r="W902" s="157">
        <v>2</v>
      </c>
      <c r="X902" s="152"/>
      <c r="Y902" s="149" t="s">
        <v>24456</v>
      </c>
      <c r="Z902" s="151">
        <v>4</v>
      </c>
      <c r="AA902" s="152"/>
      <c r="AB902" s="154" t="s">
        <v>5988</v>
      </c>
    </row>
    <row r="903" spans="1:28" x14ac:dyDescent="0.2">
      <c r="A903" s="146" t="s">
        <v>24457</v>
      </c>
      <c r="B903" s="147" t="s">
        <v>6130</v>
      </c>
      <c r="C903" s="147" t="s">
        <v>6157</v>
      </c>
      <c r="D903" s="148" t="s">
        <v>6136</v>
      </c>
      <c r="E903" s="149" t="s">
        <v>24458</v>
      </c>
      <c r="F903" s="161">
        <v>1</v>
      </c>
      <c r="G903" s="149" t="s">
        <v>24459</v>
      </c>
      <c r="H903" s="151">
        <v>4</v>
      </c>
      <c r="I903" s="156" t="s">
        <v>55</v>
      </c>
      <c r="J903" s="149" t="s">
        <v>24460</v>
      </c>
      <c r="K903" s="157">
        <v>2</v>
      </c>
      <c r="L903" s="156" t="s">
        <v>46</v>
      </c>
      <c r="M903" s="149" t="s">
        <v>24458</v>
      </c>
      <c r="N903" s="155">
        <v>1</v>
      </c>
      <c r="O903" s="152"/>
      <c r="P903" s="149" t="s">
        <v>24461</v>
      </c>
      <c r="Q903" s="155">
        <v>1</v>
      </c>
      <c r="R903" s="152"/>
      <c r="S903" s="149" t="s">
        <v>24462</v>
      </c>
      <c r="T903" s="157">
        <v>2</v>
      </c>
      <c r="U903" s="156" t="s">
        <v>40</v>
      </c>
      <c r="V903" s="149" t="s">
        <v>24463</v>
      </c>
      <c r="W903" s="157">
        <v>2</v>
      </c>
      <c r="X903" s="156" t="s">
        <v>46</v>
      </c>
      <c r="Y903" s="149" t="s">
        <v>24464</v>
      </c>
      <c r="Z903" s="151">
        <v>4</v>
      </c>
      <c r="AA903" s="152"/>
      <c r="AB903" s="154" t="s">
        <v>5990</v>
      </c>
    </row>
    <row r="904" spans="1:28" x14ac:dyDescent="0.2">
      <c r="A904" s="146" t="s">
        <v>7545</v>
      </c>
      <c r="B904" s="147" t="s">
        <v>6130</v>
      </c>
      <c r="C904" s="147" t="s">
        <v>7308</v>
      </c>
      <c r="D904" s="148"/>
      <c r="E904" s="149" t="s">
        <v>24465</v>
      </c>
      <c r="F904" s="160">
        <v>2</v>
      </c>
      <c r="G904" s="149" t="s">
        <v>23053</v>
      </c>
      <c r="H904" s="158">
        <v>3</v>
      </c>
      <c r="I904" s="156" t="s">
        <v>46</v>
      </c>
      <c r="J904" s="149" t="s">
        <v>24466</v>
      </c>
      <c r="K904" s="155">
        <v>1</v>
      </c>
      <c r="L904" s="152"/>
      <c r="M904" s="149" t="s">
        <v>24465</v>
      </c>
      <c r="N904" s="157">
        <v>2</v>
      </c>
      <c r="O904" s="152"/>
      <c r="P904" s="149" t="s">
        <v>24467</v>
      </c>
      <c r="Q904" s="158">
        <v>3</v>
      </c>
      <c r="R904" s="152"/>
      <c r="S904" s="149" t="s">
        <v>6686</v>
      </c>
      <c r="T904" s="158">
        <v>3</v>
      </c>
      <c r="U904" s="152"/>
      <c r="V904" s="149" t="s">
        <v>24468</v>
      </c>
      <c r="W904" s="157">
        <v>2</v>
      </c>
      <c r="X904" s="152"/>
      <c r="Y904" s="149" t="s">
        <v>47</v>
      </c>
      <c r="Z904" s="153"/>
      <c r="AA904" s="152"/>
      <c r="AB904" s="154" t="s">
        <v>5992</v>
      </c>
    </row>
    <row r="905" spans="1:28" x14ac:dyDescent="0.2">
      <c r="A905" s="146" t="s">
        <v>24469</v>
      </c>
      <c r="B905" s="147" t="s">
        <v>6130</v>
      </c>
      <c r="C905" s="147" t="s">
        <v>6747</v>
      </c>
      <c r="D905" s="148" t="s">
        <v>6160</v>
      </c>
      <c r="E905" s="149" t="s">
        <v>9054</v>
      </c>
      <c r="F905" s="159">
        <v>3</v>
      </c>
      <c r="G905" s="149" t="s">
        <v>24470</v>
      </c>
      <c r="H905" s="158">
        <v>3</v>
      </c>
      <c r="I905" s="156" t="s">
        <v>46</v>
      </c>
      <c r="J905" s="149" t="s">
        <v>24471</v>
      </c>
      <c r="K905" s="157">
        <v>2</v>
      </c>
      <c r="L905" s="156" t="s">
        <v>40</v>
      </c>
      <c r="M905" s="149" t="s">
        <v>9054</v>
      </c>
      <c r="N905" s="158">
        <v>3</v>
      </c>
      <c r="O905" s="152"/>
      <c r="P905" s="149" t="s">
        <v>9058</v>
      </c>
      <c r="Q905" s="158">
        <v>3</v>
      </c>
      <c r="R905" s="156" t="s">
        <v>40</v>
      </c>
      <c r="S905" s="149" t="s">
        <v>7546</v>
      </c>
      <c r="T905" s="158">
        <v>3</v>
      </c>
      <c r="U905" s="152"/>
      <c r="V905" s="149" t="s">
        <v>24472</v>
      </c>
      <c r="W905" s="158">
        <v>3</v>
      </c>
      <c r="X905" s="152"/>
      <c r="Y905" s="149" t="s">
        <v>47</v>
      </c>
      <c r="Z905" s="153"/>
      <c r="AA905" s="152"/>
      <c r="AB905" s="154" t="s">
        <v>5996</v>
      </c>
    </row>
    <row r="906" spans="1:28" x14ac:dyDescent="0.2">
      <c r="A906" s="146" t="s">
        <v>6009</v>
      </c>
      <c r="B906" s="147" t="s">
        <v>6130</v>
      </c>
      <c r="C906" s="147" t="s">
        <v>6145</v>
      </c>
      <c r="D906" s="148" t="s">
        <v>6132</v>
      </c>
      <c r="E906" s="149" t="s">
        <v>24473</v>
      </c>
      <c r="F906" s="161">
        <v>1</v>
      </c>
      <c r="G906" s="149" t="s">
        <v>24474</v>
      </c>
      <c r="H906" s="151">
        <v>4</v>
      </c>
      <c r="I906" s="156" t="s">
        <v>55</v>
      </c>
      <c r="J906" s="149" t="s">
        <v>24475</v>
      </c>
      <c r="K906" s="151">
        <v>4</v>
      </c>
      <c r="L906" s="156" t="s">
        <v>44</v>
      </c>
      <c r="M906" s="149" t="s">
        <v>24473</v>
      </c>
      <c r="N906" s="155">
        <v>1</v>
      </c>
      <c r="O906" s="152"/>
      <c r="P906" s="149" t="s">
        <v>24476</v>
      </c>
      <c r="Q906" s="155">
        <v>1</v>
      </c>
      <c r="R906" s="152"/>
      <c r="S906" s="149" t="s">
        <v>7547</v>
      </c>
      <c r="T906" s="157">
        <v>2</v>
      </c>
      <c r="U906" s="152"/>
      <c r="V906" s="149" t="s">
        <v>24477</v>
      </c>
      <c r="W906" s="157">
        <v>2</v>
      </c>
      <c r="X906" s="152"/>
      <c r="Y906" s="149" t="s">
        <v>47</v>
      </c>
      <c r="Z906" s="153"/>
      <c r="AA906" s="152"/>
      <c r="AB906" s="154" t="s">
        <v>6010</v>
      </c>
    </row>
    <row r="907" spans="1:28" x14ac:dyDescent="0.2">
      <c r="A907" s="146" t="s">
        <v>6011</v>
      </c>
      <c r="B907" s="147" t="s">
        <v>6130</v>
      </c>
      <c r="C907" s="147" t="s">
        <v>6145</v>
      </c>
      <c r="D907" s="148"/>
      <c r="E907" s="149" t="s">
        <v>7548</v>
      </c>
      <c r="F907" s="161">
        <v>1</v>
      </c>
      <c r="G907" s="149" t="s">
        <v>24478</v>
      </c>
      <c r="H907" s="151">
        <v>4</v>
      </c>
      <c r="I907" s="156" t="s">
        <v>44</v>
      </c>
      <c r="J907" s="149" t="s">
        <v>24479</v>
      </c>
      <c r="K907" s="158">
        <v>3</v>
      </c>
      <c r="L907" s="156" t="s">
        <v>55</v>
      </c>
      <c r="M907" s="149" t="s">
        <v>7548</v>
      </c>
      <c r="N907" s="155">
        <v>1</v>
      </c>
      <c r="O907" s="152"/>
      <c r="P907" s="149" t="s">
        <v>24480</v>
      </c>
      <c r="Q907" s="155">
        <v>1</v>
      </c>
      <c r="R907" s="152"/>
      <c r="S907" s="149" t="s">
        <v>24481</v>
      </c>
      <c r="T907" s="155">
        <v>1</v>
      </c>
      <c r="U907" s="152"/>
      <c r="V907" s="149" t="s">
        <v>24482</v>
      </c>
      <c r="W907" s="155">
        <v>1</v>
      </c>
      <c r="X907" s="152"/>
      <c r="Y907" s="149" t="s">
        <v>47</v>
      </c>
      <c r="Z907" s="153"/>
      <c r="AA907" s="152"/>
      <c r="AB907" s="154" t="s">
        <v>6012</v>
      </c>
    </row>
    <row r="908" spans="1:28" x14ac:dyDescent="0.2">
      <c r="A908" s="146" t="s">
        <v>6013</v>
      </c>
      <c r="B908" s="147" t="s">
        <v>6130</v>
      </c>
      <c r="C908" s="147" t="s">
        <v>6145</v>
      </c>
      <c r="D908" s="148"/>
      <c r="E908" s="149" t="s">
        <v>24483</v>
      </c>
      <c r="F908" s="161">
        <v>1</v>
      </c>
      <c r="G908" s="149" t="s">
        <v>24484</v>
      </c>
      <c r="H908" s="151">
        <v>4</v>
      </c>
      <c r="I908" s="156" t="s">
        <v>44</v>
      </c>
      <c r="J908" s="149" t="s">
        <v>24485</v>
      </c>
      <c r="K908" s="151">
        <v>4</v>
      </c>
      <c r="L908" s="156" t="s">
        <v>44</v>
      </c>
      <c r="M908" s="149" t="s">
        <v>24483</v>
      </c>
      <c r="N908" s="155">
        <v>1</v>
      </c>
      <c r="O908" s="152"/>
      <c r="P908" s="149" t="s">
        <v>24486</v>
      </c>
      <c r="Q908" s="155">
        <v>1</v>
      </c>
      <c r="R908" s="152"/>
      <c r="S908" s="149" t="s">
        <v>24487</v>
      </c>
      <c r="T908" s="155">
        <v>1</v>
      </c>
      <c r="U908" s="152"/>
      <c r="V908" s="149" t="s">
        <v>24488</v>
      </c>
      <c r="W908" s="155">
        <v>1</v>
      </c>
      <c r="X908" s="152"/>
      <c r="Y908" s="149" t="s">
        <v>47</v>
      </c>
      <c r="Z908" s="153"/>
      <c r="AA908" s="152"/>
      <c r="AB908" s="154" t="s">
        <v>6014</v>
      </c>
    </row>
    <row r="909" spans="1:28" x14ac:dyDescent="0.2">
      <c r="A909" s="146" t="s">
        <v>24489</v>
      </c>
      <c r="B909" s="147" t="s">
        <v>6130</v>
      </c>
      <c r="C909" s="147" t="s">
        <v>6145</v>
      </c>
      <c r="D909" s="148" t="s">
        <v>6163</v>
      </c>
      <c r="E909" s="149" t="s">
        <v>24490</v>
      </c>
      <c r="F909" s="161">
        <v>1</v>
      </c>
      <c r="G909" s="149" t="s">
        <v>24491</v>
      </c>
      <c r="H909" s="151">
        <v>4</v>
      </c>
      <c r="I909" s="156" t="s">
        <v>44</v>
      </c>
      <c r="J909" s="149" t="s">
        <v>24492</v>
      </c>
      <c r="K909" s="158">
        <v>3</v>
      </c>
      <c r="L909" s="156" t="s">
        <v>55</v>
      </c>
      <c r="M909" s="149" t="s">
        <v>24490</v>
      </c>
      <c r="N909" s="155">
        <v>1</v>
      </c>
      <c r="O909" s="152"/>
      <c r="P909" s="149" t="s">
        <v>24493</v>
      </c>
      <c r="Q909" s="155">
        <v>1</v>
      </c>
      <c r="R909" s="152"/>
      <c r="S909" s="149" t="s">
        <v>24494</v>
      </c>
      <c r="T909" s="155">
        <v>1</v>
      </c>
      <c r="U909" s="152"/>
      <c r="V909" s="149" t="s">
        <v>24495</v>
      </c>
      <c r="W909" s="155">
        <v>1</v>
      </c>
      <c r="X909" s="152"/>
      <c r="Y909" s="149" t="s">
        <v>47</v>
      </c>
      <c r="Z909" s="153"/>
      <c r="AA909" s="152"/>
      <c r="AB909" s="154" t="s">
        <v>6016</v>
      </c>
    </row>
    <row r="910" spans="1:28" x14ac:dyDescent="0.2">
      <c r="A910" s="146" t="s">
        <v>24496</v>
      </c>
      <c r="B910" s="147" t="s">
        <v>6130</v>
      </c>
      <c r="C910" s="147" t="s">
        <v>6145</v>
      </c>
      <c r="D910" s="148" t="s">
        <v>6163</v>
      </c>
      <c r="E910" s="149" t="s">
        <v>24497</v>
      </c>
      <c r="F910" s="161">
        <v>1</v>
      </c>
      <c r="G910" s="149" t="s">
        <v>24498</v>
      </c>
      <c r="H910" s="151">
        <v>4</v>
      </c>
      <c r="I910" s="156" t="s">
        <v>55</v>
      </c>
      <c r="J910" s="149" t="s">
        <v>24499</v>
      </c>
      <c r="K910" s="151">
        <v>4</v>
      </c>
      <c r="L910" s="156" t="s">
        <v>44</v>
      </c>
      <c r="M910" s="149" t="s">
        <v>24497</v>
      </c>
      <c r="N910" s="155">
        <v>1</v>
      </c>
      <c r="O910" s="152"/>
      <c r="P910" s="149" t="s">
        <v>24500</v>
      </c>
      <c r="Q910" s="155">
        <v>1</v>
      </c>
      <c r="R910" s="152"/>
      <c r="S910" s="149" t="s">
        <v>24501</v>
      </c>
      <c r="T910" s="155">
        <v>1</v>
      </c>
      <c r="U910" s="152"/>
      <c r="V910" s="149" t="s">
        <v>13684</v>
      </c>
      <c r="W910" s="157">
        <v>2</v>
      </c>
      <c r="X910" s="152"/>
      <c r="Y910" s="149" t="s">
        <v>47</v>
      </c>
      <c r="Z910" s="153"/>
      <c r="AA910" s="152"/>
      <c r="AB910" s="154" t="s">
        <v>6018</v>
      </c>
    </row>
    <row r="911" spans="1:28" x14ac:dyDescent="0.2">
      <c r="A911" s="146" t="s">
        <v>24502</v>
      </c>
      <c r="B911" s="147" t="s">
        <v>6130</v>
      </c>
      <c r="C911" s="147" t="s">
        <v>6131</v>
      </c>
      <c r="D911" s="148" t="s">
        <v>6163</v>
      </c>
      <c r="E911" s="149" t="s">
        <v>24503</v>
      </c>
      <c r="F911" s="160">
        <v>2</v>
      </c>
      <c r="G911" s="149" t="s">
        <v>24504</v>
      </c>
      <c r="H911" s="151">
        <v>4</v>
      </c>
      <c r="I911" s="156" t="s">
        <v>55</v>
      </c>
      <c r="J911" s="149" t="s">
        <v>24505</v>
      </c>
      <c r="K911" s="158">
        <v>3</v>
      </c>
      <c r="L911" s="156" t="s">
        <v>55</v>
      </c>
      <c r="M911" s="149" t="s">
        <v>24503</v>
      </c>
      <c r="N911" s="157">
        <v>2</v>
      </c>
      <c r="O911" s="156" t="s">
        <v>46</v>
      </c>
      <c r="P911" s="149" t="s">
        <v>24506</v>
      </c>
      <c r="Q911" s="155">
        <v>1</v>
      </c>
      <c r="R911" s="152"/>
      <c r="S911" s="149" t="s">
        <v>24507</v>
      </c>
      <c r="T911" s="155">
        <v>1</v>
      </c>
      <c r="U911" s="152"/>
      <c r="V911" s="149" t="s">
        <v>47</v>
      </c>
      <c r="W911" s="153"/>
      <c r="X911" s="152"/>
      <c r="Y911" s="149" t="s">
        <v>47</v>
      </c>
      <c r="Z911" s="153"/>
      <c r="AA911" s="152"/>
      <c r="AB911" s="154" t="s">
        <v>6020</v>
      </c>
    </row>
    <row r="912" spans="1:28" x14ac:dyDescent="0.2">
      <c r="A912" s="146" t="s">
        <v>7549</v>
      </c>
      <c r="B912" s="147" t="s">
        <v>6130</v>
      </c>
      <c r="C912" s="147" t="s">
        <v>6131</v>
      </c>
      <c r="D912" s="148" t="s">
        <v>6163</v>
      </c>
      <c r="E912" s="149" t="s">
        <v>24508</v>
      </c>
      <c r="F912" s="160">
        <v>2</v>
      </c>
      <c r="G912" s="149" t="s">
        <v>24509</v>
      </c>
      <c r="H912" s="151">
        <v>4</v>
      </c>
      <c r="I912" s="156" t="s">
        <v>55</v>
      </c>
      <c r="J912" s="149" t="s">
        <v>24510</v>
      </c>
      <c r="K912" s="151">
        <v>4</v>
      </c>
      <c r="L912" s="156" t="s">
        <v>44</v>
      </c>
      <c r="M912" s="149" t="s">
        <v>24508</v>
      </c>
      <c r="N912" s="157">
        <v>2</v>
      </c>
      <c r="O912" s="156" t="s">
        <v>46</v>
      </c>
      <c r="P912" s="149" t="s">
        <v>24511</v>
      </c>
      <c r="Q912" s="155">
        <v>1</v>
      </c>
      <c r="R912" s="152"/>
      <c r="S912" s="149" t="s">
        <v>24512</v>
      </c>
      <c r="T912" s="157">
        <v>2</v>
      </c>
      <c r="U912" s="152"/>
      <c r="V912" s="149" t="s">
        <v>47</v>
      </c>
      <c r="W912" s="153"/>
      <c r="X912" s="152"/>
      <c r="Y912" s="149" t="s">
        <v>47</v>
      </c>
      <c r="Z912" s="153"/>
      <c r="AA912" s="152"/>
      <c r="AB912" s="154" t="s">
        <v>6022</v>
      </c>
    </row>
    <row r="913" spans="1:28" x14ac:dyDescent="0.2">
      <c r="A913" s="146" t="s">
        <v>24513</v>
      </c>
      <c r="B913" s="147" t="s">
        <v>6130</v>
      </c>
      <c r="C913" s="147" t="s">
        <v>6131</v>
      </c>
      <c r="D913" s="148" t="s">
        <v>6163</v>
      </c>
      <c r="E913" s="149" t="s">
        <v>24514</v>
      </c>
      <c r="F913" s="160">
        <v>2</v>
      </c>
      <c r="G913" s="149" t="s">
        <v>24515</v>
      </c>
      <c r="H913" s="151">
        <v>4</v>
      </c>
      <c r="I913" s="156" t="s">
        <v>55</v>
      </c>
      <c r="J913" s="149" t="s">
        <v>24516</v>
      </c>
      <c r="K913" s="151">
        <v>4</v>
      </c>
      <c r="L913" s="156" t="s">
        <v>44</v>
      </c>
      <c r="M913" s="149" t="s">
        <v>24514</v>
      </c>
      <c r="N913" s="157">
        <v>2</v>
      </c>
      <c r="O913" s="152"/>
      <c r="P913" s="149" t="s">
        <v>24517</v>
      </c>
      <c r="Q913" s="155">
        <v>1</v>
      </c>
      <c r="R913" s="152"/>
      <c r="S913" s="149" t="s">
        <v>24518</v>
      </c>
      <c r="T913" s="157">
        <v>2</v>
      </c>
      <c r="U913" s="152"/>
      <c r="V913" s="149" t="s">
        <v>47</v>
      </c>
      <c r="W913" s="153"/>
      <c r="X913" s="152"/>
      <c r="Y913" s="149" t="s">
        <v>47</v>
      </c>
      <c r="Z913" s="153"/>
      <c r="AA913" s="152"/>
      <c r="AB913" s="154" t="s">
        <v>6024</v>
      </c>
    </row>
    <row r="914" spans="1:28" x14ac:dyDescent="0.2">
      <c r="A914" s="146" t="s">
        <v>24519</v>
      </c>
      <c r="B914" s="147" t="s">
        <v>6130</v>
      </c>
      <c r="C914" s="147" t="s">
        <v>6131</v>
      </c>
      <c r="D914" s="148" t="s">
        <v>6163</v>
      </c>
      <c r="E914" s="149" t="s">
        <v>24520</v>
      </c>
      <c r="F914" s="159">
        <v>3</v>
      </c>
      <c r="G914" s="149" t="s">
        <v>24521</v>
      </c>
      <c r="H914" s="151">
        <v>4</v>
      </c>
      <c r="I914" s="156" t="s">
        <v>55</v>
      </c>
      <c r="J914" s="149" t="s">
        <v>24522</v>
      </c>
      <c r="K914" s="151">
        <v>4</v>
      </c>
      <c r="L914" s="156" t="s">
        <v>44</v>
      </c>
      <c r="M914" s="149" t="s">
        <v>24520</v>
      </c>
      <c r="N914" s="158">
        <v>3</v>
      </c>
      <c r="O914" s="156" t="s">
        <v>46</v>
      </c>
      <c r="P914" s="149" t="s">
        <v>24523</v>
      </c>
      <c r="Q914" s="155">
        <v>1</v>
      </c>
      <c r="R914" s="156" t="s">
        <v>40</v>
      </c>
      <c r="S914" s="149" t="s">
        <v>24524</v>
      </c>
      <c r="T914" s="157">
        <v>2</v>
      </c>
      <c r="U914" s="152"/>
      <c r="V914" s="149" t="s">
        <v>47</v>
      </c>
      <c r="W914" s="153"/>
      <c r="X914" s="152"/>
      <c r="Y914" s="149" t="s">
        <v>47</v>
      </c>
      <c r="Z914" s="153"/>
      <c r="AA914" s="152"/>
      <c r="AB914" s="154" t="s">
        <v>6026</v>
      </c>
    </row>
    <row r="915" spans="1:28" x14ac:dyDescent="0.2">
      <c r="A915" s="146" t="s">
        <v>6027</v>
      </c>
      <c r="B915" s="147" t="s">
        <v>6130</v>
      </c>
      <c r="C915" s="147" t="s">
        <v>6145</v>
      </c>
      <c r="D915" s="148"/>
      <c r="E915" s="149" t="s">
        <v>24525</v>
      </c>
      <c r="F915" s="160">
        <v>2</v>
      </c>
      <c r="G915" s="149" t="s">
        <v>24526</v>
      </c>
      <c r="H915" s="151">
        <v>4</v>
      </c>
      <c r="I915" s="156" t="s">
        <v>55</v>
      </c>
      <c r="J915" s="149" t="s">
        <v>24527</v>
      </c>
      <c r="K915" s="151">
        <v>4</v>
      </c>
      <c r="L915" s="156" t="s">
        <v>44</v>
      </c>
      <c r="M915" s="149" t="s">
        <v>24525</v>
      </c>
      <c r="N915" s="157">
        <v>2</v>
      </c>
      <c r="O915" s="156" t="s">
        <v>46</v>
      </c>
      <c r="P915" s="149" t="s">
        <v>24528</v>
      </c>
      <c r="Q915" s="155">
        <v>1</v>
      </c>
      <c r="R915" s="152"/>
      <c r="S915" s="149" t="s">
        <v>24529</v>
      </c>
      <c r="T915" s="157">
        <v>2</v>
      </c>
      <c r="U915" s="152"/>
      <c r="V915" s="149" t="s">
        <v>24530</v>
      </c>
      <c r="W915" s="157">
        <v>2</v>
      </c>
      <c r="X915" s="152"/>
      <c r="Y915" s="149" t="s">
        <v>47</v>
      </c>
      <c r="Z915" s="153"/>
      <c r="AA915" s="152"/>
      <c r="AB915" s="154" t="s">
        <v>6028</v>
      </c>
    </row>
    <row r="916" spans="1:28" x14ac:dyDescent="0.2">
      <c r="A916" s="146" t="s">
        <v>7550</v>
      </c>
      <c r="B916" s="147" t="s">
        <v>6130</v>
      </c>
      <c r="C916" s="147" t="s">
        <v>6145</v>
      </c>
      <c r="D916" s="148"/>
      <c r="E916" s="149" t="s">
        <v>24531</v>
      </c>
      <c r="F916" s="161">
        <v>1</v>
      </c>
      <c r="G916" s="149" t="s">
        <v>24532</v>
      </c>
      <c r="H916" s="151">
        <v>4</v>
      </c>
      <c r="I916" s="156" t="s">
        <v>44</v>
      </c>
      <c r="J916" s="149" t="s">
        <v>24533</v>
      </c>
      <c r="K916" s="158">
        <v>3</v>
      </c>
      <c r="L916" s="156" t="s">
        <v>55</v>
      </c>
      <c r="M916" s="149" t="s">
        <v>24531</v>
      </c>
      <c r="N916" s="155">
        <v>1</v>
      </c>
      <c r="O916" s="152"/>
      <c r="P916" s="149" t="s">
        <v>24534</v>
      </c>
      <c r="Q916" s="155">
        <v>1</v>
      </c>
      <c r="R916" s="152"/>
      <c r="S916" s="149" t="s">
        <v>24535</v>
      </c>
      <c r="T916" s="155">
        <v>1</v>
      </c>
      <c r="U916" s="152"/>
      <c r="V916" s="149" t="s">
        <v>24536</v>
      </c>
      <c r="W916" s="155">
        <v>1</v>
      </c>
      <c r="X916" s="152"/>
      <c r="Y916" s="149" t="s">
        <v>47</v>
      </c>
      <c r="Z916" s="153"/>
      <c r="AA916" s="152"/>
      <c r="AB916" s="154" t="s">
        <v>6030</v>
      </c>
    </row>
    <row r="917" spans="1:28" x14ac:dyDescent="0.2">
      <c r="A917" s="146" t="s">
        <v>6031</v>
      </c>
      <c r="B917" s="147" t="s">
        <v>6130</v>
      </c>
      <c r="C917" s="147" t="s">
        <v>6145</v>
      </c>
      <c r="D917" s="148"/>
      <c r="E917" s="149" t="s">
        <v>24537</v>
      </c>
      <c r="F917" s="161">
        <v>1</v>
      </c>
      <c r="G917" s="149" t="s">
        <v>24538</v>
      </c>
      <c r="H917" s="151">
        <v>4</v>
      </c>
      <c r="I917" s="156" t="s">
        <v>44</v>
      </c>
      <c r="J917" s="149" t="s">
        <v>24539</v>
      </c>
      <c r="K917" s="151">
        <v>4</v>
      </c>
      <c r="L917" s="156" t="s">
        <v>44</v>
      </c>
      <c r="M917" s="149" t="s">
        <v>24537</v>
      </c>
      <c r="N917" s="155">
        <v>1</v>
      </c>
      <c r="O917" s="152"/>
      <c r="P917" s="149" t="s">
        <v>24540</v>
      </c>
      <c r="Q917" s="155">
        <v>1</v>
      </c>
      <c r="R917" s="152"/>
      <c r="S917" s="149" t="s">
        <v>24541</v>
      </c>
      <c r="T917" s="157">
        <v>2</v>
      </c>
      <c r="U917" s="156" t="s">
        <v>46</v>
      </c>
      <c r="V917" s="149" t="s">
        <v>24542</v>
      </c>
      <c r="W917" s="155">
        <v>1</v>
      </c>
      <c r="X917" s="152"/>
      <c r="Y917" s="149" t="s">
        <v>47</v>
      </c>
      <c r="Z917" s="153"/>
      <c r="AA917" s="152"/>
      <c r="AB917" s="154" t="s">
        <v>6032</v>
      </c>
    </row>
    <row r="918" spans="1:28" x14ac:dyDescent="0.2">
      <c r="A918" s="146" t="s">
        <v>24543</v>
      </c>
      <c r="B918" s="147" t="s">
        <v>6130</v>
      </c>
      <c r="C918" s="147" t="s">
        <v>6145</v>
      </c>
      <c r="D918" s="148" t="s">
        <v>6163</v>
      </c>
      <c r="E918" s="149" t="s">
        <v>7551</v>
      </c>
      <c r="F918" s="161">
        <v>1</v>
      </c>
      <c r="G918" s="149" t="s">
        <v>24544</v>
      </c>
      <c r="H918" s="151">
        <v>4</v>
      </c>
      <c r="I918" s="156" t="s">
        <v>44</v>
      </c>
      <c r="J918" s="149" t="s">
        <v>24545</v>
      </c>
      <c r="K918" s="151">
        <v>4</v>
      </c>
      <c r="L918" s="156" t="s">
        <v>44</v>
      </c>
      <c r="M918" s="149" t="s">
        <v>7551</v>
      </c>
      <c r="N918" s="155">
        <v>1</v>
      </c>
      <c r="O918" s="152"/>
      <c r="P918" s="149" t="s">
        <v>24546</v>
      </c>
      <c r="Q918" s="155">
        <v>1</v>
      </c>
      <c r="R918" s="152"/>
      <c r="S918" s="149" t="s">
        <v>24547</v>
      </c>
      <c r="T918" s="155">
        <v>1</v>
      </c>
      <c r="U918" s="152"/>
      <c r="V918" s="149" t="s">
        <v>24548</v>
      </c>
      <c r="W918" s="155">
        <v>1</v>
      </c>
      <c r="X918" s="152"/>
      <c r="Y918" s="149" t="s">
        <v>47</v>
      </c>
      <c r="Z918" s="153"/>
      <c r="AA918" s="152"/>
      <c r="AB918" s="154" t="s">
        <v>6034</v>
      </c>
    </row>
    <row r="919" spans="1:28" x14ac:dyDescent="0.2">
      <c r="A919" s="146" t="s">
        <v>24549</v>
      </c>
      <c r="B919" s="147" t="s">
        <v>6130</v>
      </c>
      <c r="C919" s="147" t="s">
        <v>6145</v>
      </c>
      <c r="D919" s="148" t="s">
        <v>6163</v>
      </c>
      <c r="E919" s="149" t="s">
        <v>24550</v>
      </c>
      <c r="F919" s="161">
        <v>1</v>
      </c>
      <c r="G919" s="149" t="s">
        <v>24551</v>
      </c>
      <c r="H919" s="151">
        <v>4</v>
      </c>
      <c r="I919" s="156" t="s">
        <v>55</v>
      </c>
      <c r="J919" s="149" t="s">
        <v>24552</v>
      </c>
      <c r="K919" s="151">
        <v>4</v>
      </c>
      <c r="L919" s="156" t="s">
        <v>44</v>
      </c>
      <c r="M919" s="149" t="s">
        <v>24550</v>
      </c>
      <c r="N919" s="155">
        <v>1</v>
      </c>
      <c r="O919" s="152"/>
      <c r="P919" s="149" t="s">
        <v>24553</v>
      </c>
      <c r="Q919" s="155">
        <v>1</v>
      </c>
      <c r="R919" s="152"/>
      <c r="S919" s="149" t="s">
        <v>24554</v>
      </c>
      <c r="T919" s="155">
        <v>1</v>
      </c>
      <c r="U919" s="152"/>
      <c r="V919" s="149" t="s">
        <v>13715</v>
      </c>
      <c r="W919" s="157">
        <v>2</v>
      </c>
      <c r="X919" s="156" t="s">
        <v>46</v>
      </c>
      <c r="Y919" s="149" t="s">
        <v>47</v>
      </c>
      <c r="Z919" s="153"/>
      <c r="AA919" s="152"/>
      <c r="AB919" s="154" t="s">
        <v>6037</v>
      </c>
    </row>
    <row r="920" spans="1:28" x14ac:dyDescent="0.2">
      <c r="A920" s="146" t="s">
        <v>24555</v>
      </c>
      <c r="B920" s="147" t="s">
        <v>6130</v>
      </c>
      <c r="C920" s="147" t="s">
        <v>6145</v>
      </c>
      <c r="D920" s="148" t="s">
        <v>6163</v>
      </c>
      <c r="E920" s="149" t="s">
        <v>24556</v>
      </c>
      <c r="F920" s="161">
        <v>1</v>
      </c>
      <c r="G920" s="149" t="s">
        <v>24557</v>
      </c>
      <c r="H920" s="151">
        <v>4</v>
      </c>
      <c r="I920" s="156" t="s">
        <v>44</v>
      </c>
      <c r="J920" s="149" t="s">
        <v>24558</v>
      </c>
      <c r="K920" s="151">
        <v>4</v>
      </c>
      <c r="L920" s="156" t="s">
        <v>44</v>
      </c>
      <c r="M920" s="149" t="s">
        <v>24556</v>
      </c>
      <c r="N920" s="155">
        <v>1</v>
      </c>
      <c r="O920" s="152"/>
      <c r="P920" s="149" t="s">
        <v>24559</v>
      </c>
      <c r="Q920" s="155">
        <v>1</v>
      </c>
      <c r="R920" s="152"/>
      <c r="S920" s="149" t="s">
        <v>24560</v>
      </c>
      <c r="T920" s="155">
        <v>1</v>
      </c>
      <c r="U920" s="152"/>
      <c r="V920" s="149" t="s">
        <v>47</v>
      </c>
      <c r="W920" s="153"/>
      <c r="X920" s="152"/>
      <c r="Y920" s="149" t="s">
        <v>47</v>
      </c>
      <c r="Z920" s="153"/>
      <c r="AA920" s="152"/>
      <c r="AB920" s="154" t="s">
        <v>6039</v>
      </c>
    </row>
    <row r="921" spans="1:28" x14ac:dyDescent="0.2">
      <c r="A921" s="146" t="s">
        <v>24561</v>
      </c>
      <c r="B921" s="147" t="s">
        <v>6130</v>
      </c>
      <c r="C921" s="147" t="s">
        <v>6145</v>
      </c>
      <c r="D921" s="148" t="s">
        <v>6163</v>
      </c>
      <c r="E921" s="149" t="s">
        <v>24562</v>
      </c>
      <c r="F921" s="161">
        <v>1</v>
      </c>
      <c r="G921" s="149" t="s">
        <v>24563</v>
      </c>
      <c r="H921" s="151">
        <v>4</v>
      </c>
      <c r="I921" s="156" t="s">
        <v>44</v>
      </c>
      <c r="J921" s="149" t="s">
        <v>24564</v>
      </c>
      <c r="K921" s="151">
        <v>4</v>
      </c>
      <c r="L921" s="156" t="s">
        <v>44</v>
      </c>
      <c r="M921" s="149" t="s">
        <v>24562</v>
      </c>
      <c r="N921" s="155">
        <v>1</v>
      </c>
      <c r="O921" s="152"/>
      <c r="P921" s="149" t="s">
        <v>24565</v>
      </c>
      <c r="Q921" s="155">
        <v>1</v>
      </c>
      <c r="R921" s="152"/>
      <c r="S921" s="149" t="s">
        <v>24566</v>
      </c>
      <c r="T921" s="155">
        <v>1</v>
      </c>
      <c r="U921" s="152"/>
      <c r="V921" s="149" t="s">
        <v>47</v>
      </c>
      <c r="W921" s="153"/>
      <c r="X921" s="152"/>
      <c r="Y921" s="149" t="s">
        <v>47</v>
      </c>
      <c r="Z921" s="153"/>
      <c r="AA921" s="152"/>
      <c r="AB921" s="154" t="s">
        <v>6041</v>
      </c>
    </row>
    <row r="922" spans="1:28" x14ac:dyDescent="0.2">
      <c r="A922" s="146" t="s">
        <v>24567</v>
      </c>
      <c r="B922" s="147" t="s">
        <v>6130</v>
      </c>
      <c r="C922" s="147" t="s">
        <v>6145</v>
      </c>
      <c r="D922" s="148" t="s">
        <v>6163</v>
      </c>
      <c r="E922" s="149" t="s">
        <v>24568</v>
      </c>
      <c r="F922" s="160">
        <v>2</v>
      </c>
      <c r="G922" s="149" t="s">
        <v>24569</v>
      </c>
      <c r="H922" s="151">
        <v>4</v>
      </c>
      <c r="I922" s="156" t="s">
        <v>55</v>
      </c>
      <c r="J922" s="149" t="s">
        <v>24570</v>
      </c>
      <c r="K922" s="151">
        <v>4</v>
      </c>
      <c r="L922" s="156" t="s">
        <v>44</v>
      </c>
      <c r="M922" s="149" t="s">
        <v>24568</v>
      </c>
      <c r="N922" s="157">
        <v>2</v>
      </c>
      <c r="O922" s="156" t="s">
        <v>46</v>
      </c>
      <c r="P922" s="149" t="s">
        <v>24571</v>
      </c>
      <c r="Q922" s="155">
        <v>1</v>
      </c>
      <c r="R922" s="152"/>
      <c r="S922" s="149" t="s">
        <v>24572</v>
      </c>
      <c r="T922" s="155">
        <v>1</v>
      </c>
      <c r="U922" s="152"/>
      <c r="V922" s="149" t="s">
        <v>47</v>
      </c>
      <c r="W922" s="153"/>
      <c r="X922" s="152"/>
      <c r="Y922" s="149" t="s">
        <v>47</v>
      </c>
      <c r="Z922" s="153"/>
      <c r="AA922" s="152"/>
      <c r="AB922" s="154" t="s">
        <v>6043</v>
      </c>
    </row>
    <row r="923" spans="1:28" x14ac:dyDescent="0.2">
      <c r="A923" s="146" t="s">
        <v>24573</v>
      </c>
      <c r="B923" s="147" t="s">
        <v>6130</v>
      </c>
      <c r="C923" s="147" t="s">
        <v>6145</v>
      </c>
      <c r="D923" s="148" t="s">
        <v>6163</v>
      </c>
      <c r="E923" s="149" t="s">
        <v>24574</v>
      </c>
      <c r="F923" s="159">
        <v>3</v>
      </c>
      <c r="G923" s="149" t="s">
        <v>24575</v>
      </c>
      <c r="H923" s="151">
        <v>4</v>
      </c>
      <c r="I923" s="156" t="s">
        <v>46</v>
      </c>
      <c r="J923" s="149" t="s">
        <v>24576</v>
      </c>
      <c r="K923" s="151">
        <v>4</v>
      </c>
      <c r="L923" s="156" t="s">
        <v>55</v>
      </c>
      <c r="M923" s="149" t="s">
        <v>24574</v>
      </c>
      <c r="N923" s="158">
        <v>3</v>
      </c>
      <c r="O923" s="156" t="s">
        <v>55</v>
      </c>
      <c r="P923" s="149" t="s">
        <v>24577</v>
      </c>
      <c r="Q923" s="155">
        <v>1</v>
      </c>
      <c r="R923" s="152"/>
      <c r="S923" s="149" t="s">
        <v>24578</v>
      </c>
      <c r="T923" s="155">
        <v>1</v>
      </c>
      <c r="U923" s="152"/>
      <c r="V923" s="149" t="s">
        <v>47</v>
      </c>
      <c r="W923" s="153"/>
      <c r="X923" s="152"/>
      <c r="Y923" s="149" t="s">
        <v>47</v>
      </c>
      <c r="Z923" s="153"/>
      <c r="AA923" s="152"/>
      <c r="AB923" s="154" t="s">
        <v>6045</v>
      </c>
    </row>
    <row r="924" spans="1:28" x14ac:dyDescent="0.2">
      <c r="A924" s="146" t="s">
        <v>7552</v>
      </c>
      <c r="B924" s="147" t="s">
        <v>6130</v>
      </c>
      <c r="C924" s="147" t="s">
        <v>6766</v>
      </c>
      <c r="D924" s="148"/>
      <c r="E924" s="149" t="s">
        <v>24579</v>
      </c>
      <c r="F924" s="150">
        <v>4</v>
      </c>
      <c r="G924" s="149" t="s">
        <v>24580</v>
      </c>
      <c r="H924" s="157">
        <v>2</v>
      </c>
      <c r="I924" s="152"/>
      <c r="J924" s="149" t="s">
        <v>24581</v>
      </c>
      <c r="K924" s="157">
        <v>2</v>
      </c>
      <c r="L924" s="156" t="s">
        <v>40</v>
      </c>
      <c r="M924" s="149" t="s">
        <v>24579</v>
      </c>
      <c r="N924" s="151">
        <v>4</v>
      </c>
      <c r="O924" s="152"/>
      <c r="P924" s="149" t="s">
        <v>24582</v>
      </c>
      <c r="Q924" s="151">
        <v>4</v>
      </c>
      <c r="R924" s="152"/>
      <c r="S924" s="149" t="s">
        <v>24583</v>
      </c>
      <c r="T924" s="158">
        <v>3</v>
      </c>
      <c r="U924" s="152"/>
      <c r="V924" s="149" t="s">
        <v>24584</v>
      </c>
      <c r="W924" s="158">
        <v>3</v>
      </c>
      <c r="X924" s="152"/>
      <c r="Y924" s="149" t="s">
        <v>7553</v>
      </c>
      <c r="Z924" s="158">
        <v>3</v>
      </c>
      <c r="AA924" s="152"/>
      <c r="AB924" s="154" t="s">
        <v>7554</v>
      </c>
    </row>
    <row r="925" spans="1:28" x14ac:dyDescent="0.2">
      <c r="A925" s="146" t="s">
        <v>7555</v>
      </c>
      <c r="B925" s="147" t="s">
        <v>6718</v>
      </c>
      <c r="C925" s="147" t="s">
        <v>7556</v>
      </c>
      <c r="D925" s="148"/>
      <c r="E925" s="149" t="s">
        <v>7557</v>
      </c>
      <c r="F925" s="159">
        <v>3</v>
      </c>
      <c r="G925" s="149" t="s">
        <v>24585</v>
      </c>
      <c r="H925" s="155">
        <v>1</v>
      </c>
      <c r="I925" s="156" t="s">
        <v>157</v>
      </c>
      <c r="J925" s="149" t="s">
        <v>23013</v>
      </c>
      <c r="K925" s="151">
        <v>4</v>
      </c>
      <c r="L925" s="152"/>
      <c r="M925" s="149" t="s">
        <v>7557</v>
      </c>
      <c r="N925" s="158">
        <v>3</v>
      </c>
      <c r="O925" s="156" t="s">
        <v>40</v>
      </c>
      <c r="P925" s="149" t="s">
        <v>24586</v>
      </c>
      <c r="Q925" s="155">
        <v>1</v>
      </c>
      <c r="R925" s="152"/>
      <c r="S925" s="149" t="s">
        <v>24587</v>
      </c>
      <c r="T925" s="155">
        <v>1</v>
      </c>
      <c r="U925" s="152"/>
      <c r="V925" s="149" t="s">
        <v>7558</v>
      </c>
      <c r="W925" s="158">
        <v>3</v>
      </c>
      <c r="X925" s="152"/>
      <c r="Y925" s="149" t="s">
        <v>47</v>
      </c>
      <c r="Z925" s="153"/>
      <c r="AA925" s="152"/>
      <c r="AB925" s="154" t="s">
        <v>7559</v>
      </c>
    </row>
    <row r="926" spans="1:28" x14ac:dyDescent="0.2">
      <c r="A926" s="146" t="s">
        <v>7560</v>
      </c>
      <c r="B926" s="147" t="s">
        <v>6130</v>
      </c>
      <c r="C926" s="147" t="s">
        <v>7561</v>
      </c>
      <c r="D926" s="148"/>
      <c r="E926" s="149" t="s">
        <v>24588</v>
      </c>
      <c r="F926" s="160">
        <v>2</v>
      </c>
      <c r="G926" s="149" t="s">
        <v>7562</v>
      </c>
      <c r="H926" s="151">
        <v>4</v>
      </c>
      <c r="I926" s="156" t="s">
        <v>55</v>
      </c>
      <c r="J926" s="149" t="s">
        <v>9825</v>
      </c>
      <c r="K926" s="157">
        <v>2</v>
      </c>
      <c r="L926" s="152"/>
      <c r="M926" s="149" t="s">
        <v>24588</v>
      </c>
      <c r="N926" s="157">
        <v>2</v>
      </c>
      <c r="O926" s="152"/>
      <c r="P926" s="149" t="s">
        <v>47</v>
      </c>
      <c r="Q926" s="153"/>
      <c r="R926" s="152"/>
      <c r="S926" s="149" t="s">
        <v>47</v>
      </c>
      <c r="T926" s="153"/>
      <c r="U926" s="152"/>
      <c r="V926" s="149" t="s">
        <v>47</v>
      </c>
      <c r="W926" s="153"/>
      <c r="X926" s="152"/>
      <c r="Y926" s="149" t="s">
        <v>47</v>
      </c>
      <c r="Z926" s="153"/>
      <c r="AA926" s="152"/>
      <c r="AB926" s="154" t="s">
        <v>7563</v>
      </c>
    </row>
    <row r="927" spans="1:28" x14ac:dyDescent="0.2">
      <c r="A927" s="146" t="s">
        <v>7564</v>
      </c>
      <c r="B927" s="147" t="s">
        <v>6718</v>
      </c>
      <c r="C927" s="147" t="s">
        <v>7565</v>
      </c>
      <c r="D927" s="148"/>
      <c r="E927" s="149" t="s">
        <v>24589</v>
      </c>
      <c r="F927" s="160">
        <v>2</v>
      </c>
      <c r="G927" s="149" t="s">
        <v>8457</v>
      </c>
      <c r="H927" s="155">
        <v>1</v>
      </c>
      <c r="I927" s="156" t="s">
        <v>40</v>
      </c>
      <c r="J927" s="149" t="s">
        <v>9335</v>
      </c>
      <c r="K927" s="157">
        <v>2</v>
      </c>
      <c r="L927" s="156" t="s">
        <v>40</v>
      </c>
      <c r="M927" s="149" t="s">
        <v>24589</v>
      </c>
      <c r="N927" s="157">
        <v>2</v>
      </c>
      <c r="O927" s="152"/>
      <c r="P927" s="149" t="s">
        <v>6895</v>
      </c>
      <c r="Q927" s="157">
        <v>2</v>
      </c>
      <c r="R927" s="152"/>
      <c r="S927" s="149" t="s">
        <v>22328</v>
      </c>
      <c r="T927" s="157">
        <v>2</v>
      </c>
      <c r="U927" s="152"/>
      <c r="V927" s="149" t="s">
        <v>24590</v>
      </c>
      <c r="W927" s="157">
        <v>2</v>
      </c>
      <c r="X927" s="152"/>
      <c r="Y927" s="149" t="s">
        <v>47</v>
      </c>
      <c r="Z927" s="153"/>
      <c r="AA927" s="152"/>
      <c r="AB927" s="154" t="s">
        <v>7566</v>
      </c>
    </row>
    <row r="928" spans="1:28" x14ac:dyDescent="0.2">
      <c r="A928" s="146" t="s">
        <v>7567</v>
      </c>
      <c r="B928" s="147" t="s">
        <v>6718</v>
      </c>
      <c r="C928" s="147" t="s">
        <v>6342</v>
      </c>
      <c r="D928" s="148"/>
      <c r="E928" s="149" t="s">
        <v>7568</v>
      </c>
      <c r="F928" s="161">
        <v>1</v>
      </c>
      <c r="G928" s="149" t="s">
        <v>24591</v>
      </c>
      <c r="H928" s="155">
        <v>1</v>
      </c>
      <c r="I928" s="156" t="s">
        <v>40</v>
      </c>
      <c r="J928" s="149" t="s">
        <v>24592</v>
      </c>
      <c r="K928" s="157">
        <v>2</v>
      </c>
      <c r="L928" s="152"/>
      <c r="M928" s="149" t="s">
        <v>7568</v>
      </c>
      <c r="N928" s="155">
        <v>1</v>
      </c>
      <c r="O928" s="152"/>
      <c r="P928" s="149" t="s">
        <v>24593</v>
      </c>
      <c r="Q928" s="155">
        <v>1</v>
      </c>
      <c r="R928" s="152"/>
      <c r="S928" s="149" t="s">
        <v>24594</v>
      </c>
      <c r="T928" s="155">
        <v>1</v>
      </c>
      <c r="U928" s="152"/>
      <c r="V928" s="149" t="s">
        <v>47</v>
      </c>
      <c r="W928" s="153"/>
      <c r="X928" s="152"/>
      <c r="Y928" s="149" t="s">
        <v>47</v>
      </c>
      <c r="Z928" s="153"/>
      <c r="AA928" s="152"/>
      <c r="AB928" s="154" t="s">
        <v>7569</v>
      </c>
    </row>
    <row r="929" spans="1:28" x14ac:dyDescent="0.2">
      <c r="A929" s="146" t="s">
        <v>7570</v>
      </c>
      <c r="B929" s="147" t="s">
        <v>6314</v>
      </c>
      <c r="C929" s="147" t="s">
        <v>6154</v>
      </c>
      <c r="D929" s="148"/>
      <c r="E929" s="149" t="s">
        <v>24595</v>
      </c>
      <c r="F929" s="150">
        <v>4</v>
      </c>
      <c r="G929" s="149" t="s">
        <v>24596</v>
      </c>
      <c r="H929" s="157">
        <v>2</v>
      </c>
      <c r="I929" s="156" t="s">
        <v>53</v>
      </c>
      <c r="J929" s="149" t="s">
        <v>24597</v>
      </c>
      <c r="K929" s="151">
        <v>4</v>
      </c>
      <c r="L929" s="152"/>
      <c r="M929" s="149" t="s">
        <v>24595</v>
      </c>
      <c r="N929" s="151">
        <v>4</v>
      </c>
      <c r="O929" s="152"/>
      <c r="P929" s="149" t="s">
        <v>47</v>
      </c>
      <c r="Q929" s="153"/>
      <c r="R929" s="152"/>
      <c r="S929" s="149" t="s">
        <v>47</v>
      </c>
      <c r="T929" s="153"/>
      <c r="U929" s="152"/>
      <c r="V929" s="149" t="s">
        <v>47</v>
      </c>
      <c r="W929" s="153"/>
      <c r="X929" s="152"/>
      <c r="Y929" s="149" t="s">
        <v>47</v>
      </c>
      <c r="Z929" s="153"/>
      <c r="AA929" s="152"/>
      <c r="AB929" s="154" t="s">
        <v>6052</v>
      </c>
    </row>
    <row r="930" spans="1:28" x14ac:dyDescent="0.2">
      <c r="A930" s="146" t="s">
        <v>7571</v>
      </c>
      <c r="B930" s="147" t="s">
        <v>6314</v>
      </c>
      <c r="C930" s="147" t="s">
        <v>7247</v>
      </c>
      <c r="D930" s="148"/>
      <c r="E930" s="149" t="s">
        <v>24598</v>
      </c>
      <c r="F930" s="150">
        <v>4</v>
      </c>
      <c r="G930" s="149" t="s">
        <v>24599</v>
      </c>
      <c r="H930" s="151">
        <v>4</v>
      </c>
      <c r="I930" s="152"/>
      <c r="J930" s="149" t="s">
        <v>20618</v>
      </c>
      <c r="K930" s="151">
        <v>4</v>
      </c>
      <c r="L930" s="152"/>
      <c r="M930" s="149" t="s">
        <v>24598</v>
      </c>
      <c r="N930" s="151">
        <v>4</v>
      </c>
      <c r="O930" s="152"/>
      <c r="P930" s="149" t="s">
        <v>24600</v>
      </c>
      <c r="Q930" s="151">
        <v>4</v>
      </c>
      <c r="R930" s="152"/>
      <c r="S930" s="149" t="s">
        <v>47</v>
      </c>
      <c r="T930" s="153"/>
      <c r="U930" s="152"/>
      <c r="V930" s="149" t="s">
        <v>47</v>
      </c>
      <c r="W930" s="153"/>
      <c r="X930" s="152"/>
      <c r="Y930" s="149" t="s">
        <v>47</v>
      </c>
      <c r="Z930" s="153"/>
      <c r="AA930" s="152"/>
      <c r="AB930" s="154" t="s">
        <v>6054</v>
      </c>
    </row>
    <row r="931" spans="1:28" x14ac:dyDescent="0.2">
      <c r="A931" s="146" t="s">
        <v>7572</v>
      </c>
      <c r="B931" s="147" t="s">
        <v>6948</v>
      </c>
      <c r="C931" s="147" t="s">
        <v>7573</v>
      </c>
      <c r="D931" s="148"/>
      <c r="E931" s="149" t="s">
        <v>7574</v>
      </c>
      <c r="F931" s="161">
        <v>1</v>
      </c>
      <c r="G931" s="149" t="s">
        <v>22700</v>
      </c>
      <c r="H931" s="157">
        <v>2</v>
      </c>
      <c r="I931" s="156" t="s">
        <v>53</v>
      </c>
      <c r="J931" s="149" t="s">
        <v>7575</v>
      </c>
      <c r="K931" s="155">
        <v>1</v>
      </c>
      <c r="L931" s="152"/>
      <c r="M931" s="149" t="s">
        <v>7574</v>
      </c>
      <c r="N931" s="155">
        <v>1</v>
      </c>
      <c r="O931" s="152"/>
      <c r="P931" s="149" t="s">
        <v>22870</v>
      </c>
      <c r="Q931" s="157">
        <v>2</v>
      </c>
      <c r="R931" s="152"/>
      <c r="S931" s="149" t="s">
        <v>47</v>
      </c>
      <c r="T931" s="153"/>
      <c r="U931" s="152"/>
      <c r="V931" s="149" t="s">
        <v>47</v>
      </c>
      <c r="W931" s="153"/>
      <c r="X931" s="152"/>
      <c r="Y931" s="149" t="s">
        <v>47</v>
      </c>
      <c r="Z931" s="153"/>
      <c r="AA931" s="152"/>
      <c r="AB931" s="154" t="s">
        <v>7576</v>
      </c>
    </row>
    <row r="932" spans="1:28" x14ac:dyDescent="0.2">
      <c r="A932" s="146" t="s">
        <v>7577</v>
      </c>
      <c r="B932" s="147" t="s">
        <v>6314</v>
      </c>
      <c r="C932" s="147" t="s">
        <v>6236</v>
      </c>
      <c r="D932" s="148"/>
      <c r="E932" s="149" t="s">
        <v>24601</v>
      </c>
      <c r="F932" s="150">
        <v>4</v>
      </c>
      <c r="G932" s="149" t="s">
        <v>24602</v>
      </c>
      <c r="H932" s="155">
        <v>1</v>
      </c>
      <c r="I932" s="156" t="s">
        <v>157</v>
      </c>
      <c r="J932" s="149" t="s">
        <v>24603</v>
      </c>
      <c r="K932" s="151">
        <v>4</v>
      </c>
      <c r="L932" s="152"/>
      <c r="M932" s="149" t="s">
        <v>24601</v>
      </c>
      <c r="N932" s="151">
        <v>4</v>
      </c>
      <c r="O932" s="152"/>
      <c r="P932" s="149" t="s">
        <v>24604</v>
      </c>
      <c r="Q932" s="158">
        <v>3</v>
      </c>
      <c r="R932" s="156" t="s">
        <v>40</v>
      </c>
      <c r="S932" s="149" t="s">
        <v>47</v>
      </c>
      <c r="T932" s="153"/>
      <c r="U932" s="152"/>
      <c r="V932" s="149" t="s">
        <v>47</v>
      </c>
      <c r="W932" s="153"/>
      <c r="X932" s="152"/>
      <c r="Y932" s="149" t="s">
        <v>47</v>
      </c>
      <c r="Z932" s="153"/>
      <c r="AA932" s="152"/>
      <c r="AB932" s="154" t="s">
        <v>7578</v>
      </c>
    </row>
    <row r="933" spans="1:28" x14ac:dyDescent="0.2">
      <c r="A933" s="146" t="s">
        <v>7579</v>
      </c>
      <c r="B933" s="147" t="s">
        <v>6718</v>
      </c>
      <c r="C933" s="147" t="s">
        <v>6181</v>
      </c>
      <c r="D933" s="148"/>
      <c r="E933" s="149" t="s">
        <v>24605</v>
      </c>
      <c r="F933" s="159">
        <v>3</v>
      </c>
      <c r="G933" s="149" t="s">
        <v>24606</v>
      </c>
      <c r="H933" s="151">
        <v>4</v>
      </c>
      <c r="I933" s="152"/>
      <c r="J933" s="149" t="s">
        <v>24607</v>
      </c>
      <c r="K933" s="151">
        <v>4</v>
      </c>
      <c r="L933" s="152"/>
      <c r="M933" s="149" t="s">
        <v>24605</v>
      </c>
      <c r="N933" s="158">
        <v>3</v>
      </c>
      <c r="O933" s="152"/>
      <c r="P933" s="149" t="s">
        <v>24608</v>
      </c>
      <c r="Q933" s="151">
        <v>4</v>
      </c>
      <c r="R933" s="156" t="s">
        <v>46</v>
      </c>
      <c r="S933" s="149" t="s">
        <v>47</v>
      </c>
      <c r="T933" s="153"/>
      <c r="U933" s="152"/>
      <c r="V933" s="149" t="s">
        <v>47</v>
      </c>
      <c r="W933" s="153"/>
      <c r="X933" s="152"/>
      <c r="Y933" s="149" t="s">
        <v>47</v>
      </c>
      <c r="Z933" s="153"/>
      <c r="AA933" s="152"/>
      <c r="AB933" s="154" t="s">
        <v>7580</v>
      </c>
    </row>
    <row r="934" spans="1:28" x14ac:dyDescent="0.2">
      <c r="A934" s="146" t="s">
        <v>7581</v>
      </c>
      <c r="B934" s="147" t="s">
        <v>6130</v>
      </c>
      <c r="C934" s="147" t="s">
        <v>7166</v>
      </c>
      <c r="D934" s="148"/>
      <c r="E934" s="149" t="s">
        <v>3745</v>
      </c>
      <c r="F934" s="159">
        <v>3</v>
      </c>
      <c r="G934" s="149" t="s">
        <v>24609</v>
      </c>
      <c r="H934" s="151">
        <v>4</v>
      </c>
      <c r="I934" s="156" t="s">
        <v>46</v>
      </c>
      <c r="J934" s="149" t="s">
        <v>7582</v>
      </c>
      <c r="K934" s="151">
        <v>4</v>
      </c>
      <c r="L934" s="156" t="s">
        <v>55</v>
      </c>
      <c r="M934" s="149" t="s">
        <v>3745</v>
      </c>
      <c r="N934" s="158">
        <v>3</v>
      </c>
      <c r="O934" s="156" t="s">
        <v>46</v>
      </c>
      <c r="P934" s="149" t="s">
        <v>24610</v>
      </c>
      <c r="Q934" s="158">
        <v>3</v>
      </c>
      <c r="R934" s="156" t="s">
        <v>46</v>
      </c>
      <c r="S934" s="149" t="s">
        <v>7583</v>
      </c>
      <c r="T934" s="158">
        <v>3</v>
      </c>
      <c r="U934" s="156" t="s">
        <v>46</v>
      </c>
      <c r="V934" s="149" t="s">
        <v>7584</v>
      </c>
      <c r="W934" s="157">
        <v>2</v>
      </c>
      <c r="X934" s="152"/>
      <c r="Y934" s="149" t="s">
        <v>47</v>
      </c>
      <c r="Z934" s="153"/>
      <c r="AA934" s="152"/>
      <c r="AB934" s="154" t="s">
        <v>6064</v>
      </c>
    </row>
    <row r="935" spans="1:28" x14ac:dyDescent="0.2">
      <c r="A935" s="146" t="s">
        <v>7585</v>
      </c>
      <c r="B935" s="147" t="s">
        <v>6130</v>
      </c>
      <c r="C935" s="147" t="s">
        <v>7166</v>
      </c>
      <c r="D935" s="148" t="s">
        <v>6160</v>
      </c>
      <c r="E935" s="149" t="s">
        <v>24611</v>
      </c>
      <c r="F935" s="150">
        <v>4</v>
      </c>
      <c r="G935" s="149" t="s">
        <v>22007</v>
      </c>
      <c r="H935" s="151">
        <v>4</v>
      </c>
      <c r="I935" s="156" t="s">
        <v>46</v>
      </c>
      <c r="J935" s="149" t="s">
        <v>24612</v>
      </c>
      <c r="K935" s="151">
        <v>4</v>
      </c>
      <c r="L935" s="156" t="s">
        <v>46</v>
      </c>
      <c r="M935" s="149" t="s">
        <v>24611</v>
      </c>
      <c r="N935" s="151">
        <v>4</v>
      </c>
      <c r="O935" s="156" t="s">
        <v>46</v>
      </c>
      <c r="P935" s="149" t="s">
        <v>19691</v>
      </c>
      <c r="Q935" s="151">
        <v>4</v>
      </c>
      <c r="R935" s="152"/>
      <c r="S935" s="149" t="s">
        <v>7586</v>
      </c>
      <c r="T935" s="157">
        <v>2</v>
      </c>
      <c r="U935" s="152"/>
      <c r="V935" s="149" t="s">
        <v>7587</v>
      </c>
      <c r="W935" s="157">
        <v>2</v>
      </c>
      <c r="X935" s="152"/>
      <c r="Y935" s="149" t="s">
        <v>47</v>
      </c>
      <c r="Z935" s="153"/>
      <c r="AA935" s="152"/>
      <c r="AB935" s="154" t="s">
        <v>6068</v>
      </c>
    </row>
    <row r="936" spans="1:28" x14ac:dyDescent="0.2">
      <c r="A936" s="146" t="s">
        <v>7588</v>
      </c>
      <c r="B936" s="147" t="s">
        <v>6130</v>
      </c>
      <c r="C936" s="147" t="s">
        <v>6747</v>
      </c>
      <c r="D936" s="148"/>
      <c r="E936" s="149" t="s">
        <v>9072</v>
      </c>
      <c r="F936" s="159">
        <v>3</v>
      </c>
      <c r="G936" s="149" t="s">
        <v>24613</v>
      </c>
      <c r="H936" s="151">
        <v>4</v>
      </c>
      <c r="I936" s="156" t="s">
        <v>44</v>
      </c>
      <c r="J936" s="149" t="s">
        <v>24614</v>
      </c>
      <c r="K936" s="157">
        <v>2</v>
      </c>
      <c r="L936" s="152"/>
      <c r="M936" s="149" t="s">
        <v>9072</v>
      </c>
      <c r="N936" s="158">
        <v>3</v>
      </c>
      <c r="O936" s="156" t="s">
        <v>46</v>
      </c>
      <c r="P936" s="149" t="s">
        <v>858</v>
      </c>
      <c r="Q936" s="158">
        <v>3</v>
      </c>
      <c r="R936" s="156" t="s">
        <v>46</v>
      </c>
      <c r="S936" s="149" t="s">
        <v>24615</v>
      </c>
      <c r="T936" s="155">
        <v>1</v>
      </c>
      <c r="U936" s="152"/>
      <c r="V936" s="149" t="s">
        <v>24616</v>
      </c>
      <c r="W936" s="155">
        <v>1</v>
      </c>
      <c r="X936" s="152"/>
      <c r="Y936" s="149" t="s">
        <v>47</v>
      </c>
      <c r="Z936" s="153"/>
      <c r="AA936" s="152"/>
      <c r="AB936" s="154" t="s">
        <v>6072</v>
      </c>
    </row>
    <row r="937" spans="1:28" x14ac:dyDescent="0.2">
      <c r="A937" s="146" t="s">
        <v>7589</v>
      </c>
      <c r="B937" s="147" t="s">
        <v>6130</v>
      </c>
      <c r="C937" s="147" t="s">
        <v>6157</v>
      </c>
      <c r="D937" s="148"/>
      <c r="E937" s="149" t="s">
        <v>24617</v>
      </c>
      <c r="F937" s="160">
        <v>2</v>
      </c>
      <c r="G937" s="149" t="s">
        <v>24618</v>
      </c>
      <c r="H937" s="158">
        <v>3</v>
      </c>
      <c r="I937" s="152"/>
      <c r="J937" s="149" t="s">
        <v>24619</v>
      </c>
      <c r="K937" s="158">
        <v>3</v>
      </c>
      <c r="L937" s="156" t="s">
        <v>40</v>
      </c>
      <c r="M937" s="149" t="s">
        <v>24617</v>
      </c>
      <c r="N937" s="157">
        <v>2</v>
      </c>
      <c r="O937" s="152"/>
      <c r="P937" s="149" t="s">
        <v>24620</v>
      </c>
      <c r="Q937" s="157">
        <v>2</v>
      </c>
      <c r="R937" s="156" t="s">
        <v>46</v>
      </c>
      <c r="S937" s="149" t="s">
        <v>47</v>
      </c>
      <c r="T937" s="153"/>
      <c r="U937" s="152"/>
      <c r="V937" s="149" t="s">
        <v>47</v>
      </c>
      <c r="W937" s="153"/>
      <c r="X937" s="152"/>
      <c r="Y937" s="149" t="s">
        <v>47</v>
      </c>
      <c r="Z937" s="153"/>
      <c r="AA937" s="152"/>
      <c r="AB937" s="154" t="s">
        <v>7590</v>
      </c>
    </row>
    <row r="938" spans="1:28" x14ac:dyDescent="0.2">
      <c r="A938" s="146" t="s">
        <v>24621</v>
      </c>
      <c r="B938" s="147" t="s">
        <v>6130</v>
      </c>
      <c r="C938" s="147" t="s">
        <v>6131</v>
      </c>
      <c r="D938" s="148"/>
      <c r="E938" s="149" t="s">
        <v>24622</v>
      </c>
      <c r="F938" s="161">
        <v>1</v>
      </c>
      <c r="G938" s="149" t="s">
        <v>24623</v>
      </c>
      <c r="H938" s="157">
        <v>2</v>
      </c>
      <c r="I938" s="152"/>
      <c r="J938" s="149" t="s">
        <v>24624</v>
      </c>
      <c r="K938" s="155">
        <v>1</v>
      </c>
      <c r="L938" s="152"/>
      <c r="M938" s="149" t="s">
        <v>24622</v>
      </c>
      <c r="N938" s="155">
        <v>1</v>
      </c>
      <c r="O938" s="152"/>
      <c r="P938" s="149" t="s">
        <v>47</v>
      </c>
      <c r="Q938" s="153"/>
      <c r="R938" s="152"/>
      <c r="S938" s="149" t="s">
        <v>47</v>
      </c>
      <c r="T938" s="153"/>
      <c r="U938" s="152"/>
      <c r="V938" s="149" t="s">
        <v>47</v>
      </c>
      <c r="W938" s="153"/>
      <c r="X938" s="152"/>
      <c r="Y938" s="149" t="s">
        <v>47</v>
      </c>
      <c r="Z938" s="153"/>
      <c r="AA938" s="152"/>
      <c r="AB938" s="154" t="s">
        <v>6079</v>
      </c>
    </row>
    <row r="939" spans="1:28" x14ac:dyDescent="0.2">
      <c r="A939" s="146" t="s">
        <v>6080</v>
      </c>
      <c r="B939" s="147" t="s">
        <v>6130</v>
      </c>
      <c r="C939" s="147" t="s">
        <v>6349</v>
      </c>
      <c r="D939" s="148"/>
      <c r="E939" s="149" t="s">
        <v>24625</v>
      </c>
      <c r="F939" s="161">
        <v>1</v>
      </c>
      <c r="G939" s="149" t="s">
        <v>24626</v>
      </c>
      <c r="H939" s="157">
        <v>2</v>
      </c>
      <c r="I939" s="156" t="s">
        <v>46</v>
      </c>
      <c r="J939" s="149" t="s">
        <v>24627</v>
      </c>
      <c r="K939" s="155">
        <v>1</v>
      </c>
      <c r="L939" s="152"/>
      <c r="M939" s="149" t="s">
        <v>24625</v>
      </c>
      <c r="N939" s="155">
        <v>1</v>
      </c>
      <c r="O939" s="152"/>
      <c r="P939" s="149" t="s">
        <v>24628</v>
      </c>
      <c r="Q939" s="155">
        <v>1</v>
      </c>
      <c r="R939" s="152"/>
      <c r="S939" s="149" t="s">
        <v>47</v>
      </c>
      <c r="T939" s="153"/>
      <c r="U939" s="152"/>
      <c r="V939" s="149" t="s">
        <v>47</v>
      </c>
      <c r="W939" s="153"/>
      <c r="X939" s="152"/>
      <c r="Y939" s="149" t="s">
        <v>47</v>
      </c>
      <c r="Z939" s="153"/>
      <c r="AA939" s="152"/>
      <c r="AB939" s="154" t="s">
        <v>6081</v>
      </c>
    </row>
    <row r="940" spans="1:28" x14ac:dyDescent="0.2">
      <c r="A940" s="146" t="s">
        <v>24629</v>
      </c>
      <c r="B940" s="147" t="s">
        <v>6130</v>
      </c>
      <c r="C940" s="147" t="s">
        <v>6131</v>
      </c>
      <c r="D940" s="148"/>
      <c r="E940" s="149" t="s">
        <v>24630</v>
      </c>
      <c r="F940" s="161">
        <v>1</v>
      </c>
      <c r="G940" s="149" t="s">
        <v>24631</v>
      </c>
      <c r="H940" s="157">
        <v>2</v>
      </c>
      <c r="I940" s="152"/>
      <c r="J940" s="149" t="s">
        <v>24632</v>
      </c>
      <c r="K940" s="155">
        <v>1</v>
      </c>
      <c r="L940" s="152"/>
      <c r="M940" s="149" t="s">
        <v>24630</v>
      </c>
      <c r="N940" s="155">
        <v>1</v>
      </c>
      <c r="O940" s="152"/>
      <c r="P940" s="149" t="s">
        <v>24633</v>
      </c>
      <c r="Q940" s="155">
        <v>1</v>
      </c>
      <c r="R940" s="156" t="s">
        <v>40</v>
      </c>
      <c r="S940" s="149" t="s">
        <v>47</v>
      </c>
      <c r="T940" s="153"/>
      <c r="U940" s="152"/>
      <c r="V940" s="149" t="s">
        <v>47</v>
      </c>
      <c r="W940" s="153"/>
      <c r="X940" s="152"/>
      <c r="Y940" s="149" t="s">
        <v>47</v>
      </c>
      <c r="Z940" s="153"/>
      <c r="AA940" s="152"/>
      <c r="AB940" s="154" t="s">
        <v>6085</v>
      </c>
    </row>
    <row r="941" spans="1:28" x14ac:dyDescent="0.2">
      <c r="A941" s="146" t="s">
        <v>7591</v>
      </c>
      <c r="B941" s="147" t="s">
        <v>6130</v>
      </c>
      <c r="C941" s="147" t="s">
        <v>6131</v>
      </c>
      <c r="D941" s="148"/>
      <c r="E941" s="149" t="s">
        <v>24634</v>
      </c>
      <c r="F941" s="161">
        <v>1</v>
      </c>
      <c r="G941" s="149" t="s">
        <v>24635</v>
      </c>
      <c r="H941" s="158">
        <v>3</v>
      </c>
      <c r="I941" s="152"/>
      <c r="J941" s="149" t="s">
        <v>24636</v>
      </c>
      <c r="K941" s="157">
        <v>2</v>
      </c>
      <c r="L941" s="156" t="s">
        <v>46</v>
      </c>
      <c r="M941" s="149" t="s">
        <v>24634</v>
      </c>
      <c r="N941" s="155">
        <v>1</v>
      </c>
      <c r="O941" s="156" t="s">
        <v>40</v>
      </c>
      <c r="P941" s="149" t="s">
        <v>47</v>
      </c>
      <c r="Q941" s="153"/>
      <c r="R941" s="152"/>
      <c r="S941" s="149" t="s">
        <v>47</v>
      </c>
      <c r="T941" s="153"/>
      <c r="U941" s="152"/>
      <c r="V941" s="149" t="s">
        <v>47</v>
      </c>
      <c r="W941" s="153"/>
      <c r="X941" s="152"/>
      <c r="Y941" s="149" t="s">
        <v>47</v>
      </c>
      <c r="Z941" s="153"/>
      <c r="AA941" s="152"/>
      <c r="AB941" s="154" t="s">
        <v>6087</v>
      </c>
    </row>
    <row r="942" spans="1:28" x14ac:dyDescent="0.2">
      <c r="A942" s="146" t="s">
        <v>24637</v>
      </c>
      <c r="B942" s="147" t="s">
        <v>6130</v>
      </c>
      <c r="C942" s="147" t="s">
        <v>6175</v>
      </c>
      <c r="D942" s="148"/>
      <c r="E942" s="149" t="s">
        <v>47</v>
      </c>
      <c r="F942" s="152"/>
      <c r="G942" s="149" t="s">
        <v>24638</v>
      </c>
      <c r="H942" s="158">
        <v>3</v>
      </c>
      <c r="I942" s="156" t="s">
        <v>40</v>
      </c>
      <c r="J942" s="149" t="s">
        <v>47</v>
      </c>
      <c r="K942" s="153"/>
      <c r="L942" s="152"/>
      <c r="M942" s="149" t="s">
        <v>47</v>
      </c>
      <c r="N942" s="153"/>
      <c r="O942" s="152"/>
      <c r="P942" s="149" t="s">
        <v>47</v>
      </c>
      <c r="Q942" s="153"/>
      <c r="R942" s="152"/>
      <c r="S942" s="149" t="s">
        <v>47</v>
      </c>
      <c r="T942" s="153"/>
      <c r="U942" s="152"/>
      <c r="V942" s="149" t="s">
        <v>47</v>
      </c>
      <c r="W942" s="153"/>
      <c r="X942" s="152"/>
      <c r="Y942" s="149" t="s">
        <v>47</v>
      </c>
      <c r="Z942" s="153"/>
      <c r="AA942" s="152"/>
      <c r="AB942" s="154" t="s">
        <v>6083</v>
      </c>
    </row>
    <row r="943" spans="1:28" x14ac:dyDescent="0.2">
      <c r="A943" s="146" t="s">
        <v>24639</v>
      </c>
      <c r="B943" s="147" t="s">
        <v>6130</v>
      </c>
      <c r="C943" s="147" t="s">
        <v>6349</v>
      </c>
      <c r="D943" s="148"/>
      <c r="E943" s="149" t="s">
        <v>24640</v>
      </c>
      <c r="F943" s="161">
        <v>1</v>
      </c>
      <c r="G943" s="149" t="s">
        <v>24641</v>
      </c>
      <c r="H943" s="158">
        <v>3</v>
      </c>
      <c r="I943" s="156" t="s">
        <v>55</v>
      </c>
      <c r="J943" s="149" t="s">
        <v>24642</v>
      </c>
      <c r="K943" s="157">
        <v>2</v>
      </c>
      <c r="L943" s="156" t="s">
        <v>46</v>
      </c>
      <c r="M943" s="149" t="s">
        <v>24640</v>
      </c>
      <c r="N943" s="155">
        <v>1</v>
      </c>
      <c r="O943" s="152"/>
      <c r="P943" s="149" t="s">
        <v>24643</v>
      </c>
      <c r="Q943" s="155">
        <v>1</v>
      </c>
      <c r="R943" s="152"/>
      <c r="S943" s="149" t="s">
        <v>47</v>
      </c>
      <c r="T943" s="153"/>
      <c r="U943" s="152"/>
      <c r="V943" s="149" t="s">
        <v>47</v>
      </c>
      <c r="W943" s="153"/>
      <c r="X943" s="152"/>
      <c r="Y943" s="149" t="s">
        <v>47</v>
      </c>
      <c r="Z943" s="153"/>
      <c r="AA943" s="152"/>
      <c r="AB943" s="154" t="s">
        <v>6089</v>
      </c>
    </row>
    <row r="944" spans="1:28" x14ac:dyDescent="0.2">
      <c r="A944" s="146" t="s">
        <v>7592</v>
      </c>
      <c r="B944" s="147" t="s">
        <v>6130</v>
      </c>
      <c r="C944" s="147" t="s">
        <v>6349</v>
      </c>
      <c r="D944" s="148"/>
      <c r="E944" s="149" t="s">
        <v>24644</v>
      </c>
      <c r="F944" s="159">
        <v>3</v>
      </c>
      <c r="G944" s="149" t="s">
        <v>24645</v>
      </c>
      <c r="H944" s="158">
        <v>3</v>
      </c>
      <c r="I944" s="156" t="s">
        <v>46</v>
      </c>
      <c r="J944" s="149" t="s">
        <v>24646</v>
      </c>
      <c r="K944" s="158">
        <v>3</v>
      </c>
      <c r="L944" s="156" t="s">
        <v>46</v>
      </c>
      <c r="M944" s="149" t="s">
        <v>24644</v>
      </c>
      <c r="N944" s="158">
        <v>3</v>
      </c>
      <c r="O944" s="152"/>
      <c r="P944" s="149" t="s">
        <v>47</v>
      </c>
      <c r="Q944" s="153"/>
      <c r="R944" s="152"/>
      <c r="S944" s="149" t="s">
        <v>47</v>
      </c>
      <c r="T944" s="153"/>
      <c r="U944" s="152"/>
      <c r="V944" s="149" t="s">
        <v>47</v>
      </c>
      <c r="W944" s="153"/>
      <c r="X944" s="152"/>
      <c r="Y944" s="149" t="s">
        <v>47</v>
      </c>
      <c r="Z944" s="153"/>
      <c r="AA944" s="152"/>
      <c r="AB944" s="154" t="s">
        <v>6091</v>
      </c>
    </row>
    <row r="945" spans="1:28" x14ac:dyDescent="0.2">
      <c r="A945" s="146" t="s">
        <v>24647</v>
      </c>
      <c r="B945" s="147" t="s">
        <v>6130</v>
      </c>
      <c r="C945" s="147" t="s">
        <v>6349</v>
      </c>
      <c r="D945" s="148"/>
      <c r="E945" s="149" t="s">
        <v>47</v>
      </c>
      <c r="F945" s="152"/>
      <c r="G945" s="149" t="s">
        <v>24648</v>
      </c>
      <c r="H945" s="157">
        <v>2</v>
      </c>
      <c r="I945" s="152"/>
      <c r="J945" s="149" t="s">
        <v>47</v>
      </c>
      <c r="K945" s="153"/>
      <c r="L945" s="152"/>
      <c r="M945" s="149" t="s">
        <v>47</v>
      </c>
      <c r="N945" s="153"/>
      <c r="O945" s="152"/>
      <c r="P945" s="149" t="s">
        <v>47</v>
      </c>
      <c r="Q945" s="153"/>
      <c r="R945" s="152"/>
      <c r="S945" s="149" t="s">
        <v>47</v>
      </c>
      <c r="T945" s="153"/>
      <c r="U945" s="152"/>
      <c r="V945" s="149" t="s">
        <v>47</v>
      </c>
      <c r="W945" s="153"/>
      <c r="X945" s="152"/>
      <c r="Y945" s="149" t="s">
        <v>47</v>
      </c>
      <c r="Z945" s="153"/>
      <c r="AA945" s="152"/>
      <c r="AB945" s="154" t="s">
        <v>20413</v>
      </c>
    </row>
    <row r="946" spans="1:28" x14ac:dyDescent="0.2">
      <c r="A946" s="146" t="s">
        <v>6094</v>
      </c>
      <c r="B946" s="147" t="s">
        <v>6314</v>
      </c>
      <c r="C946" s="147" t="s">
        <v>6540</v>
      </c>
      <c r="D946" s="148"/>
      <c r="E946" s="149" t="s">
        <v>24649</v>
      </c>
      <c r="F946" s="150">
        <v>4</v>
      </c>
      <c r="G946" s="149" t="s">
        <v>24650</v>
      </c>
      <c r="H946" s="158">
        <v>3</v>
      </c>
      <c r="I946" s="156" t="s">
        <v>40</v>
      </c>
      <c r="J946" s="149" t="s">
        <v>7593</v>
      </c>
      <c r="K946" s="151">
        <v>4</v>
      </c>
      <c r="L946" s="152"/>
      <c r="M946" s="149" t="s">
        <v>24649</v>
      </c>
      <c r="N946" s="151">
        <v>4</v>
      </c>
      <c r="O946" s="152"/>
      <c r="P946" s="149" t="s">
        <v>24651</v>
      </c>
      <c r="Q946" s="157">
        <v>2</v>
      </c>
      <c r="R946" s="156" t="s">
        <v>40</v>
      </c>
      <c r="S946" s="149" t="s">
        <v>24437</v>
      </c>
      <c r="T946" s="158">
        <v>3</v>
      </c>
      <c r="U946" s="152"/>
      <c r="V946" s="149" t="s">
        <v>11692</v>
      </c>
      <c r="W946" s="157">
        <v>2</v>
      </c>
      <c r="X946" s="152"/>
      <c r="Y946" s="149" t="s">
        <v>7594</v>
      </c>
      <c r="Z946" s="158">
        <v>3</v>
      </c>
      <c r="AA946" s="152"/>
      <c r="AB946" s="154" t="s">
        <v>6099</v>
      </c>
    </row>
    <row r="947" spans="1:28" x14ac:dyDescent="0.2">
      <c r="A947" s="146" t="s">
        <v>7595</v>
      </c>
      <c r="B947" s="147" t="s">
        <v>6130</v>
      </c>
      <c r="C947" s="147" t="s">
        <v>6192</v>
      </c>
      <c r="D947" s="148"/>
      <c r="E947" s="149" t="s">
        <v>24652</v>
      </c>
      <c r="F947" s="150">
        <v>4</v>
      </c>
      <c r="G947" s="149" t="s">
        <v>24653</v>
      </c>
      <c r="H947" s="157">
        <v>2</v>
      </c>
      <c r="I947" s="152"/>
      <c r="J947" s="149" t="s">
        <v>24654</v>
      </c>
      <c r="K947" s="157">
        <v>2</v>
      </c>
      <c r="L947" s="156" t="s">
        <v>40</v>
      </c>
      <c r="M947" s="149" t="s">
        <v>24652</v>
      </c>
      <c r="N947" s="151">
        <v>4</v>
      </c>
      <c r="O947" s="152"/>
      <c r="P947" s="149" t="s">
        <v>24655</v>
      </c>
      <c r="Q947" s="151">
        <v>4</v>
      </c>
      <c r="R947" s="152"/>
      <c r="S947" s="149" t="s">
        <v>24656</v>
      </c>
      <c r="T947" s="151">
        <v>4</v>
      </c>
      <c r="U947" s="152"/>
      <c r="V947" s="149" t="s">
        <v>24657</v>
      </c>
      <c r="W947" s="151">
        <v>4</v>
      </c>
      <c r="X947" s="152"/>
      <c r="Y947" s="149" t="s">
        <v>47</v>
      </c>
      <c r="Z947" s="153"/>
      <c r="AA947" s="152"/>
      <c r="AB947" s="154" t="s">
        <v>7596</v>
      </c>
    </row>
    <row r="948" spans="1:28" x14ac:dyDescent="0.2">
      <c r="A948" s="146" t="s">
        <v>7597</v>
      </c>
      <c r="B948" s="147" t="s">
        <v>6130</v>
      </c>
      <c r="C948" s="147" t="s">
        <v>6872</v>
      </c>
      <c r="D948" s="148" t="s">
        <v>6170</v>
      </c>
      <c r="E948" s="149" t="s">
        <v>24658</v>
      </c>
      <c r="F948" s="160">
        <v>2</v>
      </c>
      <c r="G948" s="149" t="s">
        <v>24659</v>
      </c>
      <c r="H948" s="155">
        <v>1</v>
      </c>
      <c r="I948" s="156" t="s">
        <v>53</v>
      </c>
      <c r="J948" s="149" t="s">
        <v>24660</v>
      </c>
      <c r="K948" s="155">
        <v>1</v>
      </c>
      <c r="L948" s="156" t="s">
        <v>40</v>
      </c>
      <c r="M948" s="149" t="s">
        <v>24658</v>
      </c>
      <c r="N948" s="157">
        <v>2</v>
      </c>
      <c r="O948" s="152"/>
      <c r="P948" s="149" t="s">
        <v>7598</v>
      </c>
      <c r="Q948" s="157">
        <v>2</v>
      </c>
      <c r="R948" s="156" t="s">
        <v>40</v>
      </c>
      <c r="S948" s="149" t="s">
        <v>24661</v>
      </c>
      <c r="T948" s="151">
        <v>4</v>
      </c>
      <c r="U948" s="152"/>
      <c r="V948" s="149" t="s">
        <v>7599</v>
      </c>
      <c r="W948" s="158">
        <v>3</v>
      </c>
      <c r="X948" s="152"/>
      <c r="Y948" s="149" t="s">
        <v>7600</v>
      </c>
      <c r="Z948" s="151">
        <v>4</v>
      </c>
      <c r="AA948" s="152"/>
      <c r="AB948" s="154" t="s">
        <v>6105</v>
      </c>
    </row>
    <row r="949" spans="1:28" x14ac:dyDescent="0.2">
      <c r="A949" s="146" t="s">
        <v>7601</v>
      </c>
      <c r="B949" s="147" t="s">
        <v>6130</v>
      </c>
      <c r="C949" s="147" t="s">
        <v>6766</v>
      </c>
      <c r="D949" s="148"/>
      <c r="E949" s="149" t="s">
        <v>24662</v>
      </c>
      <c r="F949" s="150">
        <v>4</v>
      </c>
      <c r="G949" s="149" t="s">
        <v>24663</v>
      </c>
      <c r="H949" s="155">
        <v>1</v>
      </c>
      <c r="I949" s="156" t="s">
        <v>157</v>
      </c>
      <c r="J949" s="149" t="s">
        <v>24664</v>
      </c>
      <c r="K949" s="151">
        <v>4</v>
      </c>
      <c r="L949" s="152"/>
      <c r="M949" s="149" t="s">
        <v>24662</v>
      </c>
      <c r="N949" s="151">
        <v>4</v>
      </c>
      <c r="O949" s="152"/>
      <c r="P949" s="149" t="s">
        <v>24665</v>
      </c>
      <c r="Q949" s="151">
        <v>4</v>
      </c>
      <c r="R949" s="152"/>
      <c r="S949" s="149" t="s">
        <v>24666</v>
      </c>
      <c r="T949" s="151">
        <v>4</v>
      </c>
      <c r="U949" s="152"/>
      <c r="V949" s="149" t="s">
        <v>24667</v>
      </c>
      <c r="W949" s="151">
        <v>4</v>
      </c>
      <c r="X949" s="152"/>
      <c r="Y949" s="149" t="s">
        <v>24668</v>
      </c>
      <c r="Z949" s="151">
        <v>4</v>
      </c>
      <c r="AA949" s="152"/>
      <c r="AB949" s="154" t="s">
        <v>6113</v>
      </c>
    </row>
    <row r="950" spans="1:28" x14ac:dyDescent="0.2">
      <c r="A950" s="146" t="s">
        <v>7602</v>
      </c>
      <c r="B950" s="147" t="s">
        <v>6130</v>
      </c>
      <c r="C950" s="147" t="s">
        <v>6766</v>
      </c>
      <c r="D950" s="148"/>
      <c r="E950" s="149" t="s">
        <v>24669</v>
      </c>
      <c r="F950" s="150">
        <v>4</v>
      </c>
      <c r="G950" s="149" t="s">
        <v>24670</v>
      </c>
      <c r="H950" s="157">
        <v>2</v>
      </c>
      <c r="I950" s="156" t="s">
        <v>40</v>
      </c>
      <c r="J950" s="149" t="s">
        <v>24671</v>
      </c>
      <c r="K950" s="158">
        <v>3</v>
      </c>
      <c r="L950" s="156" t="s">
        <v>40</v>
      </c>
      <c r="M950" s="149" t="s">
        <v>24669</v>
      </c>
      <c r="N950" s="151">
        <v>4</v>
      </c>
      <c r="O950" s="152"/>
      <c r="P950" s="149" t="s">
        <v>24672</v>
      </c>
      <c r="Q950" s="151">
        <v>4</v>
      </c>
      <c r="R950" s="152"/>
      <c r="S950" s="149" t="s">
        <v>24673</v>
      </c>
      <c r="T950" s="151">
        <v>4</v>
      </c>
      <c r="U950" s="152"/>
      <c r="V950" s="149" t="s">
        <v>24674</v>
      </c>
      <c r="W950" s="151">
        <v>4</v>
      </c>
      <c r="X950" s="152"/>
      <c r="Y950" s="149" t="s">
        <v>47</v>
      </c>
      <c r="Z950" s="153"/>
      <c r="AA950" s="152"/>
      <c r="AB950" s="154" t="s">
        <v>7603</v>
      </c>
    </row>
    <row r="951" spans="1:28" x14ac:dyDescent="0.2">
      <c r="A951" s="146" t="s">
        <v>7604</v>
      </c>
      <c r="B951" s="147" t="s">
        <v>6130</v>
      </c>
      <c r="C951" s="147" t="s">
        <v>6766</v>
      </c>
      <c r="D951" s="148"/>
      <c r="E951" s="149" t="s">
        <v>24675</v>
      </c>
      <c r="F951" s="150">
        <v>4</v>
      </c>
      <c r="G951" s="149" t="s">
        <v>24676</v>
      </c>
      <c r="H951" s="157">
        <v>2</v>
      </c>
      <c r="I951" s="156" t="s">
        <v>40</v>
      </c>
      <c r="J951" s="149" t="s">
        <v>24677</v>
      </c>
      <c r="K951" s="157">
        <v>2</v>
      </c>
      <c r="L951" s="156" t="s">
        <v>40</v>
      </c>
      <c r="M951" s="149" t="s">
        <v>24675</v>
      </c>
      <c r="N951" s="151">
        <v>4</v>
      </c>
      <c r="O951" s="152"/>
      <c r="P951" s="149" t="s">
        <v>24678</v>
      </c>
      <c r="Q951" s="151">
        <v>4</v>
      </c>
      <c r="R951" s="152"/>
      <c r="S951" s="149" t="s">
        <v>24679</v>
      </c>
      <c r="T951" s="158">
        <v>3</v>
      </c>
      <c r="U951" s="152"/>
      <c r="V951" s="149" t="s">
        <v>24680</v>
      </c>
      <c r="W951" s="157">
        <v>2</v>
      </c>
      <c r="X951" s="152"/>
      <c r="Y951" s="149" t="s">
        <v>47</v>
      </c>
      <c r="Z951" s="153"/>
      <c r="AA951" s="152"/>
      <c r="AB951" s="154" t="s">
        <v>6115</v>
      </c>
    </row>
    <row r="952" spans="1:28" x14ac:dyDescent="0.2">
      <c r="A952" s="146" t="s">
        <v>7605</v>
      </c>
      <c r="B952" s="147" t="s">
        <v>6130</v>
      </c>
      <c r="C952" s="147" t="s">
        <v>6766</v>
      </c>
      <c r="D952" s="148"/>
      <c r="E952" s="149" t="s">
        <v>24681</v>
      </c>
      <c r="F952" s="150">
        <v>4</v>
      </c>
      <c r="G952" s="149" t="s">
        <v>24682</v>
      </c>
      <c r="H952" s="157">
        <v>2</v>
      </c>
      <c r="I952" s="156" t="s">
        <v>40</v>
      </c>
      <c r="J952" s="149" t="s">
        <v>24683</v>
      </c>
      <c r="K952" s="158">
        <v>3</v>
      </c>
      <c r="L952" s="152"/>
      <c r="M952" s="149" t="s">
        <v>24681</v>
      </c>
      <c r="N952" s="151">
        <v>4</v>
      </c>
      <c r="O952" s="152"/>
      <c r="P952" s="149" t="s">
        <v>21689</v>
      </c>
      <c r="Q952" s="151">
        <v>4</v>
      </c>
      <c r="R952" s="152"/>
      <c r="S952" s="149" t="s">
        <v>24684</v>
      </c>
      <c r="T952" s="158">
        <v>3</v>
      </c>
      <c r="U952" s="152"/>
      <c r="V952" s="149" t="s">
        <v>24685</v>
      </c>
      <c r="W952" s="158">
        <v>3</v>
      </c>
      <c r="X952" s="152"/>
      <c r="Y952" s="149" t="s">
        <v>47</v>
      </c>
      <c r="Z952" s="153"/>
      <c r="AA952" s="152"/>
      <c r="AB952" s="154" t="s">
        <v>7606</v>
      </c>
    </row>
    <row r="953" spans="1:28" x14ac:dyDescent="0.2">
      <c r="A953" s="146" t="s">
        <v>7607</v>
      </c>
      <c r="B953" s="147" t="s">
        <v>6130</v>
      </c>
      <c r="C953" s="147" t="s">
        <v>6766</v>
      </c>
      <c r="D953" s="148"/>
      <c r="E953" s="149" t="s">
        <v>24686</v>
      </c>
      <c r="F953" s="150">
        <v>4</v>
      </c>
      <c r="G953" s="149" t="s">
        <v>24687</v>
      </c>
      <c r="H953" s="157">
        <v>2</v>
      </c>
      <c r="I953" s="156" t="s">
        <v>40</v>
      </c>
      <c r="J953" s="149" t="s">
        <v>24688</v>
      </c>
      <c r="K953" s="158">
        <v>3</v>
      </c>
      <c r="L953" s="152"/>
      <c r="M953" s="149" t="s">
        <v>24686</v>
      </c>
      <c r="N953" s="151">
        <v>4</v>
      </c>
      <c r="O953" s="152"/>
      <c r="P953" s="149" t="s">
        <v>24689</v>
      </c>
      <c r="Q953" s="151">
        <v>4</v>
      </c>
      <c r="R953" s="152"/>
      <c r="S953" s="149" t="s">
        <v>24690</v>
      </c>
      <c r="T953" s="158">
        <v>3</v>
      </c>
      <c r="U953" s="152"/>
      <c r="V953" s="149" t="s">
        <v>24691</v>
      </c>
      <c r="W953" s="158">
        <v>3</v>
      </c>
      <c r="X953" s="152"/>
      <c r="Y953" s="149" t="s">
        <v>47</v>
      </c>
      <c r="Z953" s="153"/>
      <c r="AA953" s="152"/>
      <c r="AB953" s="154" t="s">
        <v>6117</v>
      </c>
    </row>
    <row r="954" spans="1:28" x14ac:dyDescent="0.2">
      <c r="A954" s="146" t="s">
        <v>7608</v>
      </c>
      <c r="B954" s="147" t="s">
        <v>6130</v>
      </c>
      <c r="C954" s="147" t="s">
        <v>6766</v>
      </c>
      <c r="D954" s="148"/>
      <c r="E954" s="149" t="s">
        <v>21699</v>
      </c>
      <c r="F954" s="150">
        <v>4</v>
      </c>
      <c r="G954" s="149" t="s">
        <v>24692</v>
      </c>
      <c r="H954" s="157">
        <v>2</v>
      </c>
      <c r="I954" s="156" t="s">
        <v>40</v>
      </c>
      <c r="J954" s="149" t="s">
        <v>24693</v>
      </c>
      <c r="K954" s="158">
        <v>3</v>
      </c>
      <c r="L954" s="152"/>
      <c r="M954" s="149" t="s">
        <v>21699</v>
      </c>
      <c r="N954" s="151">
        <v>4</v>
      </c>
      <c r="O954" s="152"/>
      <c r="P954" s="149" t="s">
        <v>24694</v>
      </c>
      <c r="Q954" s="151">
        <v>4</v>
      </c>
      <c r="R954" s="152"/>
      <c r="S954" s="149" t="s">
        <v>24695</v>
      </c>
      <c r="T954" s="151">
        <v>4</v>
      </c>
      <c r="U954" s="152"/>
      <c r="V954" s="149" t="s">
        <v>47</v>
      </c>
      <c r="W954" s="153"/>
      <c r="X954" s="152"/>
      <c r="Y954" s="149" t="s">
        <v>47</v>
      </c>
      <c r="Z954" s="153"/>
      <c r="AA954" s="152"/>
      <c r="AB954" s="154" t="s">
        <v>6119</v>
      </c>
    </row>
    <row r="955" spans="1:28" x14ac:dyDescent="0.2">
      <c r="A955" s="146" t="s">
        <v>24696</v>
      </c>
      <c r="B955" s="147" t="s">
        <v>6130</v>
      </c>
      <c r="C955" s="147" t="s">
        <v>6229</v>
      </c>
      <c r="D955" s="148"/>
      <c r="E955" s="149" t="s">
        <v>24697</v>
      </c>
      <c r="F955" s="150">
        <v>4</v>
      </c>
      <c r="G955" s="149" t="s">
        <v>24698</v>
      </c>
      <c r="H955" s="157">
        <v>2</v>
      </c>
      <c r="I955" s="152"/>
      <c r="J955" s="149" t="s">
        <v>24699</v>
      </c>
      <c r="K955" s="157">
        <v>2</v>
      </c>
      <c r="L955" s="156" t="s">
        <v>53</v>
      </c>
      <c r="M955" s="149" t="s">
        <v>24697</v>
      </c>
      <c r="N955" s="151">
        <v>4</v>
      </c>
      <c r="O955" s="152"/>
      <c r="P955" s="149" t="s">
        <v>24700</v>
      </c>
      <c r="Q955" s="151">
        <v>4</v>
      </c>
      <c r="R955" s="152"/>
      <c r="S955" s="149" t="s">
        <v>47</v>
      </c>
      <c r="T955" s="153"/>
      <c r="U955" s="152"/>
      <c r="V955" s="149" t="s">
        <v>47</v>
      </c>
      <c r="W955" s="153"/>
      <c r="X955" s="152"/>
      <c r="Y955" s="149" t="s">
        <v>47</v>
      </c>
      <c r="Z955" s="153"/>
      <c r="AA955" s="152"/>
      <c r="AB955" s="154" t="s">
        <v>6121</v>
      </c>
    </row>
    <row r="956" spans="1:28" x14ac:dyDescent="0.2">
      <c r="A956" s="146" t="s">
        <v>24701</v>
      </c>
      <c r="B956" s="147" t="s">
        <v>6130</v>
      </c>
      <c r="C956" s="147" t="s">
        <v>6229</v>
      </c>
      <c r="D956" s="148"/>
      <c r="E956" s="149" t="s">
        <v>24702</v>
      </c>
      <c r="F956" s="150">
        <v>4</v>
      </c>
      <c r="G956" s="149" t="s">
        <v>24703</v>
      </c>
      <c r="H956" s="155">
        <v>1</v>
      </c>
      <c r="I956" s="156" t="s">
        <v>40</v>
      </c>
      <c r="J956" s="149" t="s">
        <v>24704</v>
      </c>
      <c r="K956" s="157">
        <v>2</v>
      </c>
      <c r="L956" s="156" t="s">
        <v>53</v>
      </c>
      <c r="M956" s="149" t="s">
        <v>24702</v>
      </c>
      <c r="N956" s="151">
        <v>4</v>
      </c>
      <c r="O956" s="152"/>
      <c r="P956" s="149" t="s">
        <v>24705</v>
      </c>
      <c r="Q956" s="151">
        <v>4</v>
      </c>
      <c r="R956" s="152"/>
      <c r="S956" s="149" t="s">
        <v>47</v>
      </c>
      <c r="T956" s="153"/>
      <c r="U956" s="152"/>
      <c r="V956" s="149" t="s">
        <v>47</v>
      </c>
      <c r="W956" s="153"/>
      <c r="X956" s="152"/>
      <c r="Y956" s="149" t="s">
        <v>47</v>
      </c>
      <c r="Z956" s="153"/>
      <c r="AA956" s="152"/>
      <c r="AB956" s="154" t="s">
        <v>24706</v>
      </c>
    </row>
    <row r="957" spans="1:28" ht="12" thickBot="1" x14ac:dyDescent="0.25">
      <c r="A957" s="162" t="s">
        <v>24707</v>
      </c>
      <c r="B957" s="163" t="s">
        <v>6130</v>
      </c>
      <c r="C957" s="163" t="s">
        <v>6229</v>
      </c>
      <c r="D957" s="164"/>
      <c r="E957" s="165" t="s">
        <v>47</v>
      </c>
      <c r="F957" s="166"/>
      <c r="G957" s="165" t="s">
        <v>24708</v>
      </c>
      <c r="H957" s="167">
        <v>1</v>
      </c>
      <c r="I957" s="168" t="s">
        <v>53</v>
      </c>
      <c r="J957" s="165" t="s">
        <v>24709</v>
      </c>
      <c r="K957" s="169">
        <v>2</v>
      </c>
      <c r="L957" s="168" t="s">
        <v>40</v>
      </c>
      <c r="M957" s="165" t="s">
        <v>47</v>
      </c>
      <c r="N957" s="170"/>
      <c r="O957" s="166"/>
      <c r="P957" s="165" t="s">
        <v>47</v>
      </c>
      <c r="Q957" s="170"/>
      <c r="R957" s="166"/>
      <c r="S957" s="165" t="s">
        <v>47</v>
      </c>
      <c r="T957" s="170"/>
      <c r="U957" s="166"/>
      <c r="V957" s="165" t="s">
        <v>47</v>
      </c>
      <c r="W957" s="170"/>
      <c r="X957" s="166"/>
      <c r="Y957" s="165" t="s">
        <v>47</v>
      </c>
      <c r="Z957" s="170"/>
      <c r="AA957" s="166"/>
      <c r="AB957" s="171" t="s">
        <v>24710</v>
      </c>
    </row>
  </sheetData>
  <autoFilter ref="A5:AB5"/>
  <mergeCells count="9">
    <mergeCell ref="E3:AA3"/>
    <mergeCell ref="E4:F4"/>
    <mergeCell ref="G4:I4"/>
    <mergeCell ref="J4:L4"/>
    <mergeCell ref="M4:O4"/>
    <mergeCell ref="P4:R4"/>
    <mergeCell ref="S4:U4"/>
    <mergeCell ref="V4:X4"/>
    <mergeCell ref="Y4:AA4"/>
  </mergeCells>
  <pageMargins left="0.78740157499999996" right="0.78740157499999996" top="0.984251969" bottom="0.984251969" header="0.4921259845" footer="0.492125984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AD2720"/>
  <sheetViews>
    <sheetView showGridLines="0" workbookViewId="0">
      <pane xSplit="1" ySplit="5" topLeftCell="B6" activePane="bottomRight" state="frozen"/>
      <selection pane="topRight" activeCell="B1" sqref="B1"/>
      <selection pane="bottomLeft" activeCell="A6" sqref="A6"/>
      <selection pane="bottomRight" activeCell="A6" sqref="A6"/>
    </sheetView>
  </sheetViews>
  <sheetFormatPr baseColWidth="10" defaultRowHeight="11.25" x14ac:dyDescent="0.2"/>
  <cols>
    <col min="1" max="1" width="37.7109375" style="62" customWidth="1"/>
    <col min="2" max="2" width="29.7109375" style="69" customWidth="1"/>
    <col min="3" max="3" width="42.7109375" style="69" customWidth="1"/>
    <col min="4" max="4" width="10.7109375" style="129" customWidth="1"/>
    <col min="5" max="5" width="12" style="129" customWidth="1"/>
    <col min="6" max="6" width="8.28515625" style="69" customWidth="1"/>
    <col min="7" max="7" width="2.28515625" style="69" customWidth="1"/>
    <col min="8" max="8" width="8.28515625" style="69" customWidth="1"/>
    <col min="9" max="9" width="2.28515625" style="69" customWidth="1"/>
    <col min="10" max="10" width="4.85546875" style="69" customWidth="1"/>
    <col min="11" max="11" width="8.28515625" style="69" customWidth="1"/>
    <col min="12" max="12" width="2.28515625" style="69" customWidth="1"/>
    <col min="13" max="13" width="4.85546875" style="69" customWidth="1"/>
    <col min="14" max="14" width="8.28515625" style="69" customWidth="1"/>
    <col min="15" max="15" width="2.28515625" style="69" customWidth="1"/>
    <col min="16" max="16" width="4.85546875" style="69" customWidth="1"/>
    <col min="17" max="17" width="8.28515625" style="69" customWidth="1"/>
    <col min="18" max="18" width="2.28515625" style="69" customWidth="1"/>
    <col min="19" max="19" width="4.85546875" style="69" customWidth="1"/>
    <col min="20" max="20" width="8.28515625" style="69" customWidth="1"/>
    <col min="21" max="21" width="2.28515625" style="69" customWidth="1"/>
    <col min="22" max="22" width="4.85546875" style="69" customWidth="1"/>
    <col min="23" max="23" width="8.28515625" style="69" customWidth="1"/>
    <col min="24" max="24" width="2.28515625" style="69" customWidth="1"/>
    <col min="25" max="25" width="5.140625" style="69" bestFit="1" customWidth="1"/>
    <col min="26" max="26" width="8.28515625" style="69" customWidth="1"/>
    <col min="27" max="27" width="2.28515625" style="69" customWidth="1"/>
    <col min="28" max="28" width="5.140625" style="69" bestFit="1" customWidth="1"/>
    <col min="29" max="29" width="12.7109375" style="69" hidden="1" customWidth="1"/>
    <col min="30" max="30" width="24.7109375" style="62" hidden="1" customWidth="1"/>
    <col min="31" max="16384" width="11.42578125" style="62"/>
  </cols>
  <sheetData>
    <row r="1" spans="1:30" ht="18.95" customHeight="1" x14ac:dyDescent="0.25">
      <c r="B1" s="63" t="s">
        <v>18</v>
      </c>
      <c r="C1" s="64"/>
      <c r="D1" s="65"/>
      <c r="E1" s="65"/>
      <c r="F1" s="66"/>
      <c r="G1" s="66"/>
      <c r="H1" s="66"/>
      <c r="I1" s="66"/>
      <c r="J1" s="66"/>
      <c r="K1" s="66"/>
      <c r="L1" s="66"/>
      <c r="M1" s="66"/>
      <c r="N1" s="66"/>
      <c r="O1" s="66"/>
      <c r="P1" s="66"/>
      <c r="Q1" s="67"/>
      <c r="R1" s="67"/>
      <c r="S1" s="67"/>
      <c r="T1" s="67"/>
      <c r="U1" s="67"/>
      <c r="V1" s="67"/>
      <c r="W1" s="67"/>
      <c r="X1" s="67"/>
      <c r="Y1" s="66"/>
      <c r="Z1" s="66"/>
      <c r="AA1" s="66"/>
      <c r="AB1" s="68" t="s">
        <v>19</v>
      </c>
    </row>
    <row r="2" spans="1:30" ht="18.95" customHeight="1" thickBot="1" x14ac:dyDescent="0.25">
      <c r="A2" s="70"/>
      <c r="B2" s="71" t="s">
        <v>7627</v>
      </c>
      <c r="C2" s="72"/>
      <c r="D2" s="73"/>
      <c r="E2" s="73"/>
      <c r="F2" s="73"/>
      <c r="G2" s="73"/>
      <c r="H2" s="73"/>
      <c r="I2" s="73"/>
      <c r="J2" s="73"/>
      <c r="K2" s="73"/>
      <c r="L2" s="73"/>
      <c r="M2" s="73"/>
      <c r="N2" s="73"/>
      <c r="O2" s="73"/>
      <c r="P2" s="73"/>
      <c r="Q2" s="67"/>
      <c r="R2" s="67"/>
      <c r="S2" s="67"/>
      <c r="T2" s="67"/>
      <c r="U2" s="67"/>
      <c r="V2" s="67"/>
      <c r="W2" s="67"/>
      <c r="X2" s="67"/>
      <c r="Y2" s="70"/>
      <c r="Z2" s="70"/>
      <c r="AA2" s="70"/>
      <c r="AB2" s="74" t="s">
        <v>20</v>
      </c>
    </row>
    <row r="3" spans="1:30" s="79" customFormat="1" ht="12.75" x14ac:dyDescent="0.2">
      <c r="A3" s="75"/>
      <c r="B3" s="76"/>
      <c r="C3" s="77"/>
      <c r="D3" s="78" t="s">
        <v>21</v>
      </c>
      <c r="E3" s="78" t="s">
        <v>21</v>
      </c>
      <c r="F3" s="273" t="s">
        <v>22</v>
      </c>
      <c r="G3" s="274"/>
      <c r="H3" s="274"/>
      <c r="I3" s="274"/>
      <c r="J3" s="274"/>
      <c r="K3" s="274"/>
      <c r="L3" s="274"/>
      <c r="M3" s="274"/>
      <c r="N3" s="274"/>
      <c r="O3" s="274"/>
      <c r="P3" s="274"/>
      <c r="Q3" s="274"/>
      <c r="R3" s="274"/>
      <c r="S3" s="274"/>
      <c r="T3" s="274"/>
      <c r="U3" s="274"/>
      <c r="V3" s="274"/>
      <c r="W3" s="274"/>
      <c r="X3" s="274"/>
      <c r="Y3" s="274"/>
      <c r="Z3" s="274"/>
      <c r="AA3" s="274"/>
      <c r="AB3" s="275"/>
      <c r="AC3" s="76"/>
      <c r="AD3" s="76"/>
    </row>
    <row r="4" spans="1:30" s="79" customFormat="1" ht="12.75" x14ac:dyDescent="0.2">
      <c r="A4" s="80" t="s">
        <v>23</v>
      </c>
      <c r="B4" s="81" t="s">
        <v>24</v>
      </c>
      <c r="C4" s="81" t="s">
        <v>25</v>
      </c>
      <c r="D4" s="82" t="s">
        <v>26</v>
      </c>
      <c r="E4" s="82" t="s">
        <v>27</v>
      </c>
      <c r="F4" s="276" t="s">
        <v>5</v>
      </c>
      <c r="G4" s="276"/>
      <c r="H4" s="276" t="s">
        <v>28</v>
      </c>
      <c r="I4" s="276"/>
      <c r="J4" s="276"/>
      <c r="K4" s="276" t="s">
        <v>29</v>
      </c>
      <c r="L4" s="276"/>
      <c r="M4" s="276"/>
      <c r="N4" s="276" t="s">
        <v>30</v>
      </c>
      <c r="O4" s="276"/>
      <c r="P4" s="276"/>
      <c r="Q4" s="276" t="s">
        <v>31</v>
      </c>
      <c r="R4" s="276"/>
      <c r="S4" s="276"/>
      <c r="T4" s="276" t="s">
        <v>32</v>
      </c>
      <c r="U4" s="276"/>
      <c r="V4" s="276"/>
      <c r="W4" s="276" t="s">
        <v>33</v>
      </c>
      <c r="X4" s="276"/>
      <c r="Y4" s="276"/>
      <c r="Z4" s="276" t="s">
        <v>34</v>
      </c>
      <c r="AA4" s="276"/>
      <c r="AB4" s="276"/>
      <c r="AC4" s="81" t="s">
        <v>35</v>
      </c>
      <c r="AD4" s="81" t="s">
        <v>36</v>
      </c>
    </row>
    <row r="5" spans="1:30" s="79" customFormat="1" ht="13.5" thickBot="1" x14ac:dyDescent="0.25">
      <c r="A5" s="83"/>
      <c r="B5" s="84"/>
      <c r="C5" s="84"/>
      <c r="D5" s="85" t="s">
        <v>37</v>
      </c>
      <c r="E5" s="86" t="s">
        <v>26</v>
      </c>
      <c r="F5" s="87" t="s">
        <v>38</v>
      </c>
      <c r="G5" s="88" t="s">
        <v>39</v>
      </c>
      <c r="H5" s="87" t="s">
        <v>38</v>
      </c>
      <c r="I5" s="89" t="s">
        <v>39</v>
      </c>
      <c r="J5" s="90" t="s">
        <v>40</v>
      </c>
      <c r="K5" s="87" t="s">
        <v>38</v>
      </c>
      <c r="L5" s="89" t="s">
        <v>39</v>
      </c>
      <c r="M5" s="90" t="s">
        <v>40</v>
      </c>
      <c r="N5" s="87" t="s">
        <v>38</v>
      </c>
      <c r="O5" s="89" t="s">
        <v>39</v>
      </c>
      <c r="P5" s="90" t="s">
        <v>40</v>
      </c>
      <c r="Q5" s="87" t="s">
        <v>38</v>
      </c>
      <c r="R5" s="89" t="s">
        <v>39</v>
      </c>
      <c r="S5" s="90" t="s">
        <v>40</v>
      </c>
      <c r="T5" s="87" t="s">
        <v>38</v>
      </c>
      <c r="U5" s="89" t="s">
        <v>39</v>
      </c>
      <c r="V5" s="90" t="s">
        <v>40</v>
      </c>
      <c r="W5" s="87" t="s">
        <v>38</v>
      </c>
      <c r="X5" s="89" t="s">
        <v>39</v>
      </c>
      <c r="Y5" s="90" t="s">
        <v>40</v>
      </c>
      <c r="Z5" s="87" t="s">
        <v>38</v>
      </c>
      <c r="AA5" s="89" t="s">
        <v>39</v>
      </c>
      <c r="AB5" s="90" t="s">
        <v>40</v>
      </c>
      <c r="AC5" s="84"/>
      <c r="AD5" s="84"/>
    </row>
    <row r="6" spans="1:30" x14ac:dyDescent="0.2">
      <c r="A6" s="91" t="s">
        <v>41</v>
      </c>
      <c r="B6" s="92" t="s">
        <v>42</v>
      </c>
      <c r="C6" s="92" t="s">
        <v>43</v>
      </c>
      <c r="D6" s="93"/>
      <c r="E6" s="94"/>
      <c r="F6" s="95" t="s">
        <v>7628</v>
      </c>
      <c r="G6" s="96">
        <v>2</v>
      </c>
      <c r="H6" s="95" t="s">
        <v>7629</v>
      </c>
      <c r="I6" s="97">
        <v>4</v>
      </c>
      <c r="J6" s="98" t="s">
        <v>44</v>
      </c>
      <c r="K6" s="95" t="s">
        <v>45</v>
      </c>
      <c r="L6" s="97">
        <v>4</v>
      </c>
      <c r="M6" s="98" t="s">
        <v>44</v>
      </c>
      <c r="N6" s="95" t="s">
        <v>7628</v>
      </c>
      <c r="O6" s="99">
        <v>2</v>
      </c>
      <c r="P6" s="98" t="s">
        <v>46</v>
      </c>
      <c r="Q6" s="95" t="s">
        <v>7630</v>
      </c>
      <c r="R6" s="100">
        <v>1</v>
      </c>
      <c r="S6" s="101"/>
      <c r="T6" s="95" t="s">
        <v>7631</v>
      </c>
      <c r="U6" s="99">
        <v>2</v>
      </c>
      <c r="V6" s="98" t="s">
        <v>46</v>
      </c>
      <c r="W6" s="95" t="s">
        <v>47</v>
      </c>
      <c r="X6" s="102"/>
      <c r="Y6" s="101"/>
      <c r="Z6" s="95" t="s">
        <v>47</v>
      </c>
      <c r="AA6" s="102"/>
      <c r="AB6" s="101"/>
      <c r="AC6" s="92" t="s">
        <v>48</v>
      </c>
      <c r="AD6" s="103" t="s">
        <v>49</v>
      </c>
    </row>
    <row r="7" spans="1:30" x14ac:dyDescent="0.2">
      <c r="A7" s="104" t="s">
        <v>50</v>
      </c>
      <c r="B7" s="105" t="s">
        <v>42</v>
      </c>
      <c r="C7" s="105" t="s">
        <v>51</v>
      </c>
      <c r="D7" s="106"/>
      <c r="E7" s="107"/>
      <c r="F7" s="108" t="s">
        <v>7632</v>
      </c>
      <c r="G7" s="109">
        <v>4</v>
      </c>
      <c r="H7" s="108" t="s">
        <v>7633</v>
      </c>
      <c r="I7" s="110">
        <v>3</v>
      </c>
      <c r="J7" s="111" t="s">
        <v>40</v>
      </c>
      <c r="K7" s="108" t="s">
        <v>7634</v>
      </c>
      <c r="L7" s="112">
        <v>4</v>
      </c>
      <c r="M7" s="113"/>
      <c r="N7" s="108" t="s">
        <v>7632</v>
      </c>
      <c r="O7" s="112">
        <v>4</v>
      </c>
      <c r="P7" s="113"/>
      <c r="Q7" s="108" t="s">
        <v>47</v>
      </c>
      <c r="R7" s="114"/>
      <c r="S7" s="113"/>
      <c r="T7" s="108" t="s">
        <v>47</v>
      </c>
      <c r="U7" s="114"/>
      <c r="V7" s="113"/>
      <c r="W7" s="108" t="s">
        <v>47</v>
      </c>
      <c r="X7" s="114"/>
      <c r="Y7" s="113"/>
      <c r="Z7" s="108" t="s">
        <v>47</v>
      </c>
      <c r="AA7" s="114"/>
      <c r="AB7" s="113"/>
      <c r="AC7" s="105" t="s">
        <v>52</v>
      </c>
      <c r="AD7" s="115" t="s">
        <v>49</v>
      </c>
    </row>
    <row r="8" spans="1:30" x14ac:dyDescent="0.2">
      <c r="A8" s="104" t="s">
        <v>7635</v>
      </c>
      <c r="B8" s="105" t="s">
        <v>42</v>
      </c>
      <c r="C8" s="105" t="s">
        <v>51</v>
      </c>
      <c r="D8" s="106"/>
      <c r="E8" s="107"/>
      <c r="F8" s="108" t="s">
        <v>47</v>
      </c>
      <c r="G8" s="113"/>
      <c r="H8" s="108" t="s">
        <v>7636</v>
      </c>
      <c r="I8" s="116">
        <v>1</v>
      </c>
      <c r="J8" s="111" t="s">
        <v>53</v>
      </c>
      <c r="K8" s="108" t="s">
        <v>47</v>
      </c>
      <c r="L8" s="114"/>
      <c r="M8" s="113"/>
      <c r="N8" s="108" t="s">
        <v>47</v>
      </c>
      <c r="O8" s="114"/>
      <c r="P8" s="113"/>
      <c r="Q8" s="108" t="s">
        <v>47</v>
      </c>
      <c r="R8" s="114"/>
      <c r="S8" s="113"/>
      <c r="T8" s="108" t="s">
        <v>47</v>
      </c>
      <c r="U8" s="114"/>
      <c r="V8" s="113"/>
      <c r="W8" s="108" t="s">
        <v>47</v>
      </c>
      <c r="X8" s="114"/>
      <c r="Y8" s="113"/>
      <c r="Z8" s="108" t="s">
        <v>47</v>
      </c>
      <c r="AA8" s="114"/>
      <c r="AB8" s="113"/>
      <c r="AC8" s="105" t="s">
        <v>7637</v>
      </c>
      <c r="AD8" s="115" t="s">
        <v>49</v>
      </c>
    </row>
    <row r="9" spans="1:30" x14ac:dyDescent="0.2">
      <c r="A9" s="104" t="s">
        <v>54</v>
      </c>
      <c r="B9" s="105" t="s">
        <v>42</v>
      </c>
      <c r="C9" s="105" t="s">
        <v>43</v>
      </c>
      <c r="D9" s="106"/>
      <c r="E9" s="107"/>
      <c r="F9" s="108" t="s">
        <v>7638</v>
      </c>
      <c r="G9" s="109">
        <v>4</v>
      </c>
      <c r="H9" s="108" t="s">
        <v>7639</v>
      </c>
      <c r="I9" s="112">
        <v>4</v>
      </c>
      <c r="J9" s="111" t="s">
        <v>44</v>
      </c>
      <c r="K9" s="108" t="s">
        <v>7640</v>
      </c>
      <c r="L9" s="112">
        <v>4</v>
      </c>
      <c r="M9" s="111" t="s">
        <v>55</v>
      </c>
      <c r="N9" s="108" t="s">
        <v>7638</v>
      </c>
      <c r="O9" s="112">
        <v>4</v>
      </c>
      <c r="P9" s="111" t="s">
        <v>44</v>
      </c>
      <c r="Q9" s="108" t="s">
        <v>7641</v>
      </c>
      <c r="R9" s="117">
        <v>2</v>
      </c>
      <c r="S9" s="111" t="s">
        <v>46</v>
      </c>
      <c r="T9" s="108" t="s">
        <v>7642</v>
      </c>
      <c r="U9" s="117">
        <v>2</v>
      </c>
      <c r="V9" s="113"/>
      <c r="W9" s="108" t="s">
        <v>47</v>
      </c>
      <c r="X9" s="114"/>
      <c r="Y9" s="113"/>
      <c r="Z9" s="108" t="s">
        <v>47</v>
      </c>
      <c r="AA9" s="114"/>
      <c r="AB9" s="113"/>
      <c r="AC9" s="105" t="s">
        <v>56</v>
      </c>
      <c r="AD9" s="115" t="s">
        <v>49</v>
      </c>
    </row>
    <row r="10" spans="1:30" x14ac:dyDescent="0.2">
      <c r="A10" s="104" t="s">
        <v>57</v>
      </c>
      <c r="B10" s="105" t="s">
        <v>42</v>
      </c>
      <c r="C10" s="105" t="s">
        <v>51</v>
      </c>
      <c r="D10" s="106"/>
      <c r="E10" s="107"/>
      <c r="F10" s="108" t="s">
        <v>7643</v>
      </c>
      <c r="G10" s="118">
        <v>3</v>
      </c>
      <c r="H10" s="108" t="s">
        <v>7644</v>
      </c>
      <c r="I10" s="110">
        <v>3</v>
      </c>
      <c r="J10" s="111" t="s">
        <v>55</v>
      </c>
      <c r="K10" s="108" t="s">
        <v>7645</v>
      </c>
      <c r="L10" s="110">
        <v>3</v>
      </c>
      <c r="M10" s="111" t="s">
        <v>46</v>
      </c>
      <c r="N10" s="108" t="s">
        <v>7643</v>
      </c>
      <c r="O10" s="110">
        <v>3</v>
      </c>
      <c r="P10" s="111" t="s">
        <v>46</v>
      </c>
      <c r="Q10" s="108" t="s">
        <v>7646</v>
      </c>
      <c r="R10" s="117">
        <v>2</v>
      </c>
      <c r="S10" s="111" t="s">
        <v>46</v>
      </c>
      <c r="T10" s="108" t="s">
        <v>47</v>
      </c>
      <c r="U10" s="114"/>
      <c r="V10" s="113"/>
      <c r="W10" s="108" t="s">
        <v>47</v>
      </c>
      <c r="X10" s="114"/>
      <c r="Y10" s="113"/>
      <c r="Z10" s="108" t="s">
        <v>47</v>
      </c>
      <c r="AA10" s="114"/>
      <c r="AB10" s="113"/>
      <c r="AC10" s="105" t="s">
        <v>58</v>
      </c>
      <c r="AD10" s="115" t="s">
        <v>49</v>
      </c>
    </row>
    <row r="11" spans="1:30" x14ac:dyDescent="0.2">
      <c r="A11" s="104" t="s">
        <v>59</v>
      </c>
      <c r="B11" s="105" t="s">
        <v>42</v>
      </c>
      <c r="C11" s="105" t="s">
        <v>51</v>
      </c>
      <c r="D11" s="106"/>
      <c r="E11" s="107"/>
      <c r="F11" s="108" t="s">
        <v>7647</v>
      </c>
      <c r="G11" s="118">
        <v>3</v>
      </c>
      <c r="H11" s="108" t="s">
        <v>7648</v>
      </c>
      <c r="I11" s="110">
        <v>3</v>
      </c>
      <c r="J11" s="111" t="s">
        <v>55</v>
      </c>
      <c r="K11" s="108" t="s">
        <v>7649</v>
      </c>
      <c r="L11" s="117">
        <v>2</v>
      </c>
      <c r="M11" s="113"/>
      <c r="N11" s="108" t="s">
        <v>7647</v>
      </c>
      <c r="O11" s="110">
        <v>3</v>
      </c>
      <c r="P11" s="111" t="s">
        <v>46</v>
      </c>
      <c r="Q11" s="108" t="s">
        <v>7650</v>
      </c>
      <c r="R11" s="117">
        <v>2</v>
      </c>
      <c r="S11" s="113"/>
      <c r="T11" s="108" t="s">
        <v>47</v>
      </c>
      <c r="U11" s="114"/>
      <c r="V11" s="113"/>
      <c r="W11" s="108" t="s">
        <v>47</v>
      </c>
      <c r="X11" s="114"/>
      <c r="Y11" s="113"/>
      <c r="Z11" s="108" t="s">
        <v>47</v>
      </c>
      <c r="AA11" s="114"/>
      <c r="AB11" s="113"/>
      <c r="AC11" s="105" t="s">
        <v>60</v>
      </c>
      <c r="AD11" s="115" t="s">
        <v>49</v>
      </c>
    </row>
    <row r="12" spans="1:30" x14ac:dyDescent="0.2">
      <c r="A12" s="104" t="s">
        <v>61</v>
      </c>
      <c r="B12" s="105" t="s">
        <v>42</v>
      </c>
      <c r="C12" s="105" t="s">
        <v>51</v>
      </c>
      <c r="D12" s="106"/>
      <c r="E12" s="107"/>
      <c r="F12" s="108" t="s">
        <v>7651</v>
      </c>
      <c r="G12" s="118">
        <v>3</v>
      </c>
      <c r="H12" s="108" t="s">
        <v>7652</v>
      </c>
      <c r="I12" s="110">
        <v>3</v>
      </c>
      <c r="J12" s="111" t="s">
        <v>55</v>
      </c>
      <c r="K12" s="108" t="s">
        <v>7653</v>
      </c>
      <c r="L12" s="117">
        <v>2</v>
      </c>
      <c r="M12" s="113"/>
      <c r="N12" s="108" t="s">
        <v>7651</v>
      </c>
      <c r="O12" s="110">
        <v>3</v>
      </c>
      <c r="P12" s="111" t="s">
        <v>46</v>
      </c>
      <c r="Q12" s="108" t="s">
        <v>7654</v>
      </c>
      <c r="R12" s="110">
        <v>3</v>
      </c>
      <c r="S12" s="111" t="s">
        <v>46</v>
      </c>
      <c r="T12" s="108" t="s">
        <v>47</v>
      </c>
      <c r="U12" s="114"/>
      <c r="V12" s="113"/>
      <c r="W12" s="108" t="s">
        <v>47</v>
      </c>
      <c r="X12" s="114"/>
      <c r="Y12" s="113"/>
      <c r="Z12" s="108" t="s">
        <v>47</v>
      </c>
      <c r="AA12" s="114"/>
      <c r="AB12" s="113"/>
      <c r="AC12" s="105" t="s">
        <v>62</v>
      </c>
      <c r="AD12" s="115" t="s">
        <v>49</v>
      </c>
    </row>
    <row r="13" spans="1:30" x14ac:dyDescent="0.2">
      <c r="A13" s="104" t="s">
        <v>63</v>
      </c>
      <c r="B13" s="105" t="s">
        <v>42</v>
      </c>
      <c r="C13" s="105" t="s">
        <v>51</v>
      </c>
      <c r="D13" s="106"/>
      <c r="E13" s="107"/>
      <c r="F13" s="108" t="s">
        <v>7655</v>
      </c>
      <c r="G13" s="118">
        <v>3</v>
      </c>
      <c r="H13" s="108" t="s">
        <v>7656</v>
      </c>
      <c r="I13" s="110">
        <v>3</v>
      </c>
      <c r="J13" s="111" t="s">
        <v>55</v>
      </c>
      <c r="K13" s="108" t="s">
        <v>7657</v>
      </c>
      <c r="L13" s="117">
        <v>2</v>
      </c>
      <c r="M13" s="113"/>
      <c r="N13" s="108" t="s">
        <v>7655</v>
      </c>
      <c r="O13" s="110">
        <v>3</v>
      </c>
      <c r="P13" s="113"/>
      <c r="Q13" s="108" t="s">
        <v>7658</v>
      </c>
      <c r="R13" s="110">
        <v>3</v>
      </c>
      <c r="S13" s="113"/>
      <c r="T13" s="108" t="s">
        <v>47</v>
      </c>
      <c r="U13" s="114"/>
      <c r="V13" s="113"/>
      <c r="W13" s="108" t="s">
        <v>47</v>
      </c>
      <c r="X13" s="114"/>
      <c r="Y13" s="113"/>
      <c r="Z13" s="108" t="s">
        <v>47</v>
      </c>
      <c r="AA13" s="114"/>
      <c r="AB13" s="113"/>
      <c r="AC13" s="105" t="s">
        <v>64</v>
      </c>
      <c r="AD13" s="115" t="s">
        <v>49</v>
      </c>
    </row>
    <row r="14" spans="1:30" x14ac:dyDescent="0.2">
      <c r="A14" s="104" t="s">
        <v>65</v>
      </c>
      <c r="B14" s="105" t="s">
        <v>42</v>
      </c>
      <c r="C14" s="105" t="s">
        <v>51</v>
      </c>
      <c r="D14" s="106"/>
      <c r="E14" s="107"/>
      <c r="F14" s="108" t="s">
        <v>7659</v>
      </c>
      <c r="G14" s="109">
        <v>4</v>
      </c>
      <c r="H14" s="108" t="s">
        <v>7660</v>
      </c>
      <c r="I14" s="110">
        <v>3</v>
      </c>
      <c r="J14" s="111" t="s">
        <v>55</v>
      </c>
      <c r="K14" s="108" t="s">
        <v>7661</v>
      </c>
      <c r="L14" s="110">
        <v>3</v>
      </c>
      <c r="M14" s="111" t="s">
        <v>46</v>
      </c>
      <c r="N14" s="108" t="s">
        <v>7659</v>
      </c>
      <c r="O14" s="112">
        <v>4</v>
      </c>
      <c r="P14" s="111" t="s">
        <v>46</v>
      </c>
      <c r="Q14" s="108" t="s">
        <v>66</v>
      </c>
      <c r="R14" s="112">
        <v>4</v>
      </c>
      <c r="S14" s="111" t="s">
        <v>46</v>
      </c>
      <c r="T14" s="108" t="s">
        <v>47</v>
      </c>
      <c r="U14" s="114"/>
      <c r="V14" s="113"/>
      <c r="W14" s="108" t="s">
        <v>47</v>
      </c>
      <c r="X14" s="114"/>
      <c r="Y14" s="113"/>
      <c r="Z14" s="108" t="s">
        <v>47</v>
      </c>
      <c r="AA14" s="114"/>
      <c r="AB14" s="113"/>
      <c r="AC14" s="105" t="s">
        <v>67</v>
      </c>
      <c r="AD14" s="115" t="s">
        <v>49</v>
      </c>
    </row>
    <row r="15" spans="1:30" x14ac:dyDescent="0.2">
      <c r="A15" s="104" t="s">
        <v>68</v>
      </c>
      <c r="B15" s="105" t="s">
        <v>42</v>
      </c>
      <c r="C15" s="105" t="s">
        <v>51</v>
      </c>
      <c r="D15" s="106"/>
      <c r="E15" s="107"/>
      <c r="F15" s="108" t="s">
        <v>7662</v>
      </c>
      <c r="G15" s="118">
        <v>3</v>
      </c>
      <c r="H15" s="108" t="s">
        <v>7663</v>
      </c>
      <c r="I15" s="112">
        <v>4</v>
      </c>
      <c r="J15" s="111" t="s">
        <v>44</v>
      </c>
      <c r="K15" s="108" t="s">
        <v>7664</v>
      </c>
      <c r="L15" s="117">
        <v>2</v>
      </c>
      <c r="M15" s="111" t="s">
        <v>46</v>
      </c>
      <c r="N15" s="108" t="s">
        <v>7662</v>
      </c>
      <c r="O15" s="110">
        <v>3</v>
      </c>
      <c r="P15" s="113"/>
      <c r="Q15" s="108" t="s">
        <v>47</v>
      </c>
      <c r="R15" s="114"/>
      <c r="S15" s="113"/>
      <c r="T15" s="108" t="s">
        <v>47</v>
      </c>
      <c r="U15" s="114"/>
      <c r="V15" s="113"/>
      <c r="W15" s="108" t="s">
        <v>47</v>
      </c>
      <c r="X15" s="114"/>
      <c r="Y15" s="113"/>
      <c r="Z15" s="108" t="s">
        <v>47</v>
      </c>
      <c r="AA15" s="114"/>
      <c r="AB15" s="113"/>
      <c r="AC15" s="105" t="s">
        <v>69</v>
      </c>
      <c r="AD15" s="115" t="s">
        <v>49</v>
      </c>
    </row>
    <row r="16" spans="1:30" x14ac:dyDescent="0.2">
      <c r="A16" s="104" t="s">
        <v>70</v>
      </c>
      <c r="B16" s="105" t="s">
        <v>42</v>
      </c>
      <c r="C16" s="105" t="s">
        <v>51</v>
      </c>
      <c r="D16" s="106"/>
      <c r="E16" s="107"/>
      <c r="F16" s="108" t="s">
        <v>7665</v>
      </c>
      <c r="G16" s="118">
        <v>3</v>
      </c>
      <c r="H16" s="108" t="s">
        <v>7666</v>
      </c>
      <c r="I16" s="112">
        <v>4</v>
      </c>
      <c r="J16" s="111" t="s">
        <v>44</v>
      </c>
      <c r="K16" s="108" t="s">
        <v>7667</v>
      </c>
      <c r="L16" s="110">
        <v>3</v>
      </c>
      <c r="M16" s="111" t="s">
        <v>46</v>
      </c>
      <c r="N16" s="108" t="s">
        <v>7665</v>
      </c>
      <c r="O16" s="110">
        <v>3</v>
      </c>
      <c r="P16" s="111" t="s">
        <v>40</v>
      </c>
      <c r="Q16" s="108" t="s">
        <v>47</v>
      </c>
      <c r="R16" s="114"/>
      <c r="S16" s="113"/>
      <c r="T16" s="108" t="s">
        <v>47</v>
      </c>
      <c r="U16" s="114"/>
      <c r="V16" s="113"/>
      <c r="W16" s="108" t="s">
        <v>47</v>
      </c>
      <c r="X16" s="114"/>
      <c r="Y16" s="113"/>
      <c r="Z16" s="108" t="s">
        <v>47</v>
      </c>
      <c r="AA16" s="114"/>
      <c r="AB16" s="113"/>
      <c r="AC16" s="105" t="s">
        <v>71</v>
      </c>
      <c r="AD16" s="115" t="s">
        <v>49</v>
      </c>
    </row>
    <row r="17" spans="1:30" x14ac:dyDescent="0.2">
      <c r="A17" s="104" t="s">
        <v>72</v>
      </c>
      <c r="B17" s="105" t="s">
        <v>42</v>
      </c>
      <c r="C17" s="105" t="s">
        <v>43</v>
      </c>
      <c r="D17" s="106"/>
      <c r="E17" s="107"/>
      <c r="F17" s="108" t="s">
        <v>7668</v>
      </c>
      <c r="G17" s="118">
        <v>3</v>
      </c>
      <c r="H17" s="108" t="s">
        <v>7669</v>
      </c>
      <c r="I17" s="112">
        <v>4</v>
      </c>
      <c r="J17" s="111" t="s">
        <v>44</v>
      </c>
      <c r="K17" s="108" t="s">
        <v>7670</v>
      </c>
      <c r="L17" s="112">
        <v>4</v>
      </c>
      <c r="M17" s="111" t="s">
        <v>55</v>
      </c>
      <c r="N17" s="108" t="s">
        <v>7668</v>
      </c>
      <c r="O17" s="110">
        <v>3</v>
      </c>
      <c r="P17" s="111" t="s">
        <v>46</v>
      </c>
      <c r="Q17" s="108" t="s">
        <v>73</v>
      </c>
      <c r="R17" s="110">
        <v>3</v>
      </c>
      <c r="S17" s="111" t="s">
        <v>46</v>
      </c>
      <c r="T17" s="108" t="s">
        <v>7671</v>
      </c>
      <c r="U17" s="116">
        <v>1</v>
      </c>
      <c r="V17" s="113"/>
      <c r="W17" s="108" t="s">
        <v>47</v>
      </c>
      <c r="X17" s="114"/>
      <c r="Y17" s="113"/>
      <c r="Z17" s="108" t="s">
        <v>47</v>
      </c>
      <c r="AA17" s="114"/>
      <c r="AB17" s="113"/>
      <c r="AC17" s="105" t="s">
        <v>74</v>
      </c>
      <c r="AD17" s="115" t="s">
        <v>49</v>
      </c>
    </row>
    <row r="18" spans="1:30" x14ac:dyDescent="0.2">
      <c r="A18" s="104" t="s">
        <v>75</v>
      </c>
      <c r="B18" s="105" t="s">
        <v>42</v>
      </c>
      <c r="C18" s="105" t="s">
        <v>51</v>
      </c>
      <c r="D18" s="106"/>
      <c r="E18" s="107"/>
      <c r="F18" s="108" t="s">
        <v>7672</v>
      </c>
      <c r="G18" s="109">
        <v>4</v>
      </c>
      <c r="H18" s="108" t="s">
        <v>7673</v>
      </c>
      <c r="I18" s="110">
        <v>3</v>
      </c>
      <c r="J18" s="111" t="s">
        <v>55</v>
      </c>
      <c r="K18" s="108" t="s">
        <v>7674</v>
      </c>
      <c r="L18" s="110">
        <v>3</v>
      </c>
      <c r="M18" s="111" t="s">
        <v>46</v>
      </c>
      <c r="N18" s="108" t="s">
        <v>7672</v>
      </c>
      <c r="O18" s="112">
        <v>4</v>
      </c>
      <c r="P18" s="111" t="s">
        <v>46</v>
      </c>
      <c r="Q18" s="108" t="s">
        <v>7675</v>
      </c>
      <c r="R18" s="110">
        <v>3</v>
      </c>
      <c r="S18" s="113"/>
      <c r="T18" s="108" t="s">
        <v>47</v>
      </c>
      <c r="U18" s="114"/>
      <c r="V18" s="113"/>
      <c r="W18" s="108" t="s">
        <v>47</v>
      </c>
      <c r="X18" s="114"/>
      <c r="Y18" s="113"/>
      <c r="Z18" s="108" t="s">
        <v>47</v>
      </c>
      <c r="AA18" s="114"/>
      <c r="AB18" s="113"/>
      <c r="AC18" s="105" t="s">
        <v>76</v>
      </c>
      <c r="AD18" s="115" t="s">
        <v>49</v>
      </c>
    </row>
    <row r="19" spans="1:30" x14ac:dyDescent="0.2">
      <c r="A19" s="104" t="s">
        <v>77</v>
      </c>
      <c r="B19" s="105" t="s">
        <v>42</v>
      </c>
      <c r="C19" s="105" t="s">
        <v>51</v>
      </c>
      <c r="D19" s="106"/>
      <c r="E19" s="107"/>
      <c r="F19" s="108" t="s">
        <v>7676</v>
      </c>
      <c r="G19" s="118">
        <v>3</v>
      </c>
      <c r="H19" s="108" t="s">
        <v>7677</v>
      </c>
      <c r="I19" s="110">
        <v>3</v>
      </c>
      <c r="J19" s="111" t="s">
        <v>55</v>
      </c>
      <c r="K19" s="108" t="s">
        <v>7678</v>
      </c>
      <c r="L19" s="117">
        <v>2</v>
      </c>
      <c r="M19" s="113"/>
      <c r="N19" s="108" t="s">
        <v>7676</v>
      </c>
      <c r="O19" s="110">
        <v>3</v>
      </c>
      <c r="P19" s="113"/>
      <c r="Q19" s="108" t="s">
        <v>7679</v>
      </c>
      <c r="R19" s="110">
        <v>3</v>
      </c>
      <c r="S19" s="111" t="s">
        <v>46</v>
      </c>
      <c r="T19" s="108" t="s">
        <v>47</v>
      </c>
      <c r="U19" s="114"/>
      <c r="V19" s="113"/>
      <c r="W19" s="108" t="s">
        <v>47</v>
      </c>
      <c r="X19" s="114"/>
      <c r="Y19" s="113"/>
      <c r="Z19" s="108" t="s">
        <v>47</v>
      </c>
      <c r="AA19" s="114"/>
      <c r="AB19" s="113"/>
      <c r="AC19" s="105" t="s">
        <v>78</v>
      </c>
      <c r="AD19" s="115" t="s">
        <v>49</v>
      </c>
    </row>
    <row r="20" spans="1:30" x14ac:dyDescent="0.2">
      <c r="A20" s="104" t="s">
        <v>79</v>
      </c>
      <c r="B20" s="105" t="s">
        <v>42</v>
      </c>
      <c r="C20" s="105" t="s">
        <v>51</v>
      </c>
      <c r="D20" s="106"/>
      <c r="E20" s="107"/>
      <c r="F20" s="108" t="s">
        <v>7680</v>
      </c>
      <c r="G20" s="109">
        <v>4</v>
      </c>
      <c r="H20" s="108" t="s">
        <v>7681</v>
      </c>
      <c r="I20" s="110">
        <v>3</v>
      </c>
      <c r="J20" s="111" t="s">
        <v>55</v>
      </c>
      <c r="K20" s="108" t="s">
        <v>7682</v>
      </c>
      <c r="L20" s="117">
        <v>2</v>
      </c>
      <c r="M20" s="113"/>
      <c r="N20" s="108" t="s">
        <v>7680</v>
      </c>
      <c r="O20" s="112">
        <v>4</v>
      </c>
      <c r="P20" s="111" t="s">
        <v>46</v>
      </c>
      <c r="Q20" s="108" t="s">
        <v>7683</v>
      </c>
      <c r="R20" s="112">
        <v>4</v>
      </c>
      <c r="S20" s="111" t="s">
        <v>46</v>
      </c>
      <c r="T20" s="108" t="s">
        <v>47</v>
      </c>
      <c r="U20" s="114"/>
      <c r="V20" s="113"/>
      <c r="W20" s="108" t="s">
        <v>47</v>
      </c>
      <c r="X20" s="114"/>
      <c r="Y20" s="113"/>
      <c r="Z20" s="108" t="s">
        <v>47</v>
      </c>
      <c r="AA20" s="114"/>
      <c r="AB20" s="113"/>
      <c r="AC20" s="105" t="s">
        <v>80</v>
      </c>
      <c r="AD20" s="115" t="s">
        <v>49</v>
      </c>
    </row>
    <row r="21" spans="1:30" x14ac:dyDescent="0.2">
      <c r="A21" s="104" t="s">
        <v>81</v>
      </c>
      <c r="B21" s="105" t="s">
        <v>42</v>
      </c>
      <c r="C21" s="105" t="s">
        <v>51</v>
      </c>
      <c r="D21" s="106"/>
      <c r="E21" s="107"/>
      <c r="F21" s="108" t="s">
        <v>7684</v>
      </c>
      <c r="G21" s="118">
        <v>3</v>
      </c>
      <c r="H21" s="108" t="s">
        <v>7685</v>
      </c>
      <c r="I21" s="110">
        <v>3</v>
      </c>
      <c r="J21" s="111" t="s">
        <v>55</v>
      </c>
      <c r="K21" s="108" t="s">
        <v>7686</v>
      </c>
      <c r="L21" s="117">
        <v>2</v>
      </c>
      <c r="M21" s="111" t="s">
        <v>46</v>
      </c>
      <c r="N21" s="108" t="s">
        <v>7684</v>
      </c>
      <c r="O21" s="110">
        <v>3</v>
      </c>
      <c r="P21" s="111" t="s">
        <v>46</v>
      </c>
      <c r="Q21" s="108" t="s">
        <v>7687</v>
      </c>
      <c r="R21" s="112">
        <v>4</v>
      </c>
      <c r="S21" s="113"/>
      <c r="T21" s="108" t="s">
        <v>47</v>
      </c>
      <c r="U21" s="114"/>
      <c r="V21" s="113"/>
      <c r="W21" s="108" t="s">
        <v>47</v>
      </c>
      <c r="X21" s="114"/>
      <c r="Y21" s="113"/>
      <c r="Z21" s="108" t="s">
        <v>47</v>
      </c>
      <c r="AA21" s="114"/>
      <c r="AB21" s="113"/>
      <c r="AC21" s="105" t="s">
        <v>82</v>
      </c>
      <c r="AD21" s="115" t="s">
        <v>49</v>
      </c>
    </row>
    <row r="22" spans="1:30" x14ac:dyDescent="0.2">
      <c r="A22" s="104" t="s">
        <v>83</v>
      </c>
      <c r="B22" s="105" t="s">
        <v>42</v>
      </c>
      <c r="C22" s="105" t="s">
        <v>51</v>
      </c>
      <c r="D22" s="106"/>
      <c r="E22" s="107"/>
      <c r="F22" s="108" t="s">
        <v>7688</v>
      </c>
      <c r="G22" s="109">
        <v>4</v>
      </c>
      <c r="H22" s="108" t="s">
        <v>7689</v>
      </c>
      <c r="I22" s="112">
        <v>4</v>
      </c>
      <c r="J22" s="111" t="s">
        <v>44</v>
      </c>
      <c r="K22" s="108" t="s">
        <v>7690</v>
      </c>
      <c r="L22" s="110">
        <v>3</v>
      </c>
      <c r="M22" s="111" t="s">
        <v>46</v>
      </c>
      <c r="N22" s="108" t="s">
        <v>7688</v>
      </c>
      <c r="O22" s="112">
        <v>4</v>
      </c>
      <c r="P22" s="113"/>
      <c r="Q22" s="108" t="s">
        <v>47</v>
      </c>
      <c r="R22" s="114"/>
      <c r="S22" s="113"/>
      <c r="T22" s="108" t="s">
        <v>47</v>
      </c>
      <c r="U22" s="114"/>
      <c r="V22" s="113"/>
      <c r="W22" s="108" t="s">
        <v>47</v>
      </c>
      <c r="X22" s="114"/>
      <c r="Y22" s="113"/>
      <c r="Z22" s="108" t="s">
        <v>47</v>
      </c>
      <c r="AA22" s="114"/>
      <c r="AB22" s="113"/>
      <c r="AC22" s="105" t="s">
        <v>84</v>
      </c>
      <c r="AD22" s="115" t="s">
        <v>49</v>
      </c>
    </row>
    <row r="23" spans="1:30" x14ac:dyDescent="0.2">
      <c r="A23" s="104" t="s">
        <v>7691</v>
      </c>
      <c r="B23" s="105" t="s">
        <v>42</v>
      </c>
      <c r="C23" s="105" t="s">
        <v>51</v>
      </c>
      <c r="D23" s="106"/>
      <c r="E23" s="107"/>
      <c r="F23" s="108" t="s">
        <v>47</v>
      </c>
      <c r="G23" s="113"/>
      <c r="H23" s="108" t="s">
        <v>7636</v>
      </c>
      <c r="I23" s="116">
        <v>1</v>
      </c>
      <c r="J23" s="111" t="s">
        <v>53</v>
      </c>
      <c r="K23" s="108" t="s">
        <v>47</v>
      </c>
      <c r="L23" s="114"/>
      <c r="M23" s="113"/>
      <c r="N23" s="108" t="s">
        <v>47</v>
      </c>
      <c r="O23" s="114"/>
      <c r="P23" s="113"/>
      <c r="Q23" s="108" t="s">
        <v>47</v>
      </c>
      <c r="R23" s="114"/>
      <c r="S23" s="113"/>
      <c r="T23" s="108" t="s">
        <v>47</v>
      </c>
      <c r="U23" s="114"/>
      <c r="V23" s="113"/>
      <c r="W23" s="108" t="s">
        <v>47</v>
      </c>
      <c r="X23" s="114"/>
      <c r="Y23" s="113"/>
      <c r="Z23" s="108" t="s">
        <v>47</v>
      </c>
      <c r="AA23" s="114"/>
      <c r="AB23" s="113"/>
      <c r="AC23" s="105" t="s">
        <v>7692</v>
      </c>
      <c r="AD23" s="115" t="s">
        <v>49</v>
      </c>
    </row>
    <row r="24" spans="1:30" x14ac:dyDescent="0.2">
      <c r="A24" s="104" t="s">
        <v>85</v>
      </c>
      <c r="B24" s="105" t="s">
        <v>42</v>
      </c>
      <c r="C24" s="105" t="s">
        <v>43</v>
      </c>
      <c r="D24" s="106"/>
      <c r="E24" s="107"/>
      <c r="F24" s="108" t="s">
        <v>7693</v>
      </c>
      <c r="G24" s="109">
        <v>4</v>
      </c>
      <c r="H24" s="108" t="s">
        <v>7694</v>
      </c>
      <c r="I24" s="112">
        <v>4</v>
      </c>
      <c r="J24" s="111" t="s">
        <v>44</v>
      </c>
      <c r="K24" s="108" t="s">
        <v>7695</v>
      </c>
      <c r="L24" s="112">
        <v>4</v>
      </c>
      <c r="M24" s="111" t="s">
        <v>46</v>
      </c>
      <c r="N24" s="108" t="s">
        <v>7693</v>
      </c>
      <c r="O24" s="112">
        <v>4</v>
      </c>
      <c r="P24" s="111" t="s">
        <v>55</v>
      </c>
      <c r="Q24" s="108" t="s">
        <v>7696</v>
      </c>
      <c r="R24" s="110">
        <v>3</v>
      </c>
      <c r="S24" s="111" t="s">
        <v>46</v>
      </c>
      <c r="T24" s="108" t="s">
        <v>7697</v>
      </c>
      <c r="U24" s="116">
        <v>1</v>
      </c>
      <c r="V24" s="111" t="s">
        <v>40</v>
      </c>
      <c r="W24" s="108" t="s">
        <v>47</v>
      </c>
      <c r="X24" s="114"/>
      <c r="Y24" s="113"/>
      <c r="Z24" s="108" t="s">
        <v>47</v>
      </c>
      <c r="AA24" s="114"/>
      <c r="AB24" s="113"/>
      <c r="AC24" s="105" t="s">
        <v>86</v>
      </c>
      <c r="AD24" s="115" t="s">
        <v>49</v>
      </c>
    </row>
    <row r="25" spans="1:30" x14ac:dyDescent="0.2">
      <c r="A25" s="104" t="s">
        <v>87</v>
      </c>
      <c r="B25" s="105" t="s">
        <v>42</v>
      </c>
      <c r="C25" s="105" t="s">
        <v>43</v>
      </c>
      <c r="D25" s="106"/>
      <c r="E25" s="107"/>
      <c r="F25" s="108" t="s">
        <v>7698</v>
      </c>
      <c r="G25" s="118">
        <v>3</v>
      </c>
      <c r="H25" s="108" t="s">
        <v>7699</v>
      </c>
      <c r="I25" s="112">
        <v>4</v>
      </c>
      <c r="J25" s="111" t="s">
        <v>44</v>
      </c>
      <c r="K25" s="108" t="s">
        <v>7700</v>
      </c>
      <c r="L25" s="112">
        <v>4</v>
      </c>
      <c r="M25" s="111" t="s">
        <v>55</v>
      </c>
      <c r="N25" s="108" t="s">
        <v>7698</v>
      </c>
      <c r="O25" s="110">
        <v>3</v>
      </c>
      <c r="P25" s="111" t="s">
        <v>46</v>
      </c>
      <c r="Q25" s="108" t="s">
        <v>7701</v>
      </c>
      <c r="R25" s="110">
        <v>3</v>
      </c>
      <c r="S25" s="111" t="s">
        <v>46</v>
      </c>
      <c r="T25" s="108" t="s">
        <v>47</v>
      </c>
      <c r="U25" s="114"/>
      <c r="V25" s="113"/>
      <c r="W25" s="108" t="s">
        <v>47</v>
      </c>
      <c r="X25" s="114"/>
      <c r="Y25" s="113"/>
      <c r="Z25" s="108" t="s">
        <v>47</v>
      </c>
      <c r="AA25" s="114"/>
      <c r="AB25" s="113"/>
      <c r="AC25" s="105" t="s">
        <v>88</v>
      </c>
      <c r="AD25" s="115" t="s">
        <v>49</v>
      </c>
    </row>
    <row r="26" spans="1:30" x14ac:dyDescent="0.2">
      <c r="A26" s="104" t="s">
        <v>89</v>
      </c>
      <c r="B26" s="105" t="s">
        <v>42</v>
      </c>
      <c r="C26" s="105" t="s">
        <v>43</v>
      </c>
      <c r="D26" s="106"/>
      <c r="E26" s="107"/>
      <c r="F26" s="108" t="s">
        <v>7702</v>
      </c>
      <c r="G26" s="118">
        <v>3</v>
      </c>
      <c r="H26" s="108" t="s">
        <v>7703</v>
      </c>
      <c r="I26" s="112">
        <v>4</v>
      </c>
      <c r="J26" s="111" t="s">
        <v>44</v>
      </c>
      <c r="K26" s="108" t="s">
        <v>7704</v>
      </c>
      <c r="L26" s="110">
        <v>3</v>
      </c>
      <c r="M26" s="111" t="s">
        <v>46</v>
      </c>
      <c r="N26" s="108" t="s">
        <v>7702</v>
      </c>
      <c r="O26" s="110">
        <v>3</v>
      </c>
      <c r="P26" s="111" t="s">
        <v>46</v>
      </c>
      <c r="Q26" s="108" t="s">
        <v>90</v>
      </c>
      <c r="R26" s="110">
        <v>3</v>
      </c>
      <c r="S26" s="111" t="s">
        <v>46</v>
      </c>
      <c r="T26" s="108" t="s">
        <v>47</v>
      </c>
      <c r="U26" s="114"/>
      <c r="V26" s="113"/>
      <c r="W26" s="108" t="s">
        <v>47</v>
      </c>
      <c r="X26" s="114"/>
      <c r="Y26" s="113"/>
      <c r="Z26" s="108" t="s">
        <v>47</v>
      </c>
      <c r="AA26" s="114"/>
      <c r="AB26" s="113"/>
      <c r="AC26" s="105" t="s">
        <v>91</v>
      </c>
      <c r="AD26" s="115" t="s">
        <v>49</v>
      </c>
    </row>
    <row r="27" spans="1:30" x14ac:dyDescent="0.2">
      <c r="A27" s="104" t="s">
        <v>92</v>
      </c>
      <c r="B27" s="105" t="s">
        <v>42</v>
      </c>
      <c r="C27" s="105" t="s">
        <v>93</v>
      </c>
      <c r="D27" s="106" t="s">
        <v>94</v>
      </c>
      <c r="E27" s="107"/>
      <c r="F27" s="108" t="s">
        <v>7705</v>
      </c>
      <c r="G27" s="119">
        <v>1</v>
      </c>
      <c r="H27" s="108" t="s">
        <v>7706</v>
      </c>
      <c r="I27" s="112">
        <v>4</v>
      </c>
      <c r="J27" s="111" t="s">
        <v>44</v>
      </c>
      <c r="K27" s="108" t="s">
        <v>7707</v>
      </c>
      <c r="L27" s="117">
        <v>2</v>
      </c>
      <c r="M27" s="113"/>
      <c r="N27" s="108" t="s">
        <v>7705</v>
      </c>
      <c r="O27" s="116">
        <v>1</v>
      </c>
      <c r="P27" s="113"/>
      <c r="Q27" s="108" t="s">
        <v>7708</v>
      </c>
      <c r="R27" s="117">
        <v>2</v>
      </c>
      <c r="S27" s="111" t="s">
        <v>46</v>
      </c>
      <c r="T27" s="108" t="s">
        <v>7709</v>
      </c>
      <c r="U27" s="116">
        <v>1</v>
      </c>
      <c r="V27" s="113"/>
      <c r="W27" s="108" t="s">
        <v>7710</v>
      </c>
      <c r="X27" s="117">
        <v>2</v>
      </c>
      <c r="Y27" s="113"/>
      <c r="Z27" s="108" t="s">
        <v>7711</v>
      </c>
      <c r="AA27" s="117">
        <v>2</v>
      </c>
      <c r="AB27" s="113"/>
      <c r="AC27" s="105" t="s">
        <v>95</v>
      </c>
      <c r="AD27" s="115" t="s">
        <v>49</v>
      </c>
    </row>
    <row r="28" spans="1:30" x14ac:dyDescent="0.2">
      <c r="A28" s="104" t="s">
        <v>96</v>
      </c>
      <c r="B28" s="105" t="s">
        <v>97</v>
      </c>
      <c r="C28" s="105" t="s">
        <v>98</v>
      </c>
      <c r="D28" s="106" t="s">
        <v>94</v>
      </c>
      <c r="E28" s="107" t="s">
        <v>99</v>
      </c>
      <c r="F28" s="108" t="s">
        <v>7712</v>
      </c>
      <c r="G28" s="120">
        <v>2</v>
      </c>
      <c r="H28" s="108" t="s">
        <v>7713</v>
      </c>
      <c r="I28" s="112">
        <v>4</v>
      </c>
      <c r="J28" s="113"/>
      <c r="K28" s="108" t="s">
        <v>7714</v>
      </c>
      <c r="L28" s="112">
        <v>4</v>
      </c>
      <c r="M28" s="111" t="s">
        <v>46</v>
      </c>
      <c r="N28" s="108" t="s">
        <v>7712</v>
      </c>
      <c r="O28" s="117">
        <v>2</v>
      </c>
      <c r="P28" s="111" t="s">
        <v>46</v>
      </c>
      <c r="Q28" s="108" t="s">
        <v>7715</v>
      </c>
      <c r="R28" s="117">
        <v>2</v>
      </c>
      <c r="S28" s="113"/>
      <c r="T28" s="108" t="s">
        <v>7716</v>
      </c>
      <c r="U28" s="116">
        <v>1</v>
      </c>
      <c r="V28" s="113"/>
      <c r="W28" s="108" t="s">
        <v>7717</v>
      </c>
      <c r="X28" s="116">
        <v>1</v>
      </c>
      <c r="Y28" s="113"/>
      <c r="Z28" s="108" t="s">
        <v>7718</v>
      </c>
      <c r="AA28" s="116">
        <v>1</v>
      </c>
      <c r="AB28" s="113"/>
      <c r="AC28" s="105" t="s">
        <v>100</v>
      </c>
      <c r="AD28" s="115" t="s">
        <v>101</v>
      </c>
    </row>
    <row r="29" spans="1:30" x14ac:dyDescent="0.2">
      <c r="A29" s="104" t="s">
        <v>102</v>
      </c>
      <c r="B29" s="105" t="s">
        <v>103</v>
      </c>
      <c r="C29" s="105" t="s">
        <v>104</v>
      </c>
      <c r="D29" s="106" t="s">
        <v>105</v>
      </c>
      <c r="E29" s="107"/>
      <c r="F29" s="108" t="s">
        <v>7719</v>
      </c>
      <c r="G29" s="118">
        <v>3</v>
      </c>
      <c r="H29" s="108" t="s">
        <v>7720</v>
      </c>
      <c r="I29" s="112">
        <v>4</v>
      </c>
      <c r="J29" s="111" t="s">
        <v>55</v>
      </c>
      <c r="K29" s="108" t="s">
        <v>7721</v>
      </c>
      <c r="L29" s="110">
        <v>3</v>
      </c>
      <c r="M29" s="111" t="s">
        <v>46</v>
      </c>
      <c r="N29" s="108" t="s">
        <v>7719</v>
      </c>
      <c r="O29" s="110">
        <v>3</v>
      </c>
      <c r="P29" s="111" t="s">
        <v>46</v>
      </c>
      <c r="Q29" s="108" t="s">
        <v>7722</v>
      </c>
      <c r="R29" s="110">
        <v>3</v>
      </c>
      <c r="S29" s="113"/>
      <c r="T29" s="108" t="s">
        <v>7723</v>
      </c>
      <c r="U29" s="112">
        <v>4</v>
      </c>
      <c r="V29" s="113"/>
      <c r="W29" s="108" t="s">
        <v>7724</v>
      </c>
      <c r="X29" s="112">
        <v>4</v>
      </c>
      <c r="Y29" s="113"/>
      <c r="Z29" s="108" t="s">
        <v>47</v>
      </c>
      <c r="AA29" s="114"/>
      <c r="AB29" s="113"/>
      <c r="AC29" s="105" t="s">
        <v>106</v>
      </c>
      <c r="AD29" s="115" t="s">
        <v>107</v>
      </c>
    </row>
    <row r="30" spans="1:30" x14ac:dyDescent="0.2">
      <c r="A30" s="104" t="s">
        <v>7725</v>
      </c>
      <c r="B30" s="105" t="s">
        <v>103</v>
      </c>
      <c r="C30" s="105" t="s">
        <v>108</v>
      </c>
      <c r="D30" s="106"/>
      <c r="E30" s="107"/>
      <c r="F30" s="108" t="s">
        <v>7726</v>
      </c>
      <c r="G30" s="120">
        <v>2</v>
      </c>
      <c r="H30" s="108" t="s">
        <v>7727</v>
      </c>
      <c r="I30" s="110">
        <v>3</v>
      </c>
      <c r="J30" s="111" t="s">
        <v>46</v>
      </c>
      <c r="K30" s="108" t="s">
        <v>7728</v>
      </c>
      <c r="L30" s="117">
        <v>2</v>
      </c>
      <c r="M30" s="113"/>
      <c r="N30" s="108" t="s">
        <v>7726</v>
      </c>
      <c r="O30" s="117">
        <v>2</v>
      </c>
      <c r="P30" s="113"/>
      <c r="Q30" s="108" t="s">
        <v>7729</v>
      </c>
      <c r="R30" s="110">
        <v>3</v>
      </c>
      <c r="S30" s="113"/>
      <c r="T30" s="108" t="s">
        <v>7730</v>
      </c>
      <c r="U30" s="112">
        <v>4</v>
      </c>
      <c r="V30" s="113"/>
      <c r="W30" s="108" t="s">
        <v>7731</v>
      </c>
      <c r="X30" s="112">
        <v>4</v>
      </c>
      <c r="Y30" s="113"/>
      <c r="Z30" s="108" t="s">
        <v>7732</v>
      </c>
      <c r="AA30" s="112">
        <v>4</v>
      </c>
      <c r="AB30" s="113"/>
      <c r="AC30" s="105" t="s">
        <v>109</v>
      </c>
      <c r="AD30" s="115" t="s">
        <v>107</v>
      </c>
    </row>
    <row r="31" spans="1:30" x14ac:dyDescent="0.2">
      <c r="A31" s="104" t="s">
        <v>110</v>
      </c>
      <c r="B31" s="105" t="s">
        <v>111</v>
      </c>
      <c r="C31" s="105" t="s">
        <v>112</v>
      </c>
      <c r="D31" s="106"/>
      <c r="E31" s="107"/>
      <c r="F31" s="108" t="s">
        <v>7733</v>
      </c>
      <c r="G31" s="120">
        <v>2</v>
      </c>
      <c r="H31" s="108" t="s">
        <v>7734</v>
      </c>
      <c r="I31" s="117">
        <v>2</v>
      </c>
      <c r="J31" s="113"/>
      <c r="K31" s="108" t="s">
        <v>7735</v>
      </c>
      <c r="L31" s="117">
        <v>2</v>
      </c>
      <c r="M31" s="113"/>
      <c r="N31" s="108" t="s">
        <v>7733</v>
      </c>
      <c r="O31" s="117">
        <v>2</v>
      </c>
      <c r="P31" s="111" t="s">
        <v>40</v>
      </c>
      <c r="Q31" s="108" t="s">
        <v>7736</v>
      </c>
      <c r="R31" s="110">
        <v>3</v>
      </c>
      <c r="S31" s="113"/>
      <c r="T31" s="108" t="s">
        <v>7737</v>
      </c>
      <c r="U31" s="112">
        <v>4</v>
      </c>
      <c r="V31" s="113"/>
      <c r="W31" s="108" t="s">
        <v>7738</v>
      </c>
      <c r="X31" s="112">
        <v>4</v>
      </c>
      <c r="Y31" s="113"/>
      <c r="Z31" s="108" t="s">
        <v>7739</v>
      </c>
      <c r="AA31" s="112">
        <v>4</v>
      </c>
      <c r="AB31" s="111" t="s">
        <v>46</v>
      </c>
      <c r="AC31" s="105" t="s">
        <v>113</v>
      </c>
      <c r="AD31" s="115" t="s">
        <v>114</v>
      </c>
    </row>
    <row r="32" spans="1:30" x14ac:dyDescent="0.2">
      <c r="A32" s="104" t="s">
        <v>115</v>
      </c>
      <c r="B32" s="105" t="s">
        <v>42</v>
      </c>
      <c r="C32" s="105" t="s">
        <v>43</v>
      </c>
      <c r="D32" s="106"/>
      <c r="E32" s="107"/>
      <c r="F32" s="108" t="s">
        <v>7740</v>
      </c>
      <c r="G32" s="119">
        <v>1</v>
      </c>
      <c r="H32" s="108" t="s">
        <v>7741</v>
      </c>
      <c r="I32" s="112">
        <v>4</v>
      </c>
      <c r="J32" s="111" t="s">
        <v>44</v>
      </c>
      <c r="K32" s="108" t="s">
        <v>7742</v>
      </c>
      <c r="L32" s="117">
        <v>2</v>
      </c>
      <c r="M32" s="111" t="s">
        <v>46</v>
      </c>
      <c r="N32" s="108" t="s">
        <v>7740</v>
      </c>
      <c r="O32" s="116">
        <v>1</v>
      </c>
      <c r="P32" s="113"/>
      <c r="Q32" s="108" t="s">
        <v>7743</v>
      </c>
      <c r="R32" s="116">
        <v>1</v>
      </c>
      <c r="S32" s="113"/>
      <c r="T32" s="108" t="s">
        <v>7744</v>
      </c>
      <c r="U32" s="116">
        <v>1</v>
      </c>
      <c r="V32" s="113"/>
      <c r="W32" s="108" t="s">
        <v>7745</v>
      </c>
      <c r="X32" s="116">
        <v>1</v>
      </c>
      <c r="Y32" s="113"/>
      <c r="Z32" s="108" t="s">
        <v>47</v>
      </c>
      <c r="AA32" s="114"/>
      <c r="AB32" s="113"/>
      <c r="AC32" s="105" t="s">
        <v>116</v>
      </c>
      <c r="AD32" s="115" t="s">
        <v>49</v>
      </c>
    </row>
    <row r="33" spans="1:30" x14ac:dyDescent="0.2">
      <c r="A33" s="104" t="s">
        <v>117</v>
      </c>
      <c r="B33" s="105" t="s">
        <v>42</v>
      </c>
      <c r="C33" s="105" t="s">
        <v>118</v>
      </c>
      <c r="D33" s="106"/>
      <c r="E33" s="107" t="s">
        <v>119</v>
      </c>
      <c r="F33" s="108" t="s">
        <v>7746</v>
      </c>
      <c r="G33" s="120">
        <v>2</v>
      </c>
      <c r="H33" s="108" t="s">
        <v>7747</v>
      </c>
      <c r="I33" s="116">
        <v>1</v>
      </c>
      <c r="J33" s="111" t="s">
        <v>53</v>
      </c>
      <c r="K33" s="108" t="s">
        <v>7748</v>
      </c>
      <c r="L33" s="117">
        <v>2</v>
      </c>
      <c r="M33" s="113"/>
      <c r="N33" s="108" t="s">
        <v>7746</v>
      </c>
      <c r="O33" s="117">
        <v>2</v>
      </c>
      <c r="P33" s="113"/>
      <c r="Q33" s="108" t="s">
        <v>47</v>
      </c>
      <c r="R33" s="114"/>
      <c r="S33" s="113"/>
      <c r="T33" s="108" t="s">
        <v>47</v>
      </c>
      <c r="U33" s="114"/>
      <c r="V33" s="113"/>
      <c r="W33" s="108" t="s">
        <v>47</v>
      </c>
      <c r="X33" s="114"/>
      <c r="Y33" s="113"/>
      <c r="Z33" s="108" t="s">
        <v>47</v>
      </c>
      <c r="AA33" s="114"/>
      <c r="AB33" s="113"/>
      <c r="AC33" s="105" t="s">
        <v>120</v>
      </c>
      <c r="AD33" s="115" t="s">
        <v>49</v>
      </c>
    </row>
    <row r="34" spans="1:30" x14ac:dyDescent="0.2">
      <c r="A34" s="104" t="s">
        <v>121</v>
      </c>
      <c r="B34" s="105" t="s">
        <v>42</v>
      </c>
      <c r="C34" s="105" t="s">
        <v>122</v>
      </c>
      <c r="D34" s="106"/>
      <c r="E34" s="107"/>
      <c r="F34" s="108" t="s">
        <v>7749</v>
      </c>
      <c r="G34" s="119">
        <v>1</v>
      </c>
      <c r="H34" s="108" t="s">
        <v>7750</v>
      </c>
      <c r="I34" s="116">
        <v>1</v>
      </c>
      <c r="J34" s="113"/>
      <c r="K34" s="108" t="s">
        <v>7751</v>
      </c>
      <c r="L34" s="116">
        <v>1</v>
      </c>
      <c r="M34" s="113"/>
      <c r="N34" s="108" t="s">
        <v>7749</v>
      </c>
      <c r="O34" s="116">
        <v>1</v>
      </c>
      <c r="P34" s="113"/>
      <c r="Q34" s="108" t="s">
        <v>7752</v>
      </c>
      <c r="R34" s="116">
        <v>1</v>
      </c>
      <c r="S34" s="113"/>
      <c r="T34" s="108" t="s">
        <v>47</v>
      </c>
      <c r="U34" s="114"/>
      <c r="V34" s="113"/>
      <c r="W34" s="108" t="s">
        <v>47</v>
      </c>
      <c r="X34" s="114"/>
      <c r="Y34" s="113"/>
      <c r="Z34" s="108" t="s">
        <v>47</v>
      </c>
      <c r="AA34" s="114"/>
      <c r="AB34" s="113"/>
      <c r="AC34" s="105" t="s">
        <v>123</v>
      </c>
      <c r="AD34" s="115" t="s">
        <v>49</v>
      </c>
    </row>
    <row r="35" spans="1:30" x14ac:dyDescent="0.2">
      <c r="A35" s="104" t="s">
        <v>124</v>
      </c>
      <c r="B35" s="105" t="s">
        <v>42</v>
      </c>
      <c r="C35" s="105" t="s">
        <v>122</v>
      </c>
      <c r="D35" s="106" t="s">
        <v>125</v>
      </c>
      <c r="E35" s="107"/>
      <c r="F35" s="108" t="s">
        <v>7753</v>
      </c>
      <c r="G35" s="119">
        <v>1</v>
      </c>
      <c r="H35" s="108" t="s">
        <v>7754</v>
      </c>
      <c r="I35" s="116">
        <v>1</v>
      </c>
      <c r="J35" s="113"/>
      <c r="K35" s="108" t="s">
        <v>7755</v>
      </c>
      <c r="L35" s="116">
        <v>1</v>
      </c>
      <c r="M35" s="113"/>
      <c r="N35" s="108" t="s">
        <v>7753</v>
      </c>
      <c r="O35" s="116">
        <v>1</v>
      </c>
      <c r="P35" s="113"/>
      <c r="Q35" s="108" t="s">
        <v>7756</v>
      </c>
      <c r="R35" s="116">
        <v>1</v>
      </c>
      <c r="S35" s="113"/>
      <c r="T35" s="108" t="s">
        <v>7757</v>
      </c>
      <c r="U35" s="116">
        <v>1</v>
      </c>
      <c r="V35" s="111" t="s">
        <v>40</v>
      </c>
      <c r="W35" s="108" t="s">
        <v>7758</v>
      </c>
      <c r="X35" s="117">
        <v>2</v>
      </c>
      <c r="Y35" s="113"/>
      <c r="Z35" s="108" t="s">
        <v>7759</v>
      </c>
      <c r="AA35" s="116">
        <v>1</v>
      </c>
      <c r="AB35" s="111" t="s">
        <v>53</v>
      </c>
      <c r="AC35" s="105" t="s">
        <v>126</v>
      </c>
      <c r="AD35" s="115" t="s">
        <v>49</v>
      </c>
    </row>
    <row r="36" spans="1:30" x14ac:dyDescent="0.2">
      <c r="A36" s="104" t="s">
        <v>127</v>
      </c>
      <c r="B36" s="105" t="s">
        <v>42</v>
      </c>
      <c r="C36" s="105" t="s">
        <v>122</v>
      </c>
      <c r="D36" s="106"/>
      <c r="E36" s="107"/>
      <c r="F36" s="108" t="s">
        <v>47</v>
      </c>
      <c r="G36" s="113"/>
      <c r="H36" s="108" t="s">
        <v>47</v>
      </c>
      <c r="I36" s="114"/>
      <c r="J36" s="113"/>
      <c r="K36" s="108" t="s">
        <v>47</v>
      </c>
      <c r="L36" s="114"/>
      <c r="M36" s="113"/>
      <c r="N36" s="108" t="s">
        <v>47</v>
      </c>
      <c r="O36" s="114"/>
      <c r="P36" s="113"/>
      <c r="Q36" s="108" t="s">
        <v>47</v>
      </c>
      <c r="R36" s="114"/>
      <c r="S36" s="113"/>
      <c r="T36" s="108" t="s">
        <v>47</v>
      </c>
      <c r="U36" s="114"/>
      <c r="V36" s="113"/>
      <c r="W36" s="108" t="s">
        <v>47</v>
      </c>
      <c r="X36" s="114"/>
      <c r="Y36" s="113"/>
      <c r="Z36" s="108" t="s">
        <v>47</v>
      </c>
      <c r="AA36" s="114"/>
      <c r="AB36" s="113"/>
      <c r="AC36" s="105" t="s">
        <v>128</v>
      </c>
      <c r="AD36" s="115" t="s">
        <v>49</v>
      </c>
    </row>
    <row r="37" spans="1:30" x14ac:dyDescent="0.2">
      <c r="A37" s="104" t="s">
        <v>129</v>
      </c>
      <c r="B37" s="105" t="s">
        <v>42</v>
      </c>
      <c r="C37" s="105" t="s">
        <v>122</v>
      </c>
      <c r="D37" s="106" t="s">
        <v>125</v>
      </c>
      <c r="E37" s="107"/>
      <c r="F37" s="108" t="s">
        <v>7760</v>
      </c>
      <c r="G37" s="119">
        <v>1</v>
      </c>
      <c r="H37" s="108" t="s">
        <v>7761</v>
      </c>
      <c r="I37" s="116">
        <v>1</v>
      </c>
      <c r="J37" s="113"/>
      <c r="K37" s="108" t="s">
        <v>7762</v>
      </c>
      <c r="L37" s="116">
        <v>1</v>
      </c>
      <c r="M37" s="113"/>
      <c r="N37" s="108" t="s">
        <v>7760</v>
      </c>
      <c r="O37" s="116">
        <v>1</v>
      </c>
      <c r="P37" s="113"/>
      <c r="Q37" s="108" t="s">
        <v>7763</v>
      </c>
      <c r="R37" s="116">
        <v>1</v>
      </c>
      <c r="S37" s="113"/>
      <c r="T37" s="108" t="s">
        <v>7764</v>
      </c>
      <c r="U37" s="116">
        <v>1</v>
      </c>
      <c r="V37" s="113"/>
      <c r="W37" s="108" t="s">
        <v>7765</v>
      </c>
      <c r="X37" s="117">
        <v>2</v>
      </c>
      <c r="Y37" s="113"/>
      <c r="Z37" s="108" t="s">
        <v>7766</v>
      </c>
      <c r="AA37" s="116">
        <v>1</v>
      </c>
      <c r="AB37" s="111" t="s">
        <v>53</v>
      </c>
      <c r="AC37" s="105" t="s">
        <v>130</v>
      </c>
      <c r="AD37" s="115" t="s">
        <v>49</v>
      </c>
    </row>
    <row r="38" spans="1:30" x14ac:dyDescent="0.2">
      <c r="A38" s="104" t="s">
        <v>131</v>
      </c>
      <c r="B38" s="105" t="s">
        <v>42</v>
      </c>
      <c r="C38" s="105" t="s">
        <v>132</v>
      </c>
      <c r="D38" s="106"/>
      <c r="E38" s="107" t="s">
        <v>119</v>
      </c>
      <c r="F38" s="108" t="s">
        <v>7767</v>
      </c>
      <c r="G38" s="119">
        <v>1</v>
      </c>
      <c r="H38" s="108" t="s">
        <v>7768</v>
      </c>
      <c r="I38" s="117">
        <v>2</v>
      </c>
      <c r="J38" s="111" t="s">
        <v>46</v>
      </c>
      <c r="K38" s="108" t="s">
        <v>7769</v>
      </c>
      <c r="L38" s="116">
        <v>1</v>
      </c>
      <c r="M38" s="113"/>
      <c r="N38" s="108" t="s">
        <v>7767</v>
      </c>
      <c r="O38" s="116">
        <v>1</v>
      </c>
      <c r="P38" s="113"/>
      <c r="Q38" s="108" t="s">
        <v>47</v>
      </c>
      <c r="R38" s="114"/>
      <c r="S38" s="113"/>
      <c r="T38" s="108" t="s">
        <v>47</v>
      </c>
      <c r="U38" s="114"/>
      <c r="V38" s="113"/>
      <c r="W38" s="108" t="s">
        <v>47</v>
      </c>
      <c r="X38" s="114"/>
      <c r="Y38" s="113"/>
      <c r="Z38" s="108" t="s">
        <v>47</v>
      </c>
      <c r="AA38" s="114"/>
      <c r="AB38" s="113"/>
      <c r="AC38" s="105" t="s">
        <v>133</v>
      </c>
      <c r="AD38" s="115" t="s">
        <v>49</v>
      </c>
    </row>
    <row r="39" spans="1:30" x14ac:dyDescent="0.2">
      <c r="A39" s="104" t="s">
        <v>134</v>
      </c>
      <c r="B39" s="105" t="s">
        <v>42</v>
      </c>
      <c r="C39" s="105" t="s">
        <v>132</v>
      </c>
      <c r="D39" s="106"/>
      <c r="E39" s="107" t="s">
        <v>119</v>
      </c>
      <c r="F39" s="108" t="s">
        <v>7770</v>
      </c>
      <c r="G39" s="119">
        <v>1</v>
      </c>
      <c r="H39" s="108" t="s">
        <v>7771</v>
      </c>
      <c r="I39" s="117">
        <v>2</v>
      </c>
      <c r="J39" s="113"/>
      <c r="K39" s="108" t="s">
        <v>7772</v>
      </c>
      <c r="L39" s="117">
        <v>2</v>
      </c>
      <c r="M39" s="113"/>
      <c r="N39" s="108" t="s">
        <v>7770</v>
      </c>
      <c r="O39" s="116">
        <v>1</v>
      </c>
      <c r="P39" s="111" t="s">
        <v>40</v>
      </c>
      <c r="Q39" s="108" t="s">
        <v>135</v>
      </c>
      <c r="R39" s="116">
        <v>1</v>
      </c>
      <c r="S39" s="113"/>
      <c r="T39" s="108" t="s">
        <v>47</v>
      </c>
      <c r="U39" s="114"/>
      <c r="V39" s="113"/>
      <c r="W39" s="108" t="s">
        <v>47</v>
      </c>
      <c r="X39" s="114"/>
      <c r="Y39" s="113"/>
      <c r="Z39" s="108" t="s">
        <v>47</v>
      </c>
      <c r="AA39" s="114"/>
      <c r="AB39" s="113"/>
      <c r="AC39" s="105" t="s">
        <v>136</v>
      </c>
      <c r="AD39" s="115" t="s">
        <v>49</v>
      </c>
    </row>
    <row r="40" spans="1:30" x14ac:dyDescent="0.2">
      <c r="A40" s="104" t="s">
        <v>137</v>
      </c>
      <c r="B40" s="105" t="s">
        <v>42</v>
      </c>
      <c r="C40" s="105" t="s">
        <v>132</v>
      </c>
      <c r="D40" s="106" t="s">
        <v>94</v>
      </c>
      <c r="E40" s="107" t="s">
        <v>119</v>
      </c>
      <c r="F40" s="108" t="s">
        <v>138</v>
      </c>
      <c r="G40" s="120">
        <v>2</v>
      </c>
      <c r="H40" s="108" t="s">
        <v>7773</v>
      </c>
      <c r="I40" s="117">
        <v>2</v>
      </c>
      <c r="J40" s="113"/>
      <c r="K40" s="108" t="s">
        <v>7774</v>
      </c>
      <c r="L40" s="117">
        <v>2</v>
      </c>
      <c r="M40" s="113"/>
      <c r="N40" s="108" t="s">
        <v>138</v>
      </c>
      <c r="O40" s="117">
        <v>2</v>
      </c>
      <c r="P40" s="113"/>
      <c r="Q40" s="108" t="s">
        <v>7775</v>
      </c>
      <c r="R40" s="116">
        <v>1</v>
      </c>
      <c r="S40" s="113"/>
      <c r="T40" s="108" t="s">
        <v>7776</v>
      </c>
      <c r="U40" s="116">
        <v>1</v>
      </c>
      <c r="V40" s="113"/>
      <c r="W40" s="108" t="s">
        <v>47</v>
      </c>
      <c r="X40" s="114"/>
      <c r="Y40" s="113"/>
      <c r="Z40" s="108" t="s">
        <v>47</v>
      </c>
      <c r="AA40" s="114"/>
      <c r="AB40" s="113"/>
      <c r="AC40" s="105" t="s">
        <v>139</v>
      </c>
      <c r="AD40" s="115" t="s">
        <v>49</v>
      </c>
    </row>
    <row r="41" spans="1:30" x14ac:dyDescent="0.2">
      <c r="A41" s="104" t="s">
        <v>140</v>
      </c>
      <c r="B41" s="105" t="s">
        <v>42</v>
      </c>
      <c r="C41" s="105" t="s">
        <v>132</v>
      </c>
      <c r="D41" s="106" t="s">
        <v>125</v>
      </c>
      <c r="E41" s="107" t="s">
        <v>119</v>
      </c>
      <c r="F41" s="108" t="s">
        <v>7777</v>
      </c>
      <c r="G41" s="120">
        <v>2</v>
      </c>
      <c r="H41" s="108" t="s">
        <v>7778</v>
      </c>
      <c r="I41" s="110">
        <v>3</v>
      </c>
      <c r="J41" s="111" t="s">
        <v>46</v>
      </c>
      <c r="K41" s="108" t="s">
        <v>7779</v>
      </c>
      <c r="L41" s="117">
        <v>2</v>
      </c>
      <c r="M41" s="113"/>
      <c r="N41" s="108" t="s">
        <v>7777</v>
      </c>
      <c r="O41" s="117">
        <v>2</v>
      </c>
      <c r="P41" s="113"/>
      <c r="Q41" s="108" t="s">
        <v>7780</v>
      </c>
      <c r="R41" s="117">
        <v>2</v>
      </c>
      <c r="S41" s="113"/>
      <c r="T41" s="108" t="s">
        <v>7781</v>
      </c>
      <c r="U41" s="117">
        <v>2</v>
      </c>
      <c r="V41" s="113"/>
      <c r="W41" s="108" t="s">
        <v>7782</v>
      </c>
      <c r="X41" s="117">
        <v>2</v>
      </c>
      <c r="Y41" s="113"/>
      <c r="Z41" s="108" t="s">
        <v>47</v>
      </c>
      <c r="AA41" s="114"/>
      <c r="AB41" s="113"/>
      <c r="AC41" s="105" t="s">
        <v>141</v>
      </c>
      <c r="AD41" s="115" t="s">
        <v>49</v>
      </c>
    </row>
    <row r="42" spans="1:30" x14ac:dyDescent="0.2">
      <c r="A42" s="104" t="s">
        <v>142</v>
      </c>
      <c r="B42" s="105" t="s">
        <v>42</v>
      </c>
      <c r="C42" s="105" t="s">
        <v>132</v>
      </c>
      <c r="D42" s="106" t="s">
        <v>125</v>
      </c>
      <c r="E42" s="107" t="s">
        <v>119</v>
      </c>
      <c r="F42" s="108" t="s">
        <v>7783</v>
      </c>
      <c r="G42" s="119">
        <v>1</v>
      </c>
      <c r="H42" s="108" t="s">
        <v>7784</v>
      </c>
      <c r="I42" s="117">
        <v>2</v>
      </c>
      <c r="J42" s="111" t="s">
        <v>46</v>
      </c>
      <c r="K42" s="108" t="s">
        <v>7785</v>
      </c>
      <c r="L42" s="117">
        <v>2</v>
      </c>
      <c r="M42" s="113"/>
      <c r="N42" s="108" t="s">
        <v>7783</v>
      </c>
      <c r="O42" s="116">
        <v>1</v>
      </c>
      <c r="P42" s="113"/>
      <c r="Q42" s="108" t="s">
        <v>7786</v>
      </c>
      <c r="R42" s="116">
        <v>1</v>
      </c>
      <c r="S42" s="113"/>
      <c r="T42" s="108" t="s">
        <v>7787</v>
      </c>
      <c r="U42" s="116">
        <v>1</v>
      </c>
      <c r="V42" s="113"/>
      <c r="W42" s="108" t="s">
        <v>7788</v>
      </c>
      <c r="X42" s="117">
        <v>2</v>
      </c>
      <c r="Y42" s="113"/>
      <c r="Z42" s="108" t="s">
        <v>47</v>
      </c>
      <c r="AA42" s="114"/>
      <c r="AB42" s="113"/>
      <c r="AC42" s="105" t="s">
        <v>143</v>
      </c>
      <c r="AD42" s="115" t="s">
        <v>49</v>
      </c>
    </row>
    <row r="43" spans="1:30" x14ac:dyDescent="0.2">
      <c r="A43" s="104" t="s">
        <v>144</v>
      </c>
      <c r="B43" s="105" t="s">
        <v>42</v>
      </c>
      <c r="C43" s="105" t="s">
        <v>145</v>
      </c>
      <c r="D43" s="106"/>
      <c r="E43" s="107" t="s">
        <v>146</v>
      </c>
      <c r="F43" s="108" t="s">
        <v>7789</v>
      </c>
      <c r="G43" s="109">
        <v>4</v>
      </c>
      <c r="H43" s="108" t="s">
        <v>7790</v>
      </c>
      <c r="I43" s="110">
        <v>3</v>
      </c>
      <c r="J43" s="111" t="s">
        <v>40</v>
      </c>
      <c r="K43" s="108" t="s">
        <v>7791</v>
      </c>
      <c r="L43" s="110">
        <v>3</v>
      </c>
      <c r="M43" s="113"/>
      <c r="N43" s="108" t="s">
        <v>7789</v>
      </c>
      <c r="O43" s="112">
        <v>4</v>
      </c>
      <c r="P43" s="113"/>
      <c r="Q43" s="108" t="s">
        <v>7792</v>
      </c>
      <c r="R43" s="112">
        <v>4</v>
      </c>
      <c r="S43" s="113"/>
      <c r="T43" s="108" t="s">
        <v>47</v>
      </c>
      <c r="U43" s="114"/>
      <c r="V43" s="113"/>
      <c r="W43" s="108" t="s">
        <v>47</v>
      </c>
      <c r="X43" s="114"/>
      <c r="Y43" s="113"/>
      <c r="Z43" s="108" t="s">
        <v>47</v>
      </c>
      <c r="AA43" s="114"/>
      <c r="AB43" s="113"/>
      <c r="AC43" s="105" t="s">
        <v>147</v>
      </c>
      <c r="AD43" s="115" t="s">
        <v>49</v>
      </c>
    </row>
    <row r="44" spans="1:30" x14ac:dyDescent="0.2">
      <c r="A44" s="104" t="s">
        <v>148</v>
      </c>
      <c r="B44" s="105" t="s">
        <v>42</v>
      </c>
      <c r="C44" s="105" t="s">
        <v>145</v>
      </c>
      <c r="D44" s="106"/>
      <c r="E44" s="107" t="s">
        <v>146</v>
      </c>
      <c r="F44" s="108" t="s">
        <v>7793</v>
      </c>
      <c r="G44" s="109">
        <v>4</v>
      </c>
      <c r="H44" s="108" t="s">
        <v>7794</v>
      </c>
      <c r="I44" s="112">
        <v>4</v>
      </c>
      <c r="J44" s="113"/>
      <c r="K44" s="108" t="s">
        <v>7795</v>
      </c>
      <c r="L44" s="112">
        <v>4</v>
      </c>
      <c r="M44" s="113"/>
      <c r="N44" s="108" t="s">
        <v>7793</v>
      </c>
      <c r="O44" s="112">
        <v>4</v>
      </c>
      <c r="P44" s="113"/>
      <c r="Q44" s="108" t="s">
        <v>7796</v>
      </c>
      <c r="R44" s="112">
        <v>4</v>
      </c>
      <c r="S44" s="111" t="s">
        <v>46</v>
      </c>
      <c r="T44" s="108" t="s">
        <v>47</v>
      </c>
      <c r="U44" s="114"/>
      <c r="V44" s="113"/>
      <c r="W44" s="108" t="s">
        <v>47</v>
      </c>
      <c r="X44" s="114"/>
      <c r="Y44" s="113"/>
      <c r="Z44" s="108" t="s">
        <v>47</v>
      </c>
      <c r="AA44" s="114"/>
      <c r="AB44" s="113"/>
      <c r="AC44" s="105" t="s">
        <v>149</v>
      </c>
      <c r="AD44" s="115" t="s">
        <v>49</v>
      </c>
    </row>
    <row r="45" spans="1:30" x14ac:dyDescent="0.2">
      <c r="A45" s="104" t="s">
        <v>150</v>
      </c>
      <c r="B45" s="105" t="s">
        <v>42</v>
      </c>
      <c r="C45" s="105" t="s">
        <v>132</v>
      </c>
      <c r="D45" s="106" t="s">
        <v>125</v>
      </c>
      <c r="E45" s="107" t="s">
        <v>119</v>
      </c>
      <c r="F45" s="108" t="s">
        <v>7797</v>
      </c>
      <c r="G45" s="118">
        <v>3</v>
      </c>
      <c r="H45" s="108" t="s">
        <v>7798</v>
      </c>
      <c r="I45" s="110">
        <v>3</v>
      </c>
      <c r="J45" s="113"/>
      <c r="K45" s="108" t="s">
        <v>7799</v>
      </c>
      <c r="L45" s="110">
        <v>3</v>
      </c>
      <c r="M45" s="113"/>
      <c r="N45" s="108" t="s">
        <v>7797</v>
      </c>
      <c r="O45" s="110">
        <v>3</v>
      </c>
      <c r="P45" s="111" t="s">
        <v>46</v>
      </c>
      <c r="Q45" s="108" t="s">
        <v>7800</v>
      </c>
      <c r="R45" s="117">
        <v>2</v>
      </c>
      <c r="S45" s="113"/>
      <c r="T45" s="108" t="s">
        <v>7801</v>
      </c>
      <c r="U45" s="110">
        <v>3</v>
      </c>
      <c r="V45" s="113"/>
      <c r="W45" s="108" t="s">
        <v>7802</v>
      </c>
      <c r="X45" s="110">
        <v>3</v>
      </c>
      <c r="Y45" s="111" t="s">
        <v>46</v>
      </c>
      <c r="Z45" s="108" t="s">
        <v>47</v>
      </c>
      <c r="AA45" s="114"/>
      <c r="AB45" s="113"/>
      <c r="AC45" s="105" t="s">
        <v>151</v>
      </c>
      <c r="AD45" s="115" t="s">
        <v>49</v>
      </c>
    </row>
    <row r="46" spans="1:30" x14ac:dyDescent="0.2">
      <c r="A46" s="104" t="s">
        <v>7803</v>
      </c>
      <c r="B46" s="105" t="s">
        <v>42</v>
      </c>
      <c r="C46" s="105" t="s">
        <v>132</v>
      </c>
      <c r="D46" s="106"/>
      <c r="E46" s="107"/>
      <c r="F46" s="108" t="s">
        <v>47</v>
      </c>
      <c r="G46" s="113"/>
      <c r="H46" s="108" t="s">
        <v>7804</v>
      </c>
      <c r="I46" s="116">
        <v>1</v>
      </c>
      <c r="J46" s="113"/>
      <c r="K46" s="108" t="s">
        <v>152</v>
      </c>
      <c r="L46" s="116">
        <v>1</v>
      </c>
      <c r="M46" s="113"/>
      <c r="N46" s="108" t="s">
        <v>47</v>
      </c>
      <c r="O46" s="114"/>
      <c r="P46" s="113"/>
      <c r="Q46" s="108" t="s">
        <v>47</v>
      </c>
      <c r="R46" s="114"/>
      <c r="S46" s="113"/>
      <c r="T46" s="108" t="s">
        <v>47</v>
      </c>
      <c r="U46" s="114"/>
      <c r="V46" s="113"/>
      <c r="W46" s="108" t="s">
        <v>47</v>
      </c>
      <c r="X46" s="114"/>
      <c r="Y46" s="113"/>
      <c r="Z46" s="108" t="s">
        <v>47</v>
      </c>
      <c r="AA46" s="114"/>
      <c r="AB46" s="113"/>
      <c r="AC46" s="105" t="s">
        <v>7805</v>
      </c>
      <c r="AD46" s="115" t="s">
        <v>49</v>
      </c>
    </row>
    <row r="47" spans="1:30" x14ac:dyDescent="0.2">
      <c r="A47" s="104" t="s">
        <v>153</v>
      </c>
      <c r="B47" s="105" t="s">
        <v>42</v>
      </c>
      <c r="C47" s="105" t="s">
        <v>154</v>
      </c>
      <c r="D47" s="106"/>
      <c r="E47" s="107"/>
      <c r="F47" s="108" t="s">
        <v>7806</v>
      </c>
      <c r="G47" s="119">
        <v>1</v>
      </c>
      <c r="H47" s="108" t="s">
        <v>155</v>
      </c>
      <c r="I47" s="116">
        <v>1</v>
      </c>
      <c r="J47" s="113"/>
      <c r="K47" s="108" t="s">
        <v>156</v>
      </c>
      <c r="L47" s="116">
        <v>1</v>
      </c>
      <c r="M47" s="113"/>
      <c r="N47" s="108" t="s">
        <v>7806</v>
      </c>
      <c r="O47" s="116">
        <v>1</v>
      </c>
      <c r="P47" s="113"/>
      <c r="Q47" s="108" t="s">
        <v>7807</v>
      </c>
      <c r="R47" s="116">
        <v>1</v>
      </c>
      <c r="S47" s="113"/>
      <c r="T47" s="108" t="s">
        <v>7808</v>
      </c>
      <c r="U47" s="117">
        <v>2</v>
      </c>
      <c r="V47" s="113"/>
      <c r="W47" s="108" t="s">
        <v>7809</v>
      </c>
      <c r="X47" s="117">
        <v>2</v>
      </c>
      <c r="Y47" s="113"/>
      <c r="Z47" s="108" t="s">
        <v>7810</v>
      </c>
      <c r="AA47" s="116">
        <v>1</v>
      </c>
      <c r="AB47" s="111" t="s">
        <v>157</v>
      </c>
      <c r="AC47" s="105" t="s">
        <v>158</v>
      </c>
      <c r="AD47" s="115" t="s">
        <v>49</v>
      </c>
    </row>
    <row r="48" spans="1:30" x14ac:dyDescent="0.2">
      <c r="A48" s="104" t="s">
        <v>7811</v>
      </c>
      <c r="B48" s="105" t="s">
        <v>42</v>
      </c>
      <c r="C48" s="105" t="s">
        <v>154</v>
      </c>
      <c r="D48" s="106"/>
      <c r="E48" s="107"/>
      <c r="F48" s="108" t="s">
        <v>47</v>
      </c>
      <c r="G48" s="113"/>
      <c r="H48" s="108" t="s">
        <v>47</v>
      </c>
      <c r="I48" s="114"/>
      <c r="J48" s="113"/>
      <c r="K48" s="108" t="s">
        <v>47</v>
      </c>
      <c r="L48" s="114"/>
      <c r="M48" s="113"/>
      <c r="N48" s="108" t="s">
        <v>47</v>
      </c>
      <c r="O48" s="114"/>
      <c r="P48" s="113"/>
      <c r="Q48" s="108" t="s">
        <v>47</v>
      </c>
      <c r="R48" s="114"/>
      <c r="S48" s="113"/>
      <c r="T48" s="108" t="s">
        <v>47</v>
      </c>
      <c r="U48" s="114"/>
      <c r="V48" s="113"/>
      <c r="W48" s="108" t="s">
        <v>47</v>
      </c>
      <c r="X48" s="114"/>
      <c r="Y48" s="113"/>
      <c r="Z48" s="108" t="s">
        <v>47</v>
      </c>
      <c r="AA48" s="114"/>
      <c r="AB48" s="113"/>
      <c r="AC48" s="105" t="s">
        <v>7812</v>
      </c>
      <c r="AD48" s="115" t="s">
        <v>49</v>
      </c>
    </row>
    <row r="49" spans="1:30" x14ac:dyDescent="0.2">
      <c r="A49" s="104" t="s">
        <v>159</v>
      </c>
      <c r="B49" s="105" t="s">
        <v>42</v>
      </c>
      <c r="C49" s="105" t="s">
        <v>160</v>
      </c>
      <c r="D49" s="106"/>
      <c r="E49" s="107"/>
      <c r="F49" s="108" t="s">
        <v>7813</v>
      </c>
      <c r="G49" s="120">
        <v>2</v>
      </c>
      <c r="H49" s="108" t="s">
        <v>7814</v>
      </c>
      <c r="I49" s="117">
        <v>2</v>
      </c>
      <c r="J49" s="111" t="s">
        <v>46</v>
      </c>
      <c r="K49" s="108" t="s">
        <v>7815</v>
      </c>
      <c r="L49" s="117">
        <v>2</v>
      </c>
      <c r="M49" s="113"/>
      <c r="N49" s="108" t="s">
        <v>7813</v>
      </c>
      <c r="O49" s="117">
        <v>2</v>
      </c>
      <c r="P49" s="113"/>
      <c r="Q49" s="108" t="s">
        <v>7816</v>
      </c>
      <c r="R49" s="117">
        <v>2</v>
      </c>
      <c r="S49" s="113"/>
      <c r="T49" s="108" t="s">
        <v>7817</v>
      </c>
      <c r="U49" s="117">
        <v>2</v>
      </c>
      <c r="V49" s="113"/>
      <c r="W49" s="108" t="s">
        <v>47</v>
      </c>
      <c r="X49" s="114"/>
      <c r="Y49" s="113"/>
      <c r="Z49" s="108" t="s">
        <v>47</v>
      </c>
      <c r="AA49" s="114"/>
      <c r="AB49" s="113"/>
      <c r="AC49" s="105" t="s">
        <v>161</v>
      </c>
      <c r="AD49" s="115" t="s">
        <v>49</v>
      </c>
    </row>
    <row r="50" spans="1:30" x14ac:dyDescent="0.2">
      <c r="A50" s="104" t="s">
        <v>162</v>
      </c>
      <c r="B50" s="105" t="s">
        <v>42</v>
      </c>
      <c r="C50" s="105" t="s">
        <v>160</v>
      </c>
      <c r="D50" s="106"/>
      <c r="E50" s="107"/>
      <c r="F50" s="108" t="s">
        <v>7818</v>
      </c>
      <c r="G50" s="119">
        <v>1</v>
      </c>
      <c r="H50" s="108" t="s">
        <v>7819</v>
      </c>
      <c r="I50" s="116">
        <v>1</v>
      </c>
      <c r="J50" s="113"/>
      <c r="K50" s="108" t="s">
        <v>7820</v>
      </c>
      <c r="L50" s="116">
        <v>1</v>
      </c>
      <c r="M50" s="113"/>
      <c r="N50" s="108" t="s">
        <v>7818</v>
      </c>
      <c r="O50" s="116">
        <v>1</v>
      </c>
      <c r="P50" s="113"/>
      <c r="Q50" s="108" t="s">
        <v>7821</v>
      </c>
      <c r="R50" s="116">
        <v>1</v>
      </c>
      <c r="S50" s="113"/>
      <c r="T50" s="108" t="s">
        <v>7822</v>
      </c>
      <c r="U50" s="116">
        <v>1</v>
      </c>
      <c r="V50" s="113"/>
      <c r="W50" s="108" t="s">
        <v>7823</v>
      </c>
      <c r="X50" s="116">
        <v>1</v>
      </c>
      <c r="Y50" s="113"/>
      <c r="Z50" s="108" t="s">
        <v>47</v>
      </c>
      <c r="AA50" s="114"/>
      <c r="AB50" s="113"/>
      <c r="AC50" s="105" t="s">
        <v>163</v>
      </c>
      <c r="AD50" s="115" t="s">
        <v>49</v>
      </c>
    </row>
    <row r="51" spans="1:30" x14ac:dyDescent="0.2">
      <c r="A51" s="104" t="s">
        <v>164</v>
      </c>
      <c r="B51" s="105" t="s">
        <v>42</v>
      </c>
      <c r="C51" s="105" t="s">
        <v>165</v>
      </c>
      <c r="D51" s="106"/>
      <c r="E51" s="107"/>
      <c r="F51" s="108" t="s">
        <v>7824</v>
      </c>
      <c r="G51" s="109">
        <v>4</v>
      </c>
      <c r="H51" s="108" t="s">
        <v>7825</v>
      </c>
      <c r="I51" s="110">
        <v>3</v>
      </c>
      <c r="J51" s="111" t="s">
        <v>40</v>
      </c>
      <c r="K51" s="108" t="s">
        <v>7826</v>
      </c>
      <c r="L51" s="110">
        <v>3</v>
      </c>
      <c r="M51" s="111" t="s">
        <v>40</v>
      </c>
      <c r="N51" s="108" t="s">
        <v>7824</v>
      </c>
      <c r="O51" s="112">
        <v>4</v>
      </c>
      <c r="P51" s="113"/>
      <c r="Q51" s="108" t="s">
        <v>47</v>
      </c>
      <c r="R51" s="114"/>
      <c r="S51" s="113"/>
      <c r="T51" s="108" t="s">
        <v>47</v>
      </c>
      <c r="U51" s="114"/>
      <c r="V51" s="113"/>
      <c r="W51" s="108" t="s">
        <v>47</v>
      </c>
      <c r="X51" s="114"/>
      <c r="Y51" s="113"/>
      <c r="Z51" s="108" t="s">
        <v>47</v>
      </c>
      <c r="AA51" s="114"/>
      <c r="AB51" s="113"/>
      <c r="AC51" s="105" t="s">
        <v>166</v>
      </c>
      <c r="AD51" s="115" t="s">
        <v>49</v>
      </c>
    </row>
    <row r="52" spans="1:30" x14ac:dyDescent="0.2">
      <c r="A52" s="104" t="s">
        <v>7827</v>
      </c>
      <c r="B52" s="105" t="s">
        <v>42</v>
      </c>
      <c r="C52" s="105" t="s">
        <v>160</v>
      </c>
      <c r="D52" s="106"/>
      <c r="E52" s="107"/>
      <c r="F52" s="108" t="s">
        <v>47</v>
      </c>
      <c r="G52" s="113"/>
      <c r="H52" s="108" t="s">
        <v>7828</v>
      </c>
      <c r="I52" s="117">
        <v>2</v>
      </c>
      <c r="J52" s="111" t="s">
        <v>46</v>
      </c>
      <c r="K52" s="108" t="s">
        <v>7829</v>
      </c>
      <c r="L52" s="116">
        <v>1</v>
      </c>
      <c r="M52" s="113"/>
      <c r="N52" s="108" t="s">
        <v>47</v>
      </c>
      <c r="O52" s="114"/>
      <c r="P52" s="113"/>
      <c r="Q52" s="108" t="s">
        <v>47</v>
      </c>
      <c r="R52" s="114"/>
      <c r="S52" s="113"/>
      <c r="T52" s="108" t="s">
        <v>47</v>
      </c>
      <c r="U52" s="114"/>
      <c r="V52" s="113"/>
      <c r="W52" s="108" t="s">
        <v>47</v>
      </c>
      <c r="X52" s="114"/>
      <c r="Y52" s="113"/>
      <c r="Z52" s="108" t="s">
        <v>47</v>
      </c>
      <c r="AA52" s="114"/>
      <c r="AB52" s="113"/>
      <c r="AC52" s="105" t="s">
        <v>7830</v>
      </c>
      <c r="AD52" s="115" t="s">
        <v>49</v>
      </c>
    </row>
    <row r="53" spans="1:30" x14ac:dyDescent="0.2">
      <c r="A53" s="104" t="s">
        <v>167</v>
      </c>
      <c r="B53" s="105" t="s">
        <v>42</v>
      </c>
      <c r="C53" s="105" t="s">
        <v>160</v>
      </c>
      <c r="D53" s="106"/>
      <c r="E53" s="107"/>
      <c r="F53" s="108" t="s">
        <v>7831</v>
      </c>
      <c r="G53" s="120">
        <v>2</v>
      </c>
      <c r="H53" s="108" t="s">
        <v>7832</v>
      </c>
      <c r="I53" s="116">
        <v>1</v>
      </c>
      <c r="J53" s="111" t="s">
        <v>40</v>
      </c>
      <c r="K53" s="108" t="s">
        <v>7833</v>
      </c>
      <c r="L53" s="117">
        <v>2</v>
      </c>
      <c r="M53" s="113"/>
      <c r="N53" s="108" t="s">
        <v>7831</v>
      </c>
      <c r="O53" s="117">
        <v>2</v>
      </c>
      <c r="P53" s="113"/>
      <c r="Q53" s="108" t="s">
        <v>7834</v>
      </c>
      <c r="R53" s="117">
        <v>2</v>
      </c>
      <c r="S53" s="113"/>
      <c r="T53" s="108" t="s">
        <v>7835</v>
      </c>
      <c r="U53" s="116">
        <v>1</v>
      </c>
      <c r="V53" s="113"/>
      <c r="W53" s="108" t="s">
        <v>47</v>
      </c>
      <c r="X53" s="114"/>
      <c r="Y53" s="113"/>
      <c r="Z53" s="108" t="s">
        <v>47</v>
      </c>
      <c r="AA53" s="114"/>
      <c r="AB53" s="113"/>
      <c r="AC53" s="105" t="s">
        <v>168</v>
      </c>
      <c r="AD53" s="115" t="s">
        <v>49</v>
      </c>
    </row>
    <row r="54" spans="1:30" x14ac:dyDescent="0.2">
      <c r="A54" s="104" t="s">
        <v>169</v>
      </c>
      <c r="B54" s="105" t="s">
        <v>42</v>
      </c>
      <c r="C54" s="105" t="s">
        <v>160</v>
      </c>
      <c r="D54" s="106"/>
      <c r="E54" s="107"/>
      <c r="F54" s="108" t="s">
        <v>7836</v>
      </c>
      <c r="G54" s="120">
        <v>2</v>
      </c>
      <c r="H54" s="108" t="s">
        <v>7837</v>
      </c>
      <c r="I54" s="117">
        <v>2</v>
      </c>
      <c r="J54" s="113"/>
      <c r="K54" s="108" t="s">
        <v>7838</v>
      </c>
      <c r="L54" s="117">
        <v>2</v>
      </c>
      <c r="M54" s="113"/>
      <c r="N54" s="108" t="s">
        <v>7836</v>
      </c>
      <c r="O54" s="117">
        <v>2</v>
      </c>
      <c r="P54" s="113"/>
      <c r="Q54" s="108" t="s">
        <v>7839</v>
      </c>
      <c r="R54" s="117">
        <v>2</v>
      </c>
      <c r="S54" s="113"/>
      <c r="T54" s="108" t="s">
        <v>7840</v>
      </c>
      <c r="U54" s="117">
        <v>2</v>
      </c>
      <c r="V54" s="113"/>
      <c r="W54" s="108" t="s">
        <v>47</v>
      </c>
      <c r="X54" s="114"/>
      <c r="Y54" s="113"/>
      <c r="Z54" s="108" t="s">
        <v>47</v>
      </c>
      <c r="AA54" s="114"/>
      <c r="AB54" s="113"/>
      <c r="AC54" s="105" t="s">
        <v>170</v>
      </c>
      <c r="AD54" s="115" t="s">
        <v>49</v>
      </c>
    </row>
    <row r="55" spans="1:30" x14ac:dyDescent="0.2">
      <c r="A55" s="104" t="s">
        <v>171</v>
      </c>
      <c r="B55" s="105" t="s">
        <v>42</v>
      </c>
      <c r="C55" s="105" t="s">
        <v>160</v>
      </c>
      <c r="D55" s="106"/>
      <c r="E55" s="107"/>
      <c r="F55" s="108" t="s">
        <v>7831</v>
      </c>
      <c r="G55" s="120">
        <v>2</v>
      </c>
      <c r="H55" s="108" t="s">
        <v>7832</v>
      </c>
      <c r="I55" s="116">
        <v>1</v>
      </c>
      <c r="J55" s="111" t="s">
        <v>40</v>
      </c>
      <c r="K55" s="108" t="s">
        <v>7833</v>
      </c>
      <c r="L55" s="117">
        <v>2</v>
      </c>
      <c r="M55" s="113"/>
      <c r="N55" s="108" t="s">
        <v>7831</v>
      </c>
      <c r="O55" s="117">
        <v>2</v>
      </c>
      <c r="P55" s="113"/>
      <c r="Q55" s="108" t="s">
        <v>7834</v>
      </c>
      <c r="R55" s="117">
        <v>2</v>
      </c>
      <c r="S55" s="113"/>
      <c r="T55" s="108" t="s">
        <v>7841</v>
      </c>
      <c r="U55" s="116">
        <v>1</v>
      </c>
      <c r="V55" s="113"/>
      <c r="W55" s="108" t="s">
        <v>7842</v>
      </c>
      <c r="X55" s="117">
        <v>2</v>
      </c>
      <c r="Y55" s="113"/>
      <c r="Z55" s="108" t="s">
        <v>7843</v>
      </c>
      <c r="AA55" s="117">
        <v>2</v>
      </c>
      <c r="AB55" s="111" t="s">
        <v>46</v>
      </c>
      <c r="AC55" s="105" t="s">
        <v>172</v>
      </c>
      <c r="AD55" s="115" t="s">
        <v>49</v>
      </c>
    </row>
    <row r="56" spans="1:30" x14ac:dyDescent="0.2">
      <c r="A56" s="104" t="s">
        <v>173</v>
      </c>
      <c r="B56" s="105" t="s">
        <v>42</v>
      </c>
      <c r="C56" s="105" t="s">
        <v>160</v>
      </c>
      <c r="D56" s="106"/>
      <c r="E56" s="107"/>
      <c r="F56" s="108" t="s">
        <v>7844</v>
      </c>
      <c r="G56" s="119">
        <v>1</v>
      </c>
      <c r="H56" s="108" t="s">
        <v>7845</v>
      </c>
      <c r="I56" s="116">
        <v>1</v>
      </c>
      <c r="J56" s="113"/>
      <c r="K56" s="108" t="s">
        <v>7846</v>
      </c>
      <c r="L56" s="116">
        <v>1</v>
      </c>
      <c r="M56" s="113"/>
      <c r="N56" s="108" t="s">
        <v>7844</v>
      </c>
      <c r="O56" s="116">
        <v>1</v>
      </c>
      <c r="P56" s="113"/>
      <c r="Q56" s="108" t="s">
        <v>7847</v>
      </c>
      <c r="R56" s="116">
        <v>1</v>
      </c>
      <c r="S56" s="113"/>
      <c r="T56" s="108" t="s">
        <v>47</v>
      </c>
      <c r="U56" s="114"/>
      <c r="V56" s="113"/>
      <c r="W56" s="108" t="s">
        <v>47</v>
      </c>
      <c r="X56" s="114"/>
      <c r="Y56" s="113"/>
      <c r="Z56" s="108" t="s">
        <v>47</v>
      </c>
      <c r="AA56" s="114"/>
      <c r="AB56" s="113"/>
      <c r="AC56" s="105" t="s">
        <v>174</v>
      </c>
      <c r="AD56" s="115" t="s">
        <v>49</v>
      </c>
    </row>
    <row r="57" spans="1:30" x14ac:dyDescent="0.2">
      <c r="A57" s="104" t="s">
        <v>175</v>
      </c>
      <c r="B57" s="105" t="s">
        <v>42</v>
      </c>
      <c r="C57" s="105" t="s">
        <v>160</v>
      </c>
      <c r="D57" s="106"/>
      <c r="E57" s="107"/>
      <c r="F57" s="108" t="s">
        <v>47</v>
      </c>
      <c r="G57" s="113"/>
      <c r="H57" s="108" t="s">
        <v>7848</v>
      </c>
      <c r="I57" s="117">
        <v>2</v>
      </c>
      <c r="J57" s="113"/>
      <c r="K57" s="108" t="s">
        <v>7849</v>
      </c>
      <c r="L57" s="117">
        <v>2</v>
      </c>
      <c r="M57" s="113"/>
      <c r="N57" s="108" t="s">
        <v>47</v>
      </c>
      <c r="O57" s="114"/>
      <c r="P57" s="113"/>
      <c r="Q57" s="108" t="s">
        <v>47</v>
      </c>
      <c r="R57" s="114"/>
      <c r="S57" s="113"/>
      <c r="T57" s="108" t="s">
        <v>47</v>
      </c>
      <c r="U57" s="114"/>
      <c r="V57" s="113"/>
      <c r="W57" s="108" t="s">
        <v>47</v>
      </c>
      <c r="X57" s="114"/>
      <c r="Y57" s="113"/>
      <c r="Z57" s="108" t="s">
        <v>47</v>
      </c>
      <c r="AA57" s="114"/>
      <c r="AB57" s="113"/>
      <c r="AC57" s="105" t="s">
        <v>176</v>
      </c>
      <c r="AD57" s="115" t="s">
        <v>49</v>
      </c>
    </row>
    <row r="58" spans="1:30" x14ac:dyDescent="0.2">
      <c r="A58" s="104" t="s">
        <v>177</v>
      </c>
      <c r="B58" s="105" t="s">
        <v>42</v>
      </c>
      <c r="C58" s="105" t="s">
        <v>160</v>
      </c>
      <c r="D58" s="106"/>
      <c r="E58" s="107"/>
      <c r="F58" s="108" t="s">
        <v>7850</v>
      </c>
      <c r="G58" s="118">
        <v>3</v>
      </c>
      <c r="H58" s="108" t="s">
        <v>7851</v>
      </c>
      <c r="I58" s="110">
        <v>3</v>
      </c>
      <c r="J58" s="113"/>
      <c r="K58" s="108" t="s">
        <v>7852</v>
      </c>
      <c r="L58" s="110">
        <v>3</v>
      </c>
      <c r="M58" s="113"/>
      <c r="N58" s="108" t="s">
        <v>7850</v>
      </c>
      <c r="O58" s="110">
        <v>3</v>
      </c>
      <c r="P58" s="113"/>
      <c r="Q58" s="108" t="s">
        <v>7853</v>
      </c>
      <c r="R58" s="110">
        <v>3</v>
      </c>
      <c r="S58" s="113"/>
      <c r="T58" s="108" t="s">
        <v>7854</v>
      </c>
      <c r="U58" s="110">
        <v>3</v>
      </c>
      <c r="V58" s="113"/>
      <c r="W58" s="108" t="s">
        <v>47</v>
      </c>
      <c r="X58" s="114"/>
      <c r="Y58" s="113"/>
      <c r="Z58" s="108" t="s">
        <v>47</v>
      </c>
      <c r="AA58" s="114"/>
      <c r="AB58" s="113"/>
      <c r="AC58" s="105" t="s">
        <v>178</v>
      </c>
      <c r="AD58" s="115" t="s">
        <v>49</v>
      </c>
    </row>
    <row r="59" spans="1:30" x14ac:dyDescent="0.2">
      <c r="A59" s="104" t="s">
        <v>179</v>
      </c>
      <c r="B59" s="105" t="s">
        <v>42</v>
      </c>
      <c r="C59" s="105" t="s">
        <v>160</v>
      </c>
      <c r="D59" s="106"/>
      <c r="E59" s="107"/>
      <c r="F59" s="108" t="s">
        <v>7855</v>
      </c>
      <c r="G59" s="120">
        <v>2</v>
      </c>
      <c r="H59" s="108" t="s">
        <v>7856</v>
      </c>
      <c r="I59" s="117">
        <v>2</v>
      </c>
      <c r="J59" s="113"/>
      <c r="K59" s="108" t="s">
        <v>7857</v>
      </c>
      <c r="L59" s="117">
        <v>2</v>
      </c>
      <c r="M59" s="113"/>
      <c r="N59" s="108" t="s">
        <v>7855</v>
      </c>
      <c r="O59" s="117">
        <v>2</v>
      </c>
      <c r="P59" s="113"/>
      <c r="Q59" s="108" t="s">
        <v>7858</v>
      </c>
      <c r="R59" s="117">
        <v>2</v>
      </c>
      <c r="S59" s="113"/>
      <c r="T59" s="108" t="s">
        <v>7859</v>
      </c>
      <c r="U59" s="117">
        <v>2</v>
      </c>
      <c r="V59" s="113"/>
      <c r="W59" s="108" t="s">
        <v>47</v>
      </c>
      <c r="X59" s="114"/>
      <c r="Y59" s="113"/>
      <c r="Z59" s="108" t="s">
        <v>47</v>
      </c>
      <c r="AA59" s="114"/>
      <c r="AB59" s="113"/>
      <c r="AC59" s="105"/>
      <c r="AD59" s="115" t="s">
        <v>180</v>
      </c>
    </row>
    <row r="60" spans="1:30" x14ac:dyDescent="0.2">
      <c r="A60" s="104" t="s">
        <v>181</v>
      </c>
      <c r="B60" s="105" t="s">
        <v>42</v>
      </c>
      <c r="C60" s="105" t="s">
        <v>132</v>
      </c>
      <c r="D60" s="106"/>
      <c r="E60" s="107" t="s">
        <v>182</v>
      </c>
      <c r="F60" s="108" t="s">
        <v>7860</v>
      </c>
      <c r="G60" s="120">
        <v>2</v>
      </c>
      <c r="H60" s="108" t="s">
        <v>7861</v>
      </c>
      <c r="I60" s="117">
        <v>2</v>
      </c>
      <c r="J60" s="113"/>
      <c r="K60" s="108" t="s">
        <v>7862</v>
      </c>
      <c r="L60" s="117">
        <v>2</v>
      </c>
      <c r="M60" s="111" t="s">
        <v>40</v>
      </c>
      <c r="N60" s="108" t="s">
        <v>7860</v>
      </c>
      <c r="O60" s="117">
        <v>2</v>
      </c>
      <c r="P60" s="111" t="s">
        <v>40</v>
      </c>
      <c r="Q60" s="108" t="s">
        <v>7863</v>
      </c>
      <c r="R60" s="117">
        <v>2</v>
      </c>
      <c r="S60" s="113"/>
      <c r="T60" s="108" t="s">
        <v>47</v>
      </c>
      <c r="U60" s="114"/>
      <c r="V60" s="113"/>
      <c r="W60" s="108" t="s">
        <v>47</v>
      </c>
      <c r="X60" s="114"/>
      <c r="Y60" s="113"/>
      <c r="Z60" s="108" t="s">
        <v>47</v>
      </c>
      <c r="AA60" s="114"/>
      <c r="AB60" s="113"/>
      <c r="AC60" s="105" t="s">
        <v>183</v>
      </c>
      <c r="AD60" s="115" t="s">
        <v>49</v>
      </c>
    </row>
    <row r="61" spans="1:30" x14ac:dyDescent="0.2">
      <c r="A61" s="104" t="s">
        <v>184</v>
      </c>
      <c r="B61" s="105" t="s">
        <v>42</v>
      </c>
      <c r="C61" s="105" t="s">
        <v>132</v>
      </c>
      <c r="D61" s="106" t="s">
        <v>94</v>
      </c>
      <c r="E61" s="107" t="s">
        <v>182</v>
      </c>
      <c r="F61" s="108" t="s">
        <v>7864</v>
      </c>
      <c r="G61" s="120">
        <v>2</v>
      </c>
      <c r="H61" s="108" t="s">
        <v>7865</v>
      </c>
      <c r="I61" s="117">
        <v>2</v>
      </c>
      <c r="J61" s="113"/>
      <c r="K61" s="108" t="s">
        <v>7866</v>
      </c>
      <c r="L61" s="117">
        <v>2</v>
      </c>
      <c r="M61" s="111" t="s">
        <v>40</v>
      </c>
      <c r="N61" s="108" t="s">
        <v>7864</v>
      </c>
      <c r="O61" s="117">
        <v>2</v>
      </c>
      <c r="P61" s="111" t="s">
        <v>40</v>
      </c>
      <c r="Q61" s="108" t="s">
        <v>185</v>
      </c>
      <c r="R61" s="117">
        <v>2</v>
      </c>
      <c r="S61" s="113"/>
      <c r="T61" s="108" t="s">
        <v>7867</v>
      </c>
      <c r="U61" s="117">
        <v>2</v>
      </c>
      <c r="V61" s="113"/>
      <c r="W61" s="108" t="s">
        <v>7868</v>
      </c>
      <c r="X61" s="117">
        <v>2</v>
      </c>
      <c r="Y61" s="113"/>
      <c r="Z61" s="108" t="s">
        <v>7869</v>
      </c>
      <c r="AA61" s="117">
        <v>2</v>
      </c>
      <c r="AB61" s="111" t="s">
        <v>46</v>
      </c>
      <c r="AC61" s="105" t="s">
        <v>186</v>
      </c>
      <c r="AD61" s="115" t="s">
        <v>49</v>
      </c>
    </row>
    <row r="62" spans="1:30" x14ac:dyDescent="0.2">
      <c r="A62" s="104" t="s">
        <v>187</v>
      </c>
      <c r="B62" s="105" t="s">
        <v>42</v>
      </c>
      <c r="C62" s="105" t="s">
        <v>145</v>
      </c>
      <c r="D62" s="106"/>
      <c r="E62" s="107" t="s">
        <v>146</v>
      </c>
      <c r="F62" s="108" t="s">
        <v>47</v>
      </c>
      <c r="G62" s="113"/>
      <c r="H62" s="108" t="s">
        <v>47</v>
      </c>
      <c r="I62" s="114"/>
      <c r="J62" s="113"/>
      <c r="K62" s="108" t="s">
        <v>47</v>
      </c>
      <c r="L62" s="114"/>
      <c r="M62" s="113"/>
      <c r="N62" s="108" t="s">
        <v>47</v>
      </c>
      <c r="O62" s="114"/>
      <c r="P62" s="113"/>
      <c r="Q62" s="108" t="s">
        <v>47</v>
      </c>
      <c r="R62" s="114"/>
      <c r="S62" s="113"/>
      <c r="T62" s="108" t="s">
        <v>47</v>
      </c>
      <c r="U62" s="114"/>
      <c r="V62" s="113"/>
      <c r="W62" s="108" t="s">
        <v>47</v>
      </c>
      <c r="X62" s="114"/>
      <c r="Y62" s="113"/>
      <c r="Z62" s="108" t="s">
        <v>47</v>
      </c>
      <c r="AA62" s="114"/>
      <c r="AB62" s="113"/>
      <c r="AC62" s="105" t="s">
        <v>188</v>
      </c>
      <c r="AD62" s="115" t="s">
        <v>49</v>
      </c>
    </row>
    <row r="63" spans="1:30" x14ac:dyDescent="0.2">
      <c r="A63" s="104" t="s">
        <v>189</v>
      </c>
      <c r="B63" s="105" t="s">
        <v>42</v>
      </c>
      <c r="C63" s="105" t="s">
        <v>145</v>
      </c>
      <c r="D63" s="106"/>
      <c r="E63" s="107" t="s">
        <v>146</v>
      </c>
      <c r="F63" s="108" t="s">
        <v>7870</v>
      </c>
      <c r="G63" s="109">
        <v>4</v>
      </c>
      <c r="H63" s="108" t="s">
        <v>7871</v>
      </c>
      <c r="I63" s="110">
        <v>3</v>
      </c>
      <c r="J63" s="111" t="s">
        <v>40</v>
      </c>
      <c r="K63" s="108" t="s">
        <v>7872</v>
      </c>
      <c r="L63" s="110">
        <v>3</v>
      </c>
      <c r="M63" s="113"/>
      <c r="N63" s="108" t="s">
        <v>7870</v>
      </c>
      <c r="O63" s="112">
        <v>4</v>
      </c>
      <c r="P63" s="113"/>
      <c r="Q63" s="108" t="s">
        <v>7873</v>
      </c>
      <c r="R63" s="112">
        <v>4</v>
      </c>
      <c r="S63" s="113"/>
      <c r="T63" s="108" t="s">
        <v>47</v>
      </c>
      <c r="U63" s="114"/>
      <c r="V63" s="113"/>
      <c r="W63" s="108" t="s">
        <v>47</v>
      </c>
      <c r="X63" s="114"/>
      <c r="Y63" s="113"/>
      <c r="Z63" s="108" t="s">
        <v>47</v>
      </c>
      <c r="AA63" s="114"/>
      <c r="AB63" s="113"/>
      <c r="AC63" s="105" t="s">
        <v>190</v>
      </c>
      <c r="AD63" s="115" t="s">
        <v>49</v>
      </c>
    </row>
    <row r="64" spans="1:30" x14ac:dyDescent="0.2">
      <c r="A64" s="104" t="s">
        <v>191</v>
      </c>
      <c r="B64" s="105" t="s">
        <v>42</v>
      </c>
      <c r="C64" s="105" t="s">
        <v>145</v>
      </c>
      <c r="D64" s="106"/>
      <c r="E64" s="107" t="s">
        <v>146</v>
      </c>
      <c r="F64" s="108" t="s">
        <v>7874</v>
      </c>
      <c r="G64" s="109">
        <v>4</v>
      </c>
      <c r="H64" s="108" t="s">
        <v>7875</v>
      </c>
      <c r="I64" s="112">
        <v>4</v>
      </c>
      <c r="J64" s="113"/>
      <c r="K64" s="108" t="s">
        <v>7876</v>
      </c>
      <c r="L64" s="112">
        <v>4</v>
      </c>
      <c r="M64" s="113"/>
      <c r="N64" s="108" t="s">
        <v>7874</v>
      </c>
      <c r="O64" s="112">
        <v>4</v>
      </c>
      <c r="P64" s="113"/>
      <c r="Q64" s="108" t="s">
        <v>7877</v>
      </c>
      <c r="R64" s="112">
        <v>4</v>
      </c>
      <c r="S64" s="113"/>
      <c r="T64" s="108" t="s">
        <v>47</v>
      </c>
      <c r="U64" s="114"/>
      <c r="V64" s="113"/>
      <c r="W64" s="108" t="s">
        <v>47</v>
      </c>
      <c r="X64" s="114"/>
      <c r="Y64" s="113"/>
      <c r="Z64" s="108" t="s">
        <v>47</v>
      </c>
      <c r="AA64" s="114"/>
      <c r="AB64" s="113"/>
      <c r="AC64" s="105" t="s">
        <v>192</v>
      </c>
      <c r="AD64" s="115" t="s">
        <v>49</v>
      </c>
    </row>
    <row r="65" spans="1:30" x14ac:dyDescent="0.2">
      <c r="A65" s="104" t="s">
        <v>193</v>
      </c>
      <c r="B65" s="105" t="s">
        <v>42</v>
      </c>
      <c r="C65" s="105" t="s">
        <v>132</v>
      </c>
      <c r="D65" s="106"/>
      <c r="E65" s="107" t="s">
        <v>182</v>
      </c>
      <c r="F65" s="108" t="s">
        <v>7878</v>
      </c>
      <c r="G65" s="120">
        <v>2</v>
      </c>
      <c r="H65" s="108" t="s">
        <v>7879</v>
      </c>
      <c r="I65" s="117">
        <v>2</v>
      </c>
      <c r="J65" s="113"/>
      <c r="K65" s="108" t="s">
        <v>7880</v>
      </c>
      <c r="L65" s="117">
        <v>2</v>
      </c>
      <c r="M65" s="113"/>
      <c r="N65" s="108" t="s">
        <v>7878</v>
      </c>
      <c r="O65" s="117">
        <v>2</v>
      </c>
      <c r="P65" s="113"/>
      <c r="Q65" s="108" t="s">
        <v>7881</v>
      </c>
      <c r="R65" s="117">
        <v>2</v>
      </c>
      <c r="S65" s="113"/>
      <c r="T65" s="108" t="s">
        <v>47</v>
      </c>
      <c r="U65" s="114"/>
      <c r="V65" s="113"/>
      <c r="W65" s="108" t="s">
        <v>47</v>
      </c>
      <c r="X65" s="114"/>
      <c r="Y65" s="113"/>
      <c r="Z65" s="108" t="s">
        <v>47</v>
      </c>
      <c r="AA65" s="114"/>
      <c r="AB65" s="113"/>
      <c r="AC65" s="105" t="s">
        <v>194</v>
      </c>
      <c r="AD65" s="115" t="s">
        <v>49</v>
      </c>
    </row>
    <row r="66" spans="1:30" x14ac:dyDescent="0.2">
      <c r="A66" s="104" t="s">
        <v>195</v>
      </c>
      <c r="B66" s="105" t="s">
        <v>42</v>
      </c>
      <c r="C66" s="105" t="s">
        <v>132</v>
      </c>
      <c r="D66" s="106"/>
      <c r="E66" s="107" t="s">
        <v>182</v>
      </c>
      <c r="F66" s="108" t="s">
        <v>7882</v>
      </c>
      <c r="G66" s="118">
        <v>3</v>
      </c>
      <c r="H66" s="108" t="s">
        <v>7883</v>
      </c>
      <c r="I66" s="110">
        <v>3</v>
      </c>
      <c r="J66" s="113"/>
      <c r="K66" s="108" t="s">
        <v>7884</v>
      </c>
      <c r="L66" s="110">
        <v>3</v>
      </c>
      <c r="M66" s="111" t="s">
        <v>40</v>
      </c>
      <c r="N66" s="108" t="s">
        <v>7882</v>
      </c>
      <c r="O66" s="110">
        <v>3</v>
      </c>
      <c r="P66" s="113"/>
      <c r="Q66" s="108" t="s">
        <v>7885</v>
      </c>
      <c r="R66" s="110">
        <v>3</v>
      </c>
      <c r="S66" s="113"/>
      <c r="T66" s="108" t="s">
        <v>47</v>
      </c>
      <c r="U66" s="114"/>
      <c r="V66" s="113"/>
      <c r="W66" s="108" t="s">
        <v>47</v>
      </c>
      <c r="X66" s="114"/>
      <c r="Y66" s="113"/>
      <c r="Z66" s="108" t="s">
        <v>47</v>
      </c>
      <c r="AA66" s="114"/>
      <c r="AB66" s="113"/>
      <c r="AC66" s="105" t="s">
        <v>196</v>
      </c>
      <c r="AD66" s="115" t="s">
        <v>49</v>
      </c>
    </row>
    <row r="67" spans="1:30" x14ac:dyDescent="0.2">
      <c r="A67" s="104" t="s">
        <v>7886</v>
      </c>
      <c r="B67" s="105" t="s">
        <v>42</v>
      </c>
      <c r="C67" s="105" t="s">
        <v>132</v>
      </c>
      <c r="D67" s="106"/>
      <c r="E67" s="107"/>
      <c r="F67" s="108" t="s">
        <v>47</v>
      </c>
      <c r="G67" s="113"/>
      <c r="H67" s="108" t="s">
        <v>7887</v>
      </c>
      <c r="I67" s="117">
        <v>2</v>
      </c>
      <c r="J67" s="113"/>
      <c r="K67" s="108" t="s">
        <v>7888</v>
      </c>
      <c r="L67" s="117">
        <v>2</v>
      </c>
      <c r="M67" s="111" t="s">
        <v>40</v>
      </c>
      <c r="N67" s="108" t="s">
        <v>47</v>
      </c>
      <c r="O67" s="114"/>
      <c r="P67" s="113"/>
      <c r="Q67" s="108" t="s">
        <v>47</v>
      </c>
      <c r="R67" s="114"/>
      <c r="S67" s="113"/>
      <c r="T67" s="108" t="s">
        <v>47</v>
      </c>
      <c r="U67" s="114"/>
      <c r="V67" s="113"/>
      <c r="W67" s="108" t="s">
        <v>47</v>
      </c>
      <c r="X67" s="114"/>
      <c r="Y67" s="113"/>
      <c r="Z67" s="108" t="s">
        <v>47</v>
      </c>
      <c r="AA67" s="114"/>
      <c r="AB67" s="113"/>
      <c r="AC67" s="105" t="s">
        <v>7889</v>
      </c>
      <c r="AD67" s="115" t="s">
        <v>49</v>
      </c>
    </row>
    <row r="68" spans="1:30" x14ac:dyDescent="0.2">
      <c r="A68" s="104" t="s">
        <v>197</v>
      </c>
      <c r="B68" s="105" t="s">
        <v>42</v>
      </c>
      <c r="C68" s="105" t="s">
        <v>145</v>
      </c>
      <c r="D68" s="106"/>
      <c r="E68" s="107"/>
      <c r="F68" s="108" t="s">
        <v>7890</v>
      </c>
      <c r="G68" s="120">
        <v>2</v>
      </c>
      <c r="H68" s="108" t="s">
        <v>7891</v>
      </c>
      <c r="I68" s="117">
        <v>2</v>
      </c>
      <c r="J68" s="113"/>
      <c r="K68" s="108" t="s">
        <v>7892</v>
      </c>
      <c r="L68" s="117">
        <v>2</v>
      </c>
      <c r="M68" s="113"/>
      <c r="N68" s="108" t="s">
        <v>7890</v>
      </c>
      <c r="O68" s="117">
        <v>2</v>
      </c>
      <c r="P68" s="111" t="s">
        <v>40</v>
      </c>
      <c r="Q68" s="108" t="s">
        <v>7893</v>
      </c>
      <c r="R68" s="117">
        <v>2</v>
      </c>
      <c r="S68" s="111" t="s">
        <v>40</v>
      </c>
      <c r="T68" s="108" t="s">
        <v>7894</v>
      </c>
      <c r="U68" s="110">
        <v>3</v>
      </c>
      <c r="V68" s="113"/>
      <c r="W68" s="108" t="s">
        <v>7895</v>
      </c>
      <c r="X68" s="117">
        <v>2</v>
      </c>
      <c r="Y68" s="111" t="s">
        <v>40</v>
      </c>
      <c r="Z68" s="108" t="s">
        <v>7896</v>
      </c>
      <c r="AA68" s="110">
        <v>3</v>
      </c>
      <c r="AB68" s="111" t="s">
        <v>40</v>
      </c>
      <c r="AC68" s="105" t="s">
        <v>198</v>
      </c>
      <c r="AD68" s="115" t="s">
        <v>49</v>
      </c>
    </row>
    <row r="69" spans="1:30" x14ac:dyDescent="0.2">
      <c r="A69" s="104" t="s">
        <v>199</v>
      </c>
      <c r="B69" s="105" t="s">
        <v>42</v>
      </c>
      <c r="C69" s="105" t="s">
        <v>200</v>
      </c>
      <c r="D69" s="106"/>
      <c r="E69" s="107"/>
      <c r="F69" s="108" t="s">
        <v>47</v>
      </c>
      <c r="G69" s="113"/>
      <c r="H69" s="108" t="s">
        <v>47</v>
      </c>
      <c r="I69" s="114"/>
      <c r="J69" s="113"/>
      <c r="K69" s="108" t="s">
        <v>47</v>
      </c>
      <c r="L69" s="114"/>
      <c r="M69" s="113"/>
      <c r="N69" s="108" t="s">
        <v>47</v>
      </c>
      <c r="O69" s="114"/>
      <c r="P69" s="113"/>
      <c r="Q69" s="108" t="s">
        <v>47</v>
      </c>
      <c r="R69" s="114"/>
      <c r="S69" s="113"/>
      <c r="T69" s="108" t="s">
        <v>47</v>
      </c>
      <c r="U69" s="114"/>
      <c r="V69" s="113"/>
      <c r="W69" s="108" t="s">
        <v>47</v>
      </c>
      <c r="X69" s="114"/>
      <c r="Y69" s="113"/>
      <c r="Z69" s="108" t="s">
        <v>47</v>
      </c>
      <c r="AA69" s="114"/>
      <c r="AB69" s="113"/>
      <c r="AC69" s="105" t="s">
        <v>201</v>
      </c>
      <c r="AD69" s="115" t="s">
        <v>107</v>
      </c>
    </row>
    <row r="70" spans="1:30" x14ac:dyDescent="0.2">
      <c r="A70" s="104" t="s">
        <v>202</v>
      </c>
      <c r="B70" s="105" t="s">
        <v>42</v>
      </c>
      <c r="C70" s="105" t="s">
        <v>200</v>
      </c>
      <c r="D70" s="106"/>
      <c r="E70" s="107"/>
      <c r="F70" s="108" t="s">
        <v>47</v>
      </c>
      <c r="G70" s="113"/>
      <c r="H70" s="108" t="s">
        <v>47</v>
      </c>
      <c r="I70" s="114"/>
      <c r="J70" s="113"/>
      <c r="K70" s="108" t="s">
        <v>47</v>
      </c>
      <c r="L70" s="114"/>
      <c r="M70" s="113"/>
      <c r="N70" s="108" t="s">
        <v>47</v>
      </c>
      <c r="O70" s="114"/>
      <c r="P70" s="113"/>
      <c r="Q70" s="108" t="s">
        <v>47</v>
      </c>
      <c r="R70" s="114"/>
      <c r="S70" s="113"/>
      <c r="T70" s="108" t="s">
        <v>47</v>
      </c>
      <c r="U70" s="114"/>
      <c r="V70" s="113"/>
      <c r="W70" s="108" t="s">
        <v>47</v>
      </c>
      <c r="X70" s="114"/>
      <c r="Y70" s="113"/>
      <c r="Z70" s="108" t="s">
        <v>47</v>
      </c>
      <c r="AA70" s="114"/>
      <c r="AB70" s="113"/>
      <c r="AC70" s="105" t="s">
        <v>203</v>
      </c>
      <c r="AD70" s="115" t="s">
        <v>107</v>
      </c>
    </row>
    <row r="71" spans="1:30" x14ac:dyDescent="0.2">
      <c r="A71" s="104" t="s">
        <v>204</v>
      </c>
      <c r="B71" s="105" t="s">
        <v>42</v>
      </c>
      <c r="C71" s="105" t="s">
        <v>200</v>
      </c>
      <c r="D71" s="106"/>
      <c r="E71" s="107"/>
      <c r="F71" s="108" t="s">
        <v>47</v>
      </c>
      <c r="G71" s="113"/>
      <c r="H71" s="108" t="s">
        <v>47</v>
      </c>
      <c r="I71" s="114"/>
      <c r="J71" s="113"/>
      <c r="K71" s="108" t="s">
        <v>47</v>
      </c>
      <c r="L71" s="114"/>
      <c r="M71" s="113"/>
      <c r="N71" s="108" t="s">
        <v>47</v>
      </c>
      <c r="O71" s="114"/>
      <c r="P71" s="113"/>
      <c r="Q71" s="108" t="s">
        <v>47</v>
      </c>
      <c r="R71" s="114"/>
      <c r="S71" s="113"/>
      <c r="T71" s="108" t="s">
        <v>47</v>
      </c>
      <c r="U71" s="114"/>
      <c r="V71" s="113"/>
      <c r="W71" s="108" t="s">
        <v>47</v>
      </c>
      <c r="X71" s="114"/>
      <c r="Y71" s="113"/>
      <c r="Z71" s="108" t="s">
        <v>47</v>
      </c>
      <c r="AA71" s="114"/>
      <c r="AB71" s="113"/>
      <c r="AC71" s="105" t="s">
        <v>205</v>
      </c>
      <c r="AD71" s="115" t="s">
        <v>107</v>
      </c>
    </row>
    <row r="72" spans="1:30" x14ac:dyDescent="0.2">
      <c r="A72" s="104" t="s">
        <v>206</v>
      </c>
      <c r="B72" s="105" t="s">
        <v>97</v>
      </c>
      <c r="C72" s="105" t="s">
        <v>207</v>
      </c>
      <c r="D72" s="106"/>
      <c r="E72" s="107"/>
      <c r="F72" s="108" t="s">
        <v>7897</v>
      </c>
      <c r="G72" s="120">
        <v>2</v>
      </c>
      <c r="H72" s="108" t="s">
        <v>7898</v>
      </c>
      <c r="I72" s="117">
        <v>2</v>
      </c>
      <c r="J72" s="111" t="s">
        <v>46</v>
      </c>
      <c r="K72" s="108" t="s">
        <v>7899</v>
      </c>
      <c r="L72" s="117">
        <v>2</v>
      </c>
      <c r="M72" s="113"/>
      <c r="N72" s="108" t="s">
        <v>7897</v>
      </c>
      <c r="O72" s="117">
        <v>2</v>
      </c>
      <c r="P72" s="111" t="s">
        <v>40</v>
      </c>
      <c r="Q72" s="108" t="s">
        <v>7900</v>
      </c>
      <c r="R72" s="110">
        <v>3</v>
      </c>
      <c r="S72" s="113"/>
      <c r="T72" s="108" t="s">
        <v>7901</v>
      </c>
      <c r="U72" s="110">
        <v>3</v>
      </c>
      <c r="V72" s="113"/>
      <c r="W72" s="108" t="s">
        <v>208</v>
      </c>
      <c r="X72" s="112">
        <v>4</v>
      </c>
      <c r="Y72" s="113"/>
      <c r="Z72" s="108" t="s">
        <v>209</v>
      </c>
      <c r="AA72" s="110">
        <v>3</v>
      </c>
      <c r="AB72" s="113"/>
      <c r="AC72" s="105" t="s">
        <v>210</v>
      </c>
      <c r="AD72" s="115" t="s">
        <v>101</v>
      </c>
    </row>
    <row r="73" spans="1:30" x14ac:dyDescent="0.2">
      <c r="A73" s="104" t="s">
        <v>211</v>
      </c>
      <c r="B73" s="105" t="s">
        <v>212</v>
      </c>
      <c r="C73" s="105" t="s">
        <v>112</v>
      </c>
      <c r="D73" s="106"/>
      <c r="E73" s="107"/>
      <c r="F73" s="108" t="s">
        <v>7902</v>
      </c>
      <c r="G73" s="118">
        <v>3</v>
      </c>
      <c r="H73" s="108" t="s">
        <v>7903</v>
      </c>
      <c r="I73" s="117">
        <v>2</v>
      </c>
      <c r="J73" s="111" t="s">
        <v>40</v>
      </c>
      <c r="K73" s="108" t="s">
        <v>7904</v>
      </c>
      <c r="L73" s="110">
        <v>3</v>
      </c>
      <c r="M73" s="113"/>
      <c r="N73" s="108" t="s">
        <v>7902</v>
      </c>
      <c r="O73" s="110">
        <v>3</v>
      </c>
      <c r="P73" s="113"/>
      <c r="Q73" s="108" t="s">
        <v>7905</v>
      </c>
      <c r="R73" s="110">
        <v>3</v>
      </c>
      <c r="S73" s="113"/>
      <c r="T73" s="108" t="s">
        <v>47</v>
      </c>
      <c r="U73" s="114"/>
      <c r="V73" s="113"/>
      <c r="W73" s="108" t="s">
        <v>47</v>
      </c>
      <c r="X73" s="114"/>
      <c r="Y73" s="113"/>
      <c r="Z73" s="108" t="s">
        <v>47</v>
      </c>
      <c r="AA73" s="114"/>
      <c r="AB73" s="113"/>
      <c r="AC73" s="105" t="s">
        <v>213</v>
      </c>
      <c r="AD73" s="115" t="s">
        <v>49</v>
      </c>
    </row>
    <row r="74" spans="1:30" x14ac:dyDescent="0.2">
      <c r="A74" s="104" t="s">
        <v>214</v>
      </c>
      <c r="B74" s="105" t="s">
        <v>212</v>
      </c>
      <c r="C74" s="105" t="s">
        <v>112</v>
      </c>
      <c r="D74" s="106"/>
      <c r="E74" s="107"/>
      <c r="F74" s="108" t="s">
        <v>7906</v>
      </c>
      <c r="G74" s="118">
        <v>3</v>
      </c>
      <c r="H74" s="108" t="s">
        <v>7907</v>
      </c>
      <c r="I74" s="117">
        <v>2</v>
      </c>
      <c r="J74" s="113"/>
      <c r="K74" s="108" t="s">
        <v>7908</v>
      </c>
      <c r="L74" s="117">
        <v>2</v>
      </c>
      <c r="M74" s="111" t="s">
        <v>40</v>
      </c>
      <c r="N74" s="108" t="s">
        <v>7906</v>
      </c>
      <c r="O74" s="110">
        <v>3</v>
      </c>
      <c r="P74" s="113"/>
      <c r="Q74" s="108" t="s">
        <v>7909</v>
      </c>
      <c r="R74" s="112">
        <v>4</v>
      </c>
      <c r="S74" s="111" t="s">
        <v>46</v>
      </c>
      <c r="T74" s="108" t="s">
        <v>47</v>
      </c>
      <c r="U74" s="114"/>
      <c r="V74" s="113"/>
      <c r="W74" s="108" t="s">
        <v>47</v>
      </c>
      <c r="X74" s="114"/>
      <c r="Y74" s="113"/>
      <c r="Z74" s="108" t="s">
        <v>47</v>
      </c>
      <c r="AA74" s="114"/>
      <c r="AB74" s="113"/>
      <c r="AC74" s="105" t="s">
        <v>215</v>
      </c>
      <c r="AD74" s="115" t="s">
        <v>49</v>
      </c>
    </row>
    <row r="75" spans="1:30" x14ac:dyDescent="0.2">
      <c r="A75" s="104" t="s">
        <v>216</v>
      </c>
      <c r="B75" s="105" t="s">
        <v>212</v>
      </c>
      <c r="C75" s="105" t="s">
        <v>112</v>
      </c>
      <c r="D75" s="106"/>
      <c r="E75" s="107"/>
      <c r="F75" s="108" t="s">
        <v>7910</v>
      </c>
      <c r="G75" s="109">
        <v>4</v>
      </c>
      <c r="H75" s="108" t="s">
        <v>7911</v>
      </c>
      <c r="I75" s="117">
        <v>2</v>
      </c>
      <c r="J75" s="111" t="s">
        <v>40</v>
      </c>
      <c r="K75" s="108" t="s">
        <v>7912</v>
      </c>
      <c r="L75" s="110">
        <v>3</v>
      </c>
      <c r="M75" s="111" t="s">
        <v>40</v>
      </c>
      <c r="N75" s="108" t="s">
        <v>7910</v>
      </c>
      <c r="O75" s="112">
        <v>4</v>
      </c>
      <c r="P75" s="111" t="s">
        <v>46</v>
      </c>
      <c r="Q75" s="108" t="s">
        <v>7913</v>
      </c>
      <c r="R75" s="110">
        <v>3</v>
      </c>
      <c r="S75" s="113"/>
      <c r="T75" s="108" t="s">
        <v>47</v>
      </c>
      <c r="U75" s="114"/>
      <c r="V75" s="113"/>
      <c r="W75" s="108" t="s">
        <v>47</v>
      </c>
      <c r="X75" s="114"/>
      <c r="Y75" s="113"/>
      <c r="Z75" s="108" t="s">
        <v>47</v>
      </c>
      <c r="AA75" s="114"/>
      <c r="AB75" s="113"/>
      <c r="AC75" s="105" t="s">
        <v>217</v>
      </c>
      <c r="AD75" s="115" t="s">
        <v>49</v>
      </c>
    </row>
    <row r="76" spans="1:30" x14ac:dyDescent="0.2">
      <c r="A76" s="104" t="s">
        <v>218</v>
      </c>
      <c r="B76" s="105" t="s">
        <v>212</v>
      </c>
      <c r="C76" s="105" t="s">
        <v>112</v>
      </c>
      <c r="D76" s="106"/>
      <c r="E76" s="107"/>
      <c r="F76" s="108" t="s">
        <v>7914</v>
      </c>
      <c r="G76" s="109">
        <v>4</v>
      </c>
      <c r="H76" s="108" t="s">
        <v>7915</v>
      </c>
      <c r="I76" s="117">
        <v>2</v>
      </c>
      <c r="J76" s="111" t="s">
        <v>40</v>
      </c>
      <c r="K76" s="108" t="s">
        <v>7916</v>
      </c>
      <c r="L76" s="110">
        <v>3</v>
      </c>
      <c r="M76" s="113"/>
      <c r="N76" s="108" t="s">
        <v>7914</v>
      </c>
      <c r="O76" s="112">
        <v>4</v>
      </c>
      <c r="P76" s="111" t="s">
        <v>46</v>
      </c>
      <c r="Q76" s="108" t="s">
        <v>7917</v>
      </c>
      <c r="R76" s="112">
        <v>4</v>
      </c>
      <c r="S76" s="111" t="s">
        <v>46</v>
      </c>
      <c r="T76" s="108" t="s">
        <v>47</v>
      </c>
      <c r="U76" s="114"/>
      <c r="V76" s="113"/>
      <c r="W76" s="108" t="s">
        <v>47</v>
      </c>
      <c r="X76" s="114"/>
      <c r="Y76" s="113"/>
      <c r="Z76" s="108" t="s">
        <v>47</v>
      </c>
      <c r="AA76" s="114"/>
      <c r="AB76" s="113"/>
      <c r="AC76" s="105" t="s">
        <v>219</v>
      </c>
      <c r="AD76" s="115" t="s">
        <v>49</v>
      </c>
    </row>
    <row r="77" spans="1:30" x14ac:dyDescent="0.2">
      <c r="A77" s="104" t="s">
        <v>220</v>
      </c>
      <c r="B77" s="105" t="s">
        <v>212</v>
      </c>
      <c r="C77" s="105" t="s">
        <v>112</v>
      </c>
      <c r="D77" s="106"/>
      <c r="E77" s="107"/>
      <c r="F77" s="108" t="s">
        <v>7918</v>
      </c>
      <c r="G77" s="118">
        <v>3</v>
      </c>
      <c r="H77" s="108" t="s">
        <v>7919</v>
      </c>
      <c r="I77" s="110">
        <v>3</v>
      </c>
      <c r="J77" s="111" t="s">
        <v>46</v>
      </c>
      <c r="K77" s="108" t="s">
        <v>7920</v>
      </c>
      <c r="L77" s="117">
        <v>2</v>
      </c>
      <c r="M77" s="113"/>
      <c r="N77" s="108" t="s">
        <v>7918</v>
      </c>
      <c r="O77" s="110">
        <v>3</v>
      </c>
      <c r="P77" s="113"/>
      <c r="Q77" s="108" t="s">
        <v>7921</v>
      </c>
      <c r="R77" s="112">
        <v>4</v>
      </c>
      <c r="S77" s="113"/>
      <c r="T77" s="108" t="s">
        <v>47</v>
      </c>
      <c r="U77" s="114"/>
      <c r="V77" s="113"/>
      <c r="W77" s="108" t="s">
        <v>47</v>
      </c>
      <c r="X77" s="114"/>
      <c r="Y77" s="113"/>
      <c r="Z77" s="108" t="s">
        <v>47</v>
      </c>
      <c r="AA77" s="114"/>
      <c r="AB77" s="113"/>
      <c r="AC77" s="105" t="s">
        <v>221</v>
      </c>
      <c r="AD77" s="115" t="s">
        <v>49</v>
      </c>
    </row>
    <row r="78" spans="1:30" x14ac:dyDescent="0.2">
      <c r="A78" s="104" t="s">
        <v>222</v>
      </c>
      <c r="B78" s="105" t="s">
        <v>212</v>
      </c>
      <c r="C78" s="105" t="s">
        <v>112</v>
      </c>
      <c r="D78" s="106"/>
      <c r="E78" s="107"/>
      <c r="F78" s="108" t="s">
        <v>7922</v>
      </c>
      <c r="G78" s="118">
        <v>3</v>
      </c>
      <c r="H78" s="108" t="s">
        <v>7923</v>
      </c>
      <c r="I78" s="117">
        <v>2</v>
      </c>
      <c r="J78" s="111" t="s">
        <v>40</v>
      </c>
      <c r="K78" s="108" t="s">
        <v>7924</v>
      </c>
      <c r="L78" s="110">
        <v>3</v>
      </c>
      <c r="M78" s="113"/>
      <c r="N78" s="108" t="s">
        <v>7922</v>
      </c>
      <c r="O78" s="110">
        <v>3</v>
      </c>
      <c r="P78" s="111" t="s">
        <v>40</v>
      </c>
      <c r="Q78" s="108" t="s">
        <v>7925</v>
      </c>
      <c r="R78" s="112">
        <v>4</v>
      </c>
      <c r="S78" s="111" t="s">
        <v>46</v>
      </c>
      <c r="T78" s="108" t="s">
        <v>47</v>
      </c>
      <c r="U78" s="114"/>
      <c r="V78" s="113"/>
      <c r="W78" s="108" t="s">
        <v>47</v>
      </c>
      <c r="X78" s="114"/>
      <c r="Y78" s="113"/>
      <c r="Z78" s="108" t="s">
        <v>47</v>
      </c>
      <c r="AA78" s="114"/>
      <c r="AB78" s="113"/>
      <c r="AC78" s="105" t="s">
        <v>223</v>
      </c>
      <c r="AD78" s="115" t="s">
        <v>49</v>
      </c>
    </row>
    <row r="79" spans="1:30" x14ac:dyDescent="0.2">
      <c r="A79" s="104" t="s">
        <v>224</v>
      </c>
      <c r="B79" s="105" t="s">
        <v>212</v>
      </c>
      <c r="C79" s="105" t="s">
        <v>112</v>
      </c>
      <c r="D79" s="106"/>
      <c r="E79" s="107"/>
      <c r="F79" s="108" t="s">
        <v>7926</v>
      </c>
      <c r="G79" s="118">
        <v>3</v>
      </c>
      <c r="H79" s="108" t="s">
        <v>7927</v>
      </c>
      <c r="I79" s="117">
        <v>2</v>
      </c>
      <c r="J79" s="111" t="s">
        <v>40</v>
      </c>
      <c r="K79" s="108" t="s">
        <v>7928</v>
      </c>
      <c r="L79" s="110">
        <v>3</v>
      </c>
      <c r="M79" s="113"/>
      <c r="N79" s="108" t="s">
        <v>7926</v>
      </c>
      <c r="O79" s="110">
        <v>3</v>
      </c>
      <c r="P79" s="111" t="s">
        <v>40</v>
      </c>
      <c r="Q79" s="108" t="s">
        <v>7929</v>
      </c>
      <c r="R79" s="112">
        <v>4</v>
      </c>
      <c r="S79" s="111" t="s">
        <v>46</v>
      </c>
      <c r="T79" s="108" t="s">
        <v>47</v>
      </c>
      <c r="U79" s="114"/>
      <c r="V79" s="113"/>
      <c r="W79" s="108" t="s">
        <v>47</v>
      </c>
      <c r="X79" s="114"/>
      <c r="Y79" s="113"/>
      <c r="Z79" s="108" t="s">
        <v>47</v>
      </c>
      <c r="AA79" s="114"/>
      <c r="AB79" s="113"/>
      <c r="AC79" s="105" t="s">
        <v>225</v>
      </c>
      <c r="AD79" s="115" t="s">
        <v>49</v>
      </c>
    </row>
    <row r="80" spans="1:30" x14ac:dyDescent="0.2">
      <c r="A80" s="104" t="s">
        <v>226</v>
      </c>
      <c r="B80" s="105" t="s">
        <v>212</v>
      </c>
      <c r="C80" s="105" t="s">
        <v>112</v>
      </c>
      <c r="D80" s="106"/>
      <c r="E80" s="107"/>
      <c r="F80" s="108" t="s">
        <v>7930</v>
      </c>
      <c r="G80" s="109">
        <v>4</v>
      </c>
      <c r="H80" s="108" t="s">
        <v>7931</v>
      </c>
      <c r="I80" s="117">
        <v>2</v>
      </c>
      <c r="J80" s="111" t="s">
        <v>40</v>
      </c>
      <c r="K80" s="108" t="s">
        <v>7932</v>
      </c>
      <c r="L80" s="110">
        <v>3</v>
      </c>
      <c r="M80" s="113"/>
      <c r="N80" s="108" t="s">
        <v>7930</v>
      </c>
      <c r="O80" s="112">
        <v>4</v>
      </c>
      <c r="P80" s="113"/>
      <c r="Q80" s="108" t="s">
        <v>7933</v>
      </c>
      <c r="R80" s="112">
        <v>4</v>
      </c>
      <c r="S80" s="113"/>
      <c r="T80" s="108" t="s">
        <v>47</v>
      </c>
      <c r="U80" s="114"/>
      <c r="V80" s="113"/>
      <c r="W80" s="108" t="s">
        <v>47</v>
      </c>
      <c r="X80" s="114"/>
      <c r="Y80" s="113"/>
      <c r="Z80" s="108" t="s">
        <v>47</v>
      </c>
      <c r="AA80" s="114"/>
      <c r="AB80" s="113"/>
      <c r="AC80" s="105" t="s">
        <v>227</v>
      </c>
      <c r="AD80" s="115" t="s">
        <v>49</v>
      </c>
    </row>
    <row r="81" spans="1:30" x14ac:dyDescent="0.2">
      <c r="A81" s="104" t="s">
        <v>228</v>
      </c>
      <c r="B81" s="105" t="s">
        <v>212</v>
      </c>
      <c r="C81" s="105" t="s">
        <v>112</v>
      </c>
      <c r="D81" s="106"/>
      <c r="E81" s="107"/>
      <c r="F81" s="108" t="s">
        <v>7934</v>
      </c>
      <c r="G81" s="109">
        <v>4</v>
      </c>
      <c r="H81" s="108" t="s">
        <v>7935</v>
      </c>
      <c r="I81" s="117">
        <v>2</v>
      </c>
      <c r="J81" s="111" t="s">
        <v>40</v>
      </c>
      <c r="K81" s="108" t="s">
        <v>7936</v>
      </c>
      <c r="L81" s="110">
        <v>3</v>
      </c>
      <c r="M81" s="113"/>
      <c r="N81" s="108" t="s">
        <v>7934</v>
      </c>
      <c r="O81" s="112">
        <v>4</v>
      </c>
      <c r="P81" s="113"/>
      <c r="Q81" s="108" t="s">
        <v>7937</v>
      </c>
      <c r="R81" s="112">
        <v>4</v>
      </c>
      <c r="S81" s="113"/>
      <c r="T81" s="108" t="s">
        <v>47</v>
      </c>
      <c r="U81" s="114"/>
      <c r="V81" s="113"/>
      <c r="W81" s="108" t="s">
        <v>47</v>
      </c>
      <c r="X81" s="114"/>
      <c r="Y81" s="113"/>
      <c r="Z81" s="108" t="s">
        <v>47</v>
      </c>
      <c r="AA81" s="114"/>
      <c r="AB81" s="113"/>
      <c r="AC81" s="105" t="s">
        <v>229</v>
      </c>
      <c r="AD81" s="115" t="s">
        <v>49</v>
      </c>
    </row>
    <row r="82" spans="1:30" x14ac:dyDescent="0.2">
      <c r="A82" s="104" t="s">
        <v>230</v>
      </c>
      <c r="B82" s="105" t="s">
        <v>212</v>
      </c>
      <c r="C82" s="105" t="s">
        <v>112</v>
      </c>
      <c r="D82" s="106"/>
      <c r="E82" s="107"/>
      <c r="F82" s="108" t="s">
        <v>7938</v>
      </c>
      <c r="G82" s="109">
        <v>4</v>
      </c>
      <c r="H82" s="108" t="s">
        <v>7939</v>
      </c>
      <c r="I82" s="117">
        <v>2</v>
      </c>
      <c r="J82" s="113"/>
      <c r="K82" s="108" t="s">
        <v>7940</v>
      </c>
      <c r="L82" s="117">
        <v>2</v>
      </c>
      <c r="M82" s="111" t="s">
        <v>40</v>
      </c>
      <c r="N82" s="108" t="s">
        <v>7938</v>
      </c>
      <c r="O82" s="112">
        <v>4</v>
      </c>
      <c r="P82" s="113"/>
      <c r="Q82" s="108" t="s">
        <v>47</v>
      </c>
      <c r="R82" s="114"/>
      <c r="S82" s="113"/>
      <c r="T82" s="108" t="s">
        <v>47</v>
      </c>
      <c r="U82" s="114"/>
      <c r="V82" s="113"/>
      <c r="W82" s="108" t="s">
        <v>47</v>
      </c>
      <c r="X82" s="114"/>
      <c r="Y82" s="113"/>
      <c r="Z82" s="108" t="s">
        <v>47</v>
      </c>
      <c r="AA82" s="114"/>
      <c r="AB82" s="113"/>
      <c r="AC82" s="105" t="s">
        <v>231</v>
      </c>
      <c r="AD82" s="115" t="s">
        <v>49</v>
      </c>
    </row>
    <row r="83" spans="1:30" x14ac:dyDescent="0.2">
      <c r="A83" s="104" t="s">
        <v>232</v>
      </c>
      <c r="B83" s="105" t="s">
        <v>212</v>
      </c>
      <c r="C83" s="105" t="s">
        <v>112</v>
      </c>
      <c r="D83" s="106"/>
      <c r="E83" s="107"/>
      <c r="F83" s="108" t="s">
        <v>7941</v>
      </c>
      <c r="G83" s="118">
        <v>3</v>
      </c>
      <c r="H83" s="108" t="s">
        <v>7942</v>
      </c>
      <c r="I83" s="117">
        <v>2</v>
      </c>
      <c r="J83" s="111" t="s">
        <v>40</v>
      </c>
      <c r="K83" s="108" t="s">
        <v>7943</v>
      </c>
      <c r="L83" s="117">
        <v>2</v>
      </c>
      <c r="M83" s="111" t="s">
        <v>40</v>
      </c>
      <c r="N83" s="108" t="s">
        <v>7941</v>
      </c>
      <c r="O83" s="110">
        <v>3</v>
      </c>
      <c r="P83" s="113"/>
      <c r="Q83" s="108" t="s">
        <v>7944</v>
      </c>
      <c r="R83" s="112">
        <v>4</v>
      </c>
      <c r="S83" s="113"/>
      <c r="T83" s="108" t="s">
        <v>47</v>
      </c>
      <c r="U83" s="114"/>
      <c r="V83" s="113"/>
      <c r="W83" s="108" t="s">
        <v>47</v>
      </c>
      <c r="X83" s="114"/>
      <c r="Y83" s="113"/>
      <c r="Z83" s="108" t="s">
        <v>47</v>
      </c>
      <c r="AA83" s="114"/>
      <c r="AB83" s="113"/>
      <c r="AC83" s="105" t="s">
        <v>233</v>
      </c>
      <c r="AD83" s="115" t="s">
        <v>49</v>
      </c>
    </row>
    <row r="84" spans="1:30" x14ac:dyDescent="0.2">
      <c r="A84" s="104" t="s">
        <v>234</v>
      </c>
      <c r="B84" s="105" t="s">
        <v>42</v>
      </c>
      <c r="C84" s="105" t="s">
        <v>7945</v>
      </c>
      <c r="D84" s="106" t="s">
        <v>125</v>
      </c>
      <c r="E84" s="107" t="s">
        <v>99</v>
      </c>
      <c r="F84" s="108" t="s">
        <v>7946</v>
      </c>
      <c r="G84" s="109">
        <v>4</v>
      </c>
      <c r="H84" s="108" t="s">
        <v>7947</v>
      </c>
      <c r="I84" s="110">
        <v>3</v>
      </c>
      <c r="J84" s="113"/>
      <c r="K84" s="108" t="s">
        <v>7948</v>
      </c>
      <c r="L84" s="110">
        <v>3</v>
      </c>
      <c r="M84" s="111" t="s">
        <v>40</v>
      </c>
      <c r="N84" s="108" t="s">
        <v>7946</v>
      </c>
      <c r="O84" s="112">
        <v>4</v>
      </c>
      <c r="P84" s="111" t="s">
        <v>46</v>
      </c>
      <c r="Q84" s="108" t="s">
        <v>7949</v>
      </c>
      <c r="R84" s="110">
        <v>3</v>
      </c>
      <c r="S84" s="113"/>
      <c r="T84" s="108" t="s">
        <v>7950</v>
      </c>
      <c r="U84" s="110">
        <v>3</v>
      </c>
      <c r="V84" s="111" t="s">
        <v>46</v>
      </c>
      <c r="W84" s="108" t="s">
        <v>7951</v>
      </c>
      <c r="X84" s="110">
        <v>3</v>
      </c>
      <c r="Y84" s="111" t="s">
        <v>46</v>
      </c>
      <c r="Z84" s="108" t="s">
        <v>7952</v>
      </c>
      <c r="AA84" s="117">
        <v>2</v>
      </c>
      <c r="AB84" s="111" t="s">
        <v>40</v>
      </c>
      <c r="AC84" s="105" t="s">
        <v>235</v>
      </c>
      <c r="AD84" s="115" t="s">
        <v>49</v>
      </c>
    </row>
    <row r="85" spans="1:30" x14ac:dyDescent="0.2">
      <c r="A85" s="104" t="s">
        <v>236</v>
      </c>
      <c r="B85" s="105" t="s">
        <v>42</v>
      </c>
      <c r="C85" s="105" t="s">
        <v>7945</v>
      </c>
      <c r="D85" s="106" t="s">
        <v>125</v>
      </c>
      <c r="E85" s="107" t="s">
        <v>99</v>
      </c>
      <c r="F85" s="108" t="s">
        <v>7953</v>
      </c>
      <c r="G85" s="109">
        <v>4</v>
      </c>
      <c r="H85" s="108" t="s">
        <v>7954</v>
      </c>
      <c r="I85" s="110">
        <v>3</v>
      </c>
      <c r="J85" s="113"/>
      <c r="K85" s="108" t="s">
        <v>7955</v>
      </c>
      <c r="L85" s="110">
        <v>3</v>
      </c>
      <c r="M85" s="111" t="s">
        <v>40</v>
      </c>
      <c r="N85" s="108" t="s">
        <v>7953</v>
      </c>
      <c r="O85" s="112">
        <v>4</v>
      </c>
      <c r="P85" s="113"/>
      <c r="Q85" s="108" t="s">
        <v>7956</v>
      </c>
      <c r="R85" s="110">
        <v>3</v>
      </c>
      <c r="S85" s="113"/>
      <c r="T85" s="108" t="s">
        <v>7957</v>
      </c>
      <c r="U85" s="110">
        <v>3</v>
      </c>
      <c r="V85" s="113"/>
      <c r="W85" s="108" t="s">
        <v>7958</v>
      </c>
      <c r="X85" s="110">
        <v>3</v>
      </c>
      <c r="Y85" s="113"/>
      <c r="Z85" s="108" t="s">
        <v>7959</v>
      </c>
      <c r="AA85" s="110">
        <v>3</v>
      </c>
      <c r="AB85" s="113"/>
      <c r="AC85" s="105" t="s">
        <v>237</v>
      </c>
      <c r="AD85" s="115" t="s">
        <v>49</v>
      </c>
    </row>
    <row r="86" spans="1:30" x14ac:dyDescent="0.2">
      <c r="A86" s="104" t="s">
        <v>238</v>
      </c>
      <c r="B86" s="105" t="s">
        <v>42</v>
      </c>
      <c r="C86" s="105" t="s">
        <v>104</v>
      </c>
      <c r="D86" s="106"/>
      <c r="E86" s="107"/>
      <c r="F86" s="108" t="s">
        <v>7960</v>
      </c>
      <c r="G86" s="118">
        <v>3</v>
      </c>
      <c r="H86" s="108" t="s">
        <v>7961</v>
      </c>
      <c r="I86" s="110">
        <v>3</v>
      </c>
      <c r="J86" s="111" t="s">
        <v>40</v>
      </c>
      <c r="K86" s="108" t="s">
        <v>7962</v>
      </c>
      <c r="L86" s="110">
        <v>3</v>
      </c>
      <c r="M86" s="113"/>
      <c r="N86" s="108" t="s">
        <v>7960</v>
      </c>
      <c r="O86" s="110">
        <v>3</v>
      </c>
      <c r="P86" s="113"/>
      <c r="Q86" s="108" t="s">
        <v>7963</v>
      </c>
      <c r="R86" s="110">
        <v>3</v>
      </c>
      <c r="S86" s="113"/>
      <c r="T86" s="108" t="s">
        <v>7964</v>
      </c>
      <c r="U86" s="110">
        <v>3</v>
      </c>
      <c r="V86" s="113"/>
      <c r="W86" s="108" t="s">
        <v>7965</v>
      </c>
      <c r="X86" s="110">
        <v>3</v>
      </c>
      <c r="Y86" s="113"/>
      <c r="Z86" s="108" t="s">
        <v>7966</v>
      </c>
      <c r="AA86" s="110">
        <v>3</v>
      </c>
      <c r="AB86" s="111" t="s">
        <v>46</v>
      </c>
      <c r="AC86" s="105" t="s">
        <v>239</v>
      </c>
      <c r="AD86" s="115" t="s">
        <v>180</v>
      </c>
    </row>
    <row r="87" spans="1:30" x14ac:dyDescent="0.2">
      <c r="A87" s="104" t="s">
        <v>7967</v>
      </c>
      <c r="B87" s="105" t="s">
        <v>42</v>
      </c>
      <c r="C87" s="105" t="s">
        <v>104</v>
      </c>
      <c r="D87" s="106" t="s">
        <v>94</v>
      </c>
      <c r="E87" s="107"/>
      <c r="F87" s="108" t="s">
        <v>7968</v>
      </c>
      <c r="G87" s="118">
        <v>3</v>
      </c>
      <c r="H87" s="108" t="s">
        <v>7969</v>
      </c>
      <c r="I87" s="110">
        <v>3</v>
      </c>
      <c r="J87" s="113"/>
      <c r="K87" s="108" t="s">
        <v>7970</v>
      </c>
      <c r="L87" s="110">
        <v>3</v>
      </c>
      <c r="M87" s="113"/>
      <c r="N87" s="108" t="s">
        <v>7968</v>
      </c>
      <c r="O87" s="110">
        <v>3</v>
      </c>
      <c r="P87" s="113"/>
      <c r="Q87" s="108" t="s">
        <v>7971</v>
      </c>
      <c r="R87" s="110">
        <v>3</v>
      </c>
      <c r="S87" s="113"/>
      <c r="T87" s="108" t="s">
        <v>7972</v>
      </c>
      <c r="U87" s="117">
        <v>2</v>
      </c>
      <c r="V87" s="113"/>
      <c r="W87" s="108" t="s">
        <v>7973</v>
      </c>
      <c r="X87" s="117">
        <v>2</v>
      </c>
      <c r="Y87" s="113"/>
      <c r="Z87" s="108" t="s">
        <v>7974</v>
      </c>
      <c r="AA87" s="117">
        <v>2</v>
      </c>
      <c r="AB87" s="113"/>
      <c r="AC87" s="105" t="s">
        <v>240</v>
      </c>
      <c r="AD87" s="115" t="s">
        <v>49</v>
      </c>
    </row>
    <row r="88" spans="1:30" x14ac:dyDescent="0.2">
      <c r="A88" s="104" t="s">
        <v>7975</v>
      </c>
      <c r="B88" s="105" t="s">
        <v>42</v>
      </c>
      <c r="C88" s="105" t="s">
        <v>104</v>
      </c>
      <c r="D88" s="106" t="s">
        <v>94</v>
      </c>
      <c r="E88" s="107"/>
      <c r="F88" s="108" t="s">
        <v>7976</v>
      </c>
      <c r="G88" s="118">
        <v>3</v>
      </c>
      <c r="H88" s="108" t="s">
        <v>7977</v>
      </c>
      <c r="I88" s="110">
        <v>3</v>
      </c>
      <c r="J88" s="113"/>
      <c r="K88" s="108" t="s">
        <v>7978</v>
      </c>
      <c r="L88" s="110">
        <v>3</v>
      </c>
      <c r="M88" s="113"/>
      <c r="N88" s="108" t="s">
        <v>7976</v>
      </c>
      <c r="O88" s="110">
        <v>3</v>
      </c>
      <c r="P88" s="113"/>
      <c r="Q88" s="108" t="s">
        <v>7979</v>
      </c>
      <c r="R88" s="110">
        <v>3</v>
      </c>
      <c r="S88" s="113"/>
      <c r="T88" s="108" t="s">
        <v>7980</v>
      </c>
      <c r="U88" s="117">
        <v>2</v>
      </c>
      <c r="V88" s="111" t="s">
        <v>46</v>
      </c>
      <c r="W88" s="108" t="s">
        <v>7981</v>
      </c>
      <c r="X88" s="117">
        <v>2</v>
      </c>
      <c r="Y88" s="113"/>
      <c r="Z88" s="108" t="s">
        <v>47</v>
      </c>
      <c r="AA88" s="114"/>
      <c r="AB88" s="113"/>
      <c r="AC88" s="105" t="s">
        <v>241</v>
      </c>
      <c r="AD88" s="115" t="s">
        <v>49</v>
      </c>
    </row>
    <row r="89" spans="1:30" x14ac:dyDescent="0.2">
      <c r="A89" s="104" t="s">
        <v>7982</v>
      </c>
      <c r="B89" s="105" t="s">
        <v>42</v>
      </c>
      <c r="C89" s="105" t="s">
        <v>104</v>
      </c>
      <c r="D89" s="106" t="s">
        <v>125</v>
      </c>
      <c r="E89" s="107"/>
      <c r="F89" s="108" t="s">
        <v>7983</v>
      </c>
      <c r="G89" s="118">
        <v>3</v>
      </c>
      <c r="H89" s="108" t="s">
        <v>7984</v>
      </c>
      <c r="I89" s="110">
        <v>3</v>
      </c>
      <c r="J89" s="111" t="s">
        <v>40</v>
      </c>
      <c r="K89" s="108" t="s">
        <v>7985</v>
      </c>
      <c r="L89" s="110">
        <v>3</v>
      </c>
      <c r="M89" s="113"/>
      <c r="N89" s="108" t="s">
        <v>7983</v>
      </c>
      <c r="O89" s="110">
        <v>3</v>
      </c>
      <c r="P89" s="113"/>
      <c r="Q89" s="108" t="s">
        <v>7986</v>
      </c>
      <c r="R89" s="110">
        <v>3</v>
      </c>
      <c r="S89" s="113"/>
      <c r="T89" s="108" t="s">
        <v>7987</v>
      </c>
      <c r="U89" s="110">
        <v>3</v>
      </c>
      <c r="V89" s="111" t="s">
        <v>46</v>
      </c>
      <c r="W89" s="108" t="s">
        <v>7988</v>
      </c>
      <c r="X89" s="110">
        <v>3</v>
      </c>
      <c r="Y89" s="113"/>
      <c r="Z89" s="108" t="s">
        <v>7989</v>
      </c>
      <c r="AA89" s="117">
        <v>2</v>
      </c>
      <c r="AB89" s="113"/>
      <c r="AC89" s="105" t="s">
        <v>242</v>
      </c>
      <c r="AD89" s="115" t="s">
        <v>49</v>
      </c>
    </row>
    <row r="90" spans="1:30" x14ac:dyDescent="0.2">
      <c r="A90" s="104" t="s">
        <v>243</v>
      </c>
      <c r="B90" s="105" t="s">
        <v>42</v>
      </c>
      <c r="C90" s="105" t="s">
        <v>244</v>
      </c>
      <c r="D90" s="106" t="s">
        <v>94</v>
      </c>
      <c r="E90" s="107" t="s">
        <v>119</v>
      </c>
      <c r="F90" s="108" t="s">
        <v>7990</v>
      </c>
      <c r="G90" s="118">
        <v>3</v>
      </c>
      <c r="H90" s="108" t="s">
        <v>7991</v>
      </c>
      <c r="I90" s="117">
        <v>2</v>
      </c>
      <c r="J90" s="113"/>
      <c r="K90" s="108" t="s">
        <v>7992</v>
      </c>
      <c r="L90" s="117">
        <v>2</v>
      </c>
      <c r="M90" s="111" t="s">
        <v>40</v>
      </c>
      <c r="N90" s="108" t="s">
        <v>7990</v>
      </c>
      <c r="O90" s="110">
        <v>3</v>
      </c>
      <c r="P90" s="111" t="s">
        <v>40</v>
      </c>
      <c r="Q90" s="108" t="s">
        <v>7993</v>
      </c>
      <c r="R90" s="110">
        <v>3</v>
      </c>
      <c r="S90" s="113"/>
      <c r="T90" s="108" t="s">
        <v>7994</v>
      </c>
      <c r="U90" s="110">
        <v>3</v>
      </c>
      <c r="V90" s="113"/>
      <c r="W90" s="108" t="s">
        <v>7995</v>
      </c>
      <c r="X90" s="110">
        <v>3</v>
      </c>
      <c r="Y90" s="113"/>
      <c r="Z90" s="108" t="s">
        <v>7996</v>
      </c>
      <c r="AA90" s="110">
        <v>3</v>
      </c>
      <c r="AB90" s="111" t="s">
        <v>46</v>
      </c>
      <c r="AC90" s="105" t="s">
        <v>245</v>
      </c>
      <c r="AD90" s="115" t="s">
        <v>49</v>
      </c>
    </row>
    <row r="91" spans="1:30" x14ac:dyDescent="0.2">
      <c r="A91" s="104" t="s">
        <v>246</v>
      </c>
      <c r="B91" s="105" t="s">
        <v>42</v>
      </c>
      <c r="C91" s="105" t="s">
        <v>244</v>
      </c>
      <c r="D91" s="106" t="s">
        <v>125</v>
      </c>
      <c r="E91" s="107" t="s">
        <v>119</v>
      </c>
      <c r="F91" s="108" t="s">
        <v>47</v>
      </c>
      <c r="G91" s="113"/>
      <c r="H91" s="108" t="s">
        <v>47</v>
      </c>
      <c r="I91" s="114"/>
      <c r="J91" s="113"/>
      <c r="K91" s="108" t="s">
        <v>47</v>
      </c>
      <c r="L91" s="114"/>
      <c r="M91" s="113"/>
      <c r="N91" s="108" t="s">
        <v>47</v>
      </c>
      <c r="O91" s="114"/>
      <c r="P91" s="113"/>
      <c r="Q91" s="108" t="s">
        <v>47</v>
      </c>
      <c r="R91" s="114"/>
      <c r="S91" s="113"/>
      <c r="T91" s="108" t="s">
        <v>47</v>
      </c>
      <c r="U91" s="114"/>
      <c r="V91" s="113"/>
      <c r="W91" s="108" t="s">
        <v>47</v>
      </c>
      <c r="X91" s="114"/>
      <c r="Y91" s="113"/>
      <c r="Z91" s="108" t="s">
        <v>47</v>
      </c>
      <c r="AA91" s="114"/>
      <c r="AB91" s="113"/>
      <c r="AC91" s="105" t="s">
        <v>247</v>
      </c>
      <c r="AD91" s="115" t="s">
        <v>49</v>
      </c>
    </row>
    <row r="92" spans="1:30" x14ac:dyDescent="0.2">
      <c r="A92" s="104" t="s">
        <v>248</v>
      </c>
      <c r="B92" s="105" t="s">
        <v>42</v>
      </c>
      <c r="C92" s="105" t="s">
        <v>244</v>
      </c>
      <c r="D92" s="106" t="s">
        <v>125</v>
      </c>
      <c r="E92" s="107" t="s">
        <v>99</v>
      </c>
      <c r="F92" s="108" t="s">
        <v>7997</v>
      </c>
      <c r="G92" s="120">
        <v>2</v>
      </c>
      <c r="H92" s="108" t="s">
        <v>7998</v>
      </c>
      <c r="I92" s="110">
        <v>3</v>
      </c>
      <c r="J92" s="113"/>
      <c r="K92" s="108" t="s">
        <v>7999</v>
      </c>
      <c r="L92" s="110">
        <v>3</v>
      </c>
      <c r="M92" s="111" t="s">
        <v>46</v>
      </c>
      <c r="N92" s="108" t="s">
        <v>7997</v>
      </c>
      <c r="O92" s="117">
        <v>2</v>
      </c>
      <c r="P92" s="113"/>
      <c r="Q92" s="108" t="s">
        <v>8000</v>
      </c>
      <c r="R92" s="117">
        <v>2</v>
      </c>
      <c r="S92" s="113"/>
      <c r="T92" s="108" t="s">
        <v>8001</v>
      </c>
      <c r="U92" s="117">
        <v>2</v>
      </c>
      <c r="V92" s="113"/>
      <c r="W92" s="108" t="s">
        <v>8002</v>
      </c>
      <c r="X92" s="117">
        <v>2</v>
      </c>
      <c r="Y92" s="113"/>
      <c r="Z92" s="108" t="s">
        <v>47</v>
      </c>
      <c r="AA92" s="114"/>
      <c r="AB92" s="113"/>
      <c r="AC92" s="105" t="s">
        <v>249</v>
      </c>
      <c r="AD92" s="115" t="s">
        <v>107</v>
      </c>
    </row>
    <row r="93" spans="1:30" x14ac:dyDescent="0.2">
      <c r="A93" s="104" t="s">
        <v>250</v>
      </c>
      <c r="B93" s="105" t="s">
        <v>42</v>
      </c>
      <c r="C93" s="105" t="s">
        <v>244</v>
      </c>
      <c r="D93" s="106" t="s">
        <v>125</v>
      </c>
      <c r="E93" s="107" t="s">
        <v>99</v>
      </c>
      <c r="F93" s="108" t="s">
        <v>8003</v>
      </c>
      <c r="G93" s="120">
        <v>2</v>
      </c>
      <c r="H93" s="108" t="s">
        <v>8004</v>
      </c>
      <c r="I93" s="110">
        <v>3</v>
      </c>
      <c r="J93" s="113"/>
      <c r="K93" s="108" t="s">
        <v>8005</v>
      </c>
      <c r="L93" s="110">
        <v>3</v>
      </c>
      <c r="M93" s="111" t="s">
        <v>46</v>
      </c>
      <c r="N93" s="108" t="s">
        <v>8003</v>
      </c>
      <c r="O93" s="117">
        <v>2</v>
      </c>
      <c r="P93" s="113"/>
      <c r="Q93" s="108" t="s">
        <v>8006</v>
      </c>
      <c r="R93" s="117">
        <v>2</v>
      </c>
      <c r="S93" s="113"/>
      <c r="T93" s="108" t="s">
        <v>8007</v>
      </c>
      <c r="U93" s="117">
        <v>2</v>
      </c>
      <c r="V93" s="113"/>
      <c r="W93" s="108" t="s">
        <v>8008</v>
      </c>
      <c r="X93" s="117">
        <v>2</v>
      </c>
      <c r="Y93" s="113"/>
      <c r="Z93" s="108" t="s">
        <v>8009</v>
      </c>
      <c r="AA93" s="117">
        <v>2</v>
      </c>
      <c r="AB93" s="111" t="s">
        <v>40</v>
      </c>
      <c r="AC93" s="105" t="s">
        <v>251</v>
      </c>
      <c r="AD93" s="115" t="s">
        <v>107</v>
      </c>
    </row>
    <row r="94" spans="1:30" x14ac:dyDescent="0.2">
      <c r="A94" s="104" t="s">
        <v>252</v>
      </c>
      <c r="B94" s="105" t="s">
        <v>42</v>
      </c>
      <c r="C94" s="105" t="s">
        <v>244</v>
      </c>
      <c r="D94" s="106" t="s">
        <v>125</v>
      </c>
      <c r="E94" s="107" t="s">
        <v>99</v>
      </c>
      <c r="F94" s="108" t="s">
        <v>8010</v>
      </c>
      <c r="G94" s="120">
        <v>2</v>
      </c>
      <c r="H94" s="108" t="s">
        <v>8011</v>
      </c>
      <c r="I94" s="110">
        <v>3</v>
      </c>
      <c r="J94" s="113"/>
      <c r="K94" s="108" t="s">
        <v>8012</v>
      </c>
      <c r="L94" s="110">
        <v>3</v>
      </c>
      <c r="M94" s="111" t="s">
        <v>46</v>
      </c>
      <c r="N94" s="108" t="s">
        <v>8010</v>
      </c>
      <c r="O94" s="117">
        <v>2</v>
      </c>
      <c r="P94" s="113"/>
      <c r="Q94" s="108" t="s">
        <v>8013</v>
      </c>
      <c r="R94" s="117">
        <v>2</v>
      </c>
      <c r="S94" s="111" t="s">
        <v>40</v>
      </c>
      <c r="T94" s="108" t="s">
        <v>8014</v>
      </c>
      <c r="U94" s="117">
        <v>2</v>
      </c>
      <c r="V94" s="113"/>
      <c r="W94" s="108" t="s">
        <v>8015</v>
      </c>
      <c r="X94" s="117">
        <v>2</v>
      </c>
      <c r="Y94" s="113"/>
      <c r="Z94" s="108" t="s">
        <v>8016</v>
      </c>
      <c r="AA94" s="110">
        <v>3</v>
      </c>
      <c r="AB94" s="113"/>
      <c r="AC94" s="105" t="s">
        <v>253</v>
      </c>
      <c r="AD94" s="115" t="s">
        <v>107</v>
      </c>
    </row>
    <row r="95" spans="1:30" x14ac:dyDescent="0.2">
      <c r="A95" s="104" t="s">
        <v>254</v>
      </c>
      <c r="B95" s="105" t="s">
        <v>255</v>
      </c>
      <c r="C95" s="105" t="s">
        <v>256</v>
      </c>
      <c r="D95" s="106"/>
      <c r="E95" s="107"/>
      <c r="F95" s="108" t="s">
        <v>257</v>
      </c>
      <c r="G95" s="120">
        <v>2</v>
      </c>
      <c r="H95" s="108" t="s">
        <v>8017</v>
      </c>
      <c r="I95" s="112">
        <v>4</v>
      </c>
      <c r="J95" s="111" t="s">
        <v>55</v>
      </c>
      <c r="K95" s="108" t="s">
        <v>258</v>
      </c>
      <c r="L95" s="117">
        <v>2</v>
      </c>
      <c r="M95" s="111" t="s">
        <v>46</v>
      </c>
      <c r="N95" s="108" t="s">
        <v>257</v>
      </c>
      <c r="O95" s="117">
        <v>2</v>
      </c>
      <c r="P95" s="113"/>
      <c r="Q95" s="108" t="s">
        <v>8018</v>
      </c>
      <c r="R95" s="116">
        <v>1</v>
      </c>
      <c r="S95" s="113"/>
      <c r="T95" s="108" t="s">
        <v>8019</v>
      </c>
      <c r="U95" s="117">
        <v>2</v>
      </c>
      <c r="V95" s="113"/>
      <c r="W95" s="108" t="s">
        <v>259</v>
      </c>
      <c r="X95" s="117">
        <v>2</v>
      </c>
      <c r="Y95" s="113"/>
      <c r="Z95" s="108" t="s">
        <v>260</v>
      </c>
      <c r="AA95" s="110">
        <v>3</v>
      </c>
      <c r="AB95" s="113"/>
      <c r="AC95" s="105" t="s">
        <v>261</v>
      </c>
      <c r="AD95" s="115" t="s">
        <v>180</v>
      </c>
    </row>
    <row r="96" spans="1:30" x14ac:dyDescent="0.2">
      <c r="A96" s="104" t="s">
        <v>262</v>
      </c>
      <c r="B96" s="105" t="s">
        <v>255</v>
      </c>
      <c r="C96" s="105" t="s">
        <v>256</v>
      </c>
      <c r="D96" s="106"/>
      <c r="E96" s="107"/>
      <c r="F96" s="108" t="s">
        <v>263</v>
      </c>
      <c r="G96" s="120">
        <v>2</v>
      </c>
      <c r="H96" s="108" t="s">
        <v>8020</v>
      </c>
      <c r="I96" s="112">
        <v>4</v>
      </c>
      <c r="J96" s="111" t="s">
        <v>44</v>
      </c>
      <c r="K96" s="108" t="s">
        <v>264</v>
      </c>
      <c r="L96" s="117">
        <v>2</v>
      </c>
      <c r="M96" s="111" t="s">
        <v>46</v>
      </c>
      <c r="N96" s="108" t="s">
        <v>263</v>
      </c>
      <c r="O96" s="117">
        <v>2</v>
      </c>
      <c r="P96" s="113"/>
      <c r="Q96" s="108" t="s">
        <v>8021</v>
      </c>
      <c r="R96" s="116">
        <v>1</v>
      </c>
      <c r="S96" s="113"/>
      <c r="T96" s="108" t="s">
        <v>8022</v>
      </c>
      <c r="U96" s="117">
        <v>2</v>
      </c>
      <c r="V96" s="113"/>
      <c r="W96" s="108" t="s">
        <v>265</v>
      </c>
      <c r="X96" s="117">
        <v>2</v>
      </c>
      <c r="Y96" s="113"/>
      <c r="Z96" s="108" t="s">
        <v>266</v>
      </c>
      <c r="AA96" s="110">
        <v>3</v>
      </c>
      <c r="AB96" s="113"/>
      <c r="AC96" s="105" t="s">
        <v>267</v>
      </c>
      <c r="AD96" s="115" t="s">
        <v>180</v>
      </c>
    </row>
    <row r="97" spans="1:30" x14ac:dyDescent="0.2">
      <c r="A97" s="104" t="s">
        <v>268</v>
      </c>
      <c r="B97" s="105" t="s">
        <v>255</v>
      </c>
      <c r="C97" s="105" t="s">
        <v>256</v>
      </c>
      <c r="D97" s="106"/>
      <c r="E97" s="107"/>
      <c r="F97" s="108" t="s">
        <v>269</v>
      </c>
      <c r="G97" s="120">
        <v>2</v>
      </c>
      <c r="H97" s="108" t="s">
        <v>270</v>
      </c>
      <c r="I97" s="110">
        <v>3</v>
      </c>
      <c r="J97" s="111" t="s">
        <v>55</v>
      </c>
      <c r="K97" s="108" t="s">
        <v>271</v>
      </c>
      <c r="L97" s="117">
        <v>2</v>
      </c>
      <c r="M97" s="111" t="s">
        <v>46</v>
      </c>
      <c r="N97" s="108" t="s">
        <v>269</v>
      </c>
      <c r="O97" s="117">
        <v>2</v>
      </c>
      <c r="P97" s="111" t="s">
        <v>46</v>
      </c>
      <c r="Q97" s="108" t="s">
        <v>8023</v>
      </c>
      <c r="R97" s="116">
        <v>1</v>
      </c>
      <c r="S97" s="113"/>
      <c r="T97" s="108" t="s">
        <v>8024</v>
      </c>
      <c r="U97" s="117">
        <v>2</v>
      </c>
      <c r="V97" s="113"/>
      <c r="W97" s="108" t="s">
        <v>8025</v>
      </c>
      <c r="X97" s="117">
        <v>2</v>
      </c>
      <c r="Y97" s="111" t="s">
        <v>46</v>
      </c>
      <c r="Z97" s="108" t="s">
        <v>272</v>
      </c>
      <c r="AA97" s="110">
        <v>3</v>
      </c>
      <c r="AB97" s="111" t="s">
        <v>46</v>
      </c>
      <c r="AC97" s="105" t="s">
        <v>273</v>
      </c>
      <c r="AD97" s="115" t="s">
        <v>180</v>
      </c>
    </row>
    <row r="98" spans="1:30" x14ac:dyDescent="0.2">
      <c r="A98" s="104" t="s">
        <v>274</v>
      </c>
      <c r="B98" s="105" t="s">
        <v>42</v>
      </c>
      <c r="C98" s="105" t="s">
        <v>244</v>
      </c>
      <c r="D98" s="106" t="s">
        <v>105</v>
      </c>
      <c r="E98" s="107" t="s">
        <v>119</v>
      </c>
      <c r="F98" s="108" t="s">
        <v>8026</v>
      </c>
      <c r="G98" s="109">
        <v>4</v>
      </c>
      <c r="H98" s="108" t="s">
        <v>8027</v>
      </c>
      <c r="I98" s="117">
        <v>2</v>
      </c>
      <c r="J98" s="113"/>
      <c r="K98" s="108" t="s">
        <v>8028</v>
      </c>
      <c r="L98" s="117">
        <v>2</v>
      </c>
      <c r="M98" s="111" t="s">
        <v>53</v>
      </c>
      <c r="N98" s="108" t="s">
        <v>8026</v>
      </c>
      <c r="O98" s="112">
        <v>4</v>
      </c>
      <c r="P98" s="113"/>
      <c r="Q98" s="108" t="s">
        <v>8029</v>
      </c>
      <c r="R98" s="112">
        <v>4</v>
      </c>
      <c r="S98" s="113"/>
      <c r="T98" s="108" t="s">
        <v>8030</v>
      </c>
      <c r="U98" s="112">
        <v>4</v>
      </c>
      <c r="V98" s="113"/>
      <c r="W98" s="108" t="s">
        <v>8031</v>
      </c>
      <c r="X98" s="112">
        <v>4</v>
      </c>
      <c r="Y98" s="113"/>
      <c r="Z98" s="108" t="s">
        <v>8032</v>
      </c>
      <c r="AA98" s="112">
        <v>4</v>
      </c>
      <c r="AB98" s="113"/>
      <c r="AC98" s="105" t="s">
        <v>275</v>
      </c>
      <c r="AD98" s="115" t="s">
        <v>49</v>
      </c>
    </row>
    <row r="99" spans="1:30" x14ac:dyDescent="0.2">
      <c r="A99" s="104" t="s">
        <v>276</v>
      </c>
      <c r="B99" s="105" t="s">
        <v>42</v>
      </c>
      <c r="C99" s="105" t="s">
        <v>244</v>
      </c>
      <c r="D99" s="106"/>
      <c r="E99" s="107"/>
      <c r="F99" s="108" t="s">
        <v>8033</v>
      </c>
      <c r="G99" s="120">
        <v>2</v>
      </c>
      <c r="H99" s="108" t="s">
        <v>8034</v>
      </c>
      <c r="I99" s="110">
        <v>3</v>
      </c>
      <c r="J99" s="113"/>
      <c r="K99" s="108" t="s">
        <v>8035</v>
      </c>
      <c r="L99" s="117">
        <v>2</v>
      </c>
      <c r="M99" s="111" t="s">
        <v>40</v>
      </c>
      <c r="N99" s="108" t="s">
        <v>8033</v>
      </c>
      <c r="O99" s="117">
        <v>2</v>
      </c>
      <c r="P99" s="113"/>
      <c r="Q99" s="108" t="s">
        <v>8036</v>
      </c>
      <c r="R99" s="116">
        <v>1</v>
      </c>
      <c r="S99" s="111" t="s">
        <v>40</v>
      </c>
      <c r="T99" s="108" t="s">
        <v>8037</v>
      </c>
      <c r="U99" s="110">
        <v>3</v>
      </c>
      <c r="V99" s="113"/>
      <c r="W99" s="108" t="s">
        <v>8038</v>
      </c>
      <c r="X99" s="117">
        <v>2</v>
      </c>
      <c r="Y99" s="113"/>
      <c r="Z99" s="108" t="s">
        <v>8039</v>
      </c>
      <c r="AA99" s="110">
        <v>3</v>
      </c>
      <c r="AB99" s="113"/>
      <c r="AC99" s="105" t="s">
        <v>277</v>
      </c>
      <c r="AD99" s="115" t="s">
        <v>180</v>
      </c>
    </row>
    <row r="100" spans="1:30" x14ac:dyDescent="0.2">
      <c r="A100" s="104" t="s">
        <v>278</v>
      </c>
      <c r="B100" s="105" t="s">
        <v>42</v>
      </c>
      <c r="C100" s="105" t="s">
        <v>279</v>
      </c>
      <c r="D100" s="106" t="s">
        <v>94</v>
      </c>
      <c r="E100" s="107" t="s">
        <v>119</v>
      </c>
      <c r="F100" s="108" t="s">
        <v>8040</v>
      </c>
      <c r="G100" s="118">
        <v>3</v>
      </c>
      <c r="H100" s="108" t="s">
        <v>8041</v>
      </c>
      <c r="I100" s="117">
        <v>2</v>
      </c>
      <c r="J100" s="111" t="s">
        <v>46</v>
      </c>
      <c r="K100" s="108" t="s">
        <v>8042</v>
      </c>
      <c r="L100" s="117">
        <v>2</v>
      </c>
      <c r="M100" s="113"/>
      <c r="N100" s="108" t="s">
        <v>8040</v>
      </c>
      <c r="O100" s="110">
        <v>3</v>
      </c>
      <c r="P100" s="111" t="s">
        <v>46</v>
      </c>
      <c r="Q100" s="108" t="s">
        <v>8043</v>
      </c>
      <c r="R100" s="110">
        <v>3</v>
      </c>
      <c r="S100" s="113"/>
      <c r="T100" s="108" t="s">
        <v>8044</v>
      </c>
      <c r="U100" s="110">
        <v>3</v>
      </c>
      <c r="V100" s="113"/>
      <c r="W100" s="108" t="s">
        <v>8045</v>
      </c>
      <c r="X100" s="117">
        <v>2</v>
      </c>
      <c r="Y100" s="113"/>
      <c r="Z100" s="108" t="s">
        <v>8046</v>
      </c>
      <c r="AA100" s="110">
        <v>3</v>
      </c>
      <c r="AB100" s="111" t="s">
        <v>55</v>
      </c>
      <c r="AC100" s="105" t="s">
        <v>280</v>
      </c>
      <c r="AD100" s="115" t="s">
        <v>107</v>
      </c>
    </row>
    <row r="101" spans="1:30" x14ac:dyDescent="0.2">
      <c r="A101" s="104" t="s">
        <v>281</v>
      </c>
      <c r="B101" s="105" t="s">
        <v>42</v>
      </c>
      <c r="C101" s="105" t="s">
        <v>279</v>
      </c>
      <c r="D101" s="106" t="s">
        <v>94</v>
      </c>
      <c r="E101" s="107" t="s">
        <v>99</v>
      </c>
      <c r="F101" s="108" t="s">
        <v>8047</v>
      </c>
      <c r="G101" s="120">
        <v>2</v>
      </c>
      <c r="H101" s="108" t="s">
        <v>8048</v>
      </c>
      <c r="I101" s="110">
        <v>3</v>
      </c>
      <c r="J101" s="111" t="s">
        <v>46</v>
      </c>
      <c r="K101" s="108" t="s">
        <v>8049</v>
      </c>
      <c r="L101" s="117">
        <v>2</v>
      </c>
      <c r="M101" s="113"/>
      <c r="N101" s="108" t="s">
        <v>8047</v>
      </c>
      <c r="O101" s="117">
        <v>2</v>
      </c>
      <c r="P101" s="111" t="s">
        <v>46</v>
      </c>
      <c r="Q101" s="108" t="s">
        <v>8050</v>
      </c>
      <c r="R101" s="117">
        <v>2</v>
      </c>
      <c r="S101" s="111" t="s">
        <v>46</v>
      </c>
      <c r="T101" s="108" t="s">
        <v>8051</v>
      </c>
      <c r="U101" s="117">
        <v>2</v>
      </c>
      <c r="V101" s="113"/>
      <c r="W101" s="108" t="s">
        <v>8052</v>
      </c>
      <c r="X101" s="117">
        <v>2</v>
      </c>
      <c r="Y101" s="113"/>
      <c r="Z101" s="108" t="s">
        <v>47</v>
      </c>
      <c r="AA101" s="114"/>
      <c r="AB101" s="113"/>
      <c r="AC101" s="105" t="s">
        <v>282</v>
      </c>
      <c r="AD101" s="115" t="s">
        <v>49</v>
      </c>
    </row>
    <row r="102" spans="1:30" x14ac:dyDescent="0.2">
      <c r="A102" s="104" t="s">
        <v>283</v>
      </c>
      <c r="B102" s="105" t="s">
        <v>42</v>
      </c>
      <c r="C102" s="105" t="s">
        <v>279</v>
      </c>
      <c r="D102" s="106" t="s">
        <v>94</v>
      </c>
      <c r="E102" s="107" t="s">
        <v>99</v>
      </c>
      <c r="F102" s="108" t="s">
        <v>8053</v>
      </c>
      <c r="G102" s="120">
        <v>2</v>
      </c>
      <c r="H102" s="108" t="s">
        <v>8054</v>
      </c>
      <c r="I102" s="110">
        <v>3</v>
      </c>
      <c r="J102" s="111" t="s">
        <v>46</v>
      </c>
      <c r="K102" s="108" t="s">
        <v>8055</v>
      </c>
      <c r="L102" s="117">
        <v>2</v>
      </c>
      <c r="M102" s="113"/>
      <c r="N102" s="108" t="s">
        <v>8053</v>
      </c>
      <c r="O102" s="117">
        <v>2</v>
      </c>
      <c r="P102" s="111" t="s">
        <v>46</v>
      </c>
      <c r="Q102" s="108" t="s">
        <v>8056</v>
      </c>
      <c r="R102" s="117">
        <v>2</v>
      </c>
      <c r="S102" s="111" t="s">
        <v>46</v>
      </c>
      <c r="T102" s="108" t="s">
        <v>8057</v>
      </c>
      <c r="U102" s="117">
        <v>2</v>
      </c>
      <c r="V102" s="113"/>
      <c r="W102" s="108" t="s">
        <v>8058</v>
      </c>
      <c r="X102" s="117">
        <v>2</v>
      </c>
      <c r="Y102" s="113"/>
      <c r="Z102" s="108" t="s">
        <v>47</v>
      </c>
      <c r="AA102" s="114"/>
      <c r="AB102" s="113"/>
      <c r="AC102" s="105" t="s">
        <v>284</v>
      </c>
      <c r="AD102" s="115" t="s">
        <v>49</v>
      </c>
    </row>
    <row r="103" spans="1:30" x14ac:dyDescent="0.2">
      <c r="A103" s="104" t="s">
        <v>285</v>
      </c>
      <c r="B103" s="105" t="s">
        <v>42</v>
      </c>
      <c r="C103" s="105" t="s">
        <v>279</v>
      </c>
      <c r="D103" s="106" t="s">
        <v>125</v>
      </c>
      <c r="E103" s="107" t="s">
        <v>99</v>
      </c>
      <c r="F103" s="108" t="s">
        <v>8059</v>
      </c>
      <c r="G103" s="120">
        <v>2</v>
      </c>
      <c r="H103" s="108" t="s">
        <v>8060</v>
      </c>
      <c r="I103" s="110">
        <v>3</v>
      </c>
      <c r="J103" s="111" t="s">
        <v>46</v>
      </c>
      <c r="K103" s="108" t="s">
        <v>8061</v>
      </c>
      <c r="L103" s="117">
        <v>2</v>
      </c>
      <c r="M103" s="113"/>
      <c r="N103" s="108" t="s">
        <v>8059</v>
      </c>
      <c r="O103" s="117">
        <v>2</v>
      </c>
      <c r="P103" s="111" t="s">
        <v>46</v>
      </c>
      <c r="Q103" s="108" t="s">
        <v>8062</v>
      </c>
      <c r="R103" s="117">
        <v>2</v>
      </c>
      <c r="S103" s="111" t="s">
        <v>46</v>
      </c>
      <c r="T103" s="108" t="s">
        <v>8063</v>
      </c>
      <c r="U103" s="117">
        <v>2</v>
      </c>
      <c r="V103" s="113"/>
      <c r="W103" s="108" t="s">
        <v>8064</v>
      </c>
      <c r="X103" s="117">
        <v>2</v>
      </c>
      <c r="Y103" s="113"/>
      <c r="Z103" s="108" t="s">
        <v>8065</v>
      </c>
      <c r="AA103" s="117">
        <v>2</v>
      </c>
      <c r="AB103" s="111" t="s">
        <v>40</v>
      </c>
      <c r="AC103" s="105" t="s">
        <v>286</v>
      </c>
      <c r="AD103" s="115" t="s">
        <v>49</v>
      </c>
    </row>
    <row r="104" spans="1:30" x14ac:dyDescent="0.2">
      <c r="A104" s="104" t="s">
        <v>287</v>
      </c>
      <c r="B104" s="105" t="s">
        <v>42</v>
      </c>
      <c r="C104" s="105" t="s">
        <v>279</v>
      </c>
      <c r="D104" s="106" t="s">
        <v>125</v>
      </c>
      <c r="E104" s="107" t="s">
        <v>119</v>
      </c>
      <c r="F104" s="108" t="s">
        <v>8066</v>
      </c>
      <c r="G104" s="118">
        <v>3</v>
      </c>
      <c r="H104" s="108" t="s">
        <v>8067</v>
      </c>
      <c r="I104" s="117">
        <v>2</v>
      </c>
      <c r="J104" s="111" t="s">
        <v>46</v>
      </c>
      <c r="K104" s="108" t="s">
        <v>8068</v>
      </c>
      <c r="L104" s="110">
        <v>3</v>
      </c>
      <c r="M104" s="111" t="s">
        <v>46</v>
      </c>
      <c r="N104" s="108" t="s">
        <v>8066</v>
      </c>
      <c r="O104" s="110">
        <v>3</v>
      </c>
      <c r="P104" s="113"/>
      <c r="Q104" s="108" t="s">
        <v>8069</v>
      </c>
      <c r="R104" s="110">
        <v>3</v>
      </c>
      <c r="S104" s="111" t="s">
        <v>40</v>
      </c>
      <c r="T104" s="108" t="s">
        <v>8070</v>
      </c>
      <c r="U104" s="110">
        <v>3</v>
      </c>
      <c r="V104" s="111" t="s">
        <v>40</v>
      </c>
      <c r="W104" s="108" t="s">
        <v>8071</v>
      </c>
      <c r="X104" s="110">
        <v>3</v>
      </c>
      <c r="Y104" s="113"/>
      <c r="Z104" s="108" t="s">
        <v>288</v>
      </c>
      <c r="AA104" s="112">
        <v>4</v>
      </c>
      <c r="AB104" s="111" t="s">
        <v>55</v>
      </c>
      <c r="AC104" s="105" t="s">
        <v>289</v>
      </c>
      <c r="AD104" s="115" t="s">
        <v>107</v>
      </c>
    </row>
    <row r="105" spans="1:30" x14ac:dyDescent="0.2">
      <c r="A105" s="104" t="s">
        <v>290</v>
      </c>
      <c r="B105" s="105" t="s">
        <v>42</v>
      </c>
      <c r="C105" s="105" t="s">
        <v>279</v>
      </c>
      <c r="D105" s="106"/>
      <c r="E105" s="107"/>
      <c r="F105" s="108" t="s">
        <v>8072</v>
      </c>
      <c r="G105" s="118">
        <v>3</v>
      </c>
      <c r="H105" s="108" t="s">
        <v>8073</v>
      </c>
      <c r="I105" s="110">
        <v>3</v>
      </c>
      <c r="J105" s="111" t="s">
        <v>55</v>
      </c>
      <c r="K105" s="108" t="s">
        <v>8074</v>
      </c>
      <c r="L105" s="117">
        <v>2</v>
      </c>
      <c r="M105" s="111" t="s">
        <v>40</v>
      </c>
      <c r="N105" s="108" t="s">
        <v>8072</v>
      </c>
      <c r="O105" s="110">
        <v>3</v>
      </c>
      <c r="P105" s="111" t="s">
        <v>46</v>
      </c>
      <c r="Q105" s="108" t="s">
        <v>8075</v>
      </c>
      <c r="R105" s="110">
        <v>3</v>
      </c>
      <c r="S105" s="113"/>
      <c r="T105" s="108" t="s">
        <v>8076</v>
      </c>
      <c r="U105" s="112">
        <v>4</v>
      </c>
      <c r="V105" s="113"/>
      <c r="W105" s="108" t="s">
        <v>8077</v>
      </c>
      <c r="X105" s="112">
        <v>4</v>
      </c>
      <c r="Y105" s="113"/>
      <c r="Z105" s="108" t="s">
        <v>8078</v>
      </c>
      <c r="AA105" s="112">
        <v>4</v>
      </c>
      <c r="AB105" s="113"/>
      <c r="AC105" s="105" t="s">
        <v>291</v>
      </c>
      <c r="AD105" s="115" t="s">
        <v>180</v>
      </c>
    </row>
    <row r="106" spans="1:30" x14ac:dyDescent="0.2">
      <c r="A106" s="104" t="s">
        <v>292</v>
      </c>
      <c r="B106" s="105" t="s">
        <v>42</v>
      </c>
      <c r="C106" s="105" t="s">
        <v>293</v>
      </c>
      <c r="D106" s="106"/>
      <c r="E106" s="107" t="s">
        <v>146</v>
      </c>
      <c r="F106" s="108" t="s">
        <v>8079</v>
      </c>
      <c r="G106" s="118">
        <v>3</v>
      </c>
      <c r="H106" s="108" t="s">
        <v>8080</v>
      </c>
      <c r="I106" s="110">
        <v>3</v>
      </c>
      <c r="J106" s="111" t="s">
        <v>55</v>
      </c>
      <c r="K106" s="108" t="s">
        <v>8081</v>
      </c>
      <c r="L106" s="110">
        <v>3</v>
      </c>
      <c r="M106" s="111" t="s">
        <v>46</v>
      </c>
      <c r="N106" s="108" t="s">
        <v>8079</v>
      </c>
      <c r="O106" s="110">
        <v>3</v>
      </c>
      <c r="P106" s="113"/>
      <c r="Q106" s="108" t="s">
        <v>8082</v>
      </c>
      <c r="R106" s="112">
        <v>4</v>
      </c>
      <c r="S106" s="111" t="s">
        <v>46</v>
      </c>
      <c r="T106" s="108" t="s">
        <v>47</v>
      </c>
      <c r="U106" s="114"/>
      <c r="V106" s="113"/>
      <c r="W106" s="108" t="s">
        <v>47</v>
      </c>
      <c r="X106" s="114"/>
      <c r="Y106" s="113"/>
      <c r="Z106" s="108" t="s">
        <v>47</v>
      </c>
      <c r="AA106" s="114"/>
      <c r="AB106" s="113"/>
      <c r="AC106" s="105" t="s">
        <v>294</v>
      </c>
      <c r="AD106" s="115" t="s">
        <v>49</v>
      </c>
    </row>
    <row r="107" spans="1:30" x14ac:dyDescent="0.2">
      <c r="A107" s="104" t="s">
        <v>295</v>
      </c>
      <c r="B107" s="105" t="s">
        <v>42</v>
      </c>
      <c r="C107" s="105" t="s">
        <v>293</v>
      </c>
      <c r="D107" s="106"/>
      <c r="E107" s="107" t="s">
        <v>146</v>
      </c>
      <c r="F107" s="108" t="s">
        <v>47</v>
      </c>
      <c r="G107" s="113"/>
      <c r="H107" s="108" t="s">
        <v>47</v>
      </c>
      <c r="I107" s="114"/>
      <c r="J107" s="113"/>
      <c r="K107" s="108" t="s">
        <v>47</v>
      </c>
      <c r="L107" s="114"/>
      <c r="M107" s="113"/>
      <c r="N107" s="108" t="s">
        <v>47</v>
      </c>
      <c r="O107" s="114"/>
      <c r="P107" s="113"/>
      <c r="Q107" s="108" t="s">
        <v>47</v>
      </c>
      <c r="R107" s="114"/>
      <c r="S107" s="113"/>
      <c r="T107" s="108" t="s">
        <v>47</v>
      </c>
      <c r="U107" s="114"/>
      <c r="V107" s="113"/>
      <c r="W107" s="108" t="s">
        <v>47</v>
      </c>
      <c r="X107" s="114"/>
      <c r="Y107" s="113"/>
      <c r="Z107" s="108" t="s">
        <v>47</v>
      </c>
      <c r="AA107" s="114"/>
      <c r="AB107" s="113"/>
      <c r="AC107" s="105" t="s">
        <v>296</v>
      </c>
      <c r="AD107" s="115" t="s">
        <v>49</v>
      </c>
    </row>
    <row r="108" spans="1:30" x14ac:dyDescent="0.2">
      <c r="A108" s="104" t="s">
        <v>297</v>
      </c>
      <c r="B108" s="105" t="s">
        <v>42</v>
      </c>
      <c r="C108" s="105" t="s">
        <v>293</v>
      </c>
      <c r="D108" s="106" t="s">
        <v>298</v>
      </c>
      <c r="E108" s="107" t="s">
        <v>146</v>
      </c>
      <c r="F108" s="108" t="s">
        <v>299</v>
      </c>
      <c r="G108" s="118">
        <v>3</v>
      </c>
      <c r="H108" s="108" t="s">
        <v>8083</v>
      </c>
      <c r="I108" s="110">
        <v>3</v>
      </c>
      <c r="J108" s="111" t="s">
        <v>55</v>
      </c>
      <c r="K108" s="108" t="s">
        <v>8084</v>
      </c>
      <c r="L108" s="110">
        <v>3</v>
      </c>
      <c r="M108" s="111" t="s">
        <v>46</v>
      </c>
      <c r="N108" s="108" t="s">
        <v>299</v>
      </c>
      <c r="O108" s="110">
        <v>3</v>
      </c>
      <c r="P108" s="113"/>
      <c r="Q108" s="108" t="s">
        <v>300</v>
      </c>
      <c r="R108" s="112">
        <v>4</v>
      </c>
      <c r="S108" s="111" t="s">
        <v>46</v>
      </c>
      <c r="T108" s="108" t="s">
        <v>8085</v>
      </c>
      <c r="U108" s="112">
        <v>4</v>
      </c>
      <c r="V108" s="113"/>
      <c r="W108" s="108" t="s">
        <v>301</v>
      </c>
      <c r="X108" s="112">
        <v>4</v>
      </c>
      <c r="Y108" s="113"/>
      <c r="Z108" s="108" t="s">
        <v>8086</v>
      </c>
      <c r="AA108" s="110">
        <v>3</v>
      </c>
      <c r="AB108" s="113"/>
      <c r="AC108" s="105" t="s">
        <v>302</v>
      </c>
      <c r="AD108" s="115" t="s">
        <v>49</v>
      </c>
    </row>
    <row r="109" spans="1:30" x14ac:dyDescent="0.2">
      <c r="A109" s="104" t="s">
        <v>303</v>
      </c>
      <c r="B109" s="105" t="s">
        <v>42</v>
      </c>
      <c r="C109" s="105" t="s">
        <v>293</v>
      </c>
      <c r="D109" s="106" t="s">
        <v>125</v>
      </c>
      <c r="E109" s="107" t="s">
        <v>146</v>
      </c>
      <c r="F109" s="108" t="s">
        <v>8087</v>
      </c>
      <c r="G109" s="118">
        <v>3</v>
      </c>
      <c r="H109" s="108" t="s">
        <v>8088</v>
      </c>
      <c r="I109" s="110">
        <v>3</v>
      </c>
      <c r="J109" s="111" t="s">
        <v>55</v>
      </c>
      <c r="K109" s="108" t="s">
        <v>8089</v>
      </c>
      <c r="L109" s="110">
        <v>3</v>
      </c>
      <c r="M109" s="111" t="s">
        <v>46</v>
      </c>
      <c r="N109" s="108" t="s">
        <v>8087</v>
      </c>
      <c r="O109" s="110">
        <v>3</v>
      </c>
      <c r="P109" s="113"/>
      <c r="Q109" s="108" t="s">
        <v>8090</v>
      </c>
      <c r="R109" s="112">
        <v>4</v>
      </c>
      <c r="S109" s="113"/>
      <c r="T109" s="108" t="s">
        <v>8091</v>
      </c>
      <c r="U109" s="112">
        <v>4</v>
      </c>
      <c r="V109" s="113"/>
      <c r="W109" s="108" t="s">
        <v>8092</v>
      </c>
      <c r="X109" s="112">
        <v>4</v>
      </c>
      <c r="Y109" s="113"/>
      <c r="Z109" s="108" t="s">
        <v>8093</v>
      </c>
      <c r="AA109" s="110">
        <v>3</v>
      </c>
      <c r="AB109" s="111" t="s">
        <v>46</v>
      </c>
      <c r="AC109" s="105" t="s">
        <v>304</v>
      </c>
      <c r="AD109" s="115" t="s">
        <v>49</v>
      </c>
    </row>
    <row r="110" spans="1:30" x14ac:dyDescent="0.2">
      <c r="A110" s="104" t="s">
        <v>305</v>
      </c>
      <c r="B110" s="105" t="s">
        <v>42</v>
      </c>
      <c r="C110" s="105" t="s">
        <v>306</v>
      </c>
      <c r="D110" s="106"/>
      <c r="E110" s="107"/>
      <c r="F110" s="108" t="s">
        <v>8094</v>
      </c>
      <c r="G110" s="120">
        <v>2</v>
      </c>
      <c r="H110" s="108" t="s">
        <v>8095</v>
      </c>
      <c r="I110" s="117">
        <v>2</v>
      </c>
      <c r="J110" s="113"/>
      <c r="K110" s="108" t="s">
        <v>8096</v>
      </c>
      <c r="L110" s="117">
        <v>2</v>
      </c>
      <c r="M110" s="111" t="s">
        <v>40</v>
      </c>
      <c r="N110" s="108" t="s">
        <v>8094</v>
      </c>
      <c r="O110" s="117">
        <v>2</v>
      </c>
      <c r="P110" s="111" t="s">
        <v>40</v>
      </c>
      <c r="Q110" s="108" t="s">
        <v>307</v>
      </c>
      <c r="R110" s="117">
        <v>2</v>
      </c>
      <c r="S110" s="111" t="s">
        <v>40</v>
      </c>
      <c r="T110" s="108" t="s">
        <v>8097</v>
      </c>
      <c r="U110" s="116">
        <v>1</v>
      </c>
      <c r="V110" s="113"/>
      <c r="W110" s="108" t="s">
        <v>8098</v>
      </c>
      <c r="X110" s="116">
        <v>1</v>
      </c>
      <c r="Y110" s="113"/>
      <c r="Z110" s="108" t="s">
        <v>8099</v>
      </c>
      <c r="AA110" s="117">
        <v>2</v>
      </c>
      <c r="AB110" s="111" t="s">
        <v>40</v>
      </c>
      <c r="AC110" s="105" t="s">
        <v>308</v>
      </c>
      <c r="AD110" s="115" t="s">
        <v>180</v>
      </c>
    </row>
    <row r="111" spans="1:30" x14ac:dyDescent="0.2">
      <c r="A111" s="104" t="s">
        <v>309</v>
      </c>
      <c r="B111" s="105" t="s">
        <v>42</v>
      </c>
      <c r="C111" s="105" t="s">
        <v>306</v>
      </c>
      <c r="D111" s="106" t="s">
        <v>125</v>
      </c>
      <c r="E111" s="107" t="s">
        <v>146</v>
      </c>
      <c r="F111" s="108" t="s">
        <v>8100</v>
      </c>
      <c r="G111" s="109">
        <v>4</v>
      </c>
      <c r="H111" s="108" t="s">
        <v>8101</v>
      </c>
      <c r="I111" s="110">
        <v>3</v>
      </c>
      <c r="J111" s="111" t="s">
        <v>46</v>
      </c>
      <c r="K111" s="108" t="s">
        <v>8102</v>
      </c>
      <c r="L111" s="112">
        <v>4</v>
      </c>
      <c r="M111" s="113"/>
      <c r="N111" s="108" t="s">
        <v>8100</v>
      </c>
      <c r="O111" s="112">
        <v>4</v>
      </c>
      <c r="P111" s="113"/>
      <c r="Q111" s="108" t="s">
        <v>8103</v>
      </c>
      <c r="R111" s="112">
        <v>4</v>
      </c>
      <c r="S111" s="113"/>
      <c r="T111" s="108" t="s">
        <v>8104</v>
      </c>
      <c r="U111" s="110">
        <v>3</v>
      </c>
      <c r="V111" s="111" t="s">
        <v>40</v>
      </c>
      <c r="W111" s="108" t="s">
        <v>8105</v>
      </c>
      <c r="X111" s="117">
        <v>2</v>
      </c>
      <c r="Y111" s="113"/>
      <c r="Z111" s="108" t="s">
        <v>8106</v>
      </c>
      <c r="AA111" s="117">
        <v>2</v>
      </c>
      <c r="AB111" s="111" t="s">
        <v>46</v>
      </c>
      <c r="AC111" s="105" t="s">
        <v>310</v>
      </c>
      <c r="AD111" s="115" t="s">
        <v>107</v>
      </c>
    </row>
    <row r="112" spans="1:30" x14ac:dyDescent="0.2">
      <c r="A112" s="104" t="s">
        <v>311</v>
      </c>
      <c r="B112" s="105" t="s">
        <v>42</v>
      </c>
      <c r="C112" s="105" t="s">
        <v>306</v>
      </c>
      <c r="D112" s="106" t="s">
        <v>94</v>
      </c>
      <c r="E112" s="107" t="s">
        <v>99</v>
      </c>
      <c r="F112" s="108" t="s">
        <v>8107</v>
      </c>
      <c r="G112" s="120">
        <v>2</v>
      </c>
      <c r="H112" s="108" t="s">
        <v>8108</v>
      </c>
      <c r="I112" s="117">
        <v>2</v>
      </c>
      <c r="J112" s="111" t="s">
        <v>40</v>
      </c>
      <c r="K112" s="108" t="s">
        <v>8109</v>
      </c>
      <c r="L112" s="117">
        <v>2</v>
      </c>
      <c r="M112" s="111" t="s">
        <v>46</v>
      </c>
      <c r="N112" s="108" t="s">
        <v>8107</v>
      </c>
      <c r="O112" s="117">
        <v>2</v>
      </c>
      <c r="P112" s="111" t="s">
        <v>46</v>
      </c>
      <c r="Q112" s="108" t="s">
        <v>312</v>
      </c>
      <c r="R112" s="116">
        <v>1</v>
      </c>
      <c r="S112" s="113"/>
      <c r="T112" s="108" t="s">
        <v>8110</v>
      </c>
      <c r="U112" s="116">
        <v>1</v>
      </c>
      <c r="V112" s="113"/>
      <c r="W112" s="108" t="s">
        <v>8111</v>
      </c>
      <c r="X112" s="116">
        <v>1</v>
      </c>
      <c r="Y112" s="113"/>
      <c r="Z112" s="108" t="s">
        <v>8112</v>
      </c>
      <c r="AA112" s="117">
        <v>2</v>
      </c>
      <c r="AB112" s="111" t="s">
        <v>40</v>
      </c>
      <c r="AC112" s="105" t="s">
        <v>313</v>
      </c>
      <c r="AD112" s="115" t="s">
        <v>49</v>
      </c>
    </row>
    <row r="113" spans="1:30" x14ac:dyDescent="0.2">
      <c r="A113" s="104" t="s">
        <v>314</v>
      </c>
      <c r="B113" s="105" t="s">
        <v>42</v>
      </c>
      <c r="C113" s="105" t="s">
        <v>306</v>
      </c>
      <c r="D113" s="106" t="s">
        <v>125</v>
      </c>
      <c r="E113" s="107" t="s">
        <v>99</v>
      </c>
      <c r="F113" s="108" t="s">
        <v>8113</v>
      </c>
      <c r="G113" s="120">
        <v>2</v>
      </c>
      <c r="H113" s="108" t="s">
        <v>315</v>
      </c>
      <c r="I113" s="117">
        <v>2</v>
      </c>
      <c r="J113" s="111" t="s">
        <v>40</v>
      </c>
      <c r="K113" s="108" t="s">
        <v>8114</v>
      </c>
      <c r="L113" s="117">
        <v>2</v>
      </c>
      <c r="M113" s="111" t="s">
        <v>46</v>
      </c>
      <c r="N113" s="108" t="s">
        <v>8113</v>
      </c>
      <c r="O113" s="117">
        <v>2</v>
      </c>
      <c r="P113" s="111" t="s">
        <v>46</v>
      </c>
      <c r="Q113" s="108" t="s">
        <v>8115</v>
      </c>
      <c r="R113" s="116">
        <v>1</v>
      </c>
      <c r="S113" s="113"/>
      <c r="T113" s="108" t="s">
        <v>8116</v>
      </c>
      <c r="U113" s="116">
        <v>1</v>
      </c>
      <c r="V113" s="113"/>
      <c r="W113" s="108" t="s">
        <v>8117</v>
      </c>
      <c r="X113" s="116">
        <v>1</v>
      </c>
      <c r="Y113" s="113"/>
      <c r="Z113" s="108" t="s">
        <v>8118</v>
      </c>
      <c r="AA113" s="117">
        <v>2</v>
      </c>
      <c r="AB113" s="111" t="s">
        <v>40</v>
      </c>
      <c r="AC113" s="105" t="s">
        <v>316</v>
      </c>
      <c r="AD113" s="115" t="s">
        <v>49</v>
      </c>
    </row>
    <row r="114" spans="1:30" x14ac:dyDescent="0.2">
      <c r="A114" s="104" t="s">
        <v>317</v>
      </c>
      <c r="B114" s="105" t="s">
        <v>42</v>
      </c>
      <c r="C114" s="105" t="s">
        <v>306</v>
      </c>
      <c r="D114" s="106" t="s">
        <v>94</v>
      </c>
      <c r="E114" s="107" t="s">
        <v>99</v>
      </c>
      <c r="F114" s="108" t="s">
        <v>8119</v>
      </c>
      <c r="G114" s="120">
        <v>2</v>
      </c>
      <c r="H114" s="108" t="s">
        <v>8120</v>
      </c>
      <c r="I114" s="117">
        <v>2</v>
      </c>
      <c r="J114" s="111" t="s">
        <v>53</v>
      </c>
      <c r="K114" s="108" t="s">
        <v>8121</v>
      </c>
      <c r="L114" s="117">
        <v>2</v>
      </c>
      <c r="M114" s="111" t="s">
        <v>46</v>
      </c>
      <c r="N114" s="108" t="s">
        <v>8119</v>
      </c>
      <c r="O114" s="117">
        <v>2</v>
      </c>
      <c r="P114" s="113"/>
      <c r="Q114" s="108" t="s">
        <v>8122</v>
      </c>
      <c r="R114" s="117">
        <v>2</v>
      </c>
      <c r="S114" s="111" t="s">
        <v>46</v>
      </c>
      <c r="T114" s="108" t="s">
        <v>8123</v>
      </c>
      <c r="U114" s="116">
        <v>1</v>
      </c>
      <c r="V114" s="113"/>
      <c r="W114" s="108" t="s">
        <v>8124</v>
      </c>
      <c r="X114" s="117">
        <v>2</v>
      </c>
      <c r="Y114" s="113"/>
      <c r="Z114" s="108" t="s">
        <v>47</v>
      </c>
      <c r="AA114" s="114"/>
      <c r="AB114" s="113"/>
      <c r="AC114" s="105" t="s">
        <v>318</v>
      </c>
      <c r="AD114" s="115" t="s">
        <v>49</v>
      </c>
    </row>
    <row r="115" spans="1:30" x14ac:dyDescent="0.2">
      <c r="A115" s="104" t="s">
        <v>319</v>
      </c>
      <c r="B115" s="105" t="s">
        <v>42</v>
      </c>
      <c r="C115" s="105" t="s">
        <v>306</v>
      </c>
      <c r="D115" s="106" t="s">
        <v>94</v>
      </c>
      <c r="E115" s="107" t="s">
        <v>99</v>
      </c>
      <c r="F115" s="108" t="s">
        <v>8125</v>
      </c>
      <c r="G115" s="120">
        <v>2</v>
      </c>
      <c r="H115" s="108" t="s">
        <v>8121</v>
      </c>
      <c r="I115" s="117">
        <v>2</v>
      </c>
      <c r="J115" s="111" t="s">
        <v>53</v>
      </c>
      <c r="K115" s="108" t="s">
        <v>8095</v>
      </c>
      <c r="L115" s="117">
        <v>2</v>
      </c>
      <c r="M115" s="111" t="s">
        <v>46</v>
      </c>
      <c r="N115" s="108" t="s">
        <v>8125</v>
      </c>
      <c r="O115" s="117">
        <v>2</v>
      </c>
      <c r="P115" s="113"/>
      <c r="Q115" s="108" t="s">
        <v>8126</v>
      </c>
      <c r="R115" s="117">
        <v>2</v>
      </c>
      <c r="S115" s="111" t="s">
        <v>46</v>
      </c>
      <c r="T115" s="108" t="s">
        <v>8127</v>
      </c>
      <c r="U115" s="116">
        <v>1</v>
      </c>
      <c r="V115" s="113"/>
      <c r="W115" s="108" t="s">
        <v>8128</v>
      </c>
      <c r="X115" s="117">
        <v>2</v>
      </c>
      <c r="Y115" s="113"/>
      <c r="Z115" s="108" t="s">
        <v>320</v>
      </c>
      <c r="AA115" s="117">
        <v>2</v>
      </c>
      <c r="AB115" s="113"/>
      <c r="AC115" s="105" t="s">
        <v>321</v>
      </c>
      <c r="AD115" s="115" t="s">
        <v>49</v>
      </c>
    </row>
    <row r="116" spans="1:30" x14ac:dyDescent="0.2">
      <c r="A116" s="104" t="s">
        <v>322</v>
      </c>
      <c r="B116" s="105" t="s">
        <v>42</v>
      </c>
      <c r="C116" s="105" t="s">
        <v>306</v>
      </c>
      <c r="D116" s="106" t="s">
        <v>125</v>
      </c>
      <c r="E116" s="107" t="s">
        <v>146</v>
      </c>
      <c r="F116" s="108" t="s">
        <v>8129</v>
      </c>
      <c r="G116" s="109">
        <v>4</v>
      </c>
      <c r="H116" s="108" t="s">
        <v>8130</v>
      </c>
      <c r="I116" s="110">
        <v>3</v>
      </c>
      <c r="J116" s="111" t="s">
        <v>46</v>
      </c>
      <c r="K116" s="108" t="s">
        <v>8100</v>
      </c>
      <c r="L116" s="112">
        <v>4</v>
      </c>
      <c r="M116" s="113"/>
      <c r="N116" s="108" t="s">
        <v>8129</v>
      </c>
      <c r="O116" s="112">
        <v>4</v>
      </c>
      <c r="P116" s="113"/>
      <c r="Q116" s="108" t="s">
        <v>8131</v>
      </c>
      <c r="R116" s="112">
        <v>4</v>
      </c>
      <c r="S116" s="113"/>
      <c r="T116" s="108" t="s">
        <v>8132</v>
      </c>
      <c r="U116" s="112">
        <v>4</v>
      </c>
      <c r="V116" s="113"/>
      <c r="W116" s="108" t="s">
        <v>8133</v>
      </c>
      <c r="X116" s="117">
        <v>2</v>
      </c>
      <c r="Y116" s="113"/>
      <c r="Z116" s="108" t="s">
        <v>323</v>
      </c>
      <c r="AA116" s="117">
        <v>2</v>
      </c>
      <c r="AB116" s="111" t="s">
        <v>46</v>
      </c>
      <c r="AC116" s="105" t="s">
        <v>324</v>
      </c>
      <c r="AD116" s="115" t="s">
        <v>107</v>
      </c>
    </row>
    <row r="117" spans="1:30" x14ac:dyDescent="0.2">
      <c r="A117" s="104" t="s">
        <v>325</v>
      </c>
      <c r="B117" s="105" t="s">
        <v>42</v>
      </c>
      <c r="C117" s="105" t="s">
        <v>306</v>
      </c>
      <c r="D117" s="106" t="s">
        <v>125</v>
      </c>
      <c r="E117" s="107" t="s">
        <v>146</v>
      </c>
      <c r="F117" s="108" t="s">
        <v>8134</v>
      </c>
      <c r="G117" s="109">
        <v>4</v>
      </c>
      <c r="H117" s="108" t="s">
        <v>8135</v>
      </c>
      <c r="I117" s="110">
        <v>3</v>
      </c>
      <c r="J117" s="111" t="s">
        <v>46</v>
      </c>
      <c r="K117" s="108" t="s">
        <v>8136</v>
      </c>
      <c r="L117" s="112">
        <v>4</v>
      </c>
      <c r="M117" s="113"/>
      <c r="N117" s="108" t="s">
        <v>8134</v>
      </c>
      <c r="O117" s="112">
        <v>4</v>
      </c>
      <c r="P117" s="113"/>
      <c r="Q117" s="108" t="s">
        <v>326</v>
      </c>
      <c r="R117" s="112">
        <v>4</v>
      </c>
      <c r="S117" s="113"/>
      <c r="T117" s="108" t="s">
        <v>8137</v>
      </c>
      <c r="U117" s="112">
        <v>4</v>
      </c>
      <c r="V117" s="113"/>
      <c r="W117" s="108" t="s">
        <v>8138</v>
      </c>
      <c r="X117" s="117">
        <v>2</v>
      </c>
      <c r="Y117" s="113"/>
      <c r="Z117" s="108" t="s">
        <v>8139</v>
      </c>
      <c r="AA117" s="117">
        <v>2</v>
      </c>
      <c r="AB117" s="111" t="s">
        <v>46</v>
      </c>
      <c r="AC117" s="105" t="s">
        <v>327</v>
      </c>
      <c r="AD117" s="115" t="s">
        <v>107</v>
      </c>
    </row>
    <row r="118" spans="1:30" x14ac:dyDescent="0.2">
      <c r="A118" s="104" t="s">
        <v>328</v>
      </c>
      <c r="B118" s="105" t="s">
        <v>42</v>
      </c>
      <c r="C118" s="105" t="s">
        <v>329</v>
      </c>
      <c r="D118" s="106"/>
      <c r="E118" s="107"/>
      <c r="F118" s="108" t="s">
        <v>8140</v>
      </c>
      <c r="G118" s="119">
        <v>1</v>
      </c>
      <c r="H118" s="108" t="s">
        <v>8141</v>
      </c>
      <c r="I118" s="112">
        <v>4</v>
      </c>
      <c r="J118" s="111" t="s">
        <v>44</v>
      </c>
      <c r="K118" s="108" t="s">
        <v>8142</v>
      </c>
      <c r="L118" s="116">
        <v>1</v>
      </c>
      <c r="M118" s="113"/>
      <c r="N118" s="108" t="s">
        <v>8140</v>
      </c>
      <c r="O118" s="116">
        <v>1</v>
      </c>
      <c r="P118" s="113"/>
      <c r="Q118" s="108" t="s">
        <v>8143</v>
      </c>
      <c r="R118" s="116">
        <v>1</v>
      </c>
      <c r="S118" s="111" t="s">
        <v>40</v>
      </c>
      <c r="T118" s="108" t="s">
        <v>8144</v>
      </c>
      <c r="U118" s="110">
        <v>3</v>
      </c>
      <c r="V118" s="113"/>
      <c r="W118" s="108" t="s">
        <v>8145</v>
      </c>
      <c r="X118" s="117">
        <v>2</v>
      </c>
      <c r="Y118" s="113"/>
      <c r="Z118" s="108" t="s">
        <v>8146</v>
      </c>
      <c r="AA118" s="112">
        <v>4</v>
      </c>
      <c r="AB118" s="111" t="s">
        <v>44</v>
      </c>
      <c r="AC118" s="105" t="s">
        <v>330</v>
      </c>
      <c r="AD118" s="115" t="s">
        <v>180</v>
      </c>
    </row>
    <row r="119" spans="1:30" x14ac:dyDescent="0.2">
      <c r="A119" s="104" t="s">
        <v>331</v>
      </c>
      <c r="B119" s="105" t="s">
        <v>42</v>
      </c>
      <c r="C119" s="105" t="s">
        <v>332</v>
      </c>
      <c r="D119" s="106" t="s">
        <v>125</v>
      </c>
      <c r="E119" s="107" t="s">
        <v>146</v>
      </c>
      <c r="F119" s="108" t="s">
        <v>8147</v>
      </c>
      <c r="G119" s="109">
        <v>4</v>
      </c>
      <c r="H119" s="108" t="s">
        <v>8148</v>
      </c>
      <c r="I119" s="112">
        <v>4</v>
      </c>
      <c r="J119" s="111" t="s">
        <v>55</v>
      </c>
      <c r="K119" s="108" t="s">
        <v>8149</v>
      </c>
      <c r="L119" s="112">
        <v>4</v>
      </c>
      <c r="M119" s="111" t="s">
        <v>46</v>
      </c>
      <c r="N119" s="108" t="s">
        <v>8147</v>
      </c>
      <c r="O119" s="112">
        <v>4</v>
      </c>
      <c r="P119" s="111" t="s">
        <v>46</v>
      </c>
      <c r="Q119" s="108" t="s">
        <v>8150</v>
      </c>
      <c r="R119" s="112">
        <v>4</v>
      </c>
      <c r="S119" s="111" t="s">
        <v>46</v>
      </c>
      <c r="T119" s="108" t="s">
        <v>8151</v>
      </c>
      <c r="U119" s="110">
        <v>3</v>
      </c>
      <c r="V119" s="111" t="s">
        <v>46</v>
      </c>
      <c r="W119" s="108" t="s">
        <v>8152</v>
      </c>
      <c r="X119" s="110">
        <v>3</v>
      </c>
      <c r="Y119" s="113"/>
      <c r="Z119" s="108" t="s">
        <v>8153</v>
      </c>
      <c r="AA119" s="117">
        <v>2</v>
      </c>
      <c r="AB119" s="111" t="s">
        <v>40</v>
      </c>
      <c r="AC119" s="105" t="s">
        <v>333</v>
      </c>
      <c r="AD119" s="115" t="s">
        <v>49</v>
      </c>
    </row>
    <row r="120" spans="1:30" x14ac:dyDescent="0.2">
      <c r="A120" s="104" t="s">
        <v>334</v>
      </c>
      <c r="B120" s="105" t="s">
        <v>42</v>
      </c>
      <c r="C120" s="105" t="s">
        <v>332</v>
      </c>
      <c r="D120" s="106" t="s">
        <v>125</v>
      </c>
      <c r="E120" s="107" t="s">
        <v>146</v>
      </c>
      <c r="F120" s="108" t="s">
        <v>8154</v>
      </c>
      <c r="G120" s="109">
        <v>4</v>
      </c>
      <c r="H120" s="108" t="s">
        <v>8155</v>
      </c>
      <c r="I120" s="112">
        <v>4</v>
      </c>
      <c r="J120" s="111" t="s">
        <v>55</v>
      </c>
      <c r="K120" s="108" t="s">
        <v>8156</v>
      </c>
      <c r="L120" s="112">
        <v>4</v>
      </c>
      <c r="M120" s="111" t="s">
        <v>46</v>
      </c>
      <c r="N120" s="108" t="s">
        <v>8154</v>
      </c>
      <c r="O120" s="112">
        <v>4</v>
      </c>
      <c r="P120" s="111" t="s">
        <v>46</v>
      </c>
      <c r="Q120" s="108" t="s">
        <v>8157</v>
      </c>
      <c r="R120" s="112">
        <v>4</v>
      </c>
      <c r="S120" s="111" t="s">
        <v>46</v>
      </c>
      <c r="T120" s="108" t="s">
        <v>8158</v>
      </c>
      <c r="U120" s="110">
        <v>3</v>
      </c>
      <c r="V120" s="111" t="s">
        <v>46</v>
      </c>
      <c r="W120" s="108" t="s">
        <v>8159</v>
      </c>
      <c r="X120" s="110">
        <v>3</v>
      </c>
      <c r="Y120" s="113"/>
      <c r="Z120" s="108" t="s">
        <v>8160</v>
      </c>
      <c r="AA120" s="117">
        <v>2</v>
      </c>
      <c r="AB120" s="111" t="s">
        <v>40</v>
      </c>
      <c r="AC120" s="105" t="s">
        <v>335</v>
      </c>
      <c r="AD120" s="115" t="s">
        <v>49</v>
      </c>
    </row>
    <row r="121" spans="1:30" x14ac:dyDescent="0.2">
      <c r="A121" s="104" t="s">
        <v>336</v>
      </c>
      <c r="B121" s="105" t="s">
        <v>42</v>
      </c>
      <c r="C121" s="105" t="s">
        <v>332</v>
      </c>
      <c r="D121" s="106"/>
      <c r="E121" s="107"/>
      <c r="F121" s="108" t="s">
        <v>8161</v>
      </c>
      <c r="G121" s="120">
        <v>2</v>
      </c>
      <c r="H121" s="108" t="s">
        <v>8162</v>
      </c>
      <c r="I121" s="117">
        <v>2</v>
      </c>
      <c r="J121" s="111" t="s">
        <v>40</v>
      </c>
      <c r="K121" s="108" t="s">
        <v>8163</v>
      </c>
      <c r="L121" s="117">
        <v>2</v>
      </c>
      <c r="M121" s="113"/>
      <c r="N121" s="108" t="s">
        <v>8161</v>
      </c>
      <c r="O121" s="117">
        <v>2</v>
      </c>
      <c r="P121" s="113"/>
      <c r="Q121" s="108" t="s">
        <v>8164</v>
      </c>
      <c r="R121" s="110">
        <v>3</v>
      </c>
      <c r="S121" s="113"/>
      <c r="T121" s="108" t="s">
        <v>8165</v>
      </c>
      <c r="U121" s="117">
        <v>2</v>
      </c>
      <c r="V121" s="113"/>
      <c r="W121" s="108" t="s">
        <v>8166</v>
      </c>
      <c r="X121" s="117">
        <v>2</v>
      </c>
      <c r="Y121" s="113"/>
      <c r="Z121" s="108" t="s">
        <v>8167</v>
      </c>
      <c r="AA121" s="117">
        <v>2</v>
      </c>
      <c r="AB121" s="113"/>
      <c r="AC121" s="105"/>
      <c r="AD121" s="115" t="s">
        <v>180</v>
      </c>
    </row>
    <row r="122" spans="1:30" x14ac:dyDescent="0.2">
      <c r="A122" s="104" t="s">
        <v>337</v>
      </c>
      <c r="B122" s="105" t="s">
        <v>42</v>
      </c>
      <c r="C122" s="105" t="s">
        <v>338</v>
      </c>
      <c r="D122" s="106" t="s">
        <v>125</v>
      </c>
      <c r="E122" s="107"/>
      <c r="F122" s="108" t="s">
        <v>8168</v>
      </c>
      <c r="G122" s="119">
        <v>1</v>
      </c>
      <c r="H122" s="108" t="s">
        <v>8169</v>
      </c>
      <c r="I122" s="110">
        <v>3</v>
      </c>
      <c r="J122" s="111" t="s">
        <v>55</v>
      </c>
      <c r="K122" s="108" t="s">
        <v>8170</v>
      </c>
      <c r="L122" s="116">
        <v>1</v>
      </c>
      <c r="M122" s="113"/>
      <c r="N122" s="108" t="s">
        <v>8168</v>
      </c>
      <c r="O122" s="116">
        <v>1</v>
      </c>
      <c r="P122" s="113"/>
      <c r="Q122" s="108" t="s">
        <v>8171</v>
      </c>
      <c r="R122" s="112">
        <v>4</v>
      </c>
      <c r="S122" s="113"/>
      <c r="T122" s="108" t="s">
        <v>8172</v>
      </c>
      <c r="U122" s="110">
        <v>3</v>
      </c>
      <c r="V122" s="113"/>
      <c r="W122" s="108" t="s">
        <v>8173</v>
      </c>
      <c r="X122" s="110">
        <v>3</v>
      </c>
      <c r="Y122" s="113"/>
      <c r="Z122" s="108" t="s">
        <v>8174</v>
      </c>
      <c r="AA122" s="110">
        <v>3</v>
      </c>
      <c r="AB122" s="113"/>
      <c r="AC122" s="105" t="s">
        <v>339</v>
      </c>
      <c r="AD122" s="115" t="s">
        <v>49</v>
      </c>
    </row>
    <row r="123" spans="1:30" x14ac:dyDescent="0.2">
      <c r="A123" s="104" t="s">
        <v>340</v>
      </c>
      <c r="B123" s="105" t="s">
        <v>42</v>
      </c>
      <c r="C123" s="105" t="s">
        <v>279</v>
      </c>
      <c r="D123" s="106" t="s">
        <v>125</v>
      </c>
      <c r="E123" s="107" t="s">
        <v>146</v>
      </c>
      <c r="F123" s="108" t="s">
        <v>8175</v>
      </c>
      <c r="G123" s="109">
        <v>4</v>
      </c>
      <c r="H123" s="108" t="s">
        <v>8176</v>
      </c>
      <c r="I123" s="116">
        <v>1</v>
      </c>
      <c r="J123" s="111" t="s">
        <v>53</v>
      </c>
      <c r="K123" s="108" t="s">
        <v>8177</v>
      </c>
      <c r="L123" s="110">
        <v>3</v>
      </c>
      <c r="M123" s="111" t="s">
        <v>40</v>
      </c>
      <c r="N123" s="108" t="s">
        <v>8175</v>
      </c>
      <c r="O123" s="112">
        <v>4</v>
      </c>
      <c r="P123" s="113"/>
      <c r="Q123" s="108" t="s">
        <v>8178</v>
      </c>
      <c r="R123" s="112">
        <v>4</v>
      </c>
      <c r="S123" s="113"/>
      <c r="T123" s="108" t="s">
        <v>8179</v>
      </c>
      <c r="U123" s="117">
        <v>2</v>
      </c>
      <c r="V123" s="113"/>
      <c r="W123" s="108" t="s">
        <v>8180</v>
      </c>
      <c r="X123" s="112">
        <v>4</v>
      </c>
      <c r="Y123" s="113"/>
      <c r="Z123" s="108" t="s">
        <v>341</v>
      </c>
      <c r="AA123" s="112">
        <v>4</v>
      </c>
      <c r="AB123" s="113"/>
      <c r="AC123" s="105" t="s">
        <v>342</v>
      </c>
      <c r="AD123" s="115" t="s">
        <v>49</v>
      </c>
    </row>
    <row r="124" spans="1:30" x14ac:dyDescent="0.2">
      <c r="A124" s="104" t="s">
        <v>343</v>
      </c>
      <c r="B124" s="105" t="s">
        <v>42</v>
      </c>
      <c r="C124" s="105" t="s">
        <v>279</v>
      </c>
      <c r="D124" s="106" t="s">
        <v>105</v>
      </c>
      <c r="E124" s="107" t="s">
        <v>146</v>
      </c>
      <c r="F124" s="108" t="s">
        <v>8181</v>
      </c>
      <c r="G124" s="109">
        <v>4</v>
      </c>
      <c r="H124" s="108" t="s">
        <v>8182</v>
      </c>
      <c r="I124" s="116">
        <v>1</v>
      </c>
      <c r="J124" s="111" t="s">
        <v>53</v>
      </c>
      <c r="K124" s="108" t="s">
        <v>8183</v>
      </c>
      <c r="L124" s="112">
        <v>4</v>
      </c>
      <c r="M124" s="113"/>
      <c r="N124" s="108" t="s">
        <v>8181</v>
      </c>
      <c r="O124" s="112">
        <v>4</v>
      </c>
      <c r="P124" s="113"/>
      <c r="Q124" s="108" t="s">
        <v>8184</v>
      </c>
      <c r="R124" s="112">
        <v>4</v>
      </c>
      <c r="S124" s="113"/>
      <c r="T124" s="108" t="s">
        <v>344</v>
      </c>
      <c r="U124" s="110">
        <v>3</v>
      </c>
      <c r="V124" s="113"/>
      <c r="W124" s="108" t="s">
        <v>8185</v>
      </c>
      <c r="X124" s="112">
        <v>4</v>
      </c>
      <c r="Y124" s="113"/>
      <c r="Z124" s="108" t="s">
        <v>8186</v>
      </c>
      <c r="AA124" s="112">
        <v>4</v>
      </c>
      <c r="AB124" s="113"/>
      <c r="AC124" s="105" t="s">
        <v>345</v>
      </c>
      <c r="AD124" s="115" t="s">
        <v>49</v>
      </c>
    </row>
    <row r="125" spans="1:30" x14ac:dyDescent="0.2">
      <c r="A125" s="104" t="s">
        <v>346</v>
      </c>
      <c r="B125" s="105" t="s">
        <v>42</v>
      </c>
      <c r="C125" s="105" t="s">
        <v>347</v>
      </c>
      <c r="D125" s="106"/>
      <c r="E125" s="107"/>
      <c r="F125" s="108" t="s">
        <v>8187</v>
      </c>
      <c r="G125" s="118">
        <v>3</v>
      </c>
      <c r="H125" s="108" t="s">
        <v>8188</v>
      </c>
      <c r="I125" s="112">
        <v>4</v>
      </c>
      <c r="J125" s="111" t="s">
        <v>55</v>
      </c>
      <c r="K125" s="108" t="s">
        <v>8189</v>
      </c>
      <c r="L125" s="117">
        <v>2</v>
      </c>
      <c r="M125" s="111" t="s">
        <v>46</v>
      </c>
      <c r="N125" s="108" t="s">
        <v>8187</v>
      </c>
      <c r="O125" s="110">
        <v>3</v>
      </c>
      <c r="P125" s="111" t="s">
        <v>55</v>
      </c>
      <c r="Q125" s="108" t="s">
        <v>8190</v>
      </c>
      <c r="R125" s="112">
        <v>4</v>
      </c>
      <c r="S125" s="111" t="s">
        <v>46</v>
      </c>
      <c r="T125" s="108" t="s">
        <v>8191</v>
      </c>
      <c r="U125" s="117">
        <v>2</v>
      </c>
      <c r="V125" s="111" t="s">
        <v>40</v>
      </c>
      <c r="W125" s="108" t="s">
        <v>8192</v>
      </c>
      <c r="X125" s="116">
        <v>1</v>
      </c>
      <c r="Y125" s="113"/>
      <c r="Z125" s="108" t="s">
        <v>8193</v>
      </c>
      <c r="AA125" s="116">
        <v>1</v>
      </c>
      <c r="AB125" s="113"/>
      <c r="AC125" s="105" t="s">
        <v>348</v>
      </c>
      <c r="AD125" s="115" t="s">
        <v>180</v>
      </c>
    </row>
    <row r="126" spans="1:30" x14ac:dyDescent="0.2">
      <c r="A126" s="104" t="s">
        <v>349</v>
      </c>
      <c r="B126" s="105" t="s">
        <v>42</v>
      </c>
      <c r="C126" s="105" t="s">
        <v>347</v>
      </c>
      <c r="D126" s="106"/>
      <c r="E126" s="107" t="s">
        <v>99</v>
      </c>
      <c r="F126" s="108" t="s">
        <v>8194</v>
      </c>
      <c r="G126" s="120">
        <v>2</v>
      </c>
      <c r="H126" s="108" t="s">
        <v>8195</v>
      </c>
      <c r="I126" s="112">
        <v>4</v>
      </c>
      <c r="J126" s="111" t="s">
        <v>55</v>
      </c>
      <c r="K126" s="108" t="s">
        <v>8196</v>
      </c>
      <c r="L126" s="117">
        <v>2</v>
      </c>
      <c r="M126" s="111" t="s">
        <v>46</v>
      </c>
      <c r="N126" s="108" t="s">
        <v>8194</v>
      </c>
      <c r="O126" s="117">
        <v>2</v>
      </c>
      <c r="P126" s="111" t="s">
        <v>46</v>
      </c>
      <c r="Q126" s="108" t="s">
        <v>350</v>
      </c>
      <c r="R126" s="112">
        <v>4</v>
      </c>
      <c r="S126" s="111" t="s">
        <v>46</v>
      </c>
      <c r="T126" s="108" t="s">
        <v>47</v>
      </c>
      <c r="U126" s="114"/>
      <c r="V126" s="113"/>
      <c r="W126" s="108" t="s">
        <v>47</v>
      </c>
      <c r="X126" s="114"/>
      <c r="Y126" s="113"/>
      <c r="Z126" s="108" t="s">
        <v>47</v>
      </c>
      <c r="AA126" s="114"/>
      <c r="AB126" s="113"/>
      <c r="AC126" s="105" t="s">
        <v>351</v>
      </c>
      <c r="AD126" s="115" t="s">
        <v>49</v>
      </c>
    </row>
    <row r="127" spans="1:30" x14ac:dyDescent="0.2">
      <c r="A127" s="104" t="s">
        <v>352</v>
      </c>
      <c r="B127" s="105" t="s">
        <v>42</v>
      </c>
      <c r="C127" s="105" t="s">
        <v>347</v>
      </c>
      <c r="D127" s="106"/>
      <c r="E127" s="107" t="s">
        <v>99</v>
      </c>
      <c r="F127" s="108" t="s">
        <v>8197</v>
      </c>
      <c r="G127" s="118">
        <v>3</v>
      </c>
      <c r="H127" s="108" t="s">
        <v>8198</v>
      </c>
      <c r="I127" s="112">
        <v>4</v>
      </c>
      <c r="J127" s="111" t="s">
        <v>55</v>
      </c>
      <c r="K127" s="108" t="s">
        <v>8199</v>
      </c>
      <c r="L127" s="117">
        <v>2</v>
      </c>
      <c r="M127" s="111" t="s">
        <v>46</v>
      </c>
      <c r="N127" s="108" t="s">
        <v>8197</v>
      </c>
      <c r="O127" s="110">
        <v>3</v>
      </c>
      <c r="P127" s="111" t="s">
        <v>55</v>
      </c>
      <c r="Q127" s="108" t="s">
        <v>8200</v>
      </c>
      <c r="R127" s="112">
        <v>4</v>
      </c>
      <c r="S127" s="111" t="s">
        <v>46</v>
      </c>
      <c r="T127" s="108" t="s">
        <v>47</v>
      </c>
      <c r="U127" s="114"/>
      <c r="V127" s="113"/>
      <c r="W127" s="108" t="s">
        <v>47</v>
      </c>
      <c r="X127" s="114"/>
      <c r="Y127" s="113"/>
      <c r="Z127" s="108" t="s">
        <v>47</v>
      </c>
      <c r="AA127" s="114"/>
      <c r="AB127" s="113"/>
      <c r="AC127" s="105" t="s">
        <v>353</v>
      </c>
      <c r="AD127" s="115" t="s">
        <v>49</v>
      </c>
    </row>
    <row r="128" spans="1:30" x14ac:dyDescent="0.2">
      <c r="A128" s="104" t="s">
        <v>354</v>
      </c>
      <c r="B128" s="105" t="s">
        <v>42</v>
      </c>
      <c r="C128" s="105" t="s">
        <v>355</v>
      </c>
      <c r="D128" s="106" t="s">
        <v>94</v>
      </c>
      <c r="E128" s="107"/>
      <c r="F128" s="108" t="s">
        <v>8201</v>
      </c>
      <c r="G128" s="119">
        <v>1</v>
      </c>
      <c r="H128" s="108" t="s">
        <v>8202</v>
      </c>
      <c r="I128" s="112">
        <v>4</v>
      </c>
      <c r="J128" s="111" t="s">
        <v>55</v>
      </c>
      <c r="K128" s="108" t="s">
        <v>8203</v>
      </c>
      <c r="L128" s="117">
        <v>2</v>
      </c>
      <c r="M128" s="111" t="s">
        <v>46</v>
      </c>
      <c r="N128" s="108" t="s">
        <v>8201</v>
      </c>
      <c r="O128" s="116">
        <v>1</v>
      </c>
      <c r="P128" s="113"/>
      <c r="Q128" s="108" t="s">
        <v>8204</v>
      </c>
      <c r="R128" s="117">
        <v>2</v>
      </c>
      <c r="S128" s="111" t="s">
        <v>46</v>
      </c>
      <c r="T128" s="108" t="s">
        <v>356</v>
      </c>
      <c r="U128" s="116">
        <v>1</v>
      </c>
      <c r="V128" s="113"/>
      <c r="W128" s="108" t="s">
        <v>8205</v>
      </c>
      <c r="X128" s="116">
        <v>1</v>
      </c>
      <c r="Y128" s="113"/>
      <c r="Z128" s="108" t="s">
        <v>8206</v>
      </c>
      <c r="AA128" s="116">
        <v>1</v>
      </c>
      <c r="AB128" s="113"/>
      <c r="AC128" s="105" t="s">
        <v>357</v>
      </c>
      <c r="AD128" s="115" t="s">
        <v>49</v>
      </c>
    </row>
    <row r="129" spans="1:30" x14ac:dyDescent="0.2">
      <c r="A129" s="104" t="s">
        <v>358</v>
      </c>
      <c r="B129" s="105" t="s">
        <v>42</v>
      </c>
      <c r="C129" s="105" t="s">
        <v>355</v>
      </c>
      <c r="D129" s="106"/>
      <c r="E129" s="107"/>
      <c r="F129" s="108" t="s">
        <v>8207</v>
      </c>
      <c r="G129" s="119">
        <v>1</v>
      </c>
      <c r="H129" s="108" t="s">
        <v>359</v>
      </c>
      <c r="I129" s="112">
        <v>4</v>
      </c>
      <c r="J129" s="111" t="s">
        <v>44</v>
      </c>
      <c r="K129" s="108" t="s">
        <v>8208</v>
      </c>
      <c r="L129" s="117">
        <v>2</v>
      </c>
      <c r="M129" s="111" t="s">
        <v>46</v>
      </c>
      <c r="N129" s="108" t="s">
        <v>8207</v>
      </c>
      <c r="O129" s="116">
        <v>1</v>
      </c>
      <c r="P129" s="113"/>
      <c r="Q129" s="108" t="s">
        <v>360</v>
      </c>
      <c r="R129" s="117">
        <v>2</v>
      </c>
      <c r="S129" s="111" t="s">
        <v>46</v>
      </c>
      <c r="T129" s="108" t="s">
        <v>47</v>
      </c>
      <c r="U129" s="114"/>
      <c r="V129" s="113"/>
      <c r="W129" s="108" t="s">
        <v>47</v>
      </c>
      <c r="X129" s="114"/>
      <c r="Y129" s="113"/>
      <c r="Z129" s="108" t="s">
        <v>47</v>
      </c>
      <c r="AA129" s="114"/>
      <c r="AB129" s="113"/>
      <c r="AC129" s="105" t="s">
        <v>361</v>
      </c>
      <c r="AD129" s="115" t="s">
        <v>49</v>
      </c>
    </row>
    <row r="130" spans="1:30" x14ac:dyDescent="0.2">
      <c r="A130" s="104" t="s">
        <v>362</v>
      </c>
      <c r="B130" s="105" t="s">
        <v>42</v>
      </c>
      <c r="C130" s="105" t="s">
        <v>338</v>
      </c>
      <c r="D130" s="106"/>
      <c r="E130" s="107" t="s">
        <v>99</v>
      </c>
      <c r="F130" s="108" t="s">
        <v>8209</v>
      </c>
      <c r="G130" s="120">
        <v>2</v>
      </c>
      <c r="H130" s="108" t="s">
        <v>8210</v>
      </c>
      <c r="I130" s="116">
        <v>1</v>
      </c>
      <c r="J130" s="111" t="s">
        <v>40</v>
      </c>
      <c r="K130" s="108" t="s">
        <v>8211</v>
      </c>
      <c r="L130" s="116">
        <v>1</v>
      </c>
      <c r="M130" s="113"/>
      <c r="N130" s="108" t="s">
        <v>8209</v>
      </c>
      <c r="O130" s="117">
        <v>2</v>
      </c>
      <c r="P130" s="113"/>
      <c r="Q130" s="108" t="s">
        <v>8212</v>
      </c>
      <c r="R130" s="117">
        <v>2</v>
      </c>
      <c r="S130" s="113"/>
      <c r="T130" s="108" t="s">
        <v>47</v>
      </c>
      <c r="U130" s="114"/>
      <c r="V130" s="113"/>
      <c r="W130" s="108" t="s">
        <v>47</v>
      </c>
      <c r="X130" s="114"/>
      <c r="Y130" s="113"/>
      <c r="Z130" s="108" t="s">
        <v>47</v>
      </c>
      <c r="AA130" s="114"/>
      <c r="AB130" s="113"/>
      <c r="AC130" s="105" t="s">
        <v>363</v>
      </c>
      <c r="AD130" s="115" t="s">
        <v>49</v>
      </c>
    </row>
    <row r="131" spans="1:30" x14ac:dyDescent="0.2">
      <c r="A131" s="104" t="s">
        <v>364</v>
      </c>
      <c r="B131" s="105" t="s">
        <v>42</v>
      </c>
      <c r="C131" s="105" t="s">
        <v>338</v>
      </c>
      <c r="D131" s="106"/>
      <c r="E131" s="107" t="s">
        <v>99</v>
      </c>
      <c r="F131" s="108" t="s">
        <v>8213</v>
      </c>
      <c r="G131" s="118">
        <v>3</v>
      </c>
      <c r="H131" s="108" t="s">
        <v>8214</v>
      </c>
      <c r="I131" s="116">
        <v>1</v>
      </c>
      <c r="J131" s="111" t="s">
        <v>40</v>
      </c>
      <c r="K131" s="108" t="s">
        <v>8215</v>
      </c>
      <c r="L131" s="116">
        <v>1</v>
      </c>
      <c r="M131" s="113"/>
      <c r="N131" s="108" t="s">
        <v>8213</v>
      </c>
      <c r="O131" s="110">
        <v>3</v>
      </c>
      <c r="P131" s="111" t="s">
        <v>46</v>
      </c>
      <c r="Q131" s="108" t="s">
        <v>8216</v>
      </c>
      <c r="R131" s="117">
        <v>2</v>
      </c>
      <c r="S131" s="111" t="s">
        <v>40</v>
      </c>
      <c r="T131" s="108" t="s">
        <v>47</v>
      </c>
      <c r="U131" s="114"/>
      <c r="V131" s="113"/>
      <c r="W131" s="108" t="s">
        <v>47</v>
      </c>
      <c r="X131" s="114"/>
      <c r="Y131" s="113"/>
      <c r="Z131" s="108" t="s">
        <v>47</v>
      </c>
      <c r="AA131" s="114"/>
      <c r="AB131" s="113"/>
      <c r="AC131" s="105" t="s">
        <v>365</v>
      </c>
      <c r="AD131" s="115" t="s">
        <v>49</v>
      </c>
    </row>
    <row r="132" spans="1:30" x14ac:dyDescent="0.2">
      <c r="A132" s="104" t="s">
        <v>366</v>
      </c>
      <c r="B132" s="105" t="s">
        <v>42</v>
      </c>
      <c r="C132" s="105" t="s">
        <v>279</v>
      </c>
      <c r="D132" s="106" t="s">
        <v>125</v>
      </c>
      <c r="E132" s="107" t="s">
        <v>182</v>
      </c>
      <c r="F132" s="108" t="s">
        <v>8217</v>
      </c>
      <c r="G132" s="119">
        <v>1</v>
      </c>
      <c r="H132" s="108" t="s">
        <v>8218</v>
      </c>
      <c r="I132" s="110">
        <v>3</v>
      </c>
      <c r="J132" s="113"/>
      <c r="K132" s="108" t="s">
        <v>8219</v>
      </c>
      <c r="L132" s="110">
        <v>3</v>
      </c>
      <c r="M132" s="111" t="s">
        <v>46</v>
      </c>
      <c r="N132" s="108" t="s">
        <v>8217</v>
      </c>
      <c r="O132" s="116">
        <v>1</v>
      </c>
      <c r="P132" s="113"/>
      <c r="Q132" s="108" t="s">
        <v>8220</v>
      </c>
      <c r="R132" s="116">
        <v>1</v>
      </c>
      <c r="S132" s="111" t="s">
        <v>40</v>
      </c>
      <c r="T132" s="108" t="s">
        <v>8221</v>
      </c>
      <c r="U132" s="117">
        <v>2</v>
      </c>
      <c r="V132" s="113"/>
      <c r="W132" s="108" t="s">
        <v>8222</v>
      </c>
      <c r="X132" s="117">
        <v>2</v>
      </c>
      <c r="Y132" s="113"/>
      <c r="Z132" s="108" t="s">
        <v>8223</v>
      </c>
      <c r="AA132" s="110">
        <v>3</v>
      </c>
      <c r="AB132" s="113"/>
      <c r="AC132" s="105" t="s">
        <v>367</v>
      </c>
      <c r="AD132" s="115" t="s">
        <v>49</v>
      </c>
    </row>
    <row r="133" spans="1:30" x14ac:dyDescent="0.2">
      <c r="A133" s="104" t="s">
        <v>368</v>
      </c>
      <c r="B133" s="105" t="s">
        <v>42</v>
      </c>
      <c r="C133" s="105" t="s">
        <v>279</v>
      </c>
      <c r="D133" s="106" t="s">
        <v>125</v>
      </c>
      <c r="E133" s="107" t="s">
        <v>182</v>
      </c>
      <c r="F133" s="108" t="s">
        <v>8224</v>
      </c>
      <c r="G133" s="119">
        <v>1</v>
      </c>
      <c r="H133" s="108" t="s">
        <v>8225</v>
      </c>
      <c r="I133" s="110">
        <v>3</v>
      </c>
      <c r="J133" s="113"/>
      <c r="K133" s="108" t="s">
        <v>8226</v>
      </c>
      <c r="L133" s="110">
        <v>3</v>
      </c>
      <c r="M133" s="111" t="s">
        <v>46</v>
      </c>
      <c r="N133" s="108" t="s">
        <v>8224</v>
      </c>
      <c r="O133" s="116">
        <v>1</v>
      </c>
      <c r="P133" s="113"/>
      <c r="Q133" s="108" t="s">
        <v>8227</v>
      </c>
      <c r="R133" s="116">
        <v>1</v>
      </c>
      <c r="S133" s="111" t="s">
        <v>40</v>
      </c>
      <c r="T133" s="108" t="s">
        <v>8228</v>
      </c>
      <c r="U133" s="117">
        <v>2</v>
      </c>
      <c r="V133" s="113"/>
      <c r="W133" s="108" t="s">
        <v>8229</v>
      </c>
      <c r="X133" s="117">
        <v>2</v>
      </c>
      <c r="Y133" s="113"/>
      <c r="Z133" s="108" t="s">
        <v>8230</v>
      </c>
      <c r="AA133" s="110">
        <v>3</v>
      </c>
      <c r="AB133" s="111" t="s">
        <v>40</v>
      </c>
      <c r="AC133" s="105" t="s">
        <v>369</v>
      </c>
      <c r="AD133" s="115" t="s">
        <v>49</v>
      </c>
    </row>
    <row r="134" spans="1:30" x14ac:dyDescent="0.2">
      <c r="A134" s="104" t="s">
        <v>370</v>
      </c>
      <c r="B134" s="105" t="s">
        <v>371</v>
      </c>
      <c r="C134" s="105" t="s">
        <v>372</v>
      </c>
      <c r="D134" s="106"/>
      <c r="E134" s="107"/>
      <c r="F134" s="108" t="s">
        <v>8231</v>
      </c>
      <c r="G134" s="120">
        <v>2</v>
      </c>
      <c r="H134" s="108" t="s">
        <v>8232</v>
      </c>
      <c r="I134" s="116">
        <v>1</v>
      </c>
      <c r="J134" s="111" t="s">
        <v>40</v>
      </c>
      <c r="K134" s="108" t="s">
        <v>8233</v>
      </c>
      <c r="L134" s="116">
        <v>1</v>
      </c>
      <c r="M134" s="111" t="s">
        <v>40</v>
      </c>
      <c r="N134" s="108" t="s">
        <v>8231</v>
      </c>
      <c r="O134" s="117">
        <v>2</v>
      </c>
      <c r="P134" s="113"/>
      <c r="Q134" s="108" t="s">
        <v>8234</v>
      </c>
      <c r="R134" s="110">
        <v>3</v>
      </c>
      <c r="S134" s="113"/>
      <c r="T134" s="108" t="s">
        <v>8235</v>
      </c>
      <c r="U134" s="112">
        <v>4</v>
      </c>
      <c r="V134" s="113"/>
      <c r="W134" s="108" t="s">
        <v>8236</v>
      </c>
      <c r="X134" s="117">
        <v>2</v>
      </c>
      <c r="Y134" s="113"/>
      <c r="Z134" s="108" t="s">
        <v>8237</v>
      </c>
      <c r="AA134" s="110">
        <v>3</v>
      </c>
      <c r="AB134" s="111" t="s">
        <v>40</v>
      </c>
      <c r="AC134" s="105" t="s">
        <v>373</v>
      </c>
      <c r="AD134" s="115" t="s">
        <v>180</v>
      </c>
    </row>
    <row r="135" spans="1:30" x14ac:dyDescent="0.2">
      <c r="A135" s="104" t="s">
        <v>374</v>
      </c>
      <c r="B135" s="105" t="s">
        <v>42</v>
      </c>
      <c r="C135" s="105" t="s">
        <v>375</v>
      </c>
      <c r="D135" s="106" t="s">
        <v>94</v>
      </c>
      <c r="E135" s="107" t="s">
        <v>376</v>
      </c>
      <c r="F135" s="108" t="s">
        <v>8238</v>
      </c>
      <c r="G135" s="109">
        <v>4</v>
      </c>
      <c r="H135" s="108" t="s">
        <v>8239</v>
      </c>
      <c r="I135" s="110">
        <v>3</v>
      </c>
      <c r="J135" s="111" t="s">
        <v>46</v>
      </c>
      <c r="K135" s="108" t="s">
        <v>8240</v>
      </c>
      <c r="L135" s="110">
        <v>3</v>
      </c>
      <c r="M135" s="113"/>
      <c r="N135" s="108" t="s">
        <v>8238</v>
      </c>
      <c r="O135" s="112">
        <v>4</v>
      </c>
      <c r="P135" s="111" t="s">
        <v>46</v>
      </c>
      <c r="Q135" s="108" t="s">
        <v>8241</v>
      </c>
      <c r="R135" s="110">
        <v>3</v>
      </c>
      <c r="S135" s="113"/>
      <c r="T135" s="108" t="s">
        <v>8242</v>
      </c>
      <c r="U135" s="117">
        <v>2</v>
      </c>
      <c r="V135" s="113"/>
      <c r="W135" s="108" t="s">
        <v>8243</v>
      </c>
      <c r="X135" s="110">
        <v>3</v>
      </c>
      <c r="Y135" s="111" t="s">
        <v>46</v>
      </c>
      <c r="Z135" s="108" t="s">
        <v>8244</v>
      </c>
      <c r="AA135" s="117">
        <v>2</v>
      </c>
      <c r="AB135" s="113"/>
      <c r="AC135" s="105" t="s">
        <v>377</v>
      </c>
      <c r="AD135" s="115" t="s">
        <v>49</v>
      </c>
    </row>
    <row r="136" spans="1:30" x14ac:dyDescent="0.2">
      <c r="A136" s="104" t="s">
        <v>378</v>
      </c>
      <c r="B136" s="105" t="s">
        <v>42</v>
      </c>
      <c r="C136" s="105" t="s">
        <v>375</v>
      </c>
      <c r="D136" s="106" t="s">
        <v>125</v>
      </c>
      <c r="E136" s="107" t="s">
        <v>376</v>
      </c>
      <c r="F136" s="108" t="s">
        <v>8245</v>
      </c>
      <c r="G136" s="109">
        <v>4</v>
      </c>
      <c r="H136" s="108" t="s">
        <v>8246</v>
      </c>
      <c r="I136" s="112">
        <v>4</v>
      </c>
      <c r="J136" s="111" t="s">
        <v>55</v>
      </c>
      <c r="K136" s="108" t="s">
        <v>8247</v>
      </c>
      <c r="L136" s="110">
        <v>3</v>
      </c>
      <c r="M136" s="113"/>
      <c r="N136" s="108" t="s">
        <v>8245</v>
      </c>
      <c r="O136" s="112">
        <v>4</v>
      </c>
      <c r="P136" s="111" t="s">
        <v>46</v>
      </c>
      <c r="Q136" s="108" t="s">
        <v>8248</v>
      </c>
      <c r="R136" s="110">
        <v>3</v>
      </c>
      <c r="S136" s="113"/>
      <c r="T136" s="108" t="s">
        <v>8249</v>
      </c>
      <c r="U136" s="110">
        <v>3</v>
      </c>
      <c r="V136" s="113"/>
      <c r="W136" s="108" t="s">
        <v>8250</v>
      </c>
      <c r="X136" s="110">
        <v>3</v>
      </c>
      <c r="Y136" s="113"/>
      <c r="Z136" s="108" t="s">
        <v>8251</v>
      </c>
      <c r="AA136" s="110">
        <v>3</v>
      </c>
      <c r="AB136" s="111" t="s">
        <v>46</v>
      </c>
      <c r="AC136" s="105" t="s">
        <v>379</v>
      </c>
      <c r="AD136" s="115" t="s">
        <v>49</v>
      </c>
    </row>
    <row r="137" spans="1:30" x14ac:dyDescent="0.2">
      <c r="A137" s="104" t="s">
        <v>380</v>
      </c>
      <c r="B137" s="105" t="s">
        <v>381</v>
      </c>
      <c r="C137" s="105" t="s">
        <v>382</v>
      </c>
      <c r="D137" s="106"/>
      <c r="E137" s="107"/>
      <c r="F137" s="108" t="s">
        <v>47</v>
      </c>
      <c r="G137" s="113"/>
      <c r="H137" s="108" t="s">
        <v>47</v>
      </c>
      <c r="I137" s="114"/>
      <c r="J137" s="113"/>
      <c r="K137" s="108" t="s">
        <v>47</v>
      </c>
      <c r="L137" s="114"/>
      <c r="M137" s="113"/>
      <c r="N137" s="108" t="s">
        <v>47</v>
      </c>
      <c r="O137" s="114"/>
      <c r="P137" s="113"/>
      <c r="Q137" s="108" t="s">
        <v>47</v>
      </c>
      <c r="R137" s="114"/>
      <c r="S137" s="113"/>
      <c r="T137" s="108" t="s">
        <v>47</v>
      </c>
      <c r="U137" s="114"/>
      <c r="V137" s="113"/>
      <c r="W137" s="108" t="s">
        <v>47</v>
      </c>
      <c r="X137" s="114"/>
      <c r="Y137" s="113"/>
      <c r="Z137" s="108" t="s">
        <v>47</v>
      </c>
      <c r="AA137" s="114"/>
      <c r="AB137" s="113"/>
      <c r="AC137" s="105"/>
      <c r="AD137" s="115" t="s">
        <v>101</v>
      </c>
    </row>
    <row r="138" spans="1:30" x14ac:dyDescent="0.2">
      <c r="A138" s="104" t="s">
        <v>383</v>
      </c>
      <c r="B138" s="105" t="s">
        <v>42</v>
      </c>
      <c r="C138" s="105" t="s">
        <v>384</v>
      </c>
      <c r="D138" s="106"/>
      <c r="E138" s="107"/>
      <c r="F138" s="108" t="s">
        <v>8252</v>
      </c>
      <c r="G138" s="118">
        <v>3</v>
      </c>
      <c r="H138" s="108" t="s">
        <v>8253</v>
      </c>
      <c r="I138" s="117">
        <v>2</v>
      </c>
      <c r="J138" s="113"/>
      <c r="K138" s="108" t="s">
        <v>8254</v>
      </c>
      <c r="L138" s="117">
        <v>2</v>
      </c>
      <c r="M138" s="113"/>
      <c r="N138" s="108" t="s">
        <v>8252</v>
      </c>
      <c r="O138" s="110">
        <v>3</v>
      </c>
      <c r="P138" s="113"/>
      <c r="Q138" s="108" t="s">
        <v>8255</v>
      </c>
      <c r="R138" s="110">
        <v>3</v>
      </c>
      <c r="S138" s="111" t="s">
        <v>40</v>
      </c>
      <c r="T138" s="108" t="s">
        <v>8256</v>
      </c>
      <c r="U138" s="110">
        <v>3</v>
      </c>
      <c r="V138" s="113"/>
      <c r="W138" s="108" t="s">
        <v>8257</v>
      </c>
      <c r="X138" s="110">
        <v>3</v>
      </c>
      <c r="Y138" s="113"/>
      <c r="Z138" s="108" t="s">
        <v>47</v>
      </c>
      <c r="AA138" s="114"/>
      <c r="AB138" s="113"/>
      <c r="AC138" s="105" t="s">
        <v>385</v>
      </c>
      <c r="AD138" s="115" t="s">
        <v>180</v>
      </c>
    </row>
    <row r="139" spans="1:30" x14ac:dyDescent="0.2">
      <c r="A139" s="104" t="s">
        <v>8258</v>
      </c>
      <c r="B139" s="105" t="s">
        <v>42</v>
      </c>
      <c r="C139" s="105" t="s">
        <v>384</v>
      </c>
      <c r="D139" s="106" t="s">
        <v>125</v>
      </c>
      <c r="E139" s="107"/>
      <c r="F139" s="108" t="s">
        <v>8259</v>
      </c>
      <c r="G139" s="118">
        <v>3</v>
      </c>
      <c r="H139" s="108" t="s">
        <v>8260</v>
      </c>
      <c r="I139" s="117">
        <v>2</v>
      </c>
      <c r="J139" s="113"/>
      <c r="K139" s="108" t="s">
        <v>8261</v>
      </c>
      <c r="L139" s="117">
        <v>2</v>
      </c>
      <c r="M139" s="113"/>
      <c r="N139" s="108" t="s">
        <v>8259</v>
      </c>
      <c r="O139" s="110">
        <v>3</v>
      </c>
      <c r="P139" s="113"/>
      <c r="Q139" s="108" t="s">
        <v>8262</v>
      </c>
      <c r="R139" s="110">
        <v>3</v>
      </c>
      <c r="S139" s="111" t="s">
        <v>40</v>
      </c>
      <c r="T139" s="108" t="s">
        <v>8263</v>
      </c>
      <c r="U139" s="110">
        <v>3</v>
      </c>
      <c r="V139" s="113"/>
      <c r="W139" s="108" t="s">
        <v>8264</v>
      </c>
      <c r="X139" s="110">
        <v>3</v>
      </c>
      <c r="Y139" s="113"/>
      <c r="Z139" s="108" t="s">
        <v>8265</v>
      </c>
      <c r="AA139" s="110">
        <v>3</v>
      </c>
      <c r="AB139" s="113"/>
      <c r="AC139" s="105" t="s">
        <v>386</v>
      </c>
      <c r="AD139" s="115" t="s">
        <v>49</v>
      </c>
    </row>
    <row r="140" spans="1:30" x14ac:dyDescent="0.2">
      <c r="A140" s="104" t="s">
        <v>8266</v>
      </c>
      <c r="B140" s="105" t="s">
        <v>42</v>
      </c>
      <c r="C140" s="105" t="s">
        <v>384</v>
      </c>
      <c r="D140" s="106" t="s">
        <v>105</v>
      </c>
      <c r="E140" s="107"/>
      <c r="F140" s="108" t="s">
        <v>8267</v>
      </c>
      <c r="G140" s="118">
        <v>3</v>
      </c>
      <c r="H140" s="108" t="s">
        <v>8268</v>
      </c>
      <c r="I140" s="110">
        <v>3</v>
      </c>
      <c r="J140" s="111" t="s">
        <v>46</v>
      </c>
      <c r="K140" s="108" t="s">
        <v>8269</v>
      </c>
      <c r="L140" s="117">
        <v>2</v>
      </c>
      <c r="M140" s="113"/>
      <c r="N140" s="108" t="s">
        <v>8267</v>
      </c>
      <c r="O140" s="110">
        <v>3</v>
      </c>
      <c r="P140" s="113"/>
      <c r="Q140" s="108" t="s">
        <v>8270</v>
      </c>
      <c r="R140" s="112">
        <v>4</v>
      </c>
      <c r="S140" s="113"/>
      <c r="T140" s="108" t="s">
        <v>8271</v>
      </c>
      <c r="U140" s="112">
        <v>4</v>
      </c>
      <c r="V140" s="113"/>
      <c r="W140" s="108" t="s">
        <v>8272</v>
      </c>
      <c r="X140" s="110">
        <v>3</v>
      </c>
      <c r="Y140" s="113"/>
      <c r="Z140" s="108" t="s">
        <v>8273</v>
      </c>
      <c r="AA140" s="112">
        <v>4</v>
      </c>
      <c r="AB140" s="113"/>
      <c r="AC140" s="105" t="s">
        <v>387</v>
      </c>
      <c r="AD140" s="115" t="s">
        <v>49</v>
      </c>
    </row>
    <row r="141" spans="1:30" x14ac:dyDescent="0.2">
      <c r="A141" s="104" t="s">
        <v>8274</v>
      </c>
      <c r="B141" s="105" t="s">
        <v>42</v>
      </c>
      <c r="C141" s="105" t="s">
        <v>384</v>
      </c>
      <c r="D141" s="106" t="s">
        <v>105</v>
      </c>
      <c r="E141" s="107"/>
      <c r="F141" s="108" t="s">
        <v>8275</v>
      </c>
      <c r="G141" s="118">
        <v>3</v>
      </c>
      <c r="H141" s="108" t="s">
        <v>8276</v>
      </c>
      <c r="I141" s="110">
        <v>3</v>
      </c>
      <c r="J141" s="111" t="s">
        <v>46</v>
      </c>
      <c r="K141" s="108" t="s">
        <v>8277</v>
      </c>
      <c r="L141" s="117">
        <v>2</v>
      </c>
      <c r="M141" s="113"/>
      <c r="N141" s="108" t="s">
        <v>8275</v>
      </c>
      <c r="O141" s="110">
        <v>3</v>
      </c>
      <c r="P141" s="113"/>
      <c r="Q141" s="108" t="s">
        <v>8278</v>
      </c>
      <c r="R141" s="112">
        <v>4</v>
      </c>
      <c r="S141" s="113"/>
      <c r="T141" s="108" t="s">
        <v>8279</v>
      </c>
      <c r="U141" s="112">
        <v>4</v>
      </c>
      <c r="V141" s="113"/>
      <c r="W141" s="108" t="s">
        <v>8280</v>
      </c>
      <c r="X141" s="110">
        <v>3</v>
      </c>
      <c r="Y141" s="113"/>
      <c r="Z141" s="108" t="s">
        <v>8281</v>
      </c>
      <c r="AA141" s="112">
        <v>4</v>
      </c>
      <c r="AB141" s="113"/>
      <c r="AC141" s="105" t="s">
        <v>388</v>
      </c>
      <c r="AD141" s="115" t="s">
        <v>49</v>
      </c>
    </row>
    <row r="142" spans="1:30" x14ac:dyDescent="0.2">
      <c r="A142" s="104" t="s">
        <v>389</v>
      </c>
      <c r="B142" s="105" t="s">
        <v>97</v>
      </c>
      <c r="C142" s="105" t="s">
        <v>375</v>
      </c>
      <c r="D142" s="106" t="s">
        <v>298</v>
      </c>
      <c r="E142" s="107" t="s">
        <v>376</v>
      </c>
      <c r="F142" s="108" t="s">
        <v>390</v>
      </c>
      <c r="G142" s="119">
        <v>1</v>
      </c>
      <c r="H142" s="108" t="s">
        <v>8282</v>
      </c>
      <c r="I142" s="116">
        <v>1</v>
      </c>
      <c r="J142" s="113"/>
      <c r="K142" s="108" t="s">
        <v>8283</v>
      </c>
      <c r="L142" s="116">
        <v>1</v>
      </c>
      <c r="M142" s="113"/>
      <c r="N142" s="108" t="s">
        <v>390</v>
      </c>
      <c r="O142" s="116">
        <v>1</v>
      </c>
      <c r="P142" s="113"/>
      <c r="Q142" s="108" t="s">
        <v>8284</v>
      </c>
      <c r="R142" s="112">
        <v>4</v>
      </c>
      <c r="S142" s="113"/>
      <c r="T142" s="108" t="s">
        <v>8285</v>
      </c>
      <c r="U142" s="112">
        <v>4</v>
      </c>
      <c r="V142" s="113"/>
      <c r="W142" s="108" t="s">
        <v>8286</v>
      </c>
      <c r="X142" s="112">
        <v>4</v>
      </c>
      <c r="Y142" s="113"/>
      <c r="Z142" s="108" t="s">
        <v>8287</v>
      </c>
      <c r="AA142" s="112">
        <v>4</v>
      </c>
      <c r="AB142" s="113"/>
      <c r="AC142" s="105" t="s">
        <v>391</v>
      </c>
      <c r="AD142" s="115" t="s">
        <v>101</v>
      </c>
    </row>
    <row r="143" spans="1:30" x14ac:dyDescent="0.2">
      <c r="A143" s="104" t="s">
        <v>392</v>
      </c>
      <c r="B143" s="105" t="s">
        <v>97</v>
      </c>
      <c r="C143" s="105" t="s">
        <v>375</v>
      </c>
      <c r="D143" s="106" t="s">
        <v>298</v>
      </c>
      <c r="E143" s="107" t="s">
        <v>376</v>
      </c>
      <c r="F143" s="108" t="s">
        <v>8288</v>
      </c>
      <c r="G143" s="119">
        <v>1</v>
      </c>
      <c r="H143" s="108" t="s">
        <v>8289</v>
      </c>
      <c r="I143" s="116">
        <v>1</v>
      </c>
      <c r="J143" s="113"/>
      <c r="K143" s="108" t="s">
        <v>8290</v>
      </c>
      <c r="L143" s="116">
        <v>1</v>
      </c>
      <c r="M143" s="113"/>
      <c r="N143" s="108" t="s">
        <v>8288</v>
      </c>
      <c r="O143" s="116">
        <v>1</v>
      </c>
      <c r="P143" s="113"/>
      <c r="Q143" s="108" t="s">
        <v>8291</v>
      </c>
      <c r="R143" s="112">
        <v>4</v>
      </c>
      <c r="S143" s="113"/>
      <c r="T143" s="108" t="s">
        <v>8292</v>
      </c>
      <c r="U143" s="112">
        <v>4</v>
      </c>
      <c r="V143" s="113"/>
      <c r="W143" s="108" t="s">
        <v>8293</v>
      </c>
      <c r="X143" s="112">
        <v>4</v>
      </c>
      <c r="Y143" s="113"/>
      <c r="Z143" s="108" t="s">
        <v>8294</v>
      </c>
      <c r="AA143" s="112">
        <v>4</v>
      </c>
      <c r="AB143" s="113"/>
      <c r="AC143" s="105" t="s">
        <v>393</v>
      </c>
      <c r="AD143" s="115" t="s">
        <v>101</v>
      </c>
    </row>
    <row r="144" spans="1:30" x14ac:dyDescent="0.2">
      <c r="A144" s="104" t="s">
        <v>394</v>
      </c>
      <c r="B144" s="105" t="s">
        <v>97</v>
      </c>
      <c r="C144" s="105" t="s">
        <v>375</v>
      </c>
      <c r="D144" s="106" t="s">
        <v>105</v>
      </c>
      <c r="E144" s="107" t="s">
        <v>376</v>
      </c>
      <c r="F144" s="108" t="s">
        <v>8295</v>
      </c>
      <c r="G144" s="109">
        <v>4</v>
      </c>
      <c r="H144" s="108" t="s">
        <v>8296</v>
      </c>
      <c r="I144" s="112">
        <v>4</v>
      </c>
      <c r="J144" s="111" t="s">
        <v>44</v>
      </c>
      <c r="K144" s="108" t="s">
        <v>8297</v>
      </c>
      <c r="L144" s="112">
        <v>4</v>
      </c>
      <c r="M144" s="111" t="s">
        <v>46</v>
      </c>
      <c r="N144" s="108" t="s">
        <v>8295</v>
      </c>
      <c r="O144" s="112">
        <v>4</v>
      </c>
      <c r="P144" s="113"/>
      <c r="Q144" s="108" t="s">
        <v>8298</v>
      </c>
      <c r="R144" s="112">
        <v>4</v>
      </c>
      <c r="S144" s="113"/>
      <c r="T144" s="108" t="s">
        <v>8299</v>
      </c>
      <c r="U144" s="112">
        <v>4</v>
      </c>
      <c r="V144" s="113"/>
      <c r="W144" s="108" t="s">
        <v>8300</v>
      </c>
      <c r="X144" s="112">
        <v>4</v>
      </c>
      <c r="Y144" s="111" t="s">
        <v>46</v>
      </c>
      <c r="Z144" s="108" t="s">
        <v>8301</v>
      </c>
      <c r="AA144" s="112">
        <v>4</v>
      </c>
      <c r="AB144" s="113"/>
      <c r="AC144" s="105" t="s">
        <v>395</v>
      </c>
      <c r="AD144" s="115" t="s">
        <v>101</v>
      </c>
    </row>
    <row r="145" spans="1:30" x14ac:dyDescent="0.2">
      <c r="A145" s="104" t="s">
        <v>396</v>
      </c>
      <c r="B145" s="105" t="s">
        <v>97</v>
      </c>
      <c r="C145" s="105" t="s">
        <v>375</v>
      </c>
      <c r="D145" s="106" t="s">
        <v>105</v>
      </c>
      <c r="E145" s="107" t="s">
        <v>376</v>
      </c>
      <c r="F145" s="108" t="s">
        <v>8302</v>
      </c>
      <c r="G145" s="109">
        <v>4</v>
      </c>
      <c r="H145" s="108" t="s">
        <v>8303</v>
      </c>
      <c r="I145" s="112">
        <v>4</v>
      </c>
      <c r="J145" s="111" t="s">
        <v>44</v>
      </c>
      <c r="K145" s="108" t="s">
        <v>8304</v>
      </c>
      <c r="L145" s="112">
        <v>4</v>
      </c>
      <c r="M145" s="113"/>
      <c r="N145" s="108" t="s">
        <v>8302</v>
      </c>
      <c r="O145" s="112">
        <v>4</v>
      </c>
      <c r="P145" s="113"/>
      <c r="Q145" s="108" t="s">
        <v>8305</v>
      </c>
      <c r="R145" s="112">
        <v>4</v>
      </c>
      <c r="S145" s="113"/>
      <c r="T145" s="108" t="s">
        <v>8306</v>
      </c>
      <c r="U145" s="112">
        <v>4</v>
      </c>
      <c r="V145" s="111" t="s">
        <v>46</v>
      </c>
      <c r="W145" s="108" t="s">
        <v>8307</v>
      </c>
      <c r="X145" s="112">
        <v>4</v>
      </c>
      <c r="Y145" s="111" t="s">
        <v>46</v>
      </c>
      <c r="Z145" s="108" t="s">
        <v>8308</v>
      </c>
      <c r="AA145" s="112">
        <v>4</v>
      </c>
      <c r="AB145" s="113"/>
      <c r="AC145" s="105" t="s">
        <v>397</v>
      </c>
      <c r="AD145" s="115" t="s">
        <v>101</v>
      </c>
    </row>
    <row r="146" spans="1:30" x14ac:dyDescent="0.2">
      <c r="A146" s="104" t="s">
        <v>398</v>
      </c>
      <c r="B146" s="105" t="s">
        <v>42</v>
      </c>
      <c r="C146" s="105" t="s">
        <v>51</v>
      </c>
      <c r="D146" s="106"/>
      <c r="E146" s="107"/>
      <c r="F146" s="108" t="s">
        <v>47</v>
      </c>
      <c r="G146" s="113"/>
      <c r="H146" s="108" t="s">
        <v>47</v>
      </c>
      <c r="I146" s="114"/>
      <c r="J146" s="113"/>
      <c r="K146" s="108" t="s">
        <v>47</v>
      </c>
      <c r="L146" s="114"/>
      <c r="M146" s="113"/>
      <c r="N146" s="108" t="s">
        <v>47</v>
      </c>
      <c r="O146" s="114"/>
      <c r="P146" s="113"/>
      <c r="Q146" s="108" t="s">
        <v>47</v>
      </c>
      <c r="R146" s="114"/>
      <c r="S146" s="113"/>
      <c r="T146" s="108" t="s">
        <v>47</v>
      </c>
      <c r="U146" s="114"/>
      <c r="V146" s="113"/>
      <c r="W146" s="108" t="s">
        <v>47</v>
      </c>
      <c r="X146" s="114"/>
      <c r="Y146" s="113"/>
      <c r="Z146" s="108" t="s">
        <v>47</v>
      </c>
      <c r="AA146" s="114"/>
      <c r="AB146" s="113"/>
      <c r="AC146" s="105" t="s">
        <v>399</v>
      </c>
      <c r="AD146" s="115" t="s">
        <v>49</v>
      </c>
    </row>
    <row r="147" spans="1:30" x14ac:dyDescent="0.2">
      <c r="A147" s="104" t="s">
        <v>400</v>
      </c>
      <c r="B147" s="105" t="s">
        <v>42</v>
      </c>
      <c r="C147" s="105" t="s">
        <v>51</v>
      </c>
      <c r="D147" s="106"/>
      <c r="E147" s="107"/>
      <c r="F147" s="108" t="s">
        <v>8309</v>
      </c>
      <c r="G147" s="118">
        <v>3</v>
      </c>
      <c r="H147" s="108" t="s">
        <v>8310</v>
      </c>
      <c r="I147" s="117">
        <v>2</v>
      </c>
      <c r="J147" s="113"/>
      <c r="K147" s="108" t="s">
        <v>401</v>
      </c>
      <c r="L147" s="117">
        <v>2</v>
      </c>
      <c r="M147" s="111" t="s">
        <v>40</v>
      </c>
      <c r="N147" s="108" t="s">
        <v>8309</v>
      </c>
      <c r="O147" s="110">
        <v>3</v>
      </c>
      <c r="P147" s="111" t="s">
        <v>40</v>
      </c>
      <c r="Q147" s="108" t="s">
        <v>47</v>
      </c>
      <c r="R147" s="114"/>
      <c r="S147" s="113"/>
      <c r="T147" s="108" t="s">
        <v>47</v>
      </c>
      <c r="U147" s="114"/>
      <c r="V147" s="113"/>
      <c r="W147" s="108" t="s">
        <v>47</v>
      </c>
      <c r="X147" s="114"/>
      <c r="Y147" s="113"/>
      <c r="Z147" s="108" t="s">
        <v>47</v>
      </c>
      <c r="AA147" s="114"/>
      <c r="AB147" s="113"/>
      <c r="AC147" s="105" t="s">
        <v>402</v>
      </c>
      <c r="AD147" s="115" t="s">
        <v>49</v>
      </c>
    </row>
    <row r="148" spans="1:30" x14ac:dyDescent="0.2">
      <c r="A148" s="104" t="s">
        <v>403</v>
      </c>
      <c r="B148" s="105" t="s">
        <v>381</v>
      </c>
      <c r="C148" s="105" t="s">
        <v>404</v>
      </c>
      <c r="D148" s="106"/>
      <c r="E148" s="107"/>
      <c r="F148" s="108" t="s">
        <v>405</v>
      </c>
      <c r="G148" s="118">
        <v>3</v>
      </c>
      <c r="H148" s="108" t="s">
        <v>8311</v>
      </c>
      <c r="I148" s="116">
        <v>1</v>
      </c>
      <c r="J148" s="111" t="s">
        <v>40</v>
      </c>
      <c r="K148" s="108" t="s">
        <v>8312</v>
      </c>
      <c r="L148" s="117">
        <v>2</v>
      </c>
      <c r="M148" s="111" t="s">
        <v>40</v>
      </c>
      <c r="N148" s="108" t="s">
        <v>405</v>
      </c>
      <c r="O148" s="110">
        <v>3</v>
      </c>
      <c r="P148" s="111" t="s">
        <v>40</v>
      </c>
      <c r="Q148" s="108" t="s">
        <v>406</v>
      </c>
      <c r="R148" s="110">
        <v>3</v>
      </c>
      <c r="S148" s="113"/>
      <c r="T148" s="108" t="s">
        <v>407</v>
      </c>
      <c r="U148" s="117">
        <v>2</v>
      </c>
      <c r="V148" s="111" t="s">
        <v>53</v>
      </c>
      <c r="W148" s="108" t="s">
        <v>408</v>
      </c>
      <c r="X148" s="116">
        <v>1</v>
      </c>
      <c r="Y148" s="113"/>
      <c r="Z148" s="108" t="s">
        <v>8313</v>
      </c>
      <c r="AA148" s="116">
        <v>1</v>
      </c>
      <c r="AB148" s="113"/>
      <c r="AC148" s="105" t="s">
        <v>409</v>
      </c>
      <c r="AD148" s="115" t="s">
        <v>101</v>
      </c>
    </row>
    <row r="149" spans="1:30" x14ac:dyDescent="0.2">
      <c r="A149" s="104" t="s">
        <v>410</v>
      </c>
      <c r="B149" s="105" t="s">
        <v>381</v>
      </c>
      <c r="C149" s="105" t="s">
        <v>411</v>
      </c>
      <c r="D149" s="106"/>
      <c r="E149" s="107"/>
      <c r="F149" s="108" t="s">
        <v>47</v>
      </c>
      <c r="G149" s="113"/>
      <c r="H149" s="108" t="s">
        <v>47</v>
      </c>
      <c r="I149" s="114"/>
      <c r="J149" s="113"/>
      <c r="K149" s="108" t="s">
        <v>47</v>
      </c>
      <c r="L149" s="114"/>
      <c r="M149" s="113"/>
      <c r="N149" s="108" t="s">
        <v>47</v>
      </c>
      <c r="O149" s="114"/>
      <c r="P149" s="113"/>
      <c r="Q149" s="108" t="s">
        <v>47</v>
      </c>
      <c r="R149" s="114"/>
      <c r="S149" s="113"/>
      <c r="T149" s="108" t="s">
        <v>47</v>
      </c>
      <c r="U149" s="114"/>
      <c r="V149" s="113"/>
      <c r="W149" s="108" t="s">
        <v>47</v>
      </c>
      <c r="X149" s="114"/>
      <c r="Y149" s="113"/>
      <c r="Z149" s="108" t="s">
        <v>47</v>
      </c>
      <c r="AA149" s="114"/>
      <c r="AB149" s="113"/>
      <c r="AC149" s="105"/>
      <c r="AD149" s="115" t="s">
        <v>101</v>
      </c>
    </row>
    <row r="150" spans="1:30" x14ac:dyDescent="0.2">
      <c r="A150" s="104" t="s">
        <v>412</v>
      </c>
      <c r="B150" s="105" t="s">
        <v>381</v>
      </c>
      <c r="C150" s="105" t="s">
        <v>413</v>
      </c>
      <c r="D150" s="106"/>
      <c r="E150" s="107"/>
      <c r="F150" s="108" t="s">
        <v>8314</v>
      </c>
      <c r="G150" s="120">
        <v>2</v>
      </c>
      <c r="H150" s="108" t="s">
        <v>8315</v>
      </c>
      <c r="I150" s="110">
        <v>3</v>
      </c>
      <c r="J150" s="113"/>
      <c r="K150" s="108" t="s">
        <v>414</v>
      </c>
      <c r="L150" s="110">
        <v>3</v>
      </c>
      <c r="M150" s="113"/>
      <c r="N150" s="108" t="s">
        <v>8314</v>
      </c>
      <c r="O150" s="117">
        <v>2</v>
      </c>
      <c r="P150" s="113"/>
      <c r="Q150" s="108" t="s">
        <v>8316</v>
      </c>
      <c r="R150" s="110">
        <v>3</v>
      </c>
      <c r="S150" s="111" t="s">
        <v>46</v>
      </c>
      <c r="T150" s="108" t="s">
        <v>8317</v>
      </c>
      <c r="U150" s="116">
        <v>1</v>
      </c>
      <c r="V150" s="113"/>
      <c r="W150" s="108" t="s">
        <v>47</v>
      </c>
      <c r="X150" s="114"/>
      <c r="Y150" s="113"/>
      <c r="Z150" s="108" t="s">
        <v>47</v>
      </c>
      <c r="AA150" s="114"/>
      <c r="AB150" s="113"/>
      <c r="AC150" s="105" t="s">
        <v>415</v>
      </c>
      <c r="AD150" s="115" t="s">
        <v>101</v>
      </c>
    </row>
    <row r="151" spans="1:30" x14ac:dyDescent="0.2">
      <c r="A151" s="104" t="s">
        <v>416</v>
      </c>
      <c r="B151" s="105" t="s">
        <v>381</v>
      </c>
      <c r="C151" s="105" t="s">
        <v>413</v>
      </c>
      <c r="D151" s="106"/>
      <c r="E151" s="107" t="s">
        <v>146</v>
      </c>
      <c r="F151" s="108" t="s">
        <v>47</v>
      </c>
      <c r="G151" s="113"/>
      <c r="H151" s="108" t="s">
        <v>47</v>
      </c>
      <c r="I151" s="114"/>
      <c r="J151" s="113"/>
      <c r="K151" s="108" t="s">
        <v>47</v>
      </c>
      <c r="L151" s="114"/>
      <c r="M151" s="113"/>
      <c r="N151" s="108" t="s">
        <v>47</v>
      </c>
      <c r="O151" s="114"/>
      <c r="P151" s="113"/>
      <c r="Q151" s="108" t="s">
        <v>47</v>
      </c>
      <c r="R151" s="114"/>
      <c r="S151" s="113"/>
      <c r="T151" s="108" t="s">
        <v>47</v>
      </c>
      <c r="U151" s="114"/>
      <c r="V151" s="113"/>
      <c r="W151" s="108" t="s">
        <v>47</v>
      </c>
      <c r="X151" s="114"/>
      <c r="Y151" s="113"/>
      <c r="Z151" s="108" t="s">
        <v>47</v>
      </c>
      <c r="AA151" s="114"/>
      <c r="AB151" s="113"/>
      <c r="AC151" s="105"/>
      <c r="AD151" s="115" t="s">
        <v>101</v>
      </c>
    </row>
    <row r="152" spans="1:30" x14ac:dyDescent="0.2">
      <c r="A152" s="104" t="s">
        <v>417</v>
      </c>
      <c r="B152" s="105" t="s">
        <v>381</v>
      </c>
      <c r="C152" s="105" t="s">
        <v>418</v>
      </c>
      <c r="D152" s="106"/>
      <c r="E152" s="107"/>
      <c r="F152" s="108" t="s">
        <v>47</v>
      </c>
      <c r="G152" s="113"/>
      <c r="H152" s="108" t="s">
        <v>47</v>
      </c>
      <c r="I152" s="114"/>
      <c r="J152" s="113"/>
      <c r="K152" s="108" t="s">
        <v>47</v>
      </c>
      <c r="L152" s="114"/>
      <c r="M152" s="113"/>
      <c r="N152" s="108" t="s">
        <v>47</v>
      </c>
      <c r="O152" s="114"/>
      <c r="P152" s="113"/>
      <c r="Q152" s="108" t="s">
        <v>47</v>
      </c>
      <c r="R152" s="114"/>
      <c r="S152" s="113"/>
      <c r="T152" s="108" t="s">
        <v>47</v>
      </c>
      <c r="U152" s="114"/>
      <c r="V152" s="113"/>
      <c r="W152" s="108" t="s">
        <v>47</v>
      </c>
      <c r="X152" s="114"/>
      <c r="Y152" s="113"/>
      <c r="Z152" s="108" t="s">
        <v>47</v>
      </c>
      <c r="AA152" s="114"/>
      <c r="AB152" s="113"/>
      <c r="AC152" s="105"/>
      <c r="AD152" s="115" t="s">
        <v>101</v>
      </c>
    </row>
    <row r="153" spans="1:30" x14ac:dyDescent="0.2">
      <c r="A153" s="104" t="s">
        <v>419</v>
      </c>
      <c r="B153" s="105" t="s">
        <v>420</v>
      </c>
      <c r="C153" s="105" t="s">
        <v>421</v>
      </c>
      <c r="D153" s="106"/>
      <c r="E153" s="107" t="s">
        <v>146</v>
      </c>
      <c r="F153" s="108" t="s">
        <v>8318</v>
      </c>
      <c r="G153" s="109">
        <v>4</v>
      </c>
      <c r="H153" s="108" t="s">
        <v>422</v>
      </c>
      <c r="I153" s="112">
        <v>4</v>
      </c>
      <c r="J153" s="111" t="s">
        <v>46</v>
      </c>
      <c r="K153" s="108" t="s">
        <v>8319</v>
      </c>
      <c r="L153" s="112">
        <v>4</v>
      </c>
      <c r="M153" s="113"/>
      <c r="N153" s="108" t="s">
        <v>8318</v>
      </c>
      <c r="O153" s="112">
        <v>4</v>
      </c>
      <c r="P153" s="113"/>
      <c r="Q153" s="108" t="s">
        <v>8320</v>
      </c>
      <c r="R153" s="112">
        <v>4</v>
      </c>
      <c r="S153" s="111" t="s">
        <v>46</v>
      </c>
      <c r="T153" s="108" t="s">
        <v>47</v>
      </c>
      <c r="U153" s="114"/>
      <c r="V153" s="113"/>
      <c r="W153" s="108" t="s">
        <v>47</v>
      </c>
      <c r="X153" s="114"/>
      <c r="Y153" s="113"/>
      <c r="Z153" s="108" t="s">
        <v>47</v>
      </c>
      <c r="AA153" s="114"/>
      <c r="AB153" s="113"/>
      <c r="AC153" s="105" t="s">
        <v>423</v>
      </c>
      <c r="AD153" s="115" t="s">
        <v>424</v>
      </c>
    </row>
    <row r="154" spans="1:30" x14ac:dyDescent="0.2">
      <c r="A154" s="104" t="s">
        <v>425</v>
      </c>
      <c r="B154" s="105" t="s">
        <v>420</v>
      </c>
      <c r="C154" s="105" t="s">
        <v>7945</v>
      </c>
      <c r="D154" s="106"/>
      <c r="E154" s="107" t="s">
        <v>146</v>
      </c>
      <c r="F154" s="108" t="s">
        <v>8321</v>
      </c>
      <c r="G154" s="120">
        <v>2</v>
      </c>
      <c r="H154" s="108" t="s">
        <v>8322</v>
      </c>
      <c r="I154" s="112">
        <v>4</v>
      </c>
      <c r="J154" s="111" t="s">
        <v>55</v>
      </c>
      <c r="K154" s="108" t="s">
        <v>8323</v>
      </c>
      <c r="L154" s="117">
        <v>2</v>
      </c>
      <c r="M154" s="111" t="s">
        <v>46</v>
      </c>
      <c r="N154" s="108" t="s">
        <v>8321</v>
      </c>
      <c r="O154" s="117">
        <v>2</v>
      </c>
      <c r="P154" s="113"/>
      <c r="Q154" s="108" t="s">
        <v>8324</v>
      </c>
      <c r="R154" s="110">
        <v>3</v>
      </c>
      <c r="S154" s="113"/>
      <c r="T154" s="108" t="s">
        <v>47</v>
      </c>
      <c r="U154" s="114"/>
      <c r="V154" s="113"/>
      <c r="W154" s="108" t="s">
        <v>47</v>
      </c>
      <c r="X154" s="114"/>
      <c r="Y154" s="113"/>
      <c r="Z154" s="108" t="s">
        <v>47</v>
      </c>
      <c r="AA154" s="114"/>
      <c r="AB154" s="113"/>
      <c r="AC154" s="105" t="s">
        <v>426</v>
      </c>
      <c r="AD154" s="115" t="s">
        <v>424</v>
      </c>
    </row>
    <row r="155" spans="1:30" x14ac:dyDescent="0.2">
      <c r="A155" s="104" t="s">
        <v>427</v>
      </c>
      <c r="B155" s="105" t="s">
        <v>97</v>
      </c>
      <c r="C155" s="105" t="s">
        <v>428</v>
      </c>
      <c r="D155" s="106" t="s">
        <v>105</v>
      </c>
      <c r="E155" s="107"/>
      <c r="F155" s="108" t="s">
        <v>8325</v>
      </c>
      <c r="G155" s="120">
        <v>2</v>
      </c>
      <c r="H155" s="108" t="s">
        <v>8326</v>
      </c>
      <c r="I155" s="112">
        <v>4</v>
      </c>
      <c r="J155" s="111" t="s">
        <v>46</v>
      </c>
      <c r="K155" s="108" t="s">
        <v>8327</v>
      </c>
      <c r="L155" s="117">
        <v>2</v>
      </c>
      <c r="M155" s="113"/>
      <c r="N155" s="108" t="s">
        <v>8325</v>
      </c>
      <c r="O155" s="117">
        <v>2</v>
      </c>
      <c r="P155" s="113"/>
      <c r="Q155" s="108" t="s">
        <v>8328</v>
      </c>
      <c r="R155" s="117">
        <v>2</v>
      </c>
      <c r="S155" s="113"/>
      <c r="T155" s="108" t="s">
        <v>8329</v>
      </c>
      <c r="U155" s="110">
        <v>3</v>
      </c>
      <c r="V155" s="111" t="s">
        <v>46</v>
      </c>
      <c r="W155" s="108" t="s">
        <v>8330</v>
      </c>
      <c r="X155" s="110">
        <v>3</v>
      </c>
      <c r="Y155" s="113"/>
      <c r="Z155" s="108" t="s">
        <v>8331</v>
      </c>
      <c r="AA155" s="112">
        <v>4</v>
      </c>
      <c r="AB155" s="113"/>
      <c r="AC155" s="105" t="s">
        <v>429</v>
      </c>
      <c r="AD155" s="115" t="s">
        <v>101</v>
      </c>
    </row>
    <row r="156" spans="1:30" x14ac:dyDescent="0.2">
      <c r="A156" s="104" t="s">
        <v>430</v>
      </c>
      <c r="B156" s="105" t="s">
        <v>97</v>
      </c>
      <c r="C156" s="105" t="s">
        <v>428</v>
      </c>
      <c r="D156" s="106" t="s">
        <v>105</v>
      </c>
      <c r="E156" s="107"/>
      <c r="F156" s="108" t="s">
        <v>8332</v>
      </c>
      <c r="G156" s="120">
        <v>2</v>
      </c>
      <c r="H156" s="108" t="s">
        <v>8333</v>
      </c>
      <c r="I156" s="112">
        <v>4</v>
      </c>
      <c r="J156" s="111" t="s">
        <v>46</v>
      </c>
      <c r="K156" s="108" t="s">
        <v>8334</v>
      </c>
      <c r="L156" s="117">
        <v>2</v>
      </c>
      <c r="M156" s="113"/>
      <c r="N156" s="108" t="s">
        <v>8332</v>
      </c>
      <c r="O156" s="117">
        <v>2</v>
      </c>
      <c r="P156" s="113"/>
      <c r="Q156" s="108" t="s">
        <v>8335</v>
      </c>
      <c r="R156" s="117">
        <v>2</v>
      </c>
      <c r="S156" s="113"/>
      <c r="T156" s="108" t="s">
        <v>8336</v>
      </c>
      <c r="U156" s="110">
        <v>3</v>
      </c>
      <c r="V156" s="111" t="s">
        <v>46</v>
      </c>
      <c r="W156" s="108" t="s">
        <v>8337</v>
      </c>
      <c r="X156" s="110">
        <v>3</v>
      </c>
      <c r="Y156" s="113"/>
      <c r="Z156" s="108" t="s">
        <v>8338</v>
      </c>
      <c r="AA156" s="112">
        <v>4</v>
      </c>
      <c r="AB156" s="113"/>
      <c r="AC156" s="105" t="s">
        <v>431</v>
      </c>
      <c r="AD156" s="115" t="s">
        <v>101</v>
      </c>
    </row>
    <row r="157" spans="1:30" x14ac:dyDescent="0.2">
      <c r="A157" s="104" t="s">
        <v>432</v>
      </c>
      <c r="B157" s="105" t="s">
        <v>381</v>
      </c>
      <c r="C157" s="105" t="s">
        <v>433</v>
      </c>
      <c r="D157" s="106"/>
      <c r="E157" s="107"/>
      <c r="F157" s="108" t="s">
        <v>47</v>
      </c>
      <c r="G157" s="113"/>
      <c r="H157" s="108" t="s">
        <v>47</v>
      </c>
      <c r="I157" s="114"/>
      <c r="J157" s="113"/>
      <c r="K157" s="108" t="s">
        <v>47</v>
      </c>
      <c r="L157" s="114"/>
      <c r="M157" s="113"/>
      <c r="N157" s="108" t="s">
        <v>47</v>
      </c>
      <c r="O157" s="114"/>
      <c r="P157" s="113"/>
      <c r="Q157" s="108" t="s">
        <v>47</v>
      </c>
      <c r="R157" s="114"/>
      <c r="S157" s="113"/>
      <c r="T157" s="108" t="s">
        <v>47</v>
      </c>
      <c r="U157" s="114"/>
      <c r="V157" s="113"/>
      <c r="W157" s="108" t="s">
        <v>47</v>
      </c>
      <c r="X157" s="114"/>
      <c r="Y157" s="113"/>
      <c r="Z157" s="108" t="s">
        <v>47</v>
      </c>
      <c r="AA157" s="114"/>
      <c r="AB157" s="113"/>
      <c r="AC157" s="105"/>
      <c r="AD157" s="115" t="s">
        <v>101</v>
      </c>
    </row>
    <row r="158" spans="1:30" x14ac:dyDescent="0.2">
      <c r="A158" s="104" t="s">
        <v>434</v>
      </c>
      <c r="B158" s="105" t="s">
        <v>212</v>
      </c>
      <c r="C158" s="105" t="s">
        <v>384</v>
      </c>
      <c r="D158" s="106"/>
      <c r="E158" s="107"/>
      <c r="F158" s="108" t="s">
        <v>8339</v>
      </c>
      <c r="G158" s="118">
        <v>3</v>
      </c>
      <c r="H158" s="108" t="s">
        <v>8340</v>
      </c>
      <c r="I158" s="112">
        <v>4</v>
      </c>
      <c r="J158" s="111" t="s">
        <v>46</v>
      </c>
      <c r="K158" s="108" t="s">
        <v>8341</v>
      </c>
      <c r="L158" s="110">
        <v>3</v>
      </c>
      <c r="M158" s="111" t="s">
        <v>46</v>
      </c>
      <c r="N158" s="108" t="s">
        <v>8339</v>
      </c>
      <c r="O158" s="110">
        <v>3</v>
      </c>
      <c r="P158" s="111" t="s">
        <v>46</v>
      </c>
      <c r="Q158" s="108" t="s">
        <v>8342</v>
      </c>
      <c r="R158" s="117">
        <v>2</v>
      </c>
      <c r="S158" s="113"/>
      <c r="T158" s="108" t="s">
        <v>47</v>
      </c>
      <c r="U158" s="114"/>
      <c r="V158" s="113"/>
      <c r="W158" s="108" t="s">
        <v>47</v>
      </c>
      <c r="X158" s="114"/>
      <c r="Y158" s="113"/>
      <c r="Z158" s="108" t="s">
        <v>47</v>
      </c>
      <c r="AA158" s="114"/>
      <c r="AB158" s="113"/>
      <c r="AC158" s="105" t="s">
        <v>435</v>
      </c>
      <c r="AD158" s="115" t="s">
        <v>49</v>
      </c>
    </row>
    <row r="159" spans="1:30" x14ac:dyDescent="0.2">
      <c r="A159" s="104" t="s">
        <v>436</v>
      </c>
      <c r="B159" s="105" t="s">
        <v>212</v>
      </c>
      <c r="C159" s="105" t="s">
        <v>384</v>
      </c>
      <c r="D159" s="106"/>
      <c r="E159" s="107"/>
      <c r="F159" s="108" t="s">
        <v>8343</v>
      </c>
      <c r="G159" s="118">
        <v>3</v>
      </c>
      <c r="H159" s="108" t="s">
        <v>8344</v>
      </c>
      <c r="I159" s="112">
        <v>4</v>
      </c>
      <c r="J159" s="111" t="s">
        <v>46</v>
      </c>
      <c r="K159" s="108" t="s">
        <v>8345</v>
      </c>
      <c r="L159" s="110">
        <v>3</v>
      </c>
      <c r="M159" s="111" t="s">
        <v>46</v>
      </c>
      <c r="N159" s="108" t="s">
        <v>8343</v>
      </c>
      <c r="O159" s="110">
        <v>3</v>
      </c>
      <c r="P159" s="111" t="s">
        <v>55</v>
      </c>
      <c r="Q159" s="108" t="s">
        <v>8346</v>
      </c>
      <c r="R159" s="116">
        <v>1</v>
      </c>
      <c r="S159" s="113"/>
      <c r="T159" s="108" t="s">
        <v>47</v>
      </c>
      <c r="U159" s="114"/>
      <c r="V159" s="113"/>
      <c r="W159" s="108" t="s">
        <v>47</v>
      </c>
      <c r="X159" s="114"/>
      <c r="Y159" s="113"/>
      <c r="Z159" s="108" t="s">
        <v>47</v>
      </c>
      <c r="AA159" s="114"/>
      <c r="AB159" s="113"/>
      <c r="AC159" s="105" t="s">
        <v>437</v>
      </c>
      <c r="AD159" s="115" t="s">
        <v>49</v>
      </c>
    </row>
    <row r="160" spans="1:30" x14ac:dyDescent="0.2">
      <c r="A160" s="104" t="s">
        <v>438</v>
      </c>
      <c r="B160" s="105" t="s">
        <v>212</v>
      </c>
      <c r="C160" s="105" t="s">
        <v>439</v>
      </c>
      <c r="D160" s="106"/>
      <c r="E160" s="107"/>
      <c r="F160" s="108" t="s">
        <v>8347</v>
      </c>
      <c r="G160" s="118">
        <v>3</v>
      </c>
      <c r="H160" s="108" t="s">
        <v>8348</v>
      </c>
      <c r="I160" s="110">
        <v>3</v>
      </c>
      <c r="J160" s="113"/>
      <c r="K160" s="108" t="s">
        <v>8349</v>
      </c>
      <c r="L160" s="110">
        <v>3</v>
      </c>
      <c r="M160" s="113"/>
      <c r="N160" s="108" t="s">
        <v>8347</v>
      </c>
      <c r="O160" s="110">
        <v>3</v>
      </c>
      <c r="P160" s="113"/>
      <c r="Q160" s="108" t="s">
        <v>8350</v>
      </c>
      <c r="R160" s="110">
        <v>3</v>
      </c>
      <c r="S160" s="113"/>
      <c r="T160" s="108" t="s">
        <v>47</v>
      </c>
      <c r="U160" s="114"/>
      <c r="V160" s="113"/>
      <c r="W160" s="108" t="s">
        <v>47</v>
      </c>
      <c r="X160" s="114"/>
      <c r="Y160" s="113"/>
      <c r="Z160" s="108" t="s">
        <v>47</v>
      </c>
      <c r="AA160" s="114"/>
      <c r="AB160" s="113"/>
      <c r="AC160" s="105" t="s">
        <v>440</v>
      </c>
      <c r="AD160" s="115" t="s">
        <v>49</v>
      </c>
    </row>
    <row r="161" spans="1:30" x14ac:dyDescent="0.2">
      <c r="A161" s="104" t="s">
        <v>441</v>
      </c>
      <c r="B161" s="105" t="s">
        <v>442</v>
      </c>
      <c r="C161" s="105" t="s">
        <v>443</v>
      </c>
      <c r="D161" s="106"/>
      <c r="E161" s="107"/>
      <c r="F161" s="108" t="s">
        <v>8351</v>
      </c>
      <c r="G161" s="120">
        <v>2</v>
      </c>
      <c r="H161" s="108" t="s">
        <v>8352</v>
      </c>
      <c r="I161" s="110">
        <v>3</v>
      </c>
      <c r="J161" s="111" t="s">
        <v>55</v>
      </c>
      <c r="K161" s="108" t="s">
        <v>8353</v>
      </c>
      <c r="L161" s="116">
        <v>1</v>
      </c>
      <c r="M161" s="113"/>
      <c r="N161" s="108" t="s">
        <v>8351</v>
      </c>
      <c r="O161" s="117">
        <v>2</v>
      </c>
      <c r="P161" s="113"/>
      <c r="Q161" s="108" t="s">
        <v>8351</v>
      </c>
      <c r="R161" s="117">
        <v>2</v>
      </c>
      <c r="S161" s="113"/>
      <c r="T161" s="108" t="s">
        <v>47</v>
      </c>
      <c r="U161" s="114"/>
      <c r="V161" s="113"/>
      <c r="W161" s="108" t="s">
        <v>47</v>
      </c>
      <c r="X161" s="114"/>
      <c r="Y161" s="113"/>
      <c r="Z161" s="108" t="s">
        <v>47</v>
      </c>
      <c r="AA161" s="114"/>
      <c r="AB161" s="113"/>
      <c r="AC161" s="105"/>
      <c r="AD161" s="115" t="s">
        <v>424</v>
      </c>
    </row>
    <row r="162" spans="1:30" x14ac:dyDescent="0.2">
      <c r="A162" s="104" t="s">
        <v>444</v>
      </c>
      <c r="B162" s="105" t="s">
        <v>442</v>
      </c>
      <c r="C162" s="105" t="s">
        <v>443</v>
      </c>
      <c r="D162" s="106"/>
      <c r="E162" s="107"/>
      <c r="F162" s="108" t="s">
        <v>8354</v>
      </c>
      <c r="G162" s="109">
        <v>4</v>
      </c>
      <c r="H162" s="108" t="s">
        <v>8351</v>
      </c>
      <c r="I162" s="117">
        <v>2</v>
      </c>
      <c r="J162" s="111" t="s">
        <v>40</v>
      </c>
      <c r="K162" s="108" t="s">
        <v>8352</v>
      </c>
      <c r="L162" s="110">
        <v>3</v>
      </c>
      <c r="M162" s="113"/>
      <c r="N162" s="108" t="s">
        <v>8354</v>
      </c>
      <c r="O162" s="112">
        <v>4</v>
      </c>
      <c r="P162" s="113"/>
      <c r="Q162" s="108" t="s">
        <v>8352</v>
      </c>
      <c r="R162" s="110">
        <v>3</v>
      </c>
      <c r="S162" s="113"/>
      <c r="T162" s="108" t="s">
        <v>47</v>
      </c>
      <c r="U162" s="114"/>
      <c r="V162" s="113"/>
      <c r="W162" s="108" t="s">
        <v>47</v>
      </c>
      <c r="X162" s="114"/>
      <c r="Y162" s="113"/>
      <c r="Z162" s="108" t="s">
        <v>47</v>
      </c>
      <c r="AA162" s="114"/>
      <c r="AB162" s="113"/>
      <c r="AC162" s="105" t="s">
        <v>445</v>
      </c>
      <c r="AD162" s="115" t="s">
        <v>424</v>
      </c>
    </row>
    <row r="163" spans="1:30" x14ac:dyDescent="0.2">
      <c r="A163" s="104" t="s">
        <v>446</v>
      </c>
      <c r="B163" s="105" t="s">
        <v>97</v>
      </c>
      <c r="C163" s="105" t="s">
        <v>447</v>
      </c>
      <c r="D163" s="106" t="s">
        <v>94</v>
      </c>
      <c r="E163" s="107"/>
      <c r="F163" s="108" t="s">
        <v>8355</v>
      </c>
      <c r="G163" s="119">
        <v>1</v>
      </c>
      <c r="H163" s="108" t="s">
        <v>8356</v>
      </c>
      <c r="I163" s="116">
        <v>1</v>
      </c>
      <c r="J163" s="113"/>
      <c r="K163" s="108" t="s">
        <v>8355</v>
      </c>
      <c r="L163" s="116">
        <v>1</v>
      </c>
      <c r="M163" s="113"/>
      <c r="N163" s="108" t="s">
        <v>8355</v>
      </c>
      <c r="O163" s="116">
        <v>1</v>
      </c>
      <c r="P163" s="113"/>
      <c r="Q163" s="108" t="s">
        <v>8357</v>
      </c>
      <c r="R163" s="116">
        <v>1</v>
      </c>
      <c r="S163" s="113"/>
      <c r="T163" s="108" t="s">
        <v>448</v>
      </c>
      <c r="U163" s="116">
        <v>1</v>
      </c>
      <c r="V163" s="113"/>
      <c r="W163" s="108" t="s">
        <v>449</v>
      </c>
      <c r="X163" s="116">
        <v>1</v>
      </c>
      <c r="Y163" s="113"/>
      <c r="Z163" s="108" t="s">
        <v>449</v>
      </c>
      <c r="AA163" s="116">
        <v>1</v>
      </c>
      <c r="AB163" s="111" t="s">
        <v>40</v>
      </c>
      <c r="AC163" s="105" t="s">
        <v>450</v>
      </c>
      <c r="AD163" s="115" t="s">
        <v>101</v>
      </c>
    </row>
    <row r="164" spans="1:30" x14ac:dyDescent="0.2">
      <c r="A164" s="104" t="s">
        <v>451</v>
      </c>
      <c r="B164" s="105" t="s">
        <v>97</v>
      </c>
      <c r="C164" s="105" t="s">
        <v>447</v>
      </c>
      <c r="D164" s="106" t="s">
        <v>94</v>
      </c>
      <c r="E164" s="107"/>
      <c r="F164" s="108" t="s">
        <v>8358</v>
      </c>
      <c r="G164" s="119">
        <v>1</v>
      </c>
      <c r="H164" s="108" t="s">
        <v>8359</v>
      </c>
      <c r="I164" s="116">
        <v>1</v>
      </c>
      <c r="J164" s="113"/>
      <c r="K164" s="108" t="s">
        <v>8358</v>
      </c>
      <c r="L164" s="116">
        <v>1</v>
      </c>
      <c r="M164" s="111" t="s">
        <v>157</v>
      </c>
      <c r="N164" s="108" t="s">
        <v>8358</v>
      </c>
      <c r="O164" s="116">
        <v>1</v>
      </c>
      <c r="P164" s="113"/>
      <c r="Q164" s="108" t="s">
        <v>452</v>
      </c>
      <c r="R164" s="117">
        <v>2</v>
      </c>
      <c r="S164" s="111" t="s">
        <v>46</v>
      </c>
      <c r="T164" s="108" t="s">
        <v>453</v>
      </c>
      <c r="U164" s="116">
        <v>1</v>
      </c>
      <c r="V164" s="113"/>
      <c r="W164" s="108" t="s">
        <v>454</v>
      </c>
      <c r="X164" s="116">
        <v>1</v>
      </c>
      <c r="Y164" s="113"/>
      <c r="Z164" s="108" t="s">
        <v>454</v>
      </c>
      <c r="AA164" s="116">
        <v>1</v>
      </c>
      <c r="AB164" s="111" t="s">
        <v>40</v>
      </c>
      <c r="AC164" s="105" t="s">
        <v>455</v>
      </c>
      <c r="AD164" s="115" t="s">
        <v>101</v>
      </c>
    </row>
    <row r="165" spans="1:30" x14ac:dyDescent="0.2">
      <c r="A165" s="104" t="s">
        <v>456</v>
      </c>
      <c r="B165" s="105" t="s">
        <v>42</v>
      </c>
      <c r="C165" s="105" t="s">
        <v>160</v>
      </c>
      <c r="D165" s="106"/>
      <c r="E165" s="107"/>
      <c r="F165" s="108" t="s">
        <v>8360</v>
      </c>
      <c r="G165" s="119">
        <v>1</v>
      </c>
      <c r="H165" s="108" t="s">
        <v>8361</v>
      </c>
      <c r="I165" s="116">
        <v>1</v>
      </c>
      <c r="J165" s="113"/>
      <c r="K165" s="108" t="s">
        <v>8362</v>
      </c>
      <c r="L165" s="116">
        <v>1</v>
      </c>
      <c r="M165" s="113"/>
      <c r="N165" s="108" t="s">
        <v>8360</v>
      </c>
      <c r="O165" s="116">
        <v>1</v>
      </c>
      <c r="P165" s="113"/>
      <c r="Q165" s="108" t="s">
        <v>8363</v>
      </c>
      <c r="R165" s="116">
        <v>1</v>
      </c>
      <c r="S165" s="113"/>
      <c r="T165" s="108" t="s">
        <v>8364</v>
      </c>
      <c r="U165" s="116">
        <v>1</v>
      </c>
      <c r="V165" s="113"/>
      <c r="W165" s="108" t="s">
        <v>47</v>
      </c>
      <c r="X165" s="114"/>
      <c r="Y165" s="113"/>
      <c r="Z165" s="108" t="s">
        <v>47</v>
      </c>
      <c r="AA165" s="114"/>
      <c r="AB165" s="113"/>
      <c r="AC165" s="105" t="s">
        <v>457</v>
      </c>
      <c r="AD165" s="115" t="s">
        <v>49</v>
      </c>
    </row>
    <row r="166" spans="1:30" x14ac:dyDescent="0.2">
      <c r="A166" s="104" t="s">
        <v>458</v>
      </c>
      <c r="B166" s="105" t="s">
        <v>42</v>
      </c>
      <c r="C166" s="105" t="s">
        <v>160</v>
      </c>
      <c r="D166" s="106"/>
      <c r="E166" s="107"/>
      <c r="F166" s="108" t="s">
        <v>8365</v>
      </c>
      <c r="G166" s="120">
        <v>2</v>
      </c>
      <c r="H166" s="108" t="s">
        <v>8366</v>
      </c>
      <c r="I166" s="117">
        <v>2</v>
      </c>
      <c r="J166" s="113"/>
      <c r="K166" s="108" t="s">
        <v>8367</v>
      </c>
      <c r="L166" s="117">
        <v>2</v>
      </c>
      <c r="M166" s="113"/>
      <c r="N166" s="108" t="s">
        <v>8365</v>
      </c>
      <c r="O166" s="117">
        <v>2</v>
      </c>
      <c r="P166" s="113"/>
      <c r="Q166" s="108" t="s">
        <v>8368</v>
      </c>
      <c r="R166" s="117">
        <v>2</v>
      </c>
      <c r="S166" s="113"/>
      <c r="T166" s="108" t="s">
        <v>8369</v>
      </c>
      <c r="U166" s="117">
        <v>2</v>
      </c>
      <c r="V166" s="113"/>
      <c r="W166" s="108" t="s">
        <v>47</v>
      </c>
      <c r="X166" s="114"/>
      <c r="Y166" s="113"/>
      <c r="Z166" s="108" t="s">
        <v>47</v>
      </c>
      <c r="AA166" s="114"/>
      <c r="AB166" s="113"/>
      <c r="AC166" s="105" t="s">
        <v>459</v>
      </c>
      <c r="AD166" s="115" t="s">
        <v>49</v>
      </c>
    </row>
    <row r="167" spans="1:30" x14ac:dyDescent="0.2">
      <c r="A167" s="104" t="s">
        <v>460</v>
      </c>
      <c r="B167" s="105" t="s">
        <v>42</v>
      </c>
      <c r="C167" s="105" t="s">
        <v>160</v>
      </c>
      <c r="D167" s="106"/>
      <c r="E167" s="107"/>
      <c r="F167" s="108" t="s">
        <v>8370</v>
      </c>
      <c r="G167" s="119">
        <v>1</v>
      </c>
      <c r="H167" s="108" t="s">
        <v>8371</v>
      </c>
      <c r="I167" s="116">
        <v>1</v>
      </c>
      <c r="J167" s="113"/>
      <c r="K167" s="108" t="s">
        <v>8372</v>
      </c>
      <c r="L167" s="116">
        <v>1</v>
      </c>
      <c r="M167" s="113"/>
      <c r="N167" s="108" t="s">
        <v>8370</v>
      </c>
      <c r="O167" s="116">
        <v>1</v>
      </c>
      <c r="P167" s="113"/>
      <c r="Q167" s="108" t="s">
        <v>8373</v>
      </c>
      <c r="R167" s="116">
        <v>1</v>
      </c>
      <c r="S167" s="113"/>
      <c r="T167" s="108" t="s">
        <v>47</v>
      </c>
      <c r="U167" s="114"/>
      <c r="V167" s="113"/>
      <c r="W167" s="108" t="s">
        <v>47</v>
      </c>
      <c r="X167" s="114"/>
      <c r="Y167" s="113"/>
      <c r="Z167" s="108" t="s">
        <v>47</v>
      </c>
      <c r="AA167" s="114"/>
      <c r="AB167" s="113"/>
      <c r="AC167" s="105" t="s">
        <v>461</v>
      </c>
      <c r="AD167" s="115" t="s">
        <v>49</v>
      </c>
    </row>
    <row r="168" spans="1:30" x14ac:dyDescent="0.2">
      <c r="A168" s="104" t="s">
        <v>462</v>
      </c>
      <c r="B168" s="105" t="s">
        <v>42</v>
      </c>
      <c r="C168" s="105" t="s">
        <v>160</v>
      </c>
      <c r="D168" s="106"/>
      <c r="E168" s="107"/>
      <c r="F168" s="108" t="s">
        <v>8374</v>
      </c>
      <c r="G168" s="119">
        <v>1</v>
      </c>
      <c r="H168" s="108" t="s">
        <v>8361</v>
      </c>
      <c r="I168" s="116">
        <v>1</v>
      </c>
      <c r="J168" s="113"/>
      <c r="K168" s="108" t="s">
        <v>8362</v>
      </c>
      <c r="L168" s="116">
        <v>1</v>
      </c>
      <c r="M168" s="113"/>
      <c r="N168" s="108" t="s">
        <v>8374</v>
      </c>
      <c r="O168" s="116">
        <v>1</v>
      </c>
      <c r="P168" s="113"/>
      <c r="Q168" s="108" t="s">
        <v>8375</v>
      </c>
      <c r="R168" s="117">
        <v>2</v>
      </c>
      <c r="S168" s="111" t="s">
        <v>46</v>
      </c>
      <c r="T168" s="108" t="s">
        <v>8376</v>
      </c>
      <c r="U168" s="116">
        <v>1</v>
      </c>
      <c r="V168" s="113"/>
      <c r="W168" s="108" t="s">
        <v>8377</v>
      </c>
      <c r="X168" s="116">
        <v>1</v>
      </c>
      <c r="Y168" s="113"/>
      <c r="Z168" s="108" t="s">
        <v>8378</v>
      </c>
      <c r="AA168" s="117">
        <v>2</v>
      </c>
      <c r="AB168" s="111" t="s">
        <v>46</v>
      </c>
      <c r="AC168" s="105" t="s">
        <v>463</v>
      </c>
      <c r="AD168" s="115" t="s">
        <v>49</v>
      </c>
    </row>
    <row r="169" spans="1:30" x14ac:dyDescent="0.2">
      <c r="A169" s="104" t="s">
        <v>464</v>
      </c>
      <c r="B169" s="105" t="s">
        <v>42</v>
      </c>
      <c r="C169" s="105" t="s">
        <v>160</v>
      </c>
      <c r="D169" s="106"/>
      <c r="E169" s="107"/>
      <c r="F169" s="108" t="s">
        <v>8374</v>
      </c>
      <c r="G169" s="119">
        <v>1</v>
      </c>
      <c r="H169" s="108" t="s">
        <v>8361</v>
      </c>
      <c r="I169" s="116">
        <v>1</v>
      </c>
      <c r="J169" s="113"/>
      <c r="K169" s="108" t="s">
        <v>8362</v>
      </c>
      <c r="L169" s="116">
        <v>1</v>
      </c>
      <c r="M169" s="113"/>
      <c r="N169" s="108" t="s">
        <v>8374</v>
      </c>
      <c r="O169" s="116">
        <v>1</v>
      </c>
      <c r="P169" s="113"/>
      <c r="Q169" s="108" t="s">
        <v>8379</v>
      </c>
      <c r="R169" s="117">
        <v>2</v>
      </c>
      <c r="S169" s="111" t="s">
        <v>46</v>
      </c>
      <c r="T169" s="108" t="s">
        <v>8380</v>
      </c>
      <c r="U169" s="116">
        <v>1</v>
      </c>
      <c r="V169" s="113"/>
      <c r="W169" s="108" t="s">
        <v>8381</v>
      </c>
      <c r="X169" s="116">
        <v>1</v>
      </c>
      <c r="Y169" s="113"/>
      <c r="Z169" s="108" t="s">
        <v>47</v>
      </c>
      <c r="AA169" s="114"/>
      <c r="AB169" s="113"/>
      <c r="AC169" s="105" t="s">
        <v>465</v>
      </c>
      <c r="AD169" s="115" t="s">
        <v>49</v>
      </c>
    </row>
    <row r="170" spans="1:30" x14ac:dyDescent="0.2">
      <c r="A170" s="104" t="s">
        <v>466</v>
      </c>
      <c r="B170" s="105" t="s">
        <v>42</v>
      </c>
      <c r="C170" s="105" t="s">
        <v>160</v>
      </c>
      <c r="D170" s="106"/>
      <c r="E170" s="107"/>
      <c r="F170" s="108" t="s">
        <v>47</v>
      </c>
      <c r="G170" s="113"/>
      <c r="H170" s="108" t="s">
        <v>8382</v>
      </c>
      <c r="I170" s="117">
        <v>2</v>
      </c>
      <c r="J170" s="113"/>
      <c r="K170" s="108" t="s">
        <v>8383</v>
      </c>
      <c r="L170" s="117">
        <v>2</v>
      </c>
      <c r="M170" s="113"/>
      <c r="N170" s="108" t="s">
        <v>47</v>
      </c>
      <c r="O170" s="114"/>
      <c r="P170" s="113"/>
      <c r="Q170" s="108" t="s">
        <v>47</v>
      </c>
      <c r="R170" s="114"/>
      <c r="S170" s="113"/>
      <c r="T170" s="108" t="s">
        <v>47</v>
      </c>
      <c r="U170" s="114"/>
      <c r="V170" s="113"/>
      <c r="W170" s="108" t="s">
        <v>47</v>
      </c>
      <c r="X170" s="114"/>
      <c r="Y170" s="113"/>
      <c r="Z170" s="108" t="s">
        <v>47</v>
      </c>
      <c r="AA170" s="114"/>
      <c r="AB170" s="113"/>
      <c r="AC170" s="105" t="s">
        <v>467</v>
      </c>
      <c r="AD170" s="115" t="s">
        <v>49</v>
      </c>
    </row>
    <row r="171" spans="1:30" x14ac:dyDescent="0.2">
      <c r="A171" s="104" t="s">
        <v>468</v>
      </c>
      <c r="B171" s="105" t="s">
        <v>42</v>
      </c>
      <c r="C171" s="105" t="s">
        <v>160</v>
      </c>
      <c r="D171" s="106"/>
      <c r="E171" s="107"/>
      <c r="F171" s="108" t="s">
        <v>8384</v>
      </c>
      <c r="G171" s="118">
        <v>3</v>
      </c>
      <c r="H171" s="108" t="s">
        <v>8385</v>
      </c>
      <c r="I171" s="110">
        <v>3</v>
      </c>
      <c r="J171" s="113"/>
      <c r="K171" s="108" t="s">
        <v>469</v>
      </c>
      <c r="L171" s="110">
        <v>3</v>
      </c>
      <c r="M171" s="113"/>
      <c r="N171" s="108" t="s">
        <v>8384</v>
      </c>
      <c r="O171" s="110">
        <v>3</v>
      </c>
      <c r="P171" s="113"/>
      <c r="Q171" s="108" t="s">
        <v>8386</v>
      </c>
      <c r="R171" s="110">
        <v>3</v>
      </c>
      <c r="S171" s="113"/>
      <c r="T171" s="108" t="s">
        <v>8387</v>
      </c>
      <c r="U171" s="110">
        <v>3</v>
      </c>
      <c r="V171" s="113"/>
      <c r="W171" s="108" t="s">
        <v>47</v>
      </c>
      <c r="X171" s="114"/>
      <c r="Y171" s="113"/>
      <c r="Z171" s="108" t="s">
        <v>47</v>
      </c>
      <c r="AA171" s="114"/>
      <c r="AB171" s="113"/>
      <c r="AC171" s="105" t="s">
        <v>470</v>
      </c>
      <c r="AD171" s="115" t="s">
        <v>49</v>
      </c>
    </row>
    <row r="172" spans="1:30" x14ac:dyDescent="0.2">
      <c r="A172" s="104" t="s">
        <v>471</v>
      </c>
      <c r="B172" s="105" t="s">
        <v>42</v>
      </c>
      <c r="C172" s="105" t="s">
        <v>160</v>
      </c>
      <c r="D172" s="106"/>
      <c r="E172" s="107"/>
      <c r="F172" s="108" t="s">
        <v>8388</v>
      </c>
      <c r="G172" s="120">
        <v>2</v>
      </c>
      <c r="H172" s="108" t="s">
        <v>8389</v>
      </c>
      <c r="I172" s="117">
        <v>2</v>
      </c>
      <c r="J172" s="113"/>
      <c r="K172" s="108" t="s">
        <v>8390</v>
      </c>
      <c r="L172" s="117">
        <v>2</v>
      </c>
      <c r="M172" s="113"/>
      <c r="N172" s="108" t="s">
        <v>8388</v>
      </c>
      <c r="O172" s="117">
        <v>2</v>
      </c>
      <c r="P172" s="113"/>
      <c r="Q172" s="108" t="s">
        <v>8391</v>
      </c>
      <c r="R172" s="117">
        <v>2</v>
      </c>
      <c r="S172" s="113"/>
      <c r="T172" s="108" t="s">
        <v>8392</v>
      </c>
      <c r="U172" s="117">
        <v>2</v>
      </c>
      <c r="V172" s="113"/>
      <c r="W172" s="108" t="s">
        <v>47</v>
      </c>
      <c r="X172" s="114"/>
      <c r="Y172" s="113"/>
      <c r="Z172" s="108" t="s">
        <v>47</v>
      </c>
      <c r="AA172" s="114"/>
      <c r="AB172" s="113"/>
      <c r="AC172" s="105" t="s">
        <v>472</v>
      </c>
      <c r="AD172" s="115" t="s">
        <v>49</v>
      </c>
    </row>
    <row r="173" spans="1:30" x14ac:dyDescent="0.2">
      <c r="A173" s="104" t="s">
        <v>473</v>
      </c>
      <c r="B173" s="105" t="s">
        <v>42</v>
      </c>
      <c r="C173" s="105" t="s">
        <v>160</v>
      </c>
      <c r="D173" s="106"/>
      <c r="E173" s="107"/>
      <c r="F173" s="108" t="s">
        <v>8393</v>
      </c>
      <c r="G173" s="118">
        <v>3</v>
      </c>
      <c r="H173" s="108" t="s">
        <v>8394</v>
      </c>
      <c r="I173" s="110">
        <v>3</v>
      </c>
      <c r="J173" s="113"/>
      <c r="K173" s="108" t="s">
        <v>474</v>
      </c>
      <c r="L173" s="110">
        <v>3</v>
      </c>
      <c r="M173" s="113"/>
      <c r="N173" s="108" t="s">
        <v>8393</v>
      </c>
      <c r="O173" s="110">
        <v>3</v>
      </c>
      <c r="P173" s="113"/>
      <c r="Q173" s="108" t="s">
        <v>8395</v>
      </c>
      <c r="R173" s="110">
        <v>3</v>
      </c>
      <c r="S173" s="113"/>
      <c r="T173" s="108" t="s">
        <v>8396</v>
      </c>
      <c r="U173" s="110">
        <v>3</v>
      </c>
      <c r="V173" s="113"/>
      <c r="W173" s="108" t="s">
        <v>8397</v>
      </c>
      <c r="X173" s="110">
        <v>3</v>
      </c>
      <c r="Y173" s="113"/>
      <c r="Z173" s="108" t="s">
        <v>47</v>
      </c>
      <c r="AA173" s="114"/>
      <c r="AB173" s="113"/>
      <c r="AC173" s="105" t="s">
        <v>475</v>
      </c>
      <c r="AD173" s="115" t="s">
        <v>49</v>
      </c>
    </row>
    <row r="174" spans="1:30" x14ac:dyDescent="0.2">
      <c r="A174" s="104" t="s">
        <v>476</v>
      </c>
      <c r="B174" s="105" t="s">
        <v>42</v>
      </c>
      <c r="C174" s="105" t="s">
        <v>160</v>
      </c>
      <c r="D174" s="106"/>
      <c r="E174" s="107"/>
      <c r="F174" s="108" t="s">
        <v>8398</v>
      </c>
      <c r="G174" s="120">
        <v>2</v>
      </c>
      <c r="H174" s="108" t="s">
        <v>8389</v>
      </c>
      <c r="I174" s="117">
        <v>2</v>
      </c>
      <c r="J174" s="113"/>
      <c r="K174" s="108" t="s">
        <v>8390</v>
      </c>
      <c r="L174" s="117">
        <v>2</v>
      </c>
      <c r="M174" s="113"/>
      <c r="N174" s="108" t="s">
        <v>8398</v>
      </c>
      <c r="O174" s="117">
        <v>2</v>
      </c>
      <c r="P174" s="113"/>
      <c r="Q174" s="108" t="s">
        <v>8399</v>
      </c>
      <c r="R174" s="117">
        <v>2</v>
      </c>
      <c r="S174" s="113"/>
      <c r="T174" s="108" t="s">
        <v>8400</v>
      </c>
      <c r="U174" s="117">
        <v>2</v>
      </c>
      <c r="V174" s="113"/>
      <c r="W174" s="108" t="s">
        <v>8401</v>
      </c>
      <c r="X174" s="117">
        <v>2</v>
      </c>
      <c r="Y174" s="113"/>
      <c r="Z174" s="108" t="s">
        <v>8402</v>
      </c>
      <c r="AA174" s="117">
        <v>2</v>
      </c>
      <c r="AB174" s="111" t="s">
        <v>46</v>
      </c>
      <c r="AC174" s="105" t="s">
        <v>477</v>
      </c>
      <c r="AD174" s="115" t="s">
        <v>49</v>
      </c>
    </row>
    <row r="175" spans="1:30" x14ac:dyDescent="0.2">
      <c r="A175" s="104" t="s">
        <v>478</v>
      </c>
      <c r="B175" s="105" t="s">
        <v>42</v>
      </c>
      <c r="C175" s="105" t="s">
        <v>160</v>
      </c>
      <c r="D175" s="106"/>
      <c r="E175" s="107"/>
      <c r="F175" s="108" t="s">
        <v>8403</v>
      </c>
      <c r="G175" s="119">
        <v>1</v>
      </c>
      <c r="H175" s="108" t="s">
        <v>8404</v>
      </c>
      <c r="I175" s="116">
        <v>1</v>
      </c>
      <c r="J175" s="113"/>
      <c r="K175" s="108" t="s">
        <v>479</v>
      </c>
      <c r="L175" s="116">
        <v>1</v>
      </c>
      <c r="M175" s="113"/>
      <c r="N175" s="108" t="s">
        <v>8403</v>
      </c>
      <c r="O175" s="116">
        <v>1</v>
      </c>
      <c r="P175" s="111" t="s">
        <v>40</v>
      </c>
      <c r="Q175" s="108" t="s">
        <v>8405</v>
      </c>
      <c r="R175" s="117">
        <v>2</v>
      </c>
      <c r="S175" s="111" t="s">
        <v>46</v>
      </c>
      <c r="T175" s="108" t="s">
        <v>47</v>
      </c>
      <c r="U175" s="114"/>
      <c r="V175" s="113"/>
      <c r="W175" s="108" t="s">
        <v>47</v>
      </c>
      <c r="X175" s="114"/>
      <c r="Y175" s="113"/>
      <c r="Z175" s="108" t="s">
        <v>47</v>
      </c>
      <c r="AA175" s="114"/>
      <c r="AB175" s="113"/>
      <c r="AC175" s="105" t="s">
        <v>480</v>
      </c>
      <c r="AD175" s="115" t="s">
        <v>49</v>
      </c>
    </row>
    <row r="176" spans="1:30" x14ac:dyDescent="0.2">
      <c r="A176" s="104" t="s">
        <v>481</v>
      </c>
      <c r="B176" s="105" t="s">
        <v>42</v>
      </c>
      <c r="C176" s="105" t="s">
        <v>160</v>
      </c>
      <c r="D176" s="106"/>
      <c r="E176" s="107"/>
      <c r="F176" s="108" t="s">
        <v>8406</v>
      </c>
      <c r="G176" s="118">
        <v>3</v>
      </c>
      <c r="H176" s="108" t="s">
        <v>8407</v>
      </c>
      <c r="I176" s="110">
        <v>3</v>
      </c>
      <c r="J176" s="113"/>
      <c r="K176" s="108" t="s">
        <v>8408</v>
      </c>
      <c r="L176" s="110">
        <v>3</v>
      </c>
      <c r="M176" s="113"/>
      <c r="N176" s="108" t="s">
        <v>8406</v>
      </c>
      <c r="O176" s="110">
        <v>3</v>
      </c>
      <c r="P176" s="113"/>
      <c r="Q176" s="108" t="s">
        <v>8409</v>
      </c>
      <c r="R176" s="110">
        <v>3</v>
      </c>
      <c r="S176" s="113"/>
      <c r="T176" s="108" t="s">
        <v>8410</v>
      </c>
      <c r="U176" s="110">
        <v>3</v>
      </c>
      <c r="V176" s="113"/>
      <c r="W176" s="108" t="s">
        <v>8411</v>
      </c>
      <c r="X176" s="110">
        <v>3</v>
      </c>
      <c r="Y176" s="113"/>
      <c r="Z176" s="108" t="s">
        <v>47</v>
      </c>
      <c r="AA176" s="114"/>
      <c r="AB176" s="113"/>
      <c r="AC176" s="105" t="s">
        <v>482</v>
      </c>
      <c r="AD176" s="115" t="s">
        <v>49</v>
      </c>
    </row>
    <row r="177" spans="1:30" x14ac:dyDescent="0.2">
      <c r="A177" s="104" t="s">
        <v>483</v>
      </c>
      <c r="B177" s="105" t="s">
        <v>42</v>
      </c>
      <c r="C177" s="105" t="s">
        <v>160</v>
      </c>
      <c r="D177" s="106"/>
      <c r="E177" s="107"/>
      <c r="F177" s="108" t="s">
        <v>8412</v>
      </c>
      <c r="G177" s="120">
        <v>2</v>
      </c>
      <c r="H177" s="108" t="s">
        <v>8413</v>
      </c>
      <c r="I177" s="117">
        <v>2</v>
      </c>
      <c r="J177" s="113"/>
      <c r="K177" s="108" t="s">
        <v>8414</v>
      </c>
      <c r="L177" s="117">
        <v>2</v>
      </c>
      <c r="M177" s="113"/>
      <c r="N177" s="108" t="s">
        <v>8412</v>
      </c>
      <c r="O177" s="117">
        <v>2</v>
      </c>
      <c r="P177" s="113"/>
      <c r="Q177" s="108" t="s">
        <v>8415</v>
      </c>
      <c r="R177" s="117">
        <v>2</v>
      </c>
      <c r="S177" s="111" t="s">
        <v>40</v>
      </c>
      <c r="T177" s="108" t="s">
        <v>8416</v>
      </c>
      <c r="U177" s="117">
        <v>2</v>
      </c>
      <c r="V177" s="113"/>
      <c r="W177" s="108" t="s">
        <v>8417</v>
      </c>
      <c r="X177" s="117">
        <v>2</v>
      </c>
      <c r="Y177" s="113"/>
      <c r="Z177" s="108" t="s">
        <v>47</v>
      </c>
      <c r="AA177" s="114"/>
      <c r="AB177" s="113"/>
      <c r="AC177" s="105" t="s">
        <v>484</v>
      </c>
      <c r="AD177" s="115" t="s">
        <v>49</v>
      </c>
    </row>
    <row r="178" spans="1:30" x14ac:dyDescent="0.2">
      <c r="A178" s="104" t="s">
        <v>485</v>
      </c>
      <c r="B178" s="105" t="s">
        <v>212</v>
      </c>
      <c r="C178" s="105" t="s">
        <v>112</v>
      </c>
      <c r="D178" s="106"/>
      <c r="E178" s="107"/>
      <c r="F178" s="108" t="s">
        <v>8418</v>
      </c>
      <c r="G178" s="118">
        <v>3</v>
      </c>
      <c r="H178" s="108" t="s">
        <v>8419</v>
      </c>
      <c r="I178" s="117">
        <v>2</v>
      </c>
      <c r="J178" s="111" t="s">
        <v>46</v>
      </c>
      <c r="K178" s="108" t="s">
        <v>8420</v>
      </c>
      <c r="L178" s="117">
        <v>2</v>
      </c>
      <c r="M178" s="113"/>
      <c r="N178" s="108" t="s">
        <v>8418</v>
      </c>
      <c r="O178" s="110">
        <v>3</v>
      </c>
      <c r="P178" s="113"/>
      <c r="Q178" s="108" t="s">
        <v>8421</v>
      </c>
      <c r="R178" s="110">
        <v>3</v>
      </c>
      <c r="S178" s="113"/>
      <c r="T178" s="108" t="s">
        <v>47</v>
      </c>
      <c r="U178" s="114"/>
      <c r="V178" s="113"/>
      <c r="W178" s="108" t="s">
        <v>47</v>
      </c>
      <c r="X178" s="114"/>
      <c r="Y178" s="113"/>
      <c r="Z178" s="108" t="s">
        <v>47</v>
      </c>
      <c r="AA178" s="114"/>
      <c r="AB178" s="113"/>
      <c r="AC178" s="105" t="s">
        <v>486</v>
      </c>
      <c r="AD178" s="115" t="s">
        <v>49</v>
      </c>
    </row>
    <row r="179" spans="1:30" x14ac:dyDescent="0.2">
      <c r="A179" s="104" t="s">
        <v>487</v>
      </c>
      <c r="B179" s="105" t="s">
        <v>381</v>
      </c>
      <c r="C179" s="105" t="s">
        <v>488</v>
      </c>
      <c r="D179" s="106" t="s">
        <v>125</v>
      </c>
      <c r="E179" s="107" t="s">
        <v>146</v>
      </c>
      <c r="F179" s="108" t="s">
        <v>8422</v>
      </c>
      <c r="G179" s="120">
        <v>2</v>
      </c>
      <c r="H179" s="108" t="s">
        <v>8423</v>
      </c>
      <c r="I179" s="112">
        <v>4</v>
      </c>
      <c r="J179" s="111" t="s">
        <v>55</v>
      </c>
      <c r="K179" s="108" t="s">
        <v>8424</v>
      </c>
      <c r="L179" s="110">
        <v>3</v>
      </c>
      <c r="M179" s="111" t="s">
        <v>46</v>
      </c>
      <c r="N179" s="108" t="s">
        <v>8422</v>
      </c>
      <c r="O179" s="117">
        <v>2</v>
      </c>
      <c r="P179" s="113"/>
      <c r="Q179" s="108" t="s">
        <v>489</v>
      </c>
      <c r="R179" s="117">
        <v>2</v>
      </c>
      <c r="S179" s="113"/>
      <c r="T179" s="108" t="s">
        <v>8425</v>
      </c>
      <c r="U179" s="110">
        <v>3</v>
      </c>
      <c r="V179" s="113"/>
      <c r="W179" s="108" t="s">
        <v>8426</v>
      </c>
      <c r="X179" s="110">
        <v>3</v>
      </c>
      <c r="Y179" s="111" t="s">
        <v>46</v>
      </c>
      <c r="Z179" s="108" t="s">
        <v>8427</v>
      </c>
      <c r="AA179" s="110">
        <v>3</v>
      </c>
      <c r="AB179" s="111" t="s">
        <v>46</v>
      </c>
      <c r="AC179" s="105" t="s">
        <v>490</v>
      </c>
      <c r="AD179" s="115" t="s">
        <v>101</v>
      </c>
    </row>
    <row r="180" spans="1:30" x14ac:dyDescent="0.2">
      <c r="A180" s="104" t="s">
        <v>491</v>
      </c>
      <c r="B180" s="105" t="s">
        <v>381</v>
      </c>
      <c r="C180" s="105" t="s">
        <v>411</v>
      </c>
      <c r="D180" s="106" t="s">
        <v>94</v>
      </c>
      <c r="E180" s="107"/>
      <c r="F180" s="108" t="s">
        <v>492</v>
      </c>
      <c r="G180" s="119">
        <v>1</v>
      </c>
      <c r="H180" s="108" t="s">
        <v>8428</v>
      </c>
      <c r="I180" s="110">
        <v>3</v>
      </c>
      <c r="J180" s="113"/>
      <c r="K180" s="108" t="s">
        <v>8429</v>
      </c>
      <c r="L180" s="117">
        <v>2</v>
      </c>
      <c r="M180" s="111" t="s">
        <v>46</v>
      </c>
      <c r="N180" s="108" t="s">
        <v>492</v>
      </c>
      <c r="O180" s="116">
        <v>1</v>
      </c>
      <c r="P180" s="113"/>
      <c r="Q180" s="108" t="s">
        <v>8430</v>
      </c>
      <c r="R180" s="116">
        <v>1</v>
      </c>
      <c r="S180" s="113"/>
      <c r="T180" s="108" t="s">
        <v>8431</v>
      </c>
      <c r="U180" s="116">
        <v>1</v>
      </c>
      <c r="V180" s="113"/>
      <c r="W180" s="108" t="s">
        <v>8432</v>
      </c>
      <c r="X180" s="116">
        <v>1</v>
      </c>
      <c r="Y180" s="113"/>
      <c r="Z180" s="108" t="s">
        <v>47</v>
      </c>
      <c r="AA180" s="114"/>
      <c r="AB180" s="113"/>
      <c r="AC180" s="105" t="s">
        <v>493</v>
      </c>
      <c r="AD180" s="115" t="s">
        <v>101</v>
      </c>
    </row>
    <row r="181" spans="1:30" x14ac:dyDescent="0.2">
      <c r="A181" s="104" t="s">
        <v>494</v>
      </c>
      <c r="B181" s="105" t="s">
        <v>42</v>
      </c>
      <c r="C181" s="105" t="s">
        <v>495</v>
      </c>
      <c r="D181" s="106" t="s">
        <v>105</v>
      </c>
      <c r="E181" s="107" t="s">
        <v>99</v>
      </c>
      <c r="F181" s="108" t="s">
        <v>8433</v>
      </c>
      <c r="G181" s="120">
        <v>2</v>
      </c>
      <c r="H181" s="108" t="s">
        <v>496</v>
      </c>
      <c r="I181" s="117">
        <v>2</v>
      </c>
      <c r="J181" s="111" t="s">
        <v>46</v>
      </c>
      <c r="K181" s="108" t="s">
        <v>8434</v>
      </c>
      <c r="L181" s="117">
        <v>2</v>
      </c>
      <c r="M181" s="113"/>
      <c r="N181" s="108" t="s">
        <v>8433</v>
      </c>
      <c r="O181" s="117">
        <v>2</v>
      </c>
      <c r="P181" s="113"/>
      <c r="Q181" s="108" t="s">
        <v>8435</v>
      </c>
      <c r="R181" s="110">
        <v>3</v>
      </c>
      <c r="S181" s="111" t="s">
        <v>46</v>
      </c>
      <c r="T181" s="108" t="s">
        <v>8436</v>
      </c>
      <c r="U181" s="112">
        <v>4</v>
      </c>
      <c r="V181" s="113"/>
      <c r="W181" s="108" t="s">
        <v>8437</v>
      </c>
      <c r="X181" s="110">
        <v>3</v>
      </c>
      <c r="Y181" s="113"/>
      <c r="Z181" s="108" t="s">
        <v>497</v>
      </c>
      <c r="AA181" s="112">
        <v>4</v>
      </c>
      <c r="AB181" s="113"/>
      <c r="AC181" s="105" t="s">
        <v>498</v>
      </c>
      <c r="AD181" s="115" t="s">
        <v>107</v>
      </c>
    </row>
    <row r="182" spans="1:30" x14ac:dyDescent="0.2">
      <c r="A182" s="104" t="s">
        <v>499</v>
      </c>
      <c r="B182" s="105" t="s">
        <v>42</v>
      </c>
      <c r="C182" s="105" t="s">
        <v>98</v>
      </c>
      <c r="D182" s="106"/>
      <c r="E182" s="107"/>
      <c r="F182" s="108" t="s">
        <v>8438</v>
      </c>
      <c r="G182" s="119">
        <v>1</v>
      </c>
      <c r="H182" s="108" t="s">
        <v>8439</v>
      </c>
      <c r="I182" s="112">
        <v>4</v>
      </c>
      <c r="J182" s="111" t="s">
        <v>55</v>
      </c>
      <c r="K182" s="108" t="s">
        <v>8440</v>
      </c>
      <c r="L182" s="117">
        <v>2</v>
      </c>
      <c r="M182" s="113"/>
      <c r="N182" s="108" t="s">
        <v>8438</v>
      </c>
      <c r="O182" s="116">
        <v>1</v>
      </c>
      <c r="P182" s="113"/>
      <c r="Q182" s="108" t="s">
        <v>8441</v>
      </c>
      <c r="R182" s="116">
        <v>1</v>
      </c>
      <c r="S182" s="113"/>
      <c r="T182" s="108" t="s">
        <v>47</v>
      </c>
      <c r="U182" s="114"/>
      <c r="V182" s="113"/>
      <c r="W182" s="108" t="s">
        <v>47</v>
      </c>
      <c r="X182" s="114"/>
      <c r="Y182" s="113"/>
      <c r="Z182" s="108" t="s">
        <v>47</v>
      </c>
      <c r="AA182" s="114"/>
      <c r="AB182" s="113"/>
      <c r="AC182" s="105" t="s">
        <v>500</v>
      </c>
      <c r="AD182" s="115" t="s">
        <v>180</v>
      </c>
    </row>
    <row r="183" spans="1:30" x14ac:dyDescent="0.2">
      <c r="A183" s="104" t="s">
        <v>501</v>
      </c>
      <c r="B183" s="105" t="s">
        <v>42</v>
      </c>
      <c r="C183" s="105" t="s">
        <v>98</v>
      </c>
      <c r="D183" s="106"/>
      <c r="E183" s="107"/>
      <c r="F183" s="108" t="s">
        <v>8442</v>
      </c>
      <c r="G183" s="119">
        <v>1</v>
      </c>
      <c r="H183" s="108" t="s">
        <v>8443</v>
      </c>
      <c r="I183" s="112">
        <v>4</v>
      </c>
      <c r="J183" s="111" t="s">
        <v>55</v>
      </c>
      <c r="K183" s="108" t="s">
        <v>502</v>
      </c>
      <c r="L183" s="117">
        <v>2</v>
      </c>
      <c r="M183" s="113"/>
      <c r="N183" s="108" t="s">
        <v>8442</v>
      </c>
      <c r="O183" s="116">
        <v>1</v>
      </c>
      <c r="P183" s="111" t="s">
        <v>40</v>
      </c>
      <c r="Q183" s="108" t="s">
        <v>8444</v>
      </c>
      <c r="R183" s="116">
        <v>1</v>
      </c>
      <c r="S183" s="113"/>
      <c r="T183" s="108" t="s">
        <v>47</v>
      </c>
      <c r="U183" s="114"/>
      <c r="V183" s="113"/>
      <c r="W183" s="108" t="s">
        <v>47</v>
      </c>
      <c r="X183" s="114"/>
      <c r="Y183" s="113"/>
      <c r="Z183" s="108" t="s">
        <v>47</v>
      </c>
      <c r="AA183" s="114"/>
      <c r="AB183" s="113"/>
      <c r="AC183" s="105" t="s">
        <v>503</v>
      </c>
      <c r="AD183" s="115" t="s">
        <v>180</v>
      </c>
    </row>
    <row r="184" spans="1:30" x14ac:dyDescent="0.2">
      <c r="A184" s="104" t="s">
        <v>504</v>
      </c>
      <c r="B184" s="105" t="s">
        <v>111</v>
      </c>
      <c r="C184" s="105" t="s">
        <v>132</v>
      </c>
      <c r="D184" s="106" t="s">
        <v>105</v>
      </c>
      <c r="E184" s="107"/>
      <c r="F184" s="108" t="s">
        <v>8445</v>
      </c>
      <c r="G184" s="118">
        <v>3</v>
      </c>
      <c r="H184" s="108" t="s">
        <v>8446</v>
      </c>
      <c r="I184" s="117">
        <v>2</v>
      </c>
      <c r="J184" s="111" t="s">
        <v>40</v>
      </c>
      <c r="K184" s="108" t="s">
        <v>8447</v>
      </c>
      <c r="L184" s="110">
        <v>3</v>
      </c>
      <c r="M184" s="113"/>
      <c r="N184" s="108" t="s">
        <v>8445</v>
      </c>
      <c r="O184" s="110">
        <v>3</v>
      </c>
      <c r="P184" s="113"/>
      <c r="Q184" s="108" t="s">
        <v>8448</v>
      </c>
      <c r="R184" s="110">
        <v>3</v>
      </c>
      <c r="S184" s="113"/>
      <c r="T184" s="108" t="s">
        <v>8449</v>
      </c>
      <c r="U184" s="110">
        <v>3</v>
      </c>
      <c r="V184" s="113"/>
      <c r="W184" s="108" t="s">
        <v>505</v>
      </c>
      <c r="X184" s="110">
        <v>3</v>
      </c>
      <c r="Y184" s="113"/>
      <c r="Z184" s="108" t="s">
        <v>8450</v>
      </c>
      <c r="AA184" s="112">
        <v>4</v>
      </c>
      <c r="AB184" s="113"/>
      <c r="AC184" s="105" t="s">
        <v>506</v>
      </c>
      <c r="AD184" s="115" t="s">
        <v>101</v>
      </c>
    </row>
    <row r="185" spans="1:30" x14ac:dyDescent="0.2">
      <c r="A185" s="104" t="s">
        <v>507</v>
      </c>
      <c r="B185" s="105" t="s">
        <v>42</v>
      </c>
      <c r="C185" s="105" t="s">
        <v>508</v>
      </c>
      <c r="D185" s="106" t="s">
        <v>94</v>
      </c>
      <c r="E185" s="107"/>
      <c r="F185" s="108" t="s">
        <v>8451</v>
      </c>
      <c r="G185" s="119">
        <v>1</v>
      </c>
      <c r="H185" s="108" t="s">
        <v>8452</v>
      </c>
      <c r="I185" s="116">
        <v>1</v>
      </c>
      <c r="J185" s="113"/>
      <c r="K185" s="108" t="s">
        <v>8453</v>
      </c>
      <c r="L185" s="116">
        <v>1</v>
      </c>
      <c r="M185" s="113"/>
      <c r="N185" s="108" t="s">
        <v>8451</v>
      </c>
      <c r="O185" s="116">
        <v>1</v>
      </c>
      <c r="P185" s="113"/>
      <c r="Q185" s="108" t="s">
        <v>8454</v>
      </c>
      <c r="R185" s="116">
        <v>1</v>
      </c>
      <c r="S185" s="113"/>
      <c r="T185" s="108" t="s">
        <v>8455</v>
      </c>
      <c r="U185" s="116">
        <v>1</v>
      </c>
      <c r="V185" s="113"/>
      <c r="W185" s="108" t="s">
        <v>8456</v>
      </c>
      <c r="X185" s="117">
        <v>2</v>
      </c>
      <c r="Y185" s="113"/>
      <c r="Z185" s="108" t="s">
        <v>8457</v>
      </c>
      <c r="AA185" s="116">
        <v>1</v>
      </c>
      <c r="AB185" s="113"/>
      <c r="AC185" s="105" t="s">
        <v>509</v>
      </c>
      <c r="AD185" s="115" t="s">
        <v>49</v>
      </c>
    </row>
    <row r="186" spans="1:30" x14ac:dyDescent="0.2">
      <c r="A186" s="104" t="s">
        <v>510</v>
      </c>
      <c r="B186" s="105" t="s">
        <v>42</v>
      </c>
      <c r="C186" s="105" t="s">
        <v>508</v>
      </c>
      <c r="D186" s="106" t="s">
        <v>125</v>
      </c>
      <c r="E186" s="107"/>
      <c r="F186" s="108" t="s">
        <v>511</v>
      </c>
      <c r="G186" s="119">
        <v>1</v>
      </c>
      <c r="H186" s="108" t="s">
        <v>8458</v>
      </c>
      <c r="I186" s="116">
        <v>1</v>
      </c>
      <c r="J186" s="113"/>
      <c r="K186" s="108" t="s">
        <v>8459</v>
      </c>
      <c r="L186" s="116">
        <v>1</v>
      </c>
      <c r="M186" s="113"/>
      <c r="N186" s="108" t="s">
        <v>511</v>
      </c>
      <c r="O186" s="116">
        <v>1</v>
      </c>
      <c r="P186" s="113"/>
      <c r="Q186" s="108" t="s">
        <v>8460</v>
      </c>
      <c r="R186" s="116">
        <v>1</v>
      </c>
      <c r="S186" s="113"/>
      <c r="T186" s="108" t="s">
        <v>8461</v>
      </c>
      <c r="U186" s="110">
        <v>3</v>
      </c>
      <c r="V186" s="113"/>
      <c r="W186" s="108" t="s">
        <v>8462</v>
      </c>
      <c r="X186" s="110">
        <v>3</v>
      </c>
      <c r="Y186" s="113"/>
      <c r="Z186" s="108" t="s">
        <v>8463</v>
      </c>
      <c r="AA186" s="117">
        <v>2</v>
      </c>
      <c r="AB186" s="113"/>
      <c r="AC186" s="105" t="s">
        <v>512</v>
      </c>
      <c r="AD186" s="115" t="s">
        <v>49</v>
      </c>
    </row>
    <row r="187" spans="1:30" x14ac:dyDescent="0.2">
      <c r="A187" s="104" t="s">
        <v>8464</v>
      </c>
      <c r="B187" s="105" t="s">
        <v>42</v>
      </c>
      <c r="C187" s="105" t="s">
        <v>513</v>
      </c>
      <c r="D187" s="106" t="s">
        <v>514</v>
      </c>
      <c r="E187" s="107" t="s">
        <v>182</v>
      </c>
      <c r="F187" s="108" t="s">
        <v>8465</v>
      </c>
      <c r="G187" s="119">
        <v>1</v>
      </c>
      <c r="H187" s="108" t="s">
        <v>8466</v>
      </c>
      <c r="I187" s="116">
        <v>1</v>
      </c>
      <c r="J187" s="113"/>
      <c r="K187" s="108" t="s">
        <v>8467</v>
      </c>
      <c r="L187" s="116">
        <v>1</v>
      </c>
      <c r="M187" s="113"/>
      <c r="N187" s="108" t="s">
        <v>8465</v>
      </c>
      <c r="O187" s="116">
        <v>1</v>
      </c>
      <c r="P187" s="113"/>
      <c r="Q187" s="108" t="s">
        <v>8468</v>
      </c>
      <c r="R187" s="116">
        <v>1</v>
      </c>
      <c r="S187" s="113"/>
      <c r="T187" s="108" t="s">
        <v>8469</v>
      </c>
      <c r="U187" s="116">
        <v>1</v>
      </c>
      <c r="V187" s="113"/>
      <c r="W187" s="108" t="s">
        <v>8470</v>
      </c>
      <c r="X187" s="116">
        <v>1</v>
      </c>
      <c r="Y187" s="111" t="s">
        <v>40</v>
      </c>
      <c r="Z187" s="108" t="s">
        <v>8471</v>
      </c>
      <c r="AA187" s="116">
        <v>1</v>
      </c>
      <c r="AB187" s="113"/>
      <c r="AC187" s="105" t="s">
        <v>515</v>
      </c>
      <c r="AD187" s="115" t="s">
        <v>49</v>
      </c>
    </row>
    <row r="188" spans="1:30" x14ac:dyDescent="0.2">
      <c r="A188" s="104" t="s">
        <v>8472</v>
      </c>
      <c r="B188" s="105" t="s">
        <v>42</v>
      </c>
      <c r="C188" s="105" t="s">
        <v>513</v>
      </c>
      <c r="D188" s="106" t="s">
        <v>94</v>
      </c>
      <c r="E188" s="107" t="s">
        <v>182</v>
      </c>
      <c r="F188" s="108" t="s">
        <v>8473</v>
      </c>
      <c r="G188" s="119">
        <v>1</v>
      </c>
      <c r="H188" s="108" t="s">
        <v>8474</v>
      </c>
      <c r="I188" s="116">
        <v>1</v>
      </c>
      <c r="J188" s="113"/>
      <c r="K188" s="108" t="s">
        <v>8475</v>
      </c>
      <c r="L188" s="116">
        <v>1</v>
      </c>
      <c r="M188" s="113"/>
      <c r="N188" s="108" t="s">
        <v>8473</v>
      </c>
      <c r="O188" s="116">
        <v>1</v>
      </c>
      <c r="P188" s="113"/>
      <c r="Q188" s="108" t="s">
        <v>8476</v>
      </c>
      <c r="R188" s="116">
        <v>1</v>
      </c>
      <c r="S188" s="113"/>
      <c r="T188" s="108" t="s">
        <v>8477</v>
      </c>
      <c r="U188" s="116">
        <v>1</v>
      </c>
      <c r="V188" s="113"/>
      <c r="W188" s="108" t="s">
        <v>8478</v>
      </c>
      <c r="X188" s="116">
        <v>1</v>
      </c>
      <c r="Y188" s="113"/>
      <c r="Z188" s="108" t="s">
        <v>8479</v>
      </c>
      <c r="AA188" s="116">
        <v>1</v>
      </c>
      <c r="AB188" s="113"/>
      <c r="AC188" s="105" t="s">
        <v>516</v>
      </c>
      <c r="AD188" s="115" t="s">
        <v>49</v>
      </c>
    </row>
    <row r="189" spans="1:30" x14ac:dyDescent="0.2">
      <c r="A189" s="104" t="s">
        <v>517</v>
      </c>
      <c r="B189" s="105" t="s">
        <v>42</v>
      </c>
      <c r="C189" s="105" t="s">
        <v>513</v>
      </c>
      <c r="D189" s="106" t="s">
        <v>125</v>
      </c>
      <c r="E189" s="107" t="s">
        <v>376</v>
      </c>
      <c r="F189" s="108" t="s">
        <v>8480</v>
      </c>
      <c r="G189" s="119">
        <v>1</v>
      </c>
      <c r="H189" s="108" t="s">
        <v>8481</v>
      </c>
      <c r="I189" s="116">
        <v>1</v>
      </c>
      <c r="J189" s="111" t="s">
        <v>40</v>
      </c>
      <c r="K189" s="108" t="s">
        <v>8482</v>
      </c>
      <c r="L189" s="116">
        <v>1</v>
      </c>
      <c r="M189" s="113"/>
      <c r="N189" s="108" t="s">
        <v>8480</v>
      </c>
      <c r="O189" s="116">
        <v>1</v>
      </c>
      <c r="P189" s="113"/>
      <c r="Q189" s="108" t="s">
        <v>8483</v>
      </c>
      <c r="R189" s="116">
        <v>1</v>
      </c>
      <c r="S189" s="113"/>
      <c r="T189" s="108" t="s">
        <v>8484</v>
      </c>
      <c r="U189" s="117">
        <v>2</v>
      </c>
      <c r="V189" s="111" t="s">
        <v>40</v>
      </c>
      <c r="W189" s="108" t="s">
        <v>518</v>
      </c>
      <c r="X189" s="112">
        <v>4</v>
      </c>
      <c r="Y189" s="113"/>
      <c r="Z189" s="108" t="s">
        <v>8485</v>
      </c>
      <c r="AA189" s="112">
        <v>4</v>
      </c>
      <c r="AB189" s="111" t="s">
        <v>46</v>
      </c>
      <c r="AC189" s="105" t="s">
        <v>519</v>
      </c>
      <c r="AD189" s="115" t="s">
        <v>49</v>
      </c>
    </row>
    <row r="190" spans="1:30" x14ac:dyDescent="0.2">
      <c r="A190" s="104" t="s">
        <v>520</v>
      </c>
      <c r="B190" s="105" t="s">
        <v>42</v>
      </c>
      <c r="C190" s="105" t="s">
        <v>513</v>
      </c>
      <c r="D190" s="106" t="s">
        <v>125</v>
      </c>
      <c r="E190" s="107" t="s">
        <v>376</v>
      </c>
      <c r="F190" s="108" t="s">
        <v>8486</v>
      </c>
      <c r="G190" s="119">
        <v>1</v>
      </c>
      <c r="H190" s="108" t="s">
        <v>8487</v>
      </c>
      <c r="I190" s="116">
        <v>1</v>
      </c>
      <c r="J190" s="111" t="s">
        <v>40</v>
      </c>
      <c r="K190" s="108" t="s">
        <v>8488</v>
      </c>
      <c r="L190" s="116">
        <v>1</v>
      </c>
      <c r="M190" s="113"/>
      <c r="N190" s="108" t="s">
        <v>8486</v>
      </c>
      <c r="O190" s="116">
        <v>1</v>
      </c>
      <c r="P190" s="113"/>
      <c r="Q190" s="108" t="s">
        <v>8489</v>
      </c>
      <c r="R190" s="116">
        <v>1</v>
      </c>
      <c r="S190" s="113"/>
      <c r="T190" s="108" t="s">
        <v>8490</v>
      </c>
      <c r="U190" s="117">
        <v>2</v>
      </c>
      <c r="V190" s="111" t="s">
        <v>40</v>
      </c>
      <c r="W190" s="108" t="s">
        <v>8491</v>
      </c>
      <c r="X190" s="112">
        <v>4</v>
      </c>
      <c r="Y190" s="113"/>
      <c r="Z190" s="108" t="s">
        <v>8492</v>
      </c>
      <c r="AA190" s="112">
        <v>4</v>
      </c>
      <c r="AB190" s="111" t="s">
        <v>46</v>
      </c>
      <c r="AC190" s="105" t="s">
        <v>521</v>
      </c>
      <c r="AD190" s="115" t="s">
        <v>49</v>
      </c>
    </row>
    <row r="191" spans="1:30" x14ac:dyDescent="0.2">
      <c r="A191" s="104" t="s">
        <v>522</v>
      </c>
      <c r="B191" s="105" t="s">
        <v>42</v>
      </c>
      <c r="C191" s="105" t="s">
        <v>513</v>
      </c>
      <c r="D191" s="106" t="s">
        <v>298</v>
      </c>
      <c r="E191" s="107" t="s">
        <v>376</v>
      </c>
      <c r="F191" s="108" t="s">
        <v>8493</v>
      </c>
      <c r="G191" s="119">
        <v>1</v>
      </c>
      <c r="H191" s="108" t="s">
        <v>8494</v>
      </c>
      <c r="I191" s="116">
        <v>1</v>
      </c>
      <c r="J191" s="111" t="s">
        <v>40</v>
      </c>
      <c r="K191" s="108" t="s">
        <v>8495</v>
      </c>
      <c r="L191" s="116">
        <v>1</v>
      </c>
      <c r="M191" s="113"/>
      <c r="N191" s="108" t="s">
        <v>8493</v>
      </c>
      <c r="O191" s="116">
        <v>1</v>
      </c>
      <c r="P191" s="111" t="s">
        <v>40</v>
      </c>
      <c r="Q191" s="108" t="s">
        <v>8496</v>
      </c>
      <c r="R191" s="117">
        <v>2</v>
      </c>
      <c r="S191" s="113"/>
      <c r="T191" s="108" t="s">
        <v>8497</v>
      </c>
      <c r="U191" s="110">
        <v>3</v>
      </c>
      <c r="V191" s="111" t="s">
        <v>40</v>
      </c>
      <c r="W191" s="108" t="s">
        <v>8498</v>
      </c>
      <c r="X191" s="112">
        <v>4</v>
      </c>
      <c r="Y191" s="113"/>
      <c r="Z191" s="108" t="s">
        <v>47</v>
      </c>
      <c r="AA191" s="114"/>
      <c r="AB191" s="113"/>
      <c r="AC191" s="105" t="s">
        <v>523</v>
      </c>
      <c r="AD191" s="115" t="s">
        <v>49</v>
      </c>
    </row>
    <row r="192" spans="1:30" x14ac:dyDescent="0.2">
      <c r="A192" s="104" t="s">
        <v>8499</v>
      </c>
      <c r="B192" s="105" t="s">
        <v>42</v>
      </c>
      <c r="C192" s="105" t="s">
        <v>513</v>
      </c>
      <c r="D192" s="106"/>
      <c r="E192" s="107" t="s">
        <v>182</v>
      </c>
      <c r="F192" s="108" t="s">
        <v>47</v>
      </c>
      <c r="G192" s="113"/>
      <c r="H192" s="108" t="s">
        <v>47</v>
      </c>
      <c r="I192" s="114"/>
      <c r="J192" s="113"/>
      <c r="K192" s="108" t="s">
        <v>47</v>
      </c>
      <c r="L192" s="114"/>
      <c r="M192" s="113"/>
      <c r="N192" s="108" t="s">
        <v>47</v>
      </c>
      <c r="O192" s="114"/>
      <c r="P192" s="113"/>
      <c r="Q192" s="108" t="s">
        <v>47</v>
      </c>
      <c r="R192" s="114"/>
      <c r="S192" s="113"/>
      <c r="T192" s="108" t="s">
        <v>47</v>
      </c>
      <c r="U192" s="114"/>
      <c r="V192" s="113"/>
      <c r="W192" s="108" t="s">
        <v>47</v>
      </c>
      <c r="X192" s="114"/>
      <c r="Y192" s="113"/>
      <c r="Z192" s="108" t="s">
        <v>47</v>
      </c>
      <c r="AA192" s="114"/>
      <c r="AB192" s="113"/>
      <c r="AC192" s="105" t="s">
        <v>524</v>
      </c>
      <c r="AD192" s="115" t="s">
        <v>49</v>
      </c>
    </row>
    <row r="193" spans="1:30" x14ac:dyDescent="0.2">
      <c r="A193" s="104" t="s">
        <v>8500</v>
      </c>
      <c r="B193" s="105" t="s">
        <v>42</v>
      </c>
      <c r="C193" s="105" t="s">
        <v>513</v>
      </c>
      <c r="D193" s="106" t="s">
        <v>125</v>
      </c>
      <c r="E193" s="107" t="s">
        <v>182</v>
      </c>
      <c r="F193" s="108" t="s">
        <v>8501</v>
      </c>
      <c r="G193" s="119">
        <v>1</v>
      </c>
      <c r="H193" s="108" t="s">
        <v>8502</v>
      </c>
      <c r="I193" s="116">
        <v>1</v>
      </c>
      <c r="J193" s="111" t="s">
        <v>40</v>
      </c>
      <c r="K193" s="108" t="s">
        <v>8503</v>
      </c>
      <c r="L193" s="116">
        <v>1</v>
      </c>
      <c r="M193" s="113"/>
      <c r="N193" s="108" t="s">
        <v>8501</v>
      </c>
      <c r="O193" s="116">
        <v>1</v>
      </c>
      <c r="P193" s="113"/>
      <c r="Q193" s="108" t="s">
        <v>8504</v>
      </c>
      <c r="R193" s="116">
        <v>1</v>
      </c>
      <c r="S193" s="113"/>
      <c r="T193" s="108" t="s">
        <v>8505</v>
      </c>
      <c r="U193" s="117">
        <v>2</v>
      </c>
      <c r="V193" s="113"/>
      <c r="W193" s="108" t="s">
        <v>8506</v>
      </c>
      <c r="X193" s="117">
        <v>2</v>
      </c>
      <c r="Y193" s="113"/>
      <c r="Z193" s="108" t="s">
        <v>47</v>
      </c>
      <c r="AA193" s="114"/>
      <c r="AB193" s="113"/>
      <c r="AC193" s="105" t="s">
        <v>525</v>
      </c>
      <c r="AD193" s="115" t="s">
        <v>49</v>
      </c>
    </row>
    <row r="194" spans="1:30" x14ac:dyDescent="0.2">
      <c r="A194" s="104" t="s">
        <v>526</v>
      </c>
      <c r="B194" s="105" t="s">
        <v>212</v>
      </c>
      <c r="C194" s="105" t="s">
        <v>112</v>
      </c>
      <c r="D194" s="106"/>
      <c r="E194" s="107"/>
      <c r="F194" s="108" t="s">
        <v>8507</v>
      </c>
      <c r="G194" s="118">
        <v>3</v>
      </c>
      <c r="H194" s="108" t="s">
        <v>8508</v>
      </c>
      <c r="I194" s="117">
        <v>2</v>
      </c>
      <c r="J194" s="111" t="s">
        <v>46</v>
      </c>
      <c r="K194" s="108" t="s">
        <v>8509</v>
      </c>
      <c r="L194" s="117">
        <v>2</v>
      </c>
      <c r="M194" s="113"/>
      <c r="N194" s="108" t="s">
        <v>8507</v>
      </c>
      <c r="O194" s="110">
        <v>3</v>
      </c>
      <c r="P194" s="113"/>
      <c r="Q194" s="108" t="s">
        <v>8510</v>
      </c>
      <c r="R194" s="110">
        <v>3</v>
      </c>
      <c r="S194" s="113"/>
      <c r="T194" s="108" t="s">
        <v>47</v>
      </c>
      <c r="U194" s="114"/>
      <c r="V194" s="113"/>
      <c r="W194" s="108" t="s">
        <v>47</v>
      </c>
      <c r="X194" s="114"/>
      <c r="Y194" s="113"/>
      <c r="Z194" s="108" t="s">
        <v>47</v>
      </c>
      <c r="AA194" s="114"/>
      <c r="AB194" s="113"/>
      <c r="AC194" s="105" t="s">
        <v>527</v>
      </c>
      <c r="AD194" s="115" t="s">
        <v>49</v>
      </c>
    </row>
    <row r="195" spans="1:30" x14ac:dyDescent="0.2">
      <c r="A195" s="104" t="s">
        <v>528</v>
      </c>
      <c r="B195" s="105" t="s">
        <v>212</v>
      </c>
      <c r="C195" s="105" t="s">
        <v>112</v>
      </c>
      <c r="D195" s="106"/>
      <c r="E195" s="107"/>
      <c r="F195" s="108" t="s">
        <v>8511</v>
      </c>
      <c r="G195" s="109">
        <v>4</v>
      </c>
      <c r="H195" s="108" t="s">
        <v>8512</v>
      </c>
      <c r="I195" s="110">
        <v>3</v>
      </c>
      <c r="J195" s="113"/>
      <c r="K195" s="108" t="s">
        <v>8513</v>
      </c>
      <c r="L195" s="110">
        <v>3</v>
      </c>
      <c r="M195" s="113"/>
      <c r="N195" s="108" t="s">
        <v>8511</v>
      </c>
      <c r="O195" s="112">
        <v>4</v>
      </c>
      <c r="P195" s="113"/>
      <c r="Q195" s="108" t="s">
        <v>8514</v>
      </c>
      <c r="R195" s="112">
        <v>4</v>
      </c>
      <c r="S195" s="111" t="s">
        <v>46</v>
      </c>
      <c r="T195" s="108" t="s">
        <v>8515</v>
      </c>
      <c r="U195" s="112">
        <v>4</v>
      </c>
      <c r="V195" s="113"/>
      <c r="W195" s="108" t="s">
        <v>47</v>
      </c>
      <c r="X195" s="114"/>
      <c r="Y195" s="113"/>
      <c r="Z195" s="108" t="s">
        <v>47</v>
      </c>
      <c r="AA195" s="114"/>
      <c r="AB195" s="113"/>
      <c r="AC195" s="105" t="s">
        <v>529</v>
      </c>
      <c r="AD195" s="115" t="s">
        <v>49</v>
      </c>
    </row>
    <row r="196" spans="1:30" x14ac:dyDescent="0.2">
      <c r="A196" s="104" t="s">
        <v>530</v>
      </c>
      <c r="B196" s="105" t="s">
        <v>212</v>
      </c>
      <c r="C196" s="105" t="s">
        <v>112</v>
      </c>
      <c r="D196" s="106"/>
      <c r="E196" s="107"/>
      <c r="F196" s="108" t="s">
        <v>8516</v>
      </c>
      <c r="G196" s="109">
        <v>4</v>
      </c>
      <c r="H196" s="108" t="s">
        <v>8517</v>
      </c>
      <c r="I196" s="110">
        <v>3</v>
      </c>
      <c r="J196" s="111" t="s">
        <v>46</v>
      </c>
      <c r="K196" s="108" t="s">
        <v>8518</v>
      </c>
      <c r="L196" s="110">
        <v>3</v>
      </c>
      <c r="M196" s="113"/>
      <c r="N196" s="108" t="s">
        <v>8516</v>
      </c>
      <c r="O196" s="112">
        <v>4</v>
      </c>
      <c r="P196" s="111" t="s">
        <v>46</v>
      </c>
      <c r="Q196" s="108" t="s">
        <v>8519</v>
      </c>
      <c r="R196" s="112">
        <v>4</v>
      </c>
      <c r="S196" s="111" t="s">
        <v>46</v>
      </c>
      <c r="T196" s="108" t="s">
        <v>8520</v>
      </c>
      <c r="U196" s="112">
        <v>4</v>
      </c>
      <c r="V196" s="113"/>
      <c r="W196" s="108" t="s">
        <v>47</v>
      </c>
      <c r="X196" s="114"/>
      <c r="Y196" s="113"/>
      <c r="Z196" s="108" t="s">
        <v>47</v>
      </c>
      <c r="AA196" s="114"/>
      <c r="AB196" s="113"/>
      <c r="AC196" s="105" t="s">
        <v>531</v>
      </c>
      <c r="AD196" s="115" t="s">
        <v>49</v>
      </c>
    </row>
    <row r="197" spans="1:30" x14ac:dyDescent="0.2">
      <c r="A197" s="104" t="s">
        <v>532</v>
      </c>
      <c r="B197" s="105" t="s">
        <v>42</v>
      </c>
      <c r="C197" s="105" t="s">
        <v>104</v>
      </c>
      <c r="D197" s="106" t="s">
        <v>125</v>
      </c>
      <c r="E197" s="107"/>
      <c r="F197" s="108" t="s">
        <v>8521</v>
      </c>
      <c r="G197" s="120">
        <v>2</v>
      </c>
      <c r="H197" s="108" t="s">
        <v>8522</v>
      </c>
      <c r="I197" s="117">
        <v>2</v>
      </c>
      <c r="J197" s="113"/>
      <c r="K197" s="108" t="s">
        <v>8523</v>
      </c>
      <c r="L197" s="110">
        <v>3</v>
      </c>
      <c r="M197" s="111" t="s">
        <v>46</v>
      </c>
      <c r="N197" s="108" t="s">
        <v>8521</v>
      </c>
      <c r="O197" s="117">
        <v>2</v>
      </c>
      <c r="P197" s="111" t="s">
        <v>40</v>
      </c>
      <c r="Q197" s="108" t="s">
        <v>8524</v>
      </c>
      <c r="R197" s="117">
        <v>2</v>
      </c>
      <c r="S197" s="113"/>
      <c r="T197" s="108" t="s">
        <v>8525</v>
      </c>
      <c r="U197" s="110">
        <v>3</v>
      </c>
      <c r="V197" s="113"/>
      <c r="W197" s="108" t="s">
        <v>47</v>
      </c>
      <c r="X197" s="114"/>
      <c r="Y197" s="113"/>
      <c r="Z197" s="108" t="s">
        <v>47</v>
      </c>
      <c r="AA197" s="114"/>
      <c r="AB197" s="113"/>
      <c r="AC197" s="105" t="s">
        <v>533</v>
      </c>
      <c r="AD197" s="115" t="s">
        <v>49</v>
      </c>
    </row>
    <row r="198" spans="1:30" x14ac:dyDescent="0.2">
      <c r="A198" s="104" t="s">
        <v>534</v>
      </c>
      <c r="B198" s="105" t="s">
        <v>42</v>
      </c>
      <c r="C198" s="105" t="s">
        <v>104</v>
      </c>
      <c r="D198" s="106" t="s">
        <v>125</v>
      </c>
      <c r="E198" s="107"/>
      <c r="F198" s="108" t="s">
        <v>8526</v>
      </c>
      <c r="G198" s="118">
        <v>3</v>
      </c>
      <c r="H198" s="108" t="s">
        <v>8527</v>
      </c>
      <c r="I198" s="110">
        <v>3</v>
      </c>
      <c r="J198" s="113"/>
      <c r="K198" s="108" t="s">
        <v>8528</v>
      </c>
      <c r="L198" s="110">
        <v>3</v>
      </c>
      <c r="M198" s="113"/>
      <c r="N198" s="108" t="s">
        <v>8526</v>
      </c>
      <c r="O198" s="110">
        <v>3</v>
      </c>
      <c r="P198" s="113"/>
      <c r="Q198" s="108" t="s">
        <v>8529</v>
      </c>
      <c r="R198" s="110">
        <v>3</v>
      </c>
      <c r="S198" s="113"/>
      <c r="T198" s="108" t="s">
        <v>8530</v>
      </c>
      <c r="U198" s="110">
        <v>3</v>
      </c>
      <c r="V198" s="113"/>
      <c r="W198" s="108" t="s">
        <v>47</v>
      </c>
      <c r="X198" s="114"/>
      <c r="Y198" s="113"/>
      <c r="Z198" s="108" t="s">
        <v>47</v>
      </c>
      <c r="AA198" s="114"/>
      <c r="AB198" s="113"/>
      <c r="AC198" s="105" t="s">
        <v>535</v>
      </c>
      <c r="AD198" s="115" t="s">
        <v>49</v>
      </c>
    </row>
    <row r="199" spans="1:30" x14ac:dyDescent="0.2">
      <c r="A199" s="104" t="s">
        <v>536</v>
      </c>
      <c r="B199" s="105" t="s">
        <v>212</v>
      </c>
      <c r="C199" s="105" t="s">
        <v>112</v>
      </c>
      <c r="D199" s="106"/>
      <c r="E199" s="107"/>
      <c r="F199" s="108" t="s">
        <v>8531</v>
      </c>
      <c r="G199" s="109">
        <v>4</v>
      </c>
      <c r="H199" s="108" t="s">
        <v>8532</v>
      </c>
      <c r="I199" s="110">
        <v>3</v>
      </c>
      <c r="J199" s="113"/>
      <c r="K199" s="108" t="s">
        <v>8533</v>
      </c>
      <c r="L199" s="110">
        <v>3</v>
      </c>
      <c r="M199" s="113"/>
      <c r="N199" s="108" t="s">
        <v>8531</v>
      </c>
      <c r="O199" s="112">
        <v>4</v>
      </c>
      <c r="P199" s="111" t="s">
        <v>46</v>
      </c>
      <c r="Q199" s="108" t="s">
        <v>8534</v>
      </c>
      <c r="R199" s="112">
        <v>4</v>
      </c>
      <c r="S199" s="111" t="s">
        <v>46</v>
      </c>
      <c r="T199" s="108" t="s">
        <v>8535</v>
      </c>
      <c r="U199" s="112">
        <v>4</v>
      </c>
      <c r="V199" s="113"/>
      <c r="W199" s="108" t="s">
        <v>47</v>
      </c>
      <c r="X199" s="114"/>
      <c r="Y199" s="113"/>
      <c r="Z199" s="108" t="s">
        <v>47</v>
      </c>
      <c r="AA199" s="114"/>
      <c r="AB199" s="113"/>
      <c r="AC199" s="105" t="s">
        <v>537</v>
      </c>
      <c r="AD199" s="115" t="s">
        <v>49</v>
      </c>
    </row>
    <row r="200" spans="1:30" x14ac:dyDescent="0.2">
      <c r="A200" s="104" t="s">
        <v>538</v>
      </c>
      <c r="B200" s="105" t="s">
        <v>212</v>
      </c>
      <c r="C200" s="105" t="s">
        <v>112</v>
      </c>
      <c r="D200" s="106"/>
      <c r="E200" s="107"/>
      <c r="F200" s="108" t="s">
        <v>8536</v>
      </c>
      <c r="G200" s="109">
        <v>4</v>
      </c>
      <c r="H200" s="108" t="s">
        <v>8537</v>
      </c>
      <c r="I200" s="110">
        <v>3</v>
      </c>
      <c r="J200" s="113"/>
      <c r="K200" s="108" t="s">
        <v>8538</v>
      </c>
      <c r="L200" s="110">
        <v>3</v>
      </c>
      <c r="M200" s="113"/>
      <c r="N200" s="108" t="s">
        <v>8536</v>
      </c>
      <c r="O200" s="112">
        <v>4</v>
      </c>
      <c r="P200" s="113"/>
      <c r="Q200" s="108" t="s">
        <v>8539</v>
      </c>
      <c r="R200" s="112">
        <v>4</v>
      </c>
      <c r="S200" s="111" t="s">
        <v>46</v>
      </c>
      <c r="T200" s="108" t="s">
        <v>8540</v>
      </c>
      <c r="U200" s="112">
        <v>4</v>
      </c>
      <c r="V200" s="113"/>
      <c r="W200" s="108" t="s">
        <v>47</v>
      </c>
      <c r="X200" s="114"/>
      <c r="Y200" s="113"/>
      <c r="Z200" s="108" t="s">
        <v>47</v>
      </c>
      <c r="AA200" s="114"/>
      <c r="AB200" s="113"/>
      <c r="AC200" s="105" t="s">
        <v>539</v>
      </c>
      <c r="AD200" s="115" t="s">
        <v>49</v>
      </c>
    </row>
    <row r="201" spans="1:30" x14ac:dyDescent="0.2">
      <c r="A201" s="104" t="s">
        <v>540</v>
      </c>
      <c r="B201" s="105" t="s">
        <v>212</v>
      </c>
      <c r="C201" s="105" t="s">
        <v>112</v>
      </c>
      <c r="D201" s="106"/>
      <c r="E201" s="107"/>
      <c r="F201" s="108" t="s">
        <v>8541</v>
      </c>
      <c r="G201" s="109">
        <v>4</v>
      </c>
      <c r="H201" s="108" t="s">
        <v>8542</v>
      </c>
      <c r="I201" s="110">
        <v>3</v>
      </c>
      <c r="J201" s="113"/>
      <c r="K201" s="108" t="s">
        <v>8543</v>
      </c>
      <c r="L201" s="110">
        <v>3</v>
      </c>
      <c r="M201" s="113"/>
      <c r="N201" s="108" t="s">
        <v>8541</v>
      </c>
      <c r="O201" s="112">
        <v>4</v>
      </c>
      <c r="P201" s="113"/>
      <c r="Q201" s="108" t="s">
        <v>8544</v>
      </c>
      <c r="R201" s="112">
        <v>4</v>
      </c>
      <c r="S201" s="111" t="s">
        <v>46</v>
      </c>
      <c r="T201" s="108" t="s">
        <v>8545</v>
      </c>
      <c r="U201" s="112">
        <v>4</v>
      </c>
      <c r="V201" s="113"/>
      <c r="W201" s="108" t="s">
        <v>47</v>
      </c>
      <c r="X201" s="114"/>
      <c r="Y201" s="113"/>
      <c r="Z201" s="108" t="s">
        <v>47</v>
      </c>
      <c r="AA201" s="114"/>
      <c r="AB201" s="113"/>
      <c r="AC201" s="105" t="s">
        <v>541</v>
      </c>
      <c r="AD201" s="115" t="s">
        <v>49</v>
      </c>
    </row>
    <row r="202" spans="1:30" x14ac:dyDescent="0.2">
      <c r="A202" s="104" t="s">
        <v>542</v>
      </c>
      <c r="B202" s="105" t="s">
        <v>212</v>
      </c>
      <c r="C202" s="105" t="s">
        <v>112</v>
      </c>
      <c r="D202" s="106"/>
      <c r="E202" s="107"/>
      <c r="F202" s="108" t="s">
        <v>8546</v>
      </c>
      <c r="G202" s="109">
        <v>4</v>
      </c>
      <c r="H202" s="108" t="s">
        <v>8547</v>
      </c>
      <c r="I202" s="110">
        <v>3</v>
      </c>
      <c r="J202" s="113"/>
      <c r="K202" s="108" t="s">
        <v>8548</v>
      </c>
      <c r="L202" s="110">
        <v>3</v>
      </c>
      <c r="M202" s="113"/>
      <c r="N202" s="108" t="s">
        <v>8546</v>
      </c>
      <c r="O202" s="112">
        <v>4</v>
      </c>
      <c r="P202" s="113"/>
      <c r="Q202" s="108" t="s">
        <v>8549</v>
      </c>
      <c r="R202" s="112">
        <v>4</v>
      </c>
      <c r="S202" s="113"/>
      <c r="T202" s="108" t="s">
        <v>47</v>
      </c>
      <c r="U202" s="114"/>
      <c r="V202" s="113"/>
      <c r="W202" s="108" t="s">
        <v>47</v>
      </c>
      <c r="X202" s="114"/>
      <c r="Y202" s="113"/>
      <c r="Z202" s="108" t="s">
        <v>47</v>
      </c>
      <c r="AA202" s="114"/>
      <c r="AB202" s="113"/>
      <c r="AC202" s="105" t="s">
        <v>543</v>
      </c>
      <c r="AD202" s="115" t="s">
        <v>49</v>
      </c>
    </row>
    <row r="203" spans="1:30" x14ac:dyDescent="0.2">
      <c r="A203" s="104" t="s">
        <v>544</v>
      </c>
      <c r="B203" s="105" t="s">
        <v>212</v>
      </c>
      <c r="C203" s="105" t="s">
        <v>112</v>
      </c>
      <c r="D203" s="106"/>
      <c r="E203" s="107"/>
      <c r="F203" s="108" t="s">
        <v>8550</v>
      </c>
      <c r="G203" s="109">
        <v>4</v>
      </c>
      <c r="H203" s="108" t="s">
        <v>8551</v>
      </c>
      <c r="I203" s="110">
        <v>3</v>
      </c>
      <c r="J203" s="113"/>
      <c r="K203" s="108" t="s">
        <v>8552</v>
      </c>
      <c r="L203" s="110">
        <v>3</v>
      </c>
      <c r="M203" s="113"/>
      <c r="N203" s="108" t="s">
        <v>8550</v>
      </c>
      <c r="O203" s="112">
        <v>4</v>
      </c>
      <c r="P203" s="113"/>
      <c r="Q203" s="108" t="s">
        <v>8553</v>
      </c>
      <c r="R203" s="112">
        <v>4</v>
      </c>
      <c r="S203" s="111" t="s">
        <v>46</v>
      </c>
      <c r="T203" s="108" t="s">
        <v>47</v>
      </c>
      <c r="U203" s="114"/>
      <c r="V203" s="113"/>
      <c r="W203" s="108" t="s">
        <v>47</v>
      </c>
      <c r="X203" s="114"/>
      <c r="Y203" s="113"/>
      <c r="Z203" s="108" t="s">
        <v>47</v>
      </c>
      <c r="AA203" s="114"/>
      <c r="AB203" s="113"/>
      <c r="AC203" s="105" t="s">
        <v>545</v>
      </c>
      <c r="AD203" s="115" t="s">
        <v>49</v>
      </c>
    </row>
    <row r="204" spans="1:30" x14ac:dyDescent="0.2">
      <c r="A204" s="104" t="s">
        <v>546</v>
      </c>
      <c r="B204" s="105" t="s">
        <v>212</v>
      </c>
      <c r="C204" s="105" t="s">
        <v>547</v>
      </c>
      <c r="D204" s="106"/>
      <c r="E204" s="107" t="s">
        <v>146</v>
      </c>
      <c r="F204" s="108" t="s">
        <v>8554</v>
      </c>
      <c r="G204" s="118">
        <v>3</v>
      </c>
      <c r="H204" s="108" t="s">
        <v>8555</v>
      </c>
      <c r="I204" s="110">
        <v>3</v>
      </c>
      <c r="J204" s="111" t="s">
        <v>55</v>
      </c>
      <c r="K204" s="108" t="s">
        <v>8556</v>
      </c>
      <c r="L204" s="110">
        <v>3</v>
      </c>
      <c r="M204" s="111" t="s">
        <v>46</v>
      </c>
      <c r="N204" s="108" t="s">
        <v>8554</v>
      </c>
      <c r="O204" s="110">
        <v>3</v>
      </c>
      <c r="P204" s="113"/>
      <c r="Q204" s="108" t="s">
        <v>548</v>
      </c>
      <c r="R204" s="112">
        <v>4</v>
      </c>
      <c r="S204" s="111" t="s">
        <v>46</v>
      </c>
      <c r="T204" s="108" t="s">
        <v>8557</v>
      </c>
      <c r="U204" s="116">
        <v>1</v>
      </c>
      <c r="V204" s="113"/>
      <c r="W204" s="108" t="s">
        <v>8017</v>
      </c>
      <c r="X204" s="112">
        <v>4</v>
      </c>
      <c r="Y204" s="113"/>
      <c r="Z204" s="108" t="s">
        <v>8558</v>
      </c>
      <c r="AA204" s="116">
        <v>1</v>
      </c>
      <c r="AB204" s="113"/>
      <c r="AC204" s="105" t="s">
        <v>549</v>
      </c>
      <c r="AD204" s="115" t="s">
        <v>49</v>
      </c>
    </row>
    <row r="205" spans="1:30" x14ac:dyDescent="0.2">
      <c r="A205" s="104" t="s">
        <v>8559</v>
      </c>
      <c r="B205" s="105" t="s">
        <v>212</v>
      </c>
      <c r="C205" s="105" t="s">
        <v>547</v>
      </c>
      <c r="D205" s="106"/>
      <c r="E205" s="107" t="s">
        <v>146</v>
      </c>
      <c r="F205" s="108" t="s">
        <v>47</v>
      </c>
      <c r="G205" s="113"/>
      <c r="H205" s="108" t="s">
        <v>8560</v>
      </c>
      <c r="I205" s="110">
        <v>3</v>
      </c>
      <c r="J205" s="111" t="s">
        <v>55</v>
      </c>
      <c r="K205" s="108" t="s">
        <v>47</v>
      </c>
      <c r="L205" s="114"/>
      <c r="M205" s="113"/>
      <c r="N205" s="108" t="s">
        <v>47</v>
      </c>
      <c r="O205" s="114"/>
      <c r="P205" s="113"/>
      <c r="Q205" s="108" t="s">
        <v>47</v>
      </c>
      <c r="R205" s="114"/>
      <c r="S205" s="113"/>
      <c r="T205" s="108" t="s">
        <v>47</v>
      </c>
      <c r="U205" s="114"/>
      <c r="V205" s="113"/>
      <c r="W205" s="108" t="s">
        <v>47</v>
      </c>
      <c r="X205" s="114"/>
      <c r="Y205" s="113"/>
      <c r="Z205" s="108" t="s">
        <v>47</v>
      </c>
      <c r="AA205" s="114"/>
      <c r="AB205" s="113"/>
      <c r="AC205" s="105" t="s">
        <v>8561</v>
      </c>
      <c r="AD205" s="115" t="s">
        <v>49</v>
      </c>
    </row>
    <row r="206" spans="1:30" x14ac:dyDescent="0.2">
      <c r="A206" s="104" t="s">
        <v>550</v>
      </c>
      <c r="B206" s="105" t="s">
        <v>381</v>
      </c>
      <c r="C206" s="105" t="s">
        <v>551</v>
      </c>
      <c r="D206" s="106"/>
      <c r="E206" s="107"/>
      <c r="F206" s="108" t="s">
        <v>8562</v>
      </c>
      <c r="G206" s="118">
        <v>3</v>
      </c>
      <c r="H206" s="108" t="s">
        <v>8563</v>
      </c>
      <c r="I206" s="112">
        <v>4</v>
      </c>
      <c r="J206" s="111" t="s">
        <v>46</v>
      </c>
      <c r="K206" s="108" t="s">
        <v>8564</v>
      </c>
      <c r="L206" s="110">
        <v>3</v>
      </c>
      <c r="M206" s="111" t="s">
        <v>46</v>
      </c>
      <c r="N206" s="108" t="s">
        <v>8562</v>
      </c>
      <c r="O206" s="110">
        <v>3</v>
      </c>
      <c r="P206" s="113"/>
      <c r="Q206" s="108" t="s">
        <v>8565</v>
      </c>
      <c r="R206" s="110">
        <v>3</v>
      </c>
      <c r="S206" s="113"/>
      <c r="T206" s="108" t="s">
        <v>47</v>
      </c>
      <c r="U206" s="114"/>
      <c r="V206" s="113"/>
      <c r="W206" s="108" t="s">
        <v>47</v>
      </c>
      <c r="X206" s="114"/>
      <c r="Y206" s="113"/>
      <c r="Z206" s="108" t="s">
        <v>47</v>
      </c>
      <c r="AA206" s="114"/>
      <c r="AB206" s="113"/>
      <c r="AC206" s="105" t="s">
        <v>552</v>
      </c>
      <c r="AD206" s="115" t="s">
        <v>101</v>
      </c>
    </row>
    <row r="207" spans="1:30" x14ac:dyDescent="0.2">
      <c r="A207" s="104" t="s">
        <v>553</v>
      </c>
      <c r="B207" s="105" t="s">
        <v>381</v>
      </c>
      <c r="C207" s="105" t="s">
        <v>551</v>
      </c>
      <c r="D207" s="106"/>
      <c r="E207" s="107"/>
      <c r="F207" s="108" t="s">
        <v>8566</v>
      </c>
      <c r="G207" s="109">
        <v>4</v>
      </c>
      <c r="H207" s="108" t="s">
        <v>554</v>
      </c>
      <c r="I207" s="110">
        <v>3</v>
      </c>
      <c r="J207" s="113"/>
      <c r="K207" s="108" t="s">
        <v>8567</v>
      </c>
      <c r="L207" s="112">
        <v>4</v>
      </c>
      <c r="M207" s="113"/>
      <c r="N207" s="108" t="s">
        <v>8566</v>
      </c>
      <c r="O207" s="112">
        <v>4</v>
      </c>
      <c r="P207" s="113"/>
      <c r="Q207" s="108" t="s">
        <v>47</v>
      </c>
      <c r="R207" s="114"/>
      <c r="S207" s="113"/>
      <c r="T207" s="108" t="s">
        <v>47</v>
      </c>
      <c r="U207" s="114"/>
      <c r="V207" s="113"/>
      <c r="W207" s="108" t="s">
        <v>47</v>
      </c>
      <c r="X207" s="114"/>
      <c r="Y207" s="113"/>
      <c r="Z207" s="108" t="s">
        <v>47</v>
      </c>
      <c r="AA207" s="114"/>
      <c r="AB207" s="113"/>
      <c r="AC207" s="105" t="s">
        <v>555</v>
      </c>
      <c r="AD207" s="115" t="s">
        <v>101</v>
      </c>
    </row>
    <row r="208" spans="1:30" x14ac:dyDescent="0.2">
      <c r="A208" s="104" t="s">
        <v>556</v>
      </c>
      <c r="B208" s="105" t="s">
        <v>381</v>
      </c>
      <c r="C208" s="105" t="s">
        <v>557</v>
      </c>
      <c r="D208" s="106"/>
      <c r="E208" s="107"/>
      <c r="F208" s="108" t="s">
        <v>8568</v>
      </c>
      <c r="G208" s="119">
        <v>1</v>
      </c>
      <c r="H208" s="108" t="s">
        <v>8569</v>
      </c>
      <c r="I208" s="112">
        <v>4</v>
      </c>
      <c r="J208" s="111" t="s">
        <v>46</v>
      </c>
      <c r="K208" s="108" t="s">
        <v>8570</v>
      </c>
      <c r="L208" s="112">
        <v>4</v>
      </c>
      <c r="M208" s="111" t="s">
        <v>44</v>
      </c>
      <c r="N208" s="108" t="s">
        <v>8568</v>
      </c>
      <c r="O208" s="116">
        <v>1</v>
      </c>
      <c r="P208" s="113"/>
      <c r="Q208" s="108" t="s">
        <v>8571</v>
      </c>
      <c r="R208" s="112">
        <v>4</v>
      </c>
      <c r="S208" s="111" t="s">
        <v>55</v>
      </c>
      <c r="T208" s="108" t="s">
        <v>47</v>
      </c>
      <c r="U208" s="114"/>
      <c r="V208" s="113"/>
      <c r="W208" s="108" t="s">
        <v>47</v>
      </c>
      <c r="X208" s="114"/>
      <c r="Y208" s="113"/>
      <c r="Z208" s="108" t="s">
        <v>47</v>
      </c>
      <c r="AA208" s="114"/>
      <c r="AB208" s="113"/>
      <c r="AC208" s="105" t="s">
        <v>558</v>
      </c>
      <c r="AD208" s="115" t="s">
        <v>101</v>
      </c>
    </row>
    <row r="209" spans="1:30" x14ac:dyDescent="0.2">
      <c r="A209" s="104" t="s">
        <v>559</v>
      </c>
      <c r="B209" s="105" t="s">
        <v>381</v>
      </c>
      <c r="C209" s="105" t="s">
        <v>560</v>
      </c>
      <c r="D209" s="106"/>
      <c r="E209" s="107"/>
      <c r="F209" s="108" t="s">
        <v>8572</v>
      </c>
      <c r="G209" s="109">
        <v>4</v>
      </c>
      <c r="H209" s="108" t="s">
        <v>8573</v>
      </c>
      <c r="I209" s="110">
        <v>3</v>
      </c>
      <c r="J209" s="113"/>
      <c r="K209" s="108" t="s">
        <v>561</v>
      </c>
      <c r="L209" s="112">
        <v>4</v>
      </c>
      <c r="M209" s="111" t="s">
        <v>46</v>
      </c>
      <c r="N209" s="108" t="s">
        <v>8572</v>
      </c>
      <c r="O209" s="112">
        <v>4</v>
      </c>
      <c r="P209" s="111" t="s">
        <v>55</v>
      </c>
      <c r="Q209" s="108" t="s">
        <v>8574</v>
      </c>
      <c r="R209" s="116">
        <v>1</v>
      </c>
      <c r="S209" s="111" t="s">
        <v>40</v>
      </c>
      <c r="T209" s="108" t="s">
        <v>47</v>
      </c>
      <c r="U209" s="114"/>
      <c r="V209" s="113"/>
      <c r="W209" s="108" t="s">
        <v>47</v>
      </c>
      <c r="X209" s="114"/>
      <c r="Y209" s="113"/>
      <c r="Z209" s="108" t="s">
        <v>47</v>
      </c>
      <c r="AA209" s="114"/>
      <c r="AB209" s="113"/>
      <c r="AC209" s="105" t="s">
        <v>562</v>
      </c>
      <c r="AD209" s="115" t="s">
        <v>101</v>
      </c>
    </row>
    <row r="210" spans="1:30" x14ac:dyDescent="0.2">
      <c r="A210" s="104" t="s">
        <v>563</v>
      </c>
      <c r="B210" s="105" t="s">
        <v>381</v>
      </c>
      <c r="C210" s="105" t="s">
        <v>557</v>
      </c>
      <c r="D210" s="106"/>
      <c r="E210" s="107"/>
      <c r="F210" s="108" t="s">
        <v>8575</v>
      </c>
      <c r="G210" s="119">
        <v>1</v>
      </c>
      <c r="H210" s="108" t="s">
        <v>8576</v>
      </c>
      <c r="I210" s="112">
        <v>4</v>
      </c>
      <c r="J210" s="111" t="s">
        <v>46</v>
      </c>
      <c r="K210" s="108" t="s">
        <v>8577</v>
      </c>
      <c r="L210" s="112">
        <v>4</v>
      </c>
      <c r="M210" s="111" t="s">
        <v>44</v>
      </c>
      <c r="N210" s="108" t="s">
        <v>8575</v>
      </c>
      <c r="O210" s="116">
        <v>1</v>
      </c>
      <c r="P210" s="113"/>
      <c r="Q210" s="108" t="s">
        <v>8578</v>
      </c>
      <c r="R210" s="112">
        <v>4</v>
      </c>
      <c r="S210" s="111" t="s">
        <v>55</v>
      </c>
      <c r="T210" s="108" t="s">
        <v>47</v>
      </c>
      <c r="U210" s="114"/>
      <c r="V210" s="113"/>
      <c r="W210" s="108" t="s">
        <v>47</v>
      </c>
      <c r="X210" s="114"/>
      <c r="Y210" s="113"/>
      <c r="Z210" s="108" t="s">
        <v>47</v>
      </c>
      <c r="AA210" s="114"/>
      <c r="AB210" s="113"/>
      <c r="AC210" s="105" t="s">
        <v>564</v>
      </c>
      <c r="AD210" s="115" t="s">
        <v>101</v>
      </c>
    </row>
    <row r="211" spans="1:30" x14ac:dyDescent="0.2">
      <c r="A211" s="104" t="s">
        <v>565</v>
      </c>
      <c r="B211" s="105" t="s">
        <v>381</v>
      </c>
      <c r="C211" s="105" t="s">
        <v>560</v>
      </c>
      <c r="D211" s="106"/>
      <c r="E211" s="107"/>
      <c r="F211" s="108" t="s">
        <v>8579</v>
      </c>
      <c r="G211" s="109">
        <v>4</v>
      </c>
      <c r="H211" s="108" t="s">
        <v>8087</v>
      </c>
      <c r="I211" s="110">
        <v>3</v>
      </c>
      <c r="J211" s="113"/>
      <c r="K211" s="108" t="s">
        <v>566</v>
      </c>
      <c r="L211" s="112">
        <v>4</v>
      </c>
      <c r="M211" s="111" t="s">
        <v>46</v>
      </c>
      <c r="N211" s="108" t="s">
        <v>8579</v>
      </c>
      <c r="O211" s="112">
        <v>4</v>
      </c>
      <c r="P211" s="111" t="s">
        <v>55</v>
      </c>
      <c r="Q211" s="108" t="s">
        <v>567</v>
      </c>
      <c r="R211" s="116">
        <v>1</v>
      </c>
      <c r="S211" s="111" t="s">
        <v>40</v>
      </c>
      <c r="T211" s="108" t="s">
        <v>47</v>
      </c>
      <c r="U211" s="114"/>
      <c r="V211" s="113"/>
      <c r="W211" s="108" t="s">
        <v>47</v>
      </c>
      <c r="X211" s="114"/>
      <c r="Y211" s="113"/>
      <c r="Z211" s="108" t="s">
        <v>47</v>
      </c>
      <c r="AA211" s="114"/>
      <c r="AB211" s="113"/>
      <c r="AC211" s="105" t="s">
        <v>568</v>
      </c>
      <c r="AD211" s="115" t="s">
        <v>101</v>
      </c>
    </row>
    <row r="212" spans="1:30" x14ac:dyDescent="0.2">
      <c r="A212" s="104" t="s">
        <v>569</v>
      </c>
      <c r="B212" s="105" t="s">
        <v>42</v>
      </c>
      <c r="C212" s="105" t="s">
        <v>384</v>
      </c>
      <c r="D212" s="106"/>
      <c r="E212" s="107"/>
      <c r="F212" s="108" t="s">
        <v>8580</v>
      </c>
      <c r="G212" s="120">
        <v>2</v>
      </c>
      <c r="H212" s="108" t="s">
        <v>8581</v>
      </c>
      <c r="I212" s="117">
        <v>2</v>
      </c>
      <c r="J212" s="111" t="s">
        <v>46</v>
      </c>
      <c r="K212" s="108" t="s">
        <v>8582</v>
      </c>
      <c r="L212" s="116">
        <v>1</v>
      </c>
      <c r="M212" s="111" t="s">
        <v>40</v>
      </c>
      <c r="N212" s="108" t="s">
        <v>8580</v>
      </c>
      <c r="O212" s="117">
        <v>2</v>
      </c>
      <c r="P212" s="111" t="s">
        <v>40</v>
      </c>
      <c r="Q212" s="108" t="s">
        <v>8583</v>
      </c>
      <c r="R212" s="110">
        <v>3</v>
      </c>
      <c r="S212" s="113"/>
      <c r="T212" s="108" t="s">
        <v>8584</v>
      </c>
      <c r="U212" s="117">
        <v>2</v>
      </c>
      <c r="V212" s="113"/>
      <c r="W212" s="108" t="s">
        <v>8585</v>
      </c>
      <c r="X212" s="116">
        <v>1</v>
      </c>
      <c r="Y212" s="113"/>
      <c r="Z212" s="108" t="s">
        <v>8586</v>
      </c>
      <c r="AA212" s="116">
        <v>1</v>
      </c>
      <c r="AB212" s="113"/>
      <c r="AC212" s="105"/>
      <c r="AD212" s="115" t="s">
        <v>180</v>
      </c>
    </row>
    <row r="213" spans="1:30" x14ac:dyDescent="0.2">
      <c r="A213" s="104" t="s">
        <v>570</v>
      </c>
      <c r="B213" s="105" t="s">
        <v>42</v>
      </c>
      <c r="C213" s="105" t="s">
        <v>571</v>
      </c>
      <c r="D213" s="106"/>
      <c r="E213" s="107"/>
      <c r="F213" s="108" t="s">
        <v>8587</v>
      </c>
      <c r="G213" s="120">
        <v>2</v>
      </c>
      <c r="H213" s="108" t="s">
        <v>572</v>
      </c>
      <c r="I213" s="116">
        <v>1</v>
      </c>
      <c r="J213" s="111" t="s">
        <v>40</v>
      </c>
      <c r="K213" s="108" t="s">
        <v>8588</v>
      </c>
      <c r="L213" s="117">
        <v>2</v>
      </c>
      <c r="M213" s="113"/>
      <c r="N213" s="108" t="s">
        <v>8587</v>
      </c>
      <c r="O213" s="117">
        <v>2</v>
      </c>
      <c r="P213" s="113"/>
      <c r="Q213" s="108" t="s">
        <v>8589</v>
      </c>
      <c r="R213" s="117">
        <v>2</v>
      </c>
      <c r="S213" s="113"/>
      <c r="T213" s="108" t="s">
        <v>8590</v>
      </c>
      <c r="U213" s="110">
        <v>3</v>
      </c>
      <c r="V213" s="113"/>
      <c r="W213" s="108" t="s">
        <v>8591</v>
      </c>
      <c r="X213" s="117">
        <v>2</v>
      </c>
      <c r="Y213" s="113"/>
      <c r="Z213" s="108" t="s">
        <v>8592</v>
      </c>
      <c r="AA213" s="117">
        <v>2</v>
      </c>
      <c r="AB213" s="111" t="s">
        <v>40</v>
      </c>
      <c r="AC213" s="105" t="s">
        <v>573</v>
      </c>
      <c r="AD213" s="115" t="s">
        <v>49</v>
      </c>
    </row>
    <row r="214" spans="1:30" x14ac:dyDescent="0.2">
      <c r="A214" s="104" t="s">
        <v>574</v>
      </c>
      <c r="B214" s="105" t="s">
        <v>42</v>
      </c>
      <c r="C214" s="105" t="s">
        <v>571</v>
      </c>
      <c r="D214" s="106"/>
      <c r="E214" s="107"/>
      <c r="F214" s="108" t="s">
        <v>8593</v>
      </c>
      <c r="G214" s="120">
        <v>2</v>
      </c>
      <c r="H214" s="108" t="s">
        <v>8594</v>
      </c>
      <c r="I214" s="116">
        <v>1</v>
      </c>
      <c r="J214" s="111" t="s">
        <v>40</v>
      </c>
      <c r="K214" s="108" t="s">
        <v>575</v>
      </c>
      <c r="L214" s="117">
        <v>2</v>
      </c>
      <c r="M214" s="113"/>
      <c r="N214" s="108" t="s">
        <v>8593</v>
      </c>
      <c r="O214" s="117">
        <v>2</v>
      </c>
      <c r="P214" s="113"/>
      <c r="Q214" s="108" t="s">
        <v>8595</v>
      </c>
      <c r="R214" s="117">
        <v>2</v>
      </c>
      <c r="S214" s="111" t="s">
        <v>40</v>
      </c>
      <c r="T214" s="108" t="s">
        <v>8596</v>
      </c>
      <c r="U214" s="110">
        <v>3</v>
      </c>
      <c r="V214" s="113"/>
      <c r="W214" s="108" t="s">
        <v>576</v>
      </c>
      <c r="X214" s="117">
        <v>2</v>
      </c>
      <c r="Y214" s="113"/>
      <c r="Z214" s="108" t="s">
        <v>8597</v>
      </c>
      <c r="AA214" s="110">
        <v>3</v>
      </c>
      <c r="AB214" s="113"/>
      <c r="AC214" s="105" t="s">
        <v>577</v>
      </c>
      <c r="AD214" s="115" t="s">
        <v>49</v>
      </c>
    </row>
    <row r="215" spans="1:30" x14ac:dyDescent="0.2">
      <c r="A215" s="104" t="s">
        <v>578</v>
      </c>
      <c r="B215" s="105" t="s">
        <v>42</v>
      </c>
      <c r="C215" s="105" t="s">
        <v>98</v>
      </c>
      <c r="D215" s="106"/>
      <c r="E215" s="107"/>
      <c r="F215" s="108" t="s">
        <v>8598</v>
      </c>
      <c r="G215" s="118">
        <v>3</v>
      </c>
      <c r="H215" s="108" t="s">
        <v>8599</v>
      </c>
      <c r="I215" s="117">
        <v>2</v>
      </c>
      <c r="J215" s="111" t="s">
        <v>40</v>
      </c>
      <c r="K215" s="108" t="s">
        <v>8600</v>
      </c>
      <c r="L215" s="110">
        <v>3</v>
      </c>
      <c r="M215" s="113"/>
      <c r="N215" s="108" t="s">
        <v>8598</v>
      </c>
      <c r="O215" s="110">
        <v>3</v>
      </c>
      <c r="P215" s="113"/>
      <c r="Q215" s="108" t="s">
        <v>8601</v>
      </c>
      <c r="R215" s="110">
        <v>3</v>
      </c>
      <c r="S215" s="113"/>
      <c r="T215" s="108" t="s">
        <v>47</v>
      </c>
      <c r="U215" s="114"/>
      <c r="V215" s="113"/>
      <c r="W215" s="108" t="s">
        <v>47</v>
      </c>
      <c r="X215" s="114"/>
      <c r="Y215" s="113"/>
      <c r="Z215" s="108" t="s">
        <v>47</v>
      </c>
      <c r="AA215" s="114"/>
      <c r="AB215" s="113"/>
      <c r="AC215" s="105" t="s">
        <v>579</v>
      </c>
      <c r="AD215" s="115" t="s">
        <v>49</v>
      </c>
    </row>
    <row r="216" spans="1:30" x14ac:dyDescent="0.2">
      <c r="A216" s="104" t="s">
        <v>8602</v>
      </c>
      <c r="B216" s="105" t="s">
        <v>42</v>
      </c>
      <c r="C216" s="105" t="s">
        <v>244</v>
      </c>
      <c r="D216" s="106"/>
      <c r="E216" s="107"/>
      <c r="F216" s="108" t="s">
        <v>47</v>
      </c>
      <c r="G216" s="113"/>
      <c r="H216" s="108" t="s">
        <v>8603</v>
      </c>
      <c r="I216" s="112">
        <v>4</v>
      </c>
      <c r="J216" s="111" t="s">
        <v>44</v>
      </c>
      <c r="K216" s="108" t="s">
        <v>8604</v>
      </c>
      <c r="L216" s="117">
        <v>2</v>
      </c>
      <c r="M216" s="113"/>
      <c r="N216" s="108" t="s">
        <v>47</v>
      </c>
      <c r="O216" s="114"/>
      <c r="P216" s="113"/>
      <c r="Q216" s="108" t="s">
        <v>47</v>
      </c>
      <c r="R216" s="114"/>
      <c r="S216" s="113"/>
      <c r="T216" s="108" t="s">
        <v>47</v>
      </c>
      <c r="U216" s="114"/>
      <c r="V216" s="113"/>
      <c r="W216" s="108" t="s">
        <v>47</v>
      </c>
      <c r="X216" s="114"/>
      <c r="Y216" s="113"/>
      <c r="Z216" s="108" t="s">
        <v>47</v>
      </c>
      <c r="AA216" s="114"/>
      <c r="AB216" s="113"/>
      <c r="AC216" s="105" t="s">
        <v>580</v>
      </c>
      <c r="AD216" s="115" t="s">
        <v>49</v>
      </c>
    </row>
    <row r="217" spans="1:30" x14ac:dyDescent="0.2">
      <c r="A217" s="104" t="s">
        <v>8605</v>
      </c>
      <c r="B217" s="105" t="s">
        <v>42</v>
      </c>
      <c r="C217" s="105" t="s">
        <v>244</v>
      </c>
      <c r="D217" s="106"/>
      <c r="E217" s="107"/>
      <c r="F217" s="108" t="s">
        <v>47</v>
      </c>
      <c r="G217" s="113"/>
      <c r="H217" s="108" t="s">
        <v>47</v>
      </c>
      <c r="I217" s="114"/>
      <c r="J217" s="113"/>
      <c r="K217" s="108" t="s">
        <v>47</v>
      </c>
      <c r="L217" s="114"/>
      <c r="M217" s="113"/>
      <c r="N217" s="108" t="s">
        <v>47</v>
      </c>
      <c r="O217" s="114"/>
      <c r="P217" s="113"/>
      <c r="Q217" s="108" t="s">
        <v>47</v>
      </c>
      <c r="R217" s="114"/>
      <c r="S217" s="113"/>
      <c r="T217" s="108" t="s">
        <v>47</v>
      </c>
      <c r="U217" s="114"/>
      <c r="V217" s="113"/>
      <c r="W217" s="108" t="s">
        <v>47</v>
      </c>
      <c r="X217" s="114"/>
      <c r="Y217" s="113"/>
      <c r="Z217" s="108" t="s">
        <v>47</v>
      </c>
      <c r="AA217" s="114"/>
      <c r="AB217" s="113"/>
      <c r="AC217" s="105" t="s">
        <v>8606</v>
      </c>
      <c r="AD217" s="115" t="s">
        <v>49</v>
      </c>
    </row>
    <row r="218" spans="1:30" x14ac:dyDescent="0.2">
      <c r="A218" s="104" t="s">
        <v>581</v>
      </c>
      <c r="B218" s="105" t="s">
        <v>111</v>
      </c>
      <c r="C218" s="105" t="s">
        <v>582</v>
      </c>
      <c r="D218" s="106" t="s">
        <v>105</v>
      </c>
      <c r="E218" s="107"/>
      <c r="F218" s="108" t="s">
        <v>8607</v>
      </c>
      <c r="G218" s="120">
        <v>2</v>
      </c>
      <c r="H218" s="108" t="s">
        <v>8608</v>
      </c>
      <c r="I218" s="116">
        <v>1</v>
      </c>
      <c r="J218" s="111" t="s">
        <v>157</v>
      </c>
      <c r="K218" s="108" t="s">
        <v>8609</v>
      </c>
      <c r="L218" s="110">
        <v>3</v>
      </c>
      <c r="M218" s="111" t="s">
        <v>40</v>
      </c>
      <c r="N218" s="108" t="s">
        <v>8607</v>
      </c>
      <c r="O218" s="117">
        <v>2</v>
      </c>
      <c r="P218" s="111" t="s">
        <v>40</v>
      </c>
      <c r="Q218" s="108" t="s">
        <v>8610</v>
      </c>
      <c r="R218" s="117">
        <v>2</v>
      </c>
      <c r="S218" s="111" t="s">
        <v>40</v>
      </c>
      <c r="T218" s="108" t="s">
        <v>8611</v>
      </c>
      <c r="U218" s="112">
        <v>4</v>
      </c>
      <c r="V218" s="113"/>
      <c r="W218" s="108" t="s">
        <v>8612</v>
      </c>
      <c r="X218" s="112">
        <v>4</v>
      </c>
      <c r="Y218" s="113"/>
      <c r="Z218" s="108" t="s">
        <v>8613</v>
      </c>
      <c r="AA218" s="112">
        <v>4</v>
      </c>
      <c r="AB218" s="113"/>
      <c r="AC218" s="105" t="s">
        <v>583</v>
      </c>
      <c r="AD218" s="115" t="s">
        <v>101</v>
      </c>
    </row>
    <row r="219" spans="1:30" x14ac:dyDescent="0.2">
      <c r="A219" s="104" t="s">
        <v>584</v>
      </c>
      <c r="B219" s="105" t="s">
        <v>111</v>
      </c>
      <c r="C219" s="105" t="s">
        <v>384</v>
      </c>
      <c r="D219" s="106" t="s">
        <v>125</v>
      </c>
      <c r="E219" s="107"/>
      <c r="F219" s="108" t="s">
        <v>8614</v>
      </c>
      <c r="G219" s="118">
        <v>3</v>
      </c>
      <c r="H219" s="108" t="s">
        <v>8615</v>
      </c>
      <c r="I219" s="110">
        <v>3</v>
      </c>
      <c r="J219" s="111" t="s">
        <v>46</v>
      </c>
      <c r="K219" s="108" t="s">
        <v>8616</v>
      </c>
      <c r="L219" s="117">
        <v>2</v>
      </c>
      <c r="M219" s="113"/>
      <c r="N219" s="108" t="s">
        <v>8614</v>
      </c>
      <c r="O219" s="110">
        <v>3</v>
      </c>
      <c r="P219" s="113"/>
      <c r="Q219" s="108" t="s">
        <v>8617</v>
      </c>
      <c r="R219" s="110">
        <v>3</v>
      </c>
      <c r="S219" s="113"/>
      <c r="T219" s="108" t="s">
        <v>8618</v>
      </c>
      <c r="U219" s="110">
        <v>3</v>
      </c>
      <c r="V219" s="113"/>
      <c r="W219" s="108" t="s">
        <v>8619</v>
      </c>
      <c r="X219" s="117">
        <v>2</v>
      </c>
      <c r="Y219" s="113"/>
      <c r="Z219" s="108" t="s">
        <v>8620</v>
      </c>
      <c r="AA219" s="110">
        <v>3</v>
      </c>
      <c r="AB219" s="113"/>
      <c r="AC219" s="105" t="s">
        <v>585</v>
      </c>
      <c r="AD219" s="115" t="s">
        <v>101</v>
      </c>
    </row>
    <row r="220" spans="1:30" x14ac:dyDescent="0.2">
      <c r="A220" s="104" t="s">
        <v>586</v>
      </c>
      <c r="B220" s="105" t="s">
        <v>97</v>
      </c>
      <c r="C220" s="105" t="s">
        <v>132</v>
      </c>
      <c r="D220" s="106" t="s">
        <v>105</v>
      </c>
      <c r="E220" s="107"/>
      <c r="F220" s="108" t="s">
        <v>8621</v>
      </c>
      <c r="G220" s="118">
        <v>3</v>
      </c>
      <c r="H220" s="108" t="s">
        <v>8622</v>
      </c>
      <c r="I220" s="110">
        <v>3</v>
      </c>
      <c r="J220" s="111" t="s">
        <v>40</v>
      </c>
      <c r="K220" s="108" t="s">
        <v>8623</v>
      </c>
      <c r="L220" s="112">
        <v>4</v>
      </c>
      <c r="M220" s="113"/>
      <c r="N220" s="108" t="s">
        <v>8621</v>
      </c>
      <c r="O220" s="110">
        <v>3</v>
      </c>
      <c r="P220" s="111" t="s">
        <v>40</v>
      </c>
      <c r="Q220" s="108" t="s">
        <v>8624</v>
      </c>
      <c r="R220" s="110">
        <v>3</v>
      </c>
      <c r="S220" s="113"/>
      <c r="T220" s="108" t="s">
        <v>8625</v>
      </c>
      <c r="U220" s="112">
        <v>4</v>
      </c>
      <c r="V220" s="113"/>
      <c r="W220" s="108" t="s">
        <v>8626</v>
      </c>
      <c r="X220" s="112">
        <v>4</v>
      </c>
      <c r="Y220" s="113"/>
      <c r="Z220" s="108" t="s">
        <v>8627</v>
      </c>
      <c r="AA220" s="117">
        <v>2</v>
      </c>
      <c r="AB220" s="111" t="s">
        <v>40</v>
      </c>
      <c r="AC220" s="105" t="s">
        <v>587</v>
      </c>
      <c r="AD220" s="115" t="s">
        <v>101</v>
      </c>
    </row>
    <row r="221" spans="1:30" x14ac:dyDescent="0.2">
      <c r="A221" s="104" t="s">
        <v>588</v>
      </c>
      <c r="B221" s="105" t="s">
        <v>97</v>
      </c>
      <c r="C221" s="105" t="s">
        <v>132</v>
      </c>
      <c r="D221" s="106" t="s">
        <v>105</v>
      </c>
      <c r="E221" s="107"/>
      <c r="F221" s="108" t="s">
        <v>8628</v>
      </c>
      <c r="G221" s="118">
        <v>3</v>
      </c>
      <c r="H221" s="108" t="s">
        <v>8629</v>
      </c>
      <c r="I221" s="110">
        <v>3</v>
      </c>
      <c r="J221" s="111" t="s">
        <v>40</v>
      </c>
      <c r="K221" s="108" t="s">
        <v>8630</v>
      </c>
      <c r="L221" s="112">
        <v>4</v>
      </c>
      <c r="M221" s="113"/>
      <c r="N221" s="108" t="s">
        <v>8628</v>
      </c>
      <c r="O221" s="110">
        <v>3</v>
      </c>
      <c r="P221" s="113"/>
      <c r="Q221" s="108" t="s">
        <v>8631</v>
      </c>
      <c r="R221" s="110">
        <v>3</v>
      </c>
      <c r="S221" s="113"/>
      <c r="T221" s="108" t="s">
        <v>8632</v>
      </c>
      <c r="U221" s="112">
        <v>4</v>
      </c>
      <c r="V221" s="113"/>
      <c r="W221" s="108" t="s">
        <v>8633</v>
      </c>
      <c r="X221" s="112">
        <v>4</v>
      </c>
      <c r="Y221" s="113"/>
      <c r="Z221" s="108" t="s">
        <v>8634</v>
      </c>
      <c r="AA221" s="117">
        <v>2</v>
      </c>
      <c r="AB221" s="111" t="s">
        <v>40</v>
      </c>
      <c r="AC221" s="105" t="s">
        <v>589</v>
      </c>
      <c r="AD221" s="115" t="s">
        <v>101</v>
      </c>
    </row>
    <row r="222" spans="1:30" x14ac:dyDescent="0.2">
      <c r="A222" s="104" t="s">
        <v>590</v>
      </c>
      <c r="B222" s="105" t="s">
        <v>97</v>
      </c>
      <c r="C222" s="105" t="s">
        <v>132</v>
      </c>
      <c r="D222" s="106" t="s">
        <v>105</v>
      </c>
      <c r="E222" s="107"/>
      <c r="F222" s="108" t="s">
        <v>8635</v>
      </c>
      <c r="G222" s="118">
        <v>3</v>
      </c>
      <c r="H222" s="108" t="s">
        <v>8636</v>
      </c>
      <c r="I222" s="110">
        <v>3</v>
      </c>
      <c r="J222" s="111" t="s">
        <v>40</v>
      </c>
      <c r="K222" s="108" t="s">
        <v>8637</v>
      </c>
      <c r="L222" s="112">
        <v>4</v>
      </c>
      <c r="M222" s="113"/>
      <c r="N222" s="108" t="s">
        <v>8635</v>
      </c>
      <c r="O222" s="110">
        <v>3</v>
      </c>
      <c r="P222" s="111" t="s">
        <v>40</v>
      </c>
      <c r="Q222" s="108" t="s">
        <v>591</v>
      </c>
      <c r="R222" s="110">
        <v>3</v>
      </c>
      <c r="S222" s="113"/>
      <c r="T222" s="108" t="s">
        <v>8638</v>
      </c>
      <c r="U222" s="112">
        <v>4</v>
      </c>
      <c r="V222" s="113"/>
      <c r="W222" s="108" t="s">
        <v>8639</v>
      </c>
      <c r="X222" s="112">
        <v>4</v>
      </c>
      <c r="Y222" s="113"/>
      <c r="Z222" s="108" t="s">
        <v>8640</v>
      </c>
      <c r="AA222" s="117">
        <v>2</v>
      </c>
      <c r="AB222" s="111" t="s">
        <v>40</v>
      </c>
      <c r="AC222" s="105" t="s">
        <v>592</v>
      </c>
      <c r="AD222" s="115" t="s">
        <v>101</v>
      </c>
    </row>
    <row r="223" spans="1:30" x14ac:dyDescent="0.2">
      <c r="A223" s="104" t="s">
        <v>593</v>
      </c>
      <c r="B223" s="105" t="s">
        <v>212</v>
      </c>
      <c r="C223" s="105" t="s">
        <v>43</v>
      </c>
      <c r="D223" s="106"/>
      <c r="E223" s="107"/>
      <c r="F223" s="108" t="s">
        <v>8641</v>
      </c>
      <c r="G223" s="119">
        <v>1</v>
      </c>
      <c r="H223" s="108" t="s">
        <v>8642</v>
      </c>
      <c r="I223" s="110">
        <v>3</v>
      </c>
      <c r="J223" s="111" t="s">
        <v>46</v>
      </c>
      <c r="K223" s="108" t="s">
        <v>8643</v>
      </c>
      <c r="L223" s="112">
        <v>4</v>
      </c>
      <c r="M223" s="113"/>
      <c r="N223" s="108" t="s">
        <v>8641</v>
      </c>
      <c r="O223" s="116">
        <v>1</v>
      </c>
      <c r="P223" s="111" t="s">
        <v>53</v>
      </c>
      <c r="Q223" s="108" t="s">
        <v>8644</v>
      </c>
      <c r="R223" s="116">
        <v>1</v>
      </c>
      <c r="S223" s="113"/>
      <c r="T223" s="108" t="s">
        <v>8645</v>
      </c>
      <c r="U223" s="116">
        <v>1</v>
      </c>
      <c r="V223" s="113"/>
      <c r="W223" s="108" t="s">
        <v>8646</v>
      </c>
      <c r="X223" s="117">
        <v>2</v>
      </c>
      <c r="Y223" s="113"/>
      <c r="Z223" s="108" t="s">
        <v>47</v>
      </c>
      <c r="AA223" s="114"/>
      <c r="AB223" s="113"/>
      <c r="AC223" s="105" t="s">
        <v>594</v>
      </c>
      <c r="AD223" s="115" t="s">
        <v>49</v>
      </c>
    </row>
    <row r="224" spans="1:30" x14ac:dyDescent="0.2">
      <c r="A224" s="104" t="s">
        <v>595</v>
      </c>
      <c r="B224" s="105" t="s">
        <v>212</v>
      </c>
      <c r="C224" s="105" t="s">
        <v>43</v>
      </c>
      <c r="D224" s="106"/>
      <c r="E224" s="107"/>
      <c r="F224" s="108" t="s">
        <v>8647</v>
      </c>
      <c r="G224" s="119">
        <v>1</v>
      </c>
      <c r="H224" s="108" t="s">
        <v>8648</v>
      </c>
      <c r="I224" s="117">
        <v>2</v>
      </c>
      <c r="J224" s="111" t="s">
        <v>40</v>
      </c>
      <c r="K224" s="108" t="s">
        <v>8649</v>
      </c>
      <c r="L224" s="117">
        <v>2</v>
      </c>
      <c r="M224" s="113"/>
      <c r="N224" s="108" t="s">
        <v>8647</v>
      </c>
      <c r="O224" s="116">
        <v>1</v>
      </c>
      <c r="P224" s="111" t="s">
        <v>40</v>
      </c>
      <c r="Q224" s="108" t="s">
        <v>8650</v>
      </c>
      <c r="R224" s="116">
        <v>1</v>
      </c>
      <c r="S224" s="113"/>
      <c r="T224" s="108" t="s">
        <v>8651</v>
      </c>
      <c r="U224" s="116">
        <v>1</v>
      </c>
      <c r="V224" s="113"/>
      <c r="W224" s="108" t="s">
        <v>47</v>
      </c>
      <c r="X224" s="114"/>
      <c r="Y224" s="113"/>
      <c r="Z224" s="108" t="s">
        <v>47</v>
      </c>
      <c r="AA224" s="114"/>
      <c r="AB224" s="113"/>
      <c r="AC224" s="105" t="s">
        <v>596</v>
      </c>
      <c r="AD224" s="115" t="s">
        <v>49</v>
      </c>
    </row>
    <row r="225" spans="1:30" x14ac:dyDescent="0.2">
      <c r="A225" s="104" t="s">
        <v>597</v>
      </c>
      <c r="B225" s="105" t="s">
        <v>212</v>
      </c>
      <c r="C225" s="105" t="s">
        <v>43</v>
      </c>
      <c r="D225" s="106"/>
      <c r="E225" s="107"/>
      <c r="F225" s="108" t="s">
        <v>8652</v>
      </c>
      <c r="G225" s="119">
        <v>1</v>
      </c>
      <c r="H225" s="108" t="s">
        <v>8653</v>
      </c>
      <c r="I225" s="117">
        <v>2</v>
      </c>
      <c r="J225" s="111" t="s">
        <v>40</v>
      </c>
      <c r="K225" s="108" t="s">
        <v>8654</v>
      </c>
      <c r="L225" s="117">
        <v>2</v>
      </c>
      <c r="M225" s="113"/>
      <c r="N225" s="108" t="s">
        <v>8652</v>
      </c>
      <c r="O225" s="116">
        <v>1</v>
      </c>
      <c r="P225" s="111" t="s">
        <v>40</v>
      </c>
      <c r="Q225" s="108" t="s">
        <v>8655</v>
      </c>
      <c r="R225" s="116">
        <v>1</v>
      </c>
      <c r="S225" s="111" t="s">
        <v>40</v>
      </c>
      <c r="T225" s="108" t="s">
        <v>8656</v>
      </c>
      <c r="U225" s="117">
        <v>2</v>
      </c>
      <c r="V225" s="113"/>
      <c r="W225" s="108" t="s">
        <v>8657</v>
      </c>
      <c r="X225" s="116">
        <v>1</v>
      </c>
      <c r="Y225" s="113"/>
      <c r="Z225" s="108" t="s">
        <v>47</v>
      </c>
      <c r="AA225" s="114"/>
      <c r="AB225" s="113"/>
      <c r="AC225" s="105" t="s">
        <v>598</v>
      </c>
      <c r="AD225" s="115" t="s">
        <v>49</v>
      </c>
    </row>
    <row r="226" spans="1:30" x14ac:dyDescent="0.2">
      <c r="A226" s="104" t="s">
        <v>599</v>
      </c>
      <c r="B226" s="105" t="s">
        <v>212</v>
      </c>
      <c r="C226" s="105" t="s">
        <v>43</v>
      </c>
      <c r="D226" s="106"/>
      <c r="E226" s="107"/>
      <c r="F226" s="108" t="s">
        <v>8658</v>
      </c>
      <c r="G226" s="109">
        <v>4</v>
      </c>
      <c r="H226" s="108" t="s">
        <v>8659</v>
      </c>
      <c r="I226" s="116">
        <v>1</v>
      </c>
      <c r="J226" s="111" t="s">
        <v>157</v>
      </c>
      <c r="K226" s="108" t="s">
        <v>8660</v>
      </c>
      <c r="L226" s="112">
        <v>4</v>
      </c>
      <c r="M226" s="113"/>
      <c r="N226" s="108" t="s">
        <v>8658</v>
      </c>
      <c r="O226" s="112">
        <v>4</v>
      </c>
      <c r="P226" s="111" t="s">
        <v>46</v>
      </c>
      <c r="Q226" s="108" t="s">
        <v>8661</v>
      </c>
      <c r="R226" s="117">
        <v>2</v>
      </c>
      <c r="S226" s="111" t="s">
        <v>53</v>
      </c>
      <c r="T226" s="108" t="s">
        <v>8662</v>
      </c>
      <c r="U226" s="112">
        <v>4</v>
      </c>
      <c r="V226" s="113"/>
      <c r="W226" s="108" t="s">
        <v>8663</v>
      </c>
      <c r="X226" s="110">
        <v>3</v>
      </c>
      <c r="Y226" s="111" t="s">
        <v>46</v>
      </c>
      <c r="Z226" s="108" t="s">
        <v>47</v>
      </c>
      <c r="AA226" s="114"/>
      <c r="AB226" s="113"/>
      <c r="AC226" s="105" t="s">
        <v>600</v>
      </c>
      <c r="AD226" s="115" t="s">
        <v>49</v>
      </c>
    </row>
    <row r="227" spans="1:30" x14ac:dyDescent="0.2">
      <c r="A227" s="104" t="s">
        <v>601</v>
      </c>
      <c r="B227" s="105" t="s">
        <v>212</v>
      </c>
      <c r="C227" s="105" t="s">
        <v>43</v>
      </c>
      <c r="D227" s="106"/>
      <c r="E227" s="107"/>
      <c r="F227" s="108" t="s">
        <v>8664</v>
      </c>
      <c r="G227" s="119">
        <v>1</v>
      </c>
      <c r="H227" s="108" t="s">
        <v>8665</v>
      </c>
      <c r="I227" s="116">
        <v>1</v>
      </c>
      <c r="J227" s="113"/>
      <c r="K227" s="108" t="s">
        <v>8666</v>
      </c>
      <c r="L227" s="116">
        <v>1</v>
      </c>
      <c r="M227" s="113"/>
      <c r="N227" s="108" t="s">
        <v>8664</v>
      </c>
      <c r="O227" s="116">
        <v>1</v>
      </c>
      <c r="P227" s="113"/>
      <c r="Q227" s="108" t="s">
        <v>8667</v>
      </c>
      <c r="R227" s="116">
        <v>1</v>
      </c>
      <c r="S227" s="113"/>
      <c r="T227" s="108" t="s">
        <v>8668</v>
      </c>
      <c r="U227" s="116">
        <v>1</v>
      </c>
      <c r="V227" s="111" t="s">
        <v>40</v>
      </c>
      <c r="W227" s="108" t="s">
        <v>8669</v>
      </c>
      <c r="X227" s="116">
        <v>1</v>
      </c>
      <c r="Y227" s="113"/>
      <c r="Z227" s="108" t="s">
        <v>47</v>
      </c>
      <c r="AA227" s="114"/>
      <c r="AB227" s="113"/>
      <c r="AC227" s="105" t="s">
        <v>602</v>
      </c>
      <c r="AD227" s="115" t="s">
        <v>49</v>
      </c>
    </row>
    <row r="228" spans="1:30" x14ac:dyDescent="0.2">
      <c r="A228" s="104" t="s">
        <v>603</v>
      </c>
      <c r="B228" s="105" t="s">
        <v>212</v>
      </c>
      <c r="C228" s="105" t="s">
        <v>43</v>
      </c>
      <c r="D228" s="106"/>
      <c r="E228" s="107"/>
      <c r="F228" s="108" t="s">
        <v>8670</v>
      </c>
      <c r="G228" s="119">
        <v>1</v>
      </c>
      <c r="H228" s="108" t="s">
        <v>8671</v>
      </c>
      <c r="I228" s="116">
        <v>1</v>
      </c>
      <c r="J228" s="111" t="s">
        <v>40</v>
      </c>
      <c r="K228" s="108" t="s">
        <v>8672</v>
      </c>
      <c r="L228" s="116">
        <v>1</v>
      </c>
      <c r="M228" s="113"/>
      <c r="N228" s="108" t="s">
        <v>8670</v>
      </c>
      <c r="O228" s="116">
        <v>1</v>
      </c>
      <c r="P228" s="113"/>
      <c r="Q228" s="108" t="s">
        <v>8673</v>
      </c>
      <c r="R228" s="116">
        <v>1</v>
      </c>
      <c r="S228" s="113"/>
      <c r="T228" s="108" t="s">
        <v>8674</v>
      </c>
      <c r="U228" s="116">
        <v>1</v>
      </c>
      <c r="V228" s="111" t="s">
        <v>40</v>
      </c>
      <c r="W228" s="108" t="s">
        <v>8675</v>
      </c>
      <c r="X228" s="116">
        <v>1</v>
      </c>
      <c r="Y228" s="113"/>
      <c r="Z228" s="108" t="s">
        <v>47</v>
      </c>
      <c r="AA228" s="114"/>
      <c r="AB228" s="113"/>
      <c r="AC228" s="105" t="s">
        <v>604</v>
      </c>
      <c r="AD228" s="115" t="s">
        <v>49</v>
      </c>
    </row>
    <row r="229" spans="1:30" x14ac:dyDescent="0.2">
      <c r="A229" s="104" t="s">
        <v>605</v>
      </c>
      <c r="B229" s="105" t="s">
        <v>212</v>
      </c>
      <c r="C229" s="105" t="s">
        <v>43</v>
      </c>
      <c r="D229" s="106"/>
      <c r="E229" s="107"/>
      <c r="F229" s="108" t="s">
        <v>8676</v>
      </c>
      <c r="G229" s="118">
        <v>3</v>
      </c>
      <c r="H229" s="108" t="s">
        <v>8677</v>
      </c>
      <c r="I229" s="116">
        <v>1</v>
      </c>
      <c r="J229" s="111" t="s">
        <v>53</v>
      </c>
      <c r="K229" s="108" t="s">
        <v>8678</v>
      </c>
      <c r="L229" s="117">
        <v>2</v>
      </c>
      <c r="M229" s="111" t="s">
        <v>40</v>
      </c>
      <c r="N229" s="108" t="s">
        <v>8676</v>
      </c>
      <c r="O229" s="110">
        <v>3</v>
      </c>
      <c r="P229" s="113"/>
      <c r="Q229" s="108" t="s">
        <v>8679</v>
      </c>
      <c r="R229" s="117">
        <v>2</v>
      </c>
      <c r="S229" s="111" t="s">
        <v>40</v>
      </c>
      <c r="T229" s="108" t="s">
        <v>8680</v>
      </c>
      <c r="U229" s="117">
        <v>2</v>
      </c>
      <c r="V229" s="113"/>
      <c r="W229" s="108" t="s">
        <v>8681</v>
      </c>
      <c r="X229" s="116">
        <v>1</v>
      </c>
      <c r="Y229" s="113"/>
      <c r="Z229" s="108" t="s">
        <v>47</v>
      </c>
      <c r="AA229" s="114"/>
      <c r="AB229" s="113"/>
      <c r="AC229" s="105" t="s">
        <v>606</v>
      </c>
      <c r="AD229" s="115" t="s">
        <v>49</v>
      </c>
    </row>
    <row r="230" spans="1:30" x14ac:dyDescent="0.2">
      <c r="A230" s="104" t="s">
        <v>607</v>
      </c>
      <c r="B230" s="105" t="s">
        <v>212</v>
      </c>
      <c r="C230" s="105" t="s">
        <v>43</v>
      </c>
      <c r="D230" s="106"/>
      <c r="E230" s="107"/>
      <c r="F230" s="108" t="s">
        <v>8682</v>
      </c>
      <c r="G230" s="118">
        <v>3</v>
      </c>
      <c r="H230" s="108" t="s">
        <v>8683</v>
      </c>
      <c r="I230" s="116">
        <v>1</v>
      </c>
      <c r="J230" s="111" t="s">
        <v>157</v>
      </c>
      <c r="K230" s="108" t="s">
        <v>8684</v>
      </c>
      <c r="L230" s="117">
        <v>2</v>
      </c>
      <c r="M230" s="111" t="s">
        <v>40</v>
      </c>
      <c r="N230" s="108" t="s">
        <v>8682</v>
      </c>
      <c r="O230" s="110">
        <v>3</v>
      </c>
      <c r="P230" s="113"/>
      <c r="Q230" s="108" t="s">
        <v>8685</v>
      </c>
      <c r="R230" s="117">
        <v>2</v>
      </c>
      <c r="S230" s="113"/>
      <c r="T230" s="108" t="s">
        <v>8686</v>
      </c>
      <c r="U230" s="117">
        <v>2</v>
      </c>
      <c r="V230" s="113"/>
      <c r="W230" s="108" t="s">
        <v>8687</v>
      </c>
      <c r="X230" s="116">
        <v>1</v>
      </c>
      <c r="Y230" s="113"/>
      <c r="Z230" s="108" t="s">
        <v>47</v>
      </c>
      <c r="AA230" s="114"/>
      <c r="AB230" s="113"/>
      <c r="AC230" s="105" t="s">
        <v>608</v>
      </c>
      <c r="AD230" s="115" t="s">
        <v>49</v>
      </c>
    </row>
    <row r="231" spans="1:30" x14ac:dyDescent="0.2">
      <c r="A231" s="104" t="s">
        <v>609</v>
      </c>
      <c r="B231" s="105" t="s">
        <v>212</v>
      </c>
      <c r="C231" s="105" t="s">
        <v>43</v>
      </c>
      <c r="D231" s="106"/>
      <c r="E231" s="107"/>
      <c r="F231" s="108" t="s">
        <v>8688</v>
      </c>
      <c r="G231" s="118">
        <v>3</v>
      </c>
      <c r="H231" s="108" t="s">
        <v>8689</v>
      </c>
      <c r="I231" s="116">
        <v>1</v>
      </c>
      <c r="J231" s="111" t="s">
        <v>53</v>
      </c>
      <c r="K231" s="108" t="s">
        <v>8690</v>
      </c>
      <c r="L231" s="117">
        <v>2</v>
      </c>
      <c r="M231" s="111" t="s">
        <v>40</v>
      </c>
      <c r="N231" s="108" t="s">
        <v>8688</v>
      </c>
      <c r="O231" s="110">
        <v>3</v>
      </c>
      <c r="P231" s="113"/>
      <c r="Q231" s="108" t="s">
        <v>8691</v>
      </c>
      <c r="R231" s="117">
        <v>2</v>
      </c>
      <c r="S231" s="113"/>
      <c r="T231" s="108" t="s">
        <v>8692</v>
      </c>
      <c r="U231" s="116">
        <v>1</v>
      </c>
      <c r="V231" s="111" t="s">
        <v>40</v>
      </c>
      <c r="W231" s="108" t="s">
        <v>8693</v>
      </c>
      <c r="X231" s="116">
        <v>1</v>
      </c>
      <c r="Y231" s="113"/>
      <c r="Z231" s="108" t="s">
        <v>47</v>
      </c>
      <c r="AA231" s="114"/>
      <c r="AB231" s="113"/>
      <c r="AC231" s="105" t="s">
        <v>610</v>
      </c>
      <c r="AD231" s="115" t="s">
        <v>49</v>
      </c>
    </row>
    <row r="232" spans="1:30" x14ac:dyDescent="0.2">
      <c r="A232" s="104" t="s">
        <v>611</v>
      </c>
      <c r="B232" s="105" t="s">
        <v>212</v>
      </c>
      <c r="C232" s="105" t="s">
        <v>43</v>
      </c>
      <c r="D232" s="106"/>
      <c r="E232" s="107"/>
      <c r="F232" s="108" t="s">
        <v>8694</v>
      </c>
      <c r="G232" s="120">
        <v>2</v>
      </c>
      <c r="H232" s="108" t="s">
        <v>8695</v>
      </c>
      <c r="I232" s="116">
        <v>1</v>
      </c>
      <c r="J232" s="111" t="s">
        <v>53</v>
      </c>
      <c r="K232" s="108" t="s">
        <v>8696</v>
      </c>
      <c r="L232" s="117">
        <v>2</v>
      </c>
      <c r="M232" s="111" t="s">
        <v>40</v>
      </c>
      <c r="N232" s="108" t="s">
        <v>8694</v>
      </c>
      <c r="O232" s="117">
        <v>2</v>
      </c>
      <c r="P232" s="111" t="s">
        <v>40</v>
      </c>
      <c r="Q232" s="108" t="s">
        <v>8697</v>
      </c>
      <c r="R232" s="117">
        <v>2</v>
      </c>
      <c r="S232" s="113"/>
      <c r="T232" s="108" t="s">
        <v>8698</v>
      </c>
      <c r="U232" s="117">
        <v>2</v>
      </c>
      <c r="V232" s="113"/>
      <c r="W232" s="108" t="s">
        <v>8699</v>
      </c>
      <c r="X232" s="116">
        <v>1</v>
      </c>
      <c r="Y232" s="113"/>
      <c r="Z232" s="108" t="s">
        <v>47</v>
      </c>
      <c r="AA232" s="114"/>
      <c r="AB232" s="113"/>
      <c r="AC232" s="105" t="s">
        <v>612</v>
      </c>
      <c r="AD232" s="115" t="s">
        <v>49</v>
      </c>
    </row>
    <row r="233" spans="1:30" x14ac:dyDescent="0.2">
      <c r="A233" s="104" t="s">
        <v>613</v>
      </c>
      <c r="B233" s="105" t="s">
        <v>212</v>
      </c>
      <c r="C233" s="105" t="s">
        <v>43</v>
      </c>
      <c r="D233" s="106"/>
      <c r="E233" s="107"/>
      <c r="F233" s="108" t="s">
        <v>8700</v>
      </c>
      <c r="G233" s="109">
        <v>4</v>
      </c>
      <c r="H233" s="108" t="s">
        <v>8701</v>
      </c>
      <c r="I233" s="112">
        <v>4</v>
      </c>
      <c r="J233" s="111" t="s">
        <v>46</v>
      </c>
      <c r="K233" s="108" t="s">
        <v>8702</v>
      </c>
      <c r="L233" s="112">
        <v>4</v>
      </c>
      <c r="M233" s="111" t="s">
        <v>46</v>
      </c>
      <c r="N233" s="108" t="s">
        <v>8700</v>
      </c>
      <c r="O233" s="112">
        <v>4</v>
      </c>
      <c r="P233" s="111" t="s">
        <v>55</v>
      </c>
      <c r="Q233" s="108" t="s">
        <v>8703</v>
      </c>
      <c r="R233" s="116">
        <v>1</v>
      </c>
      <c r="S233" s="113"/>
      <c r="T233" s="108" t="s">
        <v>8704</v>
      </c>
      <c r="U233" s="112">
        <v>4</v>
      </c>
      <c r="V233" s="113"/>
      <c r="W233" s="108" t="s">
        <v>47</v>
      </c>
      <c r="X233" s="114"/>
      <c r="Y233" s="113"/>
      <c r="Z233" s="108" t="s">
        <v>47</v>
      </c>
      <c r="AA233" s="114"/>
      <c r="AB233" s="113"/>
      <c r="AC233" s="105" t="s">
        <v>614</v>
      </c>
      <c r="AD233" s="115" t="s">
        <v>49</v>
      </c>
    </row>
    <row r="234" spans="1:30" x14ac:dyDescent="0.2">
      <c r="A234" s="104" t="s">
        <v>615</v>
      </c>
      <c r="B234" s="105" t="s">
        <v>212</v>
      </c>
      <c r="C234" s="105" t="s">
        <v>43</v>
      </c>
      <c r="D234" s="106"/>
      <c r="E234" s="107"/>
      <c r="F234" s="108" t="s">
        <v>8705</v>
      </c>
      <c r="G234" s="119">
        <v>1</v>
      </c>
      <c r="H234" s="108" t="s">
        <v>8706</v>
      </c>
      <c r="I234" s="116">
        <v>1</v>
      </c>
      <c r="J234" s="113"/>
      <c r="K234" s="108" t="s">
        <v>8707</v>
      </c>
      <c r="L234" s="116">
        <v>1</v>
      </c>
      <c r="M234" s="113"/>
      <c r="N234" s="108" t="s">
        <v>8705</v>
      </c>
      <c r="O234" s="116">
        <v>1</v>
      </c>
      <c r="P234" s="113"/>
      <c r="Q234" s="108" t="s">
        <v>8708</v>
      </c>
      <c r="R234" s="116">
        <v>1</v>
      </c>
      <c r="S234" s="113"/>
      <c r="T234" s="108" t="s">
        <v>8709</v>
      </c>
      <c r="U234" s="116">
        <v>1</v>
      </c>
      <c r="V234" s="113"/>
      <c r="W234" s="108" t="s">
        <v>8710</v>
      </c>
      <c r="X234" s="116">
        <v>1</v>
      </c>
      <c r="Y234" s="113"/>
      <c r="Z234" s="108" t="s">
        <v>47</v>
      </c>
      <c r="AA234" s="114"/>
      <c r="AB234" s="113"/>
      <c r="AC234" s="105" t="s">
        <v>616</v>
      </c>
      <c r="AD234" s="115" t="s">
        <v>49</v>
      </c>
    </row>
    <row r="235" spans="1:30" x14ac:dyDescent="0.2">
      <c r="A235" s="104" t="s">
        <v>617</v>
      </c>
      <c r="B235" s="105" t="s">
        <v>212</v>
      </c>
      <c r="C235" s="105" t="s">
        <v>43</v>
      </c>
      <c r="D235" s="106"/>
      <c r="E235" s="107"/>
      <c r="F235" s="108" t="s">
        <v>8711</v>
      </c>
      <c r="G235" s="119">
        <v>1</v>
      </c>
      <c r="H235" s="108" t="s">
        <v>8712</v>
      </c>
      <c r="I235" s="110">
        <v>3</v>
      </c>
      <c r="J235" s="111" t="s">
        <v>55</v>
      </c>
      <c r="K235" s="108" t="s">
        <v>8713</v>
      </c>
      <c r="L235" s="116">
        <v>1</v>
      </c>
      <c r="M235" s="113"/>
      <c r="N235" s="108" t="s">
        <v>8711</v>
      </c>
      <c r="O235" s="116">
        <v>1</v>
      </c>
      <c r="P235" s="113"/>
      <c r="Q235" s="108" t="s">
        <v>8714</v>
      </c>
      <c r="R235" s="116">
        <v>1</v>
      </c>
      <c r="S235" s="113"/>
      <c r="T235" s="108" t="s">
        <v>8715</v>
      </c>
      <c r="U235" s="116">
        <v>1</v>
      </c>
      <c r="V235" s="111" t="s">
        <v>40</v>
      </c>
      <c r="W235" s="108" t="s">
        <v>47</v>
      </c>
      <c r="X235" s="114"/>
      <c r="Y235" s="113"/>
      <c r="Z235" s="108" t="s">
        <v>47</v>
      </c>
      <c r="AA235" s="114"/>
      <c r="AB235" s="113"/>
      <c r="AC235" s="105" t="s">
        <v>618</v>
      </c>
      <c r="AD235" s="115" t="s">
        <v>49</v>
      </c>
    </row>
    <row r="236" spans="1:30" x14ac:dyDescent="0.2">
      <c r="A236" s="104" t="s">
        <v>619</v>
      </c>
      <c r="B236" s="105" t="s">
        <v>212</v>
      </c>
      <c r="C236" s="105" t="s">
        <v>43</v>
      </c>
      <c r="D236" s="106"/>
      <c r="E236" s="107"/>
      <c r="F236" s="108" t="s">
        <v>8716</v>
      </c>
      <c r="G236" s="119">
        <v>1</v>
      </c>
      <c r="H236" s="108" t="s">
        <v>8717</v>
      </c>
      <c r="I236" s="116">
        <v>1</v>
      </c>
      <c r="J236" s="111" t="s">
        <v>157</v>
      </c>
      <c r="K236" s="108" t="s">
        <v>8718</v>
      </c>
      <c r="L236" s="117">
        <v>2</v>
      </c>
      <c r="M236" s="111" t="s">
        <v>53</v>
      </c>
      <c r="N236" s="108" t="s">
        <v>8716</v>
      </c>
      <c r="O236" s="116">
        <v>1</v>
      </c>
      <c r="P236" s="111" t="s">
        <v>53</v>
      </c>
      <c r="Q236" s="108" t="s">
        <v>8719</v>
      </c>
      <c r="R236" s="116">
        <v>1</v>
      </c>
      <c r="S236" s="113"/>
      <c r="T236" s="108" t="s">
        <v>8720</v>
      </c>
      <c r="U236" s="117">
        <v>2</v>
      </c>
      <c r="V236" s="113"/>
      <c r="W236" s="108" t="s">
        <v>8721</v>
      </c>
      <c r="X236" s="117">
        <v>2</v>
      </c>
      <c r="Y236" s="113"/>
      <c r="Z236" s="108" t="s">
        <v>47</v>
      </c>
      <c r="AA236" s="114"/>
      <c r="AB236" s="113"/>
      <c r="AC236" s="105" t="s">
        <v>620</v>
      </c>
      <c r="AD236" s="115" t="s">
        <v>49</v>
      </c>
    </row>
    <row r="237" spans="1:30" x14ac:dyDescent="0.2">
      <c r="A237" s="104" t="s">
        <v>621</v>
      </c>
      <c r="B237" s="105" t="s">
        <v>212</v>
      </c>
      <c r="C237" s="105" t="s">
        <v>43</v>
      </c>
      <c r="D237" s="106"/>
      <c r="E237" s="107"/>
      <c r="F237" s="108" t="s">
        <v>8722</v>
      </c>
      <c r="G237" s="120">
        <v>2</v>
      </c>
      <c r="H237" s="108" t="s">
        <v>8723</v>
      </c>
      <c r="I237" s="117">
        <v>2</v>
      </c>
      <c r="J237" s="111" t="s">
        <v>40</v>
      </c>
      <c r="K237" s="108" t="s">
        <v>8724</v>
      </c>
      <c r="L237" s="117">
        <v>2</v>
      </c>
      <c r="M237" s="111" t="s">
        <v>40</v>
      </c>
      <c r="N237" s="108" t="s">
        <v>8722</v>
      </c>
      <c r="O237" s="117">
        <v>2</v>
      </c>
      <c r="P237" s="111" t="s">
        <v>40</v>
      </c>
      <c r="Q237" s="108" t="s">
        <v>8725</v>
      </c>
      <c r="R237" s="117">
        <v>2</v>
      </c>
      <c r="S237" s="113"/>
      <c r="T237" s="108" t="s">
        <v>8726</v>
      </c>
      <c r="U237" s="112">
        <v>4</v>
      </c>
      <c r="V237" s="113"/>
      <c r="W237" s="108" t="s">
        <v>8727</v>
      </c>
      <c r="X237" s="110">
        <v>3</v>
      </c>
      <c r="Y237" s="113"/>
      <c r="Z237" s="108" t="s">
        <v>47</v>
      </c>
      <c r="AA237" s="114"/>
      <c r="AB237" s="113"/>
      <c r="AC237" s="105" t="s">
        <v>622</v>
      </c>
      <c r="AD237" s="115" t="s">
        <v>49</v>
      </c>
    </row>
    <row r="238" spans="1:30" x14ac:dyDescent="0.2">
      <c r="A238" s="104" t="s">
        <v>623</v>
      </c>
      <c r="B238" s="105" t="s">
        <v>212</v>
      </c>
      <c r="C238" s="105" t="s">
        <v>43</v>
      </c>
      <c r="D238" s="106"/>
      <c r="E238" s="107"/>
      <c r="F238" s="108" t="s">
        <v>8728</v>
      </c>
      <c r="G238" s="119">
        <v>1</v>
      </c>
      <c r="H238" s="108" t="s">
        <v>8729</v>
      </c>
      <c r="I238" s="110">
        <v>3</v>
      </c>
      <c r="J238" s="111" t="s">
        <v>46</v>
      </c>
      <c r="K238" s="108" t="s">
        <v>8730</v>
      </c>
      <c r="L238" s="116">
        <v>1</v>
      </c>
      <c r="M238" s="113"/>
      <c r="N238" s="108" t="s">
        <v>8728</v>
      </c>
      <c r="O238" s="116">
        <v>1</v>
      </c>
      <c r="P238" s="113"/>
      <c r="Q238" s="108" t="s">
        <v>8731</v>
      </c>
      <c r="R238" s="116">
        <v>1</v>
      </c>
      <c r="S238" s="113"/>
      <c r="T238" s="108" t="s">
        <v>8732</v>
      </c>
      <c r="U238" s="116">
        <v>1</v>
      </c>
      <c r="V238" s="113"/>
      <c r="W238" s="108" t="s">
        <v>47</v>
      </c>
      <c r="X238" s="114"/>
      <c r="Y238" s="113"/>
      <c r="Z238" s="108" t="s">
        <v>47</v>
      </c>
      <c r="AA238" s="114"/>
      <c r="AB238" s="113"/>
      <c r="AC238" s="105" t="s">
        <v>624</v>
      </c>
      <c r="AD238" s="115" t="s">
        <v>49</v>
      </c>
    </row>
    <row r="239" spans="1:30" x14ac:dyDescent="0.2">
      <c r="A239" s="104" t="s">
        <v>625</v>
      </c>
      <c r="B239" s="105" t="s">
        <v>212</v>
      </c>
      <c r="C239" s="105" t="s">
        <v>43</v>
      </c>
      <c r="D239" s="106"/>
      <c r="E239" s="107"/>
      <c r="F239" s="108" t="s">
        <v>8733</v>
      </c>
      <c r="G239" s="119">
        <v>1</v>
      </c>
      <c r="H239" s="108" t="s">
        <v>8734</v>
      </c>
      <c r="I239" s="116">
        <v>1</v>
      </c>
      <c r="J239" s="113"/>
      <c r="K239" s="108" t="s">
        <v>8735</v>
      </c>
      <c r="L239" s="116">
        <v>1</v>
      </c>
      <c r="M239" s="111" t="s">
        <v>40</v>
      </c>
      <c r="N239" s="108" t="s">
        <v>8733</v>
      </c>
      <c r="O239" s="116">
        <v>1</v>
      </c>
      <c r="P239" s="111" t="s">
        <v>40</v>
      </c>
      <c r="Q239" s="108" t="s">
        <v>8736</v>
      </c>
      <c r="R239" s="116">
        <v>1</v>
      </c>
      <c r="S239" s="113"/>
      <c r="T239" s="108" t="s">
        <v>8737</v>
      </c>
      <c r="U239" s="116">
        <v>1</v>
      </c>
      <c r="V239" s="113"/>
      <c r="W239" s="108" t="s">
        <v>47</v>
      </c>
      <c r="X239" s="114"/>
      <c r="Y239" s="113"/>
      <c r="Z239" s="108" t="s">
        <v>47</v>
      </c>
      <c r="AA239" s="114"/>
      <c r="AB239" s="113"/>
      <c r="AC239" s="105" t="s">
        <v>626</v>
      </c>
      <c r="AD239" s="115" t="s">
        <v>49</v>
      </c>
    </row>
    <row r="240" spans="1:30" x14ac:dyDescent="0.2">
      <c r="A240" s="104" t="s">
        <v>627</v>
      </c>
      <c r="B240" s="105" t="s">
        <v>212</v>
      </c>
      <c r="C240" s="105" t="s">
        <v>43</v>
      </c>
      <c r="D240" s="106"/>
      <c r="E240" s="107"/>
      <c r="F240" s="108" t="s">
        <v>8738</v>
      </c>
      <c r="G240" s="119">
        <v>1</v>
      </c>
      <c r="H240" s="108" t="s">
        <v>8739</v>
      </c>
      <c r="I240" s="112">
        <v>4</v>
      </c>
      <c r="J240" s="111" t="s">
        <v>44</v>
      </c>
      <c r="K240" s="108" t="s">
        <v>8740</v>
      </c>
      <c r="L240" s="116">
        <v>1</v>
      </c>
      <c r="M240" s="113"/>
      <c r="N240" s="108" t="s">
        <v>8738</v>
      </c>
      <c r="O240" s="116">
        <v>1</v>
      </c>
      <c r="P240" s="113"/>
      <c r="Q240" s="108" t="s">
        <v>8741</v>
      </c>
      <c r="R240" s="116">
        <v>1</v>
      </c>
      <c r="S240" s="113"/>
      <c r="T240" s="108" t="s">
        <v>8742</v>
      </c>
      <c r="U240" s="116">
        <v>1</v>
      </c>
      <c r="V240" s="113"/>
      <c r="W240" s="108" t="s">
        <v>47</v>
      </c>
      <c r="X240" s="114"/>
      <c r="Y240" s="113"/>
      <c r="Z240" s="108" t="s">
        <v>47</v>
      </c>
      <c r="AA240" s="114"/>
      <c r="AB240" s="113"/>
      <c r="AC240" s="105" t="s">
        <v>628</v>
      </c>
      <c r="AD240" s="115" t="s">
        <v>49</v>
      </c>
    </row>
    <row r="241" spans="1:30" x14ac:dyDescent="0.2">
      <c r="A241" s="104" t="s">
        <v>629</v>
      </c>
      <c r="B241" s="105" t="s">
        <v>212</v>
      </c>
      <c r="C241" s="105" t="s">
        <v>43</v>
      </c>
      <c r="D241" s="106"/>
      <c r="E241" s="107"/>
      <c r="F241" s="108" t="s">
        <v>8743</v>
      </c>
      <c r="G241" s="119">
        <v>1</v>
      </c>
      <c r="H241" s="108" t="s">
        <v>8744</v>
      </c>
      <c r="I241" s="110">
        <v>3</v>
      </c>
      <c r="J241" s="111" t="s">
        <v>46</v>
      </c>
      <c r="K241" s="108" t="s">
        <v>8745</v>
      </c>
      <c r="L241" s="110">
        <v>3</v>
      </c>
      <c r="M241" s="113"/>
      <c r="N241" s="108" t="s">
        <v>8743</v>
      </c>
      <c r="O241" s="116">
        <v>1</v>
      </c>
      <c r="P241" s="111" t="s">
        <v>40</v>
      </c>
      <c r="Q241" s="108" t="s">
        <v>8746</v>
      </c>
      <c r="R241" s="116">
        <v>1</v>
      </c>
      <c r="S241" s="113"/>
      <c r="T241" s="108" t="s">
        <v>8747</v>
      </c>
      <c r="U241" s="112">
        <v>4</v>
      </c>
      <c r="V241" s="113"/>
      <c r="W241" s="108" t="s">
        <v>8748</v>
      </c>
      <c r="X241" s="112">
        <v>4</v>
      </c>
      <c r="Y241" s="111" t="s">
        <v>46</v>
      </c>
      <c r="Z241" s="108" t="s">
        <v>47</v>
      </c>
      <c r="AA241" s="114"/>
      <c r="AB241" s="113"/>
      <c r="AC241" s="105" t="s">
        <v>630</v>
      </c>
      <c r="AD241" s="115" t="s">
        <v>49</v>
      </c>
    </row>
    <row r="242" spans="1:30" x14ac:dyDescent="0.2">
      <c r="A242" s="104" t="s">
        <v>631</v>
      </c>
      <c r="B242" s="105" t="s">
        <v>212</v>
      </c>
      <c r="C242" s="105" t="s">
        <v>43</v>
      </c>
      <c r="D242" s="106"/>
      <c r="E242" s="107"/>
      <c r="F242" s="108" t="s">
        <v>8749</v>
      </c>
      <c r="G242" s="109">
        <v>4</v>
      </c>
      <c r="H242" s="108" t="s">
        <v>8750</v>
      </c>
      <c r="I242" s="112">
        <v>4</v>
      </c>
      <c r="J242" s="113"/>
      <c r="K242" s="108" t="s">
        <v>8751</v>
      </c>
      <c r="L242" s="112">
        <v>4</v>
      </c>
      <c r="M242" s="113"/>
      <c r="N242" s="108" t="s">
        <v>8749</v>
      </c>
      <c r="O242" s="112">
        <v>4</v>
      </c>
      <c r="P242" s="113"/>
      <c r="Q242" s="108" t="s">
        <v>8752</v>
      </c>
      <c r="R242" s="116">
        <v>1</v>
      </c>
      <c r="S242" s="113"/>
      <c r="T242" s="108" t="s">
        <v>8753</v>
      </c>
      <c r="U242" s="112">
        <v>4</v>
      </c>
      <c r="V242" s="111" t="s">
        <v>55</v>
      </c>
      <c r="W242" s="108" t="s">
        <v>47</v>
      </c>
      <c r="X242" s="114"/>
      <c r="Y242" s="113"/>
      <c r="Z242" s="108" t="s">
        <v>47</v>
      </c>
      <c r="AA242" s="114"/>
      <c r="AB242" s="113"/>
      <c r="AC242" s="105" t="s">
        <v>632</v>
      </c>
      <c r="AD242" s="115" t="s">
        <v>49</v>
      </c>
    </row>
    <row r="243" spans="1:30" x14ac:dyDescent="0.2">
      <c r="A243" s="104" t="s">
        <v>633</v>
      </c>
      <c r="B243" s="105" t="s">
        <v>212</v>
      </c>
      <c r="C243" s="105" t="s">
        <v>43</v>
      </c>
      <c r="D243" s="106"/>
      <c r="E243" s="107"/>
      <c r="F243" s="108" t="s">
        <v>8754</v>
      </c>
      <c r="G243" s="119">
        <v>1</v>
      </c>
      <c r="H243" s="108" t="s">
        <v>8755</v>
      </c>
      <c r="I243" s="116">
        <v>1</v>
      </c>
      <c r="J243" s="111" t="s">
        <v>157</v>
      </c>
      <c r="K243" s="108" t="s">
        <v>8756</v>
      </c>
      <c r="L243" s="116">
        <v>1</v>
      </c>
      <c r="M243" s="111" t="s">
        <v>40</v>
      </c>
      <c r="N243" s="108" t="s">
        <v>8754</v>
      </c>
      <c r="O243" s="116">
        <v>1</v>
      </c>
      <c r="P243" s="111" t="s">
        <v>40</v>
      </c>
      <c r="Q243" s="108" t="s">
        <v>8757</v>
      </c>
      <c r="R243" s="116">
        <v>1</v>
      </c>
      <c r="S243" s="113"/>
      <c r="T243" s="108" t="s">
        <v>8758</v>
      </c>
      <c r="U243" s="116">
        <v>1</v>
      </c>
      <c r="V243" s="113"/>
      <c r="W243" s="108" t="s">
        <v>47</v>
      </c>
      <c r="X243" s="114"/>
      <c r="Y243" s="113"/>
      <c r="Z243" s="108" t="s">
        <v>47</v>
      </c>
      <c r="AA243" s="114"/>
      <c r="AB243" s="113"/>
      <c r="AC243" s="105" t="s">
        <v>634</v>
      </c>
      <c r="AD243" s="115" t="s">
        <v>49</v>
      </c>
    </row>
    <row r="244" spans="1:30" x14ac:dyDescent="0.2">
      <c r="A244" s="104" t="s">
        <v>635</v>
      </c>
      <c r="B244" s="105" t="s">
        <v>212</v>
      </c>
      <c r="C244" s="105" t="s">
        <v>43</v>
      </c>
      <c r="D244" s="106"/>
      <c r="E244" s="107"/>
      <c r="F244" s="108" t="s">
        <v>8759</v>
      </c>
      <c r="G244" s="119">
        <v>1</v>
      </c>
      <c r="H244" s="108" t="s">
        <v>8760</v>
      </c>
      <c r="I244" s="110">
        <v>3</v>
      </c>
      <c r="J244" s="111" t="s">
        <v>55</v>
      </c>
      <c r="K244" s="108" t="s">
        <v>8761</v>
      </c>
      <c r="L244" s="116">
        <v>1</v>
      </c>
      <c r="M244" s="113"/>
      <c r="N244" s="108" t="s">
        <v>8759</v>
      </c>
      <c r="O244" s="116">
        <v>1</v>
      </c>
      <c r="P244" s="113"/>
      <c r="Q244" s="108" t="s">
        <v>8762</v>
      </c>
      <c r="R244" s="116">
        <v>1</v>
      </c>
      <c r="S244" s="113"/>
      <c r="T244" s="108" t="s">
        <v>8763</v>
      </c>
      <c r="U244" s="112">
        <v>4</v>
      </c>
      <c r="V244" s="111" t="s">
        <v>46</v>
      </c>
      <c r="W244" s="108" t="s">
        <v>8764</v>
      </c>
      <c r="X244" s="116">
        <v>1</v>
      </c>
      <c r="Y244" s="113"/>
      <c r="Z244" s="108" t="s">
        <v>47</v>
      </c>
      <c r="AA244" s="114"/>
      <c r="AB244" s="113"/>
      <c r="AC244" s="105" t="s">
        <v>636</v>
      </c>
      <c r="AD244" s="115" t="s">
        <v>49</v>
      </c>
    </row>
    <row r="245" spans="1:30" x14ac:dyDescent="0.2">
      <c r="A245" s="104" t="s">
        <v>637</v>
      </c>
      <c r="B245" s="105" t="s">
        <v>42</v>
      </c>
      <c r="C245" s="105" t="s">
        <v>638</v>
      </c>
      <c r="D245" s="106" t="s">
        <v>125</v>
      </c>
      <c r="E245" s="107"/>
      <c r="F245" s="108" t="s">
        <v>8765</v>
      </c>
      <c r="G245" s="118">
        <v>3</v>
      </c>
      <c r="H245" s="108" t="s">
        <v>8766</v>
      </c>
      <c r="I245" s="117">
        <v>2</v>
      </c>
      <c r="J245" s="111" t="s">
        <v>46</v>
      </c>
      <c r="K245" s="108" t="s">
        <v>8767</v>
      </c>
      <c r="L245" s="117">
        <v>2</v>
      </c>
      <c r="M245" s="111" t="s">
        <v>40</v>
      </c>
      <c r="N245" s="108" t="s">
        <v>8765</v>
      </c>
      <c r="O245" s="110">
        <v>3</v>
      </c>
      <c r="P245" s="113"/>
      <c r="Q245" s="108" t="s">
        <v>8768</v>
      </c>
      <c r="R245" s="117">
        <v>2</v>
      </c>
      <c r="S245" s="111" t="s">
        <v>40</v>
      </c>
      <c r="T245" s="108" t="s">
        <v>8769</v>
      </c>
      <c r="U245" s="117">
        <v>2</v>
      </c>
      <c r="V245" s="113"/>
      <c r="W245" s="108" t="s">
        <v>8770</v>
      </c>
      <c r="X245" s="117">
        <v>2</v>
      </c>
      <c r="Y245" s="113"/>
      <c r="Z245" s="108" t="s">
        <v>8771</v>
      </c>
      <c r="AA245" s="110">
        <v>3</v>
      </c>
      <c r="AB245" s="111" t="s">
        <v>46</v>
      </c>
      <c r="AC245" s="105" t="s">
        <v>639</v>
      </c>
      <c r="AD245" s="115" t="s">
        <v>49</v>
      </c>
    </row>
    <row r="246" spans="1:30" x14ac:dyDescent="0.2">
      <c r="A246" s="104" t="s">
        <v>640</v>
      </c>
      <c r="B246" s="105" t="s">
        <v>42</v>
      </c>
      <c r="C246" s="105" t="s">
        <v>638</v>
      </c>
      <c r="D246" s="106"/>
      <c r="E246" s="107"/>
      <c r="F246" s="108" t="s">
        <v>8772</v>
      </c>
      <c r="G246" s="118">
        <v>3</v>
      </c>
      <c r="H246" s="108" t="s">
        <v>8773</v>
      </c>
      <c r="I246" s="117">
        <v>2</v>
      </c>
      <c r="J246" s="111" t="s">
        <v>46</v>
      </c>
      <c r="K246" s="108" t="s">
        <v>8774</v>
      </c>
      <c r="L246" s="117">
        <v>2</v>
      </c>
      <c r="M246" s="111" t="s">
        <v>40</v>
      </c>
      <c r="N246" s="108" t="s">
        <v>8772</v>
      </c>
      <c r="O246" s="110">
        <v>3</v>
      </c>
      <c r="P246" s="113"/>
      <c r="Q246" s="108" t="s">
        <v>47</v>
      </c>
      <c r="R246" s="114"/>
      <c r="S246" s="113"/>
      <c r="T246" s="108" t="s">
        <v>47</v>
      </c>
      <c r="U246" s="114"/>
      <c r="V246" s="113"/>
      <c r="W246" s="108" t="s">
        <v>47</v>
      </c>
      <c r="X246" s="114"/>
      <c r="Y246" s="113"/>
      <c r="Z246" s="108" t="s">
        <v>47</v>
      </c>
      <c r="AA246" s="114"/>
      <c r="AB246" s="113"/>
      <c r="AC246" s="105" t="s">
        <v>641</v>
      </c>
      <c r="AD246" s="115" t="s">
        <v>49</v>
      </c>
    </row>
    <row r="247" spans="1:30" x14ac:dyDescent="0.2">
      <c r="A247" s="104" t="s">
        <v>642</v>
      </c>
      <c r="B247" s="105" t="s">
        <v>381</v>
      </c>
      <c r="C247" s="105" t="s">
        <v>643</v>
      </c>
      <c r="D247" s="106" t="s">
        <v>94</v>
      </c>
      <c r="E247" s="107"/>
      <c r="F247" s="108" t="s">
        <v>8775</v>
      </c>
      <c r="G247" s="119">
        <v>1</v>
      </c>
      <c r="H247" s="108" t="s">
        <v>644</v>
      </c>
      <c r="I247" s="116">
        <v>1</v>
      </c>
      <c r="J247" s="113"/>
      <c r="K247" s="108" t="s">
        <v>645</v>
      </c>
      <c r="L247" s="116">
        <v>1</v>
      </c>
      <c r="M247" s="111" t="s">
        <v>40</v>
      </c>
      <c r="N247" s="108" t="s">
        <v>8775</v>
      </c>
      <c r="O247" s="116">
        <v>1</v>
      </c>
      <c r="P247" s="111" t="s">
        <v>40</v>
      </c>
      <c r="Q247" s="108" t="s">
        <v>646</v>
      </c>
      <c r="R247" s="116">
        <v>1</v>
      </c>
      <c r="S247" s="113"/>
      <c r="T247" s="108" t="s">
        <v>647</v>
      </c>
      <c r="U247" s="110">
        <v>3</v>
      </c>
      <c r="V247" s="111" t="s">
        <v>40</v>
      </c>
      <c r="W247" s="108" t="s">
        <v>648</v>
      </c>
      <c r="X247" s="116">
        <v>1</v>
      </c>
      <c r="Y247" s="113"/>
      <c r="Z247" s="108" t="s">
        <v>649</v>
      </c>
      <c r="AA247" s="116">
        <v>1</v>
      </c>
      <c r="AB247" s="113"/>
      <c r="AC247" s="105" t="s">
        <v>650</v>
      </c>
      <c r="AD247" s="115" t="s">
        <v>101</v>
      </c>
    </row>
    <row r="248" spans="1:30" x14ac:dyDescent="0.2">
      <c r="A248" s="104" t="s">
        <v>651</v>
      </c>
      <c r="B248" s="105" t="s">
        <v>42</v>
      </c>
      <c r="C248" s="105" t="s">
        <v>384</v>
      </c>
      <c r="D248" s="106" t="s">
        <v>298</v>
      </c>
      <c r="E248" s="107"/>
      <c r="F248" s="108" t="s">
        <v>8776</v>
      </c>
      <c r="G248" s="118">
        <v>3</v>
      </c>
      <c r="H248" s="108" t="s">
        <v>8777</v>
      </c>
      <c r="I248" s="116">
        <v>1</v>
      </c>
      <c r="J248" s="111" t="s">
        <v>40</v>
      </c>
      <c r="K248" s="108" t="s">
        <v>8778</v>
      </c>
      <c r="L248" s="116">
        <v>1</v>
      </c>
      <c r="M248" s="111" t="s">
        <v>40</v>
      </c>
      <c r="N248" s="108" t="s">
        <v>8776</v>
      </c>
      <c r="O248" s="110">
        <v>3</v>
      </c>
      <c r="P248" s="111" t="s">
        <v>40</v>
      </c>
      <c r="Q248" s="108" t="s">
        <v>8779</v>
      </c>
      <c r="R248" s="112">
        <v>4</v>
      </c>
      <c r="S248" s="113"/>
      <c r="T248" s="108" t="s">
        <v>8780</v>
      </c>
      <c r="U248" s="112">
        <v>4</v>
      </c>
      <c r="V248" s="113"/>
      <c r="W248" s="108" t="s">
        <v>8781</v>
      </c>
      <c r="X248" s="112">
        <v>4</v>
      </c>
      <c r="Y248" s="113"/>
      <c r="Z248" s="108" t="s">
        <v>47</v>
      </c>
      <c r="AA248" s="114"/>
      <c r="AB248" s="113"/>
      <c r="AC248" s="105" t="s">
        <v>652</v>
      </c>
      <c r="AD248" s="115" t="s">
        <v>49</v>
      </c>
    </row>
    <row r="249" spans="1:30" x14ac:dyDescent="0.2">
      <c r="A249" s="104" t="s">
        <v>653</v>
      </c>
      <c r="B249" s="105" t="s">
        <v>97</v>
      </c>
      <c r="C249" s="105" t="s">
        <v>582</v>
      </c>
      <c r="D249" s="106" t="s">
        <v>94</v>
      </c>
      <c r="E249" s="107"/>
      <c r="F249" s="108" t="s">
        <v>8782</v>
      </c>
      <c r="G249" s="118">
        <v>3</v>
      </c>
      <c r="H249" s="108" t="s">
        <v>8783</v>
      </c>
      <c r="I249" s="117">
        <v>2</v>
      </c>
      <c r="J249" s="113"/>
      <c r="K249" s="108" t="s">
        <v>8784</v>
      </c>
      <c r="L249" s="117">
        <v>2</v>
      </c>
      <c r="M249" s="113"/>
      <c r="N249" s="108" t="s">
        <v>8782</v>
      </c>
      <c r="O249" s="110">
        <v>3</v>
      </c>
      <c r="P249" s="113"/>
      <c r="Q249" s="108" t="s">
        <v>8785</v>
      </c>
      <c r="R249" s="110">
        <v>3</v>
      </c>
      <c r="S249" s="113"/>
      <c r="T249" s="108" t="s">
        <v>8786</v>
      </c>
      <c r="U249" s="117">
        <v>2</v>
      </c>
      <c r="V249" s="113"/>
      <c r="W249" s="108" t="s">
        <v>8787</v>
      </c>
      <c r="X249" s="117">
        <v>2</v>
      </c>
      <c r="Y249" s="113"/>
      <c r="Z249" s="108" t="s">
        <v>8788</v>
      </c>
      <c r="AA249" s="116">
        <v>1</v>
      </c>
      <c r="AB249" s="113"/>
      <c r="AC249" s="105" t="s">
        <v>654</v>
      </c>
      <c r="AD249" s="115" t="s">
        <v>101</v>
      </c>
    </row>
    <row r="250" spans="1:30" x14ac:dyDescent="0.2">
      <c r="A250" s="104" t="s">
        <v>655</v>
      </c>
      <c r="B250" s="105" t="s">
        <v>97</v>
      </c>
      <c r="C250" s="105" t="s">
        <v>582</v>
      </c>
      <c r="D250" s="106" t="s">
        <v>514</v>
      </c>
      <c r="E250" s="107"/>
      <c r="F250" s="108" t="s">
        <v>8789</v>
      </c>
      <c r="G250" s="120">
        <v>2</v>
      </c>
      <c r="H250" s="108" t="s">
        <v>8790</v>
      </c>
      <c r="I250" s="117">
        <v>2</v>
      </c>
      <c r="J250" s="113"/>
      <c r="K250" s="108" t="s">
        <v>8791</v>
      </c>
      <c r="L250" s="116">
        <v>1</v>
      </c>
      <c r="M250" s="111" t="s">
        <v>40</v>
      </c>
      <c r="N250" s="108" t="s">
        <v>8789</v>
      </c>
      <c r="O250" s="117">
        <v>2</v>
      </c>
      <c r="P250" s="111" t="s">
        <v>40</v>
      </c>
      <c r="Q250" s="108" t="s">
        <v>8792</v>
      </c>
      <c r="R250" s="110">
        <v>3</v>
      </c>
      <c r="S250" s="113"/>
      <c r="T250" s="108" t="s">
        <v>8793</v>
      </c>
      <c r="U250" s="117">
        <v>2</v>
      </c>
      <c r="V250" s="113"/>
      <c r="W250" s="108" t="s">
        <v>8794</v>
      </c>
      <c r="X250" s="117">
        <v>2</v>
      </c>
      <c r="Y250" s="113"/>
      <c r="Z250" s="108" t="s">
        <v>8795</v>
      </c>
      <c r="AA250" s="116">
        <v>1</v>
      </c>
      <c r="AB250" s="113"/>
      <c r="AC250" s="105" t="s">
        <v>656</v>
      </c>
      <c r="AD250" s="115" t="s">
        <v>101</v>
      </c>
    </row>
    <row r="251" spans="1:30" x14ac:dyDescent="0.2">
      <c r="A251" s="104" t="s">
        <v>657</v>
      </c>
      <c r="B251" s="105" t="s">
        <v>97</v>
      </c>
      <c r="C251" s="105" t="s">
        <v>658</v>
      </c>
      <c r="D251" s="106" t="s">
        <v>125</v>
      </c>
      <c r="E251" s="107" t="s">
        <v>146</v>
      </c>
      <c r="F251" s="108" t="s">
        <v>8796</v>
      </c>
      <c r="G251" s="119">
        <v>1</v>
      </c>
      <c r="H251" s="108" t="s">
        <v>8797</v>
      </c>
      <c r="I251" s="117">
        <v>2</v>
      </c>
      <c r="J251" s="111" t="s">
        <v>46</v>
      </c>
      <c r="K251" s="108" t="s">
        <v>659</v>
      </c>
      <c r="L251" s="116">
        <v>1</v>
      </c>
      <c r="M251" s="113"/>
      <c r="N251" s="108" t="s">
        <v>8796</v>
      </c>
      <c r="O251" s="116">
        <v>1</v>
      </c>
      <c r="P251" s="113"/>
      <c r="Q251" s="108" t="s">
        <v>8798</v>
      </c>
      <c r="R251" s="110">
        <v>3</v>
      </c>
      <c r="S251" s="113"/>
      <c r="T251" s="108" t="s">
        <v>8799</v>
      </c>
      <c r="U251" s="110">
        <v>3</v>
      </c>
      <c r="V251" s="113"/>
      <c r="W251" s="108" t="s">
        <v>8800</v>
      </c>
      <c r="X251" s="112">
        <v>4</v>
      </c>
      <c r="Y251" s="113"/>
      <c r="Z251" s="108" t="s">
        <v>8801</v>
      </c>
      <c r="AA251" s="112">
        <v>4</v>
      </c>
      <c r="AB251" s="111" t="s">
        <v>46</v>
      </c>
      <c r="AC251" s="105" t="s">
        <v>660</v>
      </c>
      <c r="AD251" s="115" t="s">
        <v>101</v>
      </c>
    </row>
    <row r="252" spans="1:30" x14ac:dyDescent="0.2">
      <c r="A252" s="104" t="s">
        <v>661</v>
      </c>
      <c r="B252" s="105" t="s">
        <v>97</v>
      </c>
      <c r="C252" s="105" t="s">
        <v>658</v>
      </c>
      <c r="D252" s="106" t="s">
        <v>125</v>
      </c>
      <c r="E252" s="107" t="s">
        <v>146</v>
      </c>
      <c r="F252" s="108" t="s">
        <v>8802</v>
      </c>
      <c r="G252" s="119">
        <v>1</v>
      </c>
      <c r="H252" s="108" t="s">
        <v>8803</v>
      </c>
      <c r="I252" s="117">
        <v>2</v>
      </c>
      <c r="J252" s="111" t="s">
        <v>46</v>
      </c>
      <c r="K252" s="108" t="s">
        <v>8804</v>
      </c>
      <c r="L252" s="116">
        <v>1</v>
      </c>
      <c r="M252" s="113"/>
      <c r="N252" s="108" t="s">
        <v>8802</v>
      </c>
      <c r="O252" s="116">
        <v>1</v>
      </c>
      <c r="P252" s="113"/>
      <c r="Q252" s="108" t="s">
        <v>8805</v>
      </c>
      <c r="R252" s="110">
        <v>3</v>
      </c>
      <c r="S252" s="113"/>
      <c r="T252" s="108" t="s">
        <v>8806</v>
      </c>
      <c r="U252" s="110">
        <v>3</v>
      </c>
      <c r="V252" s="113"/>
      <c r="W252" s="108" t="s">
        <v>8807</v>
      </c>
      <c r="X252" s="112">
        <v>4</v>
      </c>
      <c r="Y252" s="113"/>
      <c r="Z252" s="108" t="s">
        <v>8808</v>
      </c>
      <c r="AA252" s="112">
        <v>4</v>
      </c>
      <c r="AB252" s="111" t="s">
        <v>46</v>
      </c>
      <c r="AC252" s="105" t="s">
        <v>662</v>
      </c>
      <c r="AD252" s="115" t="s">
        <v>101</v>
      </c>
    </row>
    <row r="253" spans="1:30" x14ac:dyDescent="0.2">
      <c r="A253" s="104" t="s">
        <v>663</v>
      </c>
      <c r="B253" s="105" t="s">
        <v>97</v>
      </c>
      <c r="C253" s="105" t="s">
        <v>664</v>
      </c>
      <c r="D253" s="106" t="s">
        <v>105</v>
      </c>
      <c r="E253" s="107" t="s">
        <v>99</v>
      </c>
      <c r="F253" s="108" t="s">
        <v>8809</v>
      </c>
      <c r="G253" s="109">
        <v>4</v>
      </c>
      <c r="H253" s="108" t="s">
        <v>665</v>
      </c>
      <c r="I253" s="116">
        <v>1</v>
      </c>
      <c r="J253" s="111" t="s">
        <v>157</v>
      </c>
      <c r="K253" s="108" t="s">
        <v>8810</v>
      </c>
      <c r="L253" s="110">
        <v>3</v>
      </c>
      <c r="M253" s="111" t="s">
        <v>40</v>
      </c>
      <c r="N253" s="108" t="s">
        <v>8809</v>
      </c>
      <c r="O253" s="112">
        <v>4</v>
      </c>
      <c r="P253" s="113"/>
      <c r="Q253" s="108" t="s">
        <v>8811</v>
      </c>
      <c r="R253" s="112">
        <v>4</v>
      </c>
      <c r="S253" s="113"/>
      <c r="T253" s="108" t="s">
        <v>8812</v>
      </c>
      <c r="U253" s="110">
        <v>3</v>
      </c>
      <c r="V253" s="113"/>
      <c r="W253" s="108" t="s">
        <v>8813</v>
      </c>
      <c r="X253" s="112">
        <v>4</v>
      </c>
      <c r="Y253" s="113"/>
      <c r="Z253" s="108" t="s">
        <v>8814</v>
      </c>
      <c r="AA253" s="112">
        <v>4</v>
      </c>
      <c r="AB253" s="113"/>
      <c r="AC253" s="105" t="s">
        <v>666</v>
      </c>
      <c r="AD253" s="115" t="s">
        <v>101</v>
      </c>
    </row>
    <row r="254" spans="1:30" x14ac:dyDescent="0.2">
      <c r="A254" s="104" t="s">
        <v>667</v>
      </c>
      <c r="B254" s="105" t="s">
        <v>97</v>
      </c>
      <c r="C254" s="105" t="s">
        <v>664</v>
      </c>
      <c r="D254" s="106" t="s">
        <v>105</v>
      </c>
      <c r="E254" s="107" t="s">
        <v>99</v>
      </c>
      <c r="F254" s="108" t="s">
        <v>8815</v>
      </c>
      <c r="G254" s="109">
        <v>4</v>
      </c>
      <c r="H254" s="108" t="s">
        <v>8816</v>
      </c>
      <c r="I254" s="116">
        <v>1</v>
      </c>
      <c r="J254" s="111" t="s">
        <v>157</v>
      </c>
      <c r="K254" s="108" t="s">
        <v>8817</v>
      </c>
      <c r="L254" s="110">
        <v>3</v>
      </c>
      <c r="M254" s="111" t="s">
        <v>40</v>
      </c>
      <c r="N254" s="108" t="s">
        <v>8815</v>
      </c>
      <c r="O254" s="112">
        <v>4</v>
      </c>
      <c r="P254" s="113"/>
      <c r="Q254" s="108" t="s">
        <v>8818</v>
      </c>
      <c r="R254" s="112">
        <v>4</v>
      </c>
      <c r="S254" s="113"/>
      <c r="T254" s="108" t="s">
        <v>8819</v>
      </c>
      <c r="U254" s="110">
        <v>3</v>
      </c>
      <c r="V254" s="113"/>
      <c r="W254" s="108" t="s">
        <v>8820</v>
      </c>
      <c r="X254" s="112">
        <v>4</v>
      </c>
      <c r="Y254" s="113"/>
      <c r="Z254" s="108" t="s">
        <v>8821</v>
      </c>
      <c r="AA254" s="112">
        <v>4</v>
      </c>
      <c r="AB254" s="113"/>
      <c r="AC254" s="105" t="s">
        <v>668</v>
      </c>
      <c r="AD254" s="115" t="s">
        <v>101</v>
      </c>
    </row>
    <row r="255" spans="1:30" x14ac:dyDescent="0.2">
      <c r="A255" s="104" t="s">
        <v>669</v>
      </c>
      <c r="B255" s="105" t="s">
        <v>97</v>
      </c>
      <c r="C255" s="105" t="s">
        <v>279</v>
      </c>
      <c r="D255" s="106" t="s">
        <v>125</v>
      </c>
      <c r="E255" s="107" t="s">
        <v>376</v>
      </c>
      <c r="F255" s="108" t="s">
        <v>8822</v>
      </c>
      <c r="G255" s="118">
        <v>3</v>
      </c>
      <c r="H255" s="108" t="s">
        <v>8823</v>
      </c>
      <c r="I255" s="117">
        <v>2</v>
      </c>
      <c r="J255" s="111" t="s">
        <v>46</v>
      </c>
      <c r="K255" s="108" t="s">
        <v>8824</v>
      </c>
      <c r="L255" s="117">
        <v>2</v>
      </c>
      <c r="M255" s="111" t="s">
        <v>40</v>
      </c>
      <c r="N255" s="108" t="s">
        <v>8822</v>
      </c>
      <c r="O255" s="110">
        <v>3</v>
      </c>
      <c r="P255" s="111" t="s">
        <v>40</v>
      </c>
      <c r="Q255" s="108" t="s">
        <v>8825</v>
      </c>
      <c r="R255" s="110">
        <v>3</v>
      </c>
      <c r="S255" s="113"/>
      <c r="T255" s="108" t="s">
        <v>8826</v>
      </c>
      <c r="U255" s="110">
        <v>3</v>
      </c>
      <c r="V255" s="113"/>
      <c r="W255" s="108" t="s">
        <v>8827</v>
      </c>
      <c r="X255" s="110">
        <v>3</v>
      </c>
      <c r="Y255" s="113"/>
      <c r="Z255" s="108" t="s">
        <v>8828</v>
      </c>
      <c r="AA255" s="110">
        <v>3</v>
      </c>
      <c r="AB255" s="113"/>
      <c r="AC255" s="105" t="s">
        <v>670</v>
      </c>
      <c r="AD255" s="115" t="s">
        <v>101</v>
      </c>
    </row>
    <row r="256" spans="1:30" x14ac:dyDescent="0.2">
      <c r="A256" s="104" t="s">
        <v>671</v>
      </c>
      <c r="B256" s="105" t="s">
        <v>97</v>
      </c>
      <c r="C256" s="105" t="s">
        <v>279</v>
      </c>
      <c r="D256" s="106" t="s">
        <v>125</v>
      </c>
      <c r="E256" s="107" t="s">
        <v>376</v>
      </c>
      <c r="F256" s="108" t="s">
        <v>8829</v>
      </c>
      <c r="G256" s="118">
        <v>3</v>
      </c>
      <c r="H256" s="108" t="s">
        <v>8830</v>
      </c>
      <c r="I256" s="117">
        <v>2</v>
      </c>
      <c r="J256" s="111" t="s">
        <v>46</v>
      </c>
      <c r="K256" s="108" t="s">
        <v>8831</v>
      </c>
      <c r="L256" s="117">
        <v>2</v>
      </c>
      <c r="M256" s="111" t="s">
        <v>40</v>
      </c>
      <c r="N256" s="108" t="s">
        <v>8829</v>
      </c>
      <c r="O256" s="110">
        <v>3</v>
      </c>
      <c r="P256" s="111" t="s">
        <v>40</v>
      </c>
      <c r="Q256" s="108" t="s">
        <v>8832</v>
      </c>
      <c r="R256" s="110">
        <v>3</v>
      </c>
      <c r="S256" s="113"/>
      <c r="T256" s="108" t="s">
        <v>8833</v>
      </c>
      <c r="U256" s="110">
        <v>3</v>
      </c>
      <c r="V256" s="113"/>
      <c r="W256" s="108" t="s">
        <v>8834</v>
      </c>
      <c r="X256" s="110">
        <v>3</v>
      </c>
      <c r="Y256" s="113"/>
      <c r="Z256" s="108" t="s">
        <v>8835</v>
      </c>
      <c r="AA256" s="110">
        <v>3</v>
      </c>
      <c r="AB256" s="113"/>
      <c r="AC256" s="105" t="s">
        <v>672</v>
      </c>
      <c r="AD256" s="115" t="s">
        <v>101</v>
      </c>
    </row>
    <row r="257" spans="1:30" x14ac:dyDescent="0.2">
      <c r="A257" s="104" t="s">
        <v>673</v>
      </c>
      <c r="B257" s="105" t="s">
        <v>381</v>
      </c>
      <c r="C257" s="105" t="s">
        <v>674</v>
      </c>
      <c r="D257" s="106" t="s">
        <v>105</v>
      </c>
      <c r="E257" s="107"/>
      <c r="F257" s="108" t="s">
        <v>8836</v>
      </c>
      <c r="G257" s="109">
        <v>4</v>
      </c>
      <c r="H257" s="108" t="s">
        <v>675</v>
      </c>
      <c r="I257" s="112">
        <v>4</v>
      </c>
      <c r="J257" s="113"/>
      <c r="K257" s="108" t="s">
        <v>676</v>
      </c>
      <c r="L257" s="112">
        <v>4</v>
      </c>
      <c r="M257" s="111" t="s">
        <v>46</v>
      </c>
      <c r="N257" s="108" t="s">
        <v>8836</v>
      </c>
      <c r="O257" s="112">
        <v>4</v>
      </c>
      <c r="P257" s="111" t="s">
        <v>44</v>
      </c>
      <c r="Q257" s="108" t="s">
        <v>8837</v>
      </c>
      <c r="R257" s="117">
        <v>2</v>
      </c>
      <c r="S257" s="113"/>
      <c r="T257" s="108" t="s">
        <v>677</v>
      </c>
      <c r="U257" s="112">
        <v>4</v>
      </c>
      <c r="V257" s="111" t="s">
        <v>46</v>
      </c>
      <c r="W257" s="108" t="s">
        <v>47</v>
      </c>
      <c r="X257" s="114"/>
      <c r="Y257" s="113"/>
      <c r="Z257" s="108" t="s">
        <v>47</v>
      </c>
      <c r="AA257" s="114"/>
      <c r="AB257" s="113"/>
      <c r="AC257" s="105" t="s">
        <v>678</v>
      </c>
      <c r="AD257" s="115" t="s">
        <v>101</v>
      </c>
    </row>
    <row r="258" spans="1:30" x14ac:dyDescent="0.2">
      <c r="A258" s="104" t="s">
        <v>679</v>
      </c>
      <c r="B258" s="105" t="s">
        <v>381</v>
      </c>
      <c r="C258" s="105" t="s">
        <v>674</v>
      </c>
      <c r="D258" s="106" t="s">
        <v>105</v>
      </c>
      <c r="E258" s="107"/>
      <c r="F258" s="108" t="s">
        <v>8838</v>
      </c>
      <c r="G258" s="109">
        <v>4</v>
      </c>
      <c r="H258" s="108" t="s">
        <v>676</v>
      </c>
      <c r="I258" s="112">
        <v>4</v>
      </c>
      <c r="J258" s="113"/>
      <c r="K258" s="108" t="s">
        <v>675</v>
      </c>
      <c r="L258" s="112">
        <v>4</v>
      </c>
      <c r="M258" s="113"/>
      <c r="N258" s="108" t="s">
        <v>8838</v>
      </c>
      <c r="O258" s="112">
        <v>4</v>
      </c>
      <c r="P258" s="111" t="s">
        <v>44</v>
      </c>
      <c r="Q258" s="108" t="s">
        <v>8839</v>
      </c>
      <c r="R258" s="117">
        <v>2</v>
      </c>
      <c r="S258" s="111" t="s">
        <v>46</v>
      </c>
      <c r="T258" s="108" t="s">
        <v>680</v>
      </c>
      <c r="U258" s="112">
        <v>4</v>
      </c>
      <c r="V258" s="113"/>
      <c r="W258" s="108" t="s">
        <v>47</v>
      </c>
      <c r="X258" s="114"/>
      <c r="Y258" s="113"/>
      <c r="Z258" s="108" t="s">
        <v>47</v>
      </c>
      <c r="AA258" s="114"/>
      <c r="AB258" s="113"/>
      <c r="AC258" s="105" t="s">
        <v>681</v>
      </c>
      <c r="AD258" s="115" t="s">
        <v>101</v>
      </c>
    </row>
    <row r="259" spans="1:30" x14ac:dyDescent="0.2">
      <c r="A259" s="104" t="s">
        <v>682</v>
      </c>
      <c r="B259" s="105" t="s">
        <v>381</v>
      </c>
      <c r="C259" s="105" t="s">
        <v>674</v>
      </c>
      <c r="D259" s="106" t="s">
        <v>298</v>
      </c>
      <c r="E259" s="107"/>
      <c r="F259" s="108" t="s">
        <v>683</v>
      </c>
      <c r="G259" s="119">
        <v>1</v>
      </c>
      <c r="H259" s="108" t="s">
        <v>8840</v>
      </c>
      <c r="I259" s="117">
        <v>2</v>
      </c>
      <c r="J259" s="111" t="s">
        <v>46</v>
      </c>
      <c r="K259" s="108" t="s">
        <v>8841</v>
      </c>
      <c r="L259" s="116">
        <v>1</v>
      </c>
      <c r="M259" s="113"/>
      <c r="N259" s="108" t="s">
        <v>683</v>
      </c>
      <c r="O259" s="116">
        <v>1</v>
      </c>
      <c r="P259" s="111" t="s">
        <v>40</v>
      </c>
      <c r="Q259" s="108" t="s">
        <v>684</v>
      </c>
      <c r="R259" s="110">
        <v>3</v>
      </c>
      <c r="S259" s="111" t="s">
        <v>40</v>
      </c>
      <c r="T259" s="108" t="s">
        <v>685</v>
      </c>
      <c r="U259" s="112">
        <v>4</v>
      </c>
      <c r="V259" s="113"/>
      <c r="W259" s="108" t="s">
        <v>47</v>
      </c>
      <c r="X259" s="114"/>
      <c r="Y259" s="113"/>
      <c r="Z259" s="108" t="s">
        <v>47</v>
      </c>
      <c r="AA259" s="114"/>
      <c r="AB259" s="113"/>
      <c r="AC259" s="105" t="s">
        <v>686</v>
      </c>
      <c r="AD259" s="115" t="s">
        <v>101</v>
      </c>
    </row>
    <row r="260" spans="1:30" x14ac:dyDescent="0.2">
      <c r="A260" s="104" t="s">
        <v>687</v>
      </c>
      <c r="B260" s="105" t="s">
        <v>381</v>
      </c>
      <c r="C260" s="105" t="s">
        <v>674</v>
      </c>
      <c r="D260" s="106" t="s">
        <v>298</v>
      </c>
      <c r="E260" s="107"/>
      <c r="F260" s="108" t="s">
        <v>8842</v>
      </c>
      <c r="G260" s="119">
        <v>1</v>
      </c>
      <c r="H260" s="108" t="s">
        <v>688</v>
      </c>
      <c r="I260" s="110">
        <v>3</v>
      </c>
      <c r="J260" s="111" t="s">
        <v>55</v>
      </c>
      <c r="K260" s="108" t="s">
        <v>8843</v>
      </c>
      <c r="L260" s="116">
        <v>1</v>
      </c>
      <c r="M260" s="113"/>
      <c r="N260" s="108" t="s">
        <v>8842</v>
      </c>
      <c r="O260" s="116">
        <v>1</v>
      </c>
      <c r="P260" s="111" t="s">
        <v>40</v>
      </c>
      <c r="Q260" s="108" t="s">
        <v>8844</v>
      </c>
      <c r="R260" s="110">
        <v>3</v>
      </c>
      <c r="S260" s="111" t="s">
        <v>40</v>
      </c>
      <c r="T260" s="108" t="s">
        <v>689</v>
      </c>
      <c r="U260" s="112">
        <v>4</v>
      </c>
      <c r="V260" s="113"/>
      <c r="W260" s="108" t="s">
        <v>47</v>
      </c>
      <c r="X260" s="114"/>
      <c r="Y260" s="113"/>
      <c r="Z260" s="108" t="s">
        <v>47</v>
      </c>
      <c r="AA260" s="114"/>
      <c r="AB260" s="113"/>
      <c r="AC260" s="105" t="s">
        <v>690</v>
      </c>
      <c r="AD260" s="115" t="s">
        <v>101</v>
      </c>
    </row>
    <row r="261" spans="1:30" x14ac:dyDescent="0.2">
      <c r="A261" s="104" t="s">
        <v>691</v>
      </c>
      <c r="B261" s="105" t="s">
        <v>381</v>
      </c>
      <c r="C261" s="105" t="s">
        <v>692</v>
      </c>
      <c r="D261" s="106" t="s">
        <v>105</v>
      </c>
      <c r="E261" s="107"/>
      <c r="F261" s="108" t="s">
        <v>693</v>
      </c>
      <c r="G261" s="118">
        <v>3</v>
      </c>
      <c r="H261" s="108" t="s">
        <v>8845</v>
      </c>
      <c r="I261" s="112">
        <v>4</v>
      </c>
      <c r="J261" s="111" t="s">
        <v>44</v>
      </c>
      <c r="K261" s="108" t="s">
        <v>8846</v>
      </c>
      <c r="L261" s="112">
        <v>4</v>
      </c>
      <c r="M261" s="111" t="s">
        <v>44</v>
      </c>
      <c r="N261" s="108" t="s">
        <v>693</v>
      </c>
      <c r="O261" s="110">
        <v>3</v>
      </c>
      <c r="P261" s="111" t="s">
        <v>55</v>
      </c>
      <c r="Q261" s="108" t="s">
        <v>694</v>
      </c>
      <c r="R261" s="112">
        <v>4</v>
      </c>
      <c r="S261" s="111" t="s">
        <v>46</v>
      </c>
      <c r="T261" s="108" t="s">
        <v>695</v>
      </c>
      <c r="U261" s="110">
        <v>3</v>
      </c>
      <c r="V261" s="113"/>
      <c r="W261" s="108" t="s">
        <v>47</v>
      </c>
      <c r="X261" s="114"/>
      <c r="Y261" s="113"/>
      <c r="Z261" s="108" t="s">
        <v>47</v>
      </c>
      <c r="AA261" s="114"/>
      <c r="AB261" s="113"/>
      <c r="AC261" s="105" t="s">
        <v>696</v>
      </c>
      <c r="AD261" s="115" t="s">
        <v>101</v>
      </c>
    </row>
    <row r="262" spans="1:30" x14ac:dyDescent="0.2">
      <c r="A262" s="104" t="s">
        <v>697</v>
      </c>
      <c r="B262" s="105" t="s">
        <v>381</v>
      </c>
      <c r="C262" s="105" t="s">
        <v>692</v>
      </c>
      <c r="D262" s="106" t="s">
        <v>105</v>
      </c>
      <c r="E262" s="107"/>
      <c r="F262" s="108" t="s">
        <v>698</v>
      </c>
      <c r="G262" s="118">
        <v>3</v>
      </c>
      <c r="H262" s="108" t="s">
        <v>8847</v>
      </c>
      <c r="I262" s="112">
        <v>4</v>
      </c>
      <c r="J262" s="111" t="s">
        <v>44</v>
      </c>
      <c r="K262" s="108" t="s">
        <v>8848</v>
      </c>
      <c r="L262" s="112">
        <v>4</v>
      </c>
      <c r="M262" s="111" t="s">
        <v>44</v>
      </c>
      <c r="N262" s="108" t="s">
        <v>698</v>
      </c>
      <c r="O262" s="110">
        <v>3</v>
      </c>
      <c r="P262" s="111" t="s">
        <v>55</v>
      </c>
      <c r="Q262" s="108" t="s">
        <v>699</v>
      </c>
      <c r="R262" s="110">
        <v>3</v>
      </c>
      <c r="S262" s="111" t="s">
        <v>40</v>
      </c>
      <c r="T262" s="108" t="s">
        <v>700</v>
      </c>
      <c r="U262" s="112">
        <v>4</v>
      </c>
      <c r="V262" s="111" t="s">
        <v>46</v>
      </c>
      <c r="W262" s="108" t="s">
        <v>47</v>
      </c>
      <c r="X262" s="114"/>
      <c r="Y262" s="113"/>
      <c r="Z262" s="108" t="s">
        <v>47</v>
      </c>
      <c r="AA262" s="114"/>
      <c r="AB262" s="113"/>
      <c r="AC262" s="105" t="s">
        <v>701</v>
      </c>
      <c r="AD262" s="115" t="s">
        <v>101</v>
      </c>
    </row>
    <row r="263" spans="1:30" x14ac:dyDescent="0.2">
      <c r="A263" s="104" t="s">
        <v>702</v>
      </c>
      <c r="B263" s="105" t="s">
        <v>381</v>
      </c>
      <c r="C263" s="105" t="s">
        <v>674</v>
      </c>
      <c r="D263" s="106" t="s">
        <v>298</v>
      </c>
      <c r="E263" s="107"/>
      <c r="F263" s="108" t="s">
        <v>703</v>
      </c>
      <c r="G263" s="118">
        <v>3</v>
      </c>
      <c r="H263" s="108" t="s">
        <v>8849</v>
      </c>
      <c r="I263" s="110">
        <v>3</v>
      </c>
      <c r="J263" s="111" t="s">
        <v>55</v>
      </c>
      <c r="K263" s="108" t="s">
        <v>8850</v>
      </c>
      <c r="L263" s="116">
        <v>1</v>
      </c>
      <c r="M263" s="113"/>
      <c r="N263" s="108" t="s">
        <v>703</v>
      </c>
      <c r="O263" s="110">
        <v>3</v>
      </c>
      <c r="P263" s="113"/>
      <c r="Q263" s="108" t="s">
        <v>704</v>
      </c>
      <c r="R263" s="112">
        <v>4</v>
      </c>
      <c r="S263" s="113"/>
      <c r="T263" s="108" t="s">
        <v>705</v>
      </c>
      <c r="U263" s="112">
        <v>4</v>
      </c>
      <c r="V263" s="113"/>
      <c r="W263" s="108" t="s">
        <v>47</v>
      </c>
      <c r="X263" s="114"/>
      <c r="Y263" s="113"/>
      <c r="Z263" s="108" t="s">
        <v>47</v>
      </c>
      <c r="AA263" s="114"/>
      <c r="AB263" s="113"/>
      <c r="AC263" s="105" t="s">
        <v>706</v>
      </c>
      <c r="AD263" s="115" t="s">
        <v>101</v>
      </c>
    </row>
    <row r="264" spans="1:30" x14ac:dyDescent="0.2">
      <c r="A264" s="104" t="s">
        <v>707</v>
      </c>
      <c r="B264" s="105" t="s">
        <v>381</v>
      </c>
      <c r="C264" s="105" t="s">
        <v>674</v>
      </c>
      <c r="D264" s="106" t="s">
        <v>298</v>
      </c>
      <c r="E264" s="107"/>
      <c r="F264" s="108" t="s">
        <v>8851</v>
      </c>
      <c r="G264" s="120">
        <v>2</v>
      </c>
      <c r="H264" s="108" t="s">
        <v>708</v>
      </c>
      <c r="I264" s="110">
        <v>3</v>
      </c>
      <c r="J264" s="111" t="s">
        <v>55</v>
      </c>
      <c r="K264" s="108" t="s">
        <v>8852</v>
      </c>
      <c r="L264" s="116">
        <v>1</v>
      </c>
      <c r="M264" s="113"/>
      <c r="N264" s="108" t="s">
        <v>8851</v>
      </c>
      <c r="O264" s="117">
        <v>2</v>
      </c>
      <c r="P264" s="111" t="s">
        <v>40</v>
      </c>
      <c r="Q264" s="108" t="s">
        <v>8853</v>
      </c>
      <c r="R264" s="112">
        <v>4</v>
      </c>
      <c r="S264" s="113"/>
      <c r="T264" s="108" t="s">
        <v>709</v>
      </c>
      <c r="U264" s="112">
        <v>4</v>
      </c>
      <c r="V264" s="113"/>
      <c r="W264" s="108" t="s">
        <v>47</v>
      </c>
      <c r="X264" s="114"/>
      <c r="Y264" s="113"/>
      <c r="Z264" s="108" t="s">
        <v>47</v>
      </c>
      <c r="AA264" s="114"/>
      <c r="AB264" s="113"/>
      <c r="AC264" s="105" t="s">
        <v>710</v>
      </c>
      <c r="AD264" s="115" t="s">
        <v>101</v>
      </c>
    </row>
    <row r="265" spans="1:30" x14ac:dyDescent="0.2">
      <c r="A265" s="104" t="s">
        <v>711</v>
      </c>
      <c r="B265" s="105" t="s">
        <v>381</v>
      </c>
      <c r="C265" s="105" t="s">
        <v>674</v>
      </c>
      <c r="D265" s="106" t="s">
        <v>125</v>
      </c>
      <c r="E265" s="107"/>
      <c r="F265" s="108" t="s">
        <v>712</v>
      </c>
      <c r="G265" s="109">
        <v>4</v>
      </c>
      <c r="H265" s="108" t="s">
        <v>713</v>
      </c>
      <c r="I265" s="112">
        <v>4</v>
      </c>
      <c r="J265" s="111" t="s">
        <v>55</v>
      </c>
      <c r="K265" s="108" t="s">
        <v>714</v>
      </c>
      <c r="L265" s="110">
        <v>3</v>
      </c>
      <c r="M265" s="111" t="s">
        <v>46</v>
      </c>
      <c r="N265" s="108" t="s">
        <v>712</v>
      </c>
      <c r="O265" s="112">
        <v>4</v>
      </c>
      <c r="P265" s="113"/>
      <c r="Q265" s="108" t="s">
        <v>715</v>
      </c>
      <c r="R265" s="112">
        <v>4</v>
      </c>
      <c r="S265" s="113"/>
      <c r="T265" s="108" t="s">
        <v>8854</v>
      </c>
      <c r="U265" s="117">
        <v>2</v>
      </c>
      <c r="V265" s="111" t="s">
        <v>40</v>
      </c>
      <c r="W265" s="108" t="s">
        <v>47</v>
      </c>
      <c r="X265" s="114"/>
      <c r="Y265" s="113"/>
      <c r="Z265" s="108" t="s">
        <v>47</v>
      </c>
      <c r="AA265" s="114"/>
      <c r="AB265" s="113"/>
      <c r="AC265" s="105" t="s">
        <v>716</v>
      </c>
      <c r="AD265" s="115" t="s">
        <v>101</v>
      </c>
    </row>
    <row r="266" spans="1:30" x14ac:dyDescent="0.2">
      <c r="A266" s="104" t="s">
        <v>717</v>
      </c>
      <c r="B266" s="105" t="s">
        <v>381</v>
      </c>
      <c r="C266" s="105" t="s">
        <v>674</v>
      </c>
      <c r="D266" s="106" t="s">
        <v>125</v>
      </c>
      <c r="E266" s="107"/>
      <c r="F266" s="108" t="s">
        <v>8855</v>
      </c>
      <c r="G266" s="109">
        <v>4</v>
      </c>
      <c r="H266" s="108" t="s">
        <v>718</v>
      </c>
      <c r="I266" s="112">
        <v>4</v>
      </c>
      <c r="J266" s="111" t="s">
        <v>55</v>
      </c>
      <c r="K266" s="108" t="s">
        <v>719</v>
      </c>
      <c r="L266" s="110">
        <v>3</v>
      </c>
      <c r="M266" s="111" t="s">
        <v>46</v>
      </c>
      <c r="N266" s="108" t="s">
        <v>8855</v>
      </c>
      <c r="O266" s="112">
        <v>4</v>
      </c>
      <c r="P266" s="111" t="s">
        <v>46</v>
      </c>
      <c r="Q266" s="108" t="s">
        <v>8856</v>
      </c>
      <c r="R266" s="110">
        <v>3</v>
      </c>
      <c r="S266" s="111" t="s">
        <v>40</v>
      </c>
      <c r="T266" s="108" t="s">
        <v>407</v>
      </c>
      <c r="U266" s="117">
        <v>2</v>
      </c>
      <c r="V266" s="113"/>
      <c r="W266" s="108" t="s">
        <v>47</v>
      </c>
      <c r="X266" s="114"/>
      <c r="Y266" s="113"/>
      <c r="Z266" s="108" t="s">
        <v>47</v>
      </c>
      <c r="AA266" s="114"/>
      <c r="AB266" s="113"/>
      <c r="AC266" s="105" t="s">
        <v>720</v>
      </c>
      <c r="AD266" s="115" t="s">
        <v>101</v>
      </c>
    </row>
    <row r="267" spans="1:30" x14ac:dyDescent="0.2">
      <c r="A267" s="104" t="s">
        <v>721</v>
      </c>
      <c r="B267" s="105" t="s">
        <v>381</v>
      </c>
      <c r="C267" s="105" t="s">
        <v>722</v>
      </c>
      <c r="D267" s="106"/>
      <c r="E267" s="107"/>
      <c r="F267" s="108" t="s">
        <v>8857</v>
      </c>
      <c r="G267" s="120">
        <v>2</v>
      </c>
      <c r="H267" s="108" t="s">
        <v>8858</v>
      </c>
      <c r="I267" s="116">
        <v>1</v>
      </c>
      <c r="J267" s="111" t="s">
        <v>53</v>
      </c>
      <c r="K267" s="108" t="s">
        <v>8859</v>
      </c>
      <c r="L267" s="117">
        <v>2</v>
      </c>
      <c r="M267" s="111" t="s">
        <v>53</v>
      </c>
      <c r="N267" s="108" t="s">
        <v>8857</v>
      </c>
      <c r="O267" s="117">
        <v>2</v>
      </c>
      <c r="P267" s="111" t="s">
        <v>40</v>
      </c>
      <c r="Q267" s="108" t="s">
        <v>8860</v>
      </c>
      <c r="R267" s="117">
        <v>2</v>
      </c>
      <c r="S267" s="111" t="s">
        <v>40</v>
      </c>
      <c r="T267" s="108" t="s">
        <v>8861</v>
      </c>
      <c r="U267" s="117">
        <v>2</v>
      </c>
      <c r="V267" s="111" t="s">
        <v>40</v>
      </c>
      <c r="W267" s="108" t="s">
        <v>8862</v>
      </c>
      <c r="X267" s="117">
        <v>2</v>
      </c>
      <c r="Y267" s="113"/>
      <c r="Z267" s="108" t="s">
        <v>47</v>
      </c>
      <c r="AA267" s="114"/>
      <c r="AB267" s="113"/>
      <c r="AC267" s="105" t="s">
        <v>723</v>
      </c>
      <c r="AD267" s="115" t="s">
        <v>101</v>
      </c>
    </row>
    <row r="268" spans="1:30" x14ac:dyDescent="0.2">
      <c r="A268" s="104" t="s">
        <v>724</v>
      </c>
      <c r="B268" s="105" t="s">
        <v>381</v>
      </c>
      <c r="C268" s="105" t="s">
        <v>722</v>
      </c>
      <c r="D268" s="106"/>
      <c r="E268" s="107"/>
      <c r="F268" s="108" t="s">
        <v>8863</v>
      </c>
      <c r="G268" s="119">
        <v>1</v>
      </c>
      <c r="H268" s="108" t="s">
        <v>8864</v>
      </c>
      <c r="I268" s="116">
        <v>1</v>
      </c>
      <c r="J268" s="111" t="s">
        <v>53</v>
      </c>
      <c r="K268" s="108" t="s">
        <v>8865</v>
      </c>
      <c r="L268" s="117">
        <v>2</v>
      </c>
      <c r="M268" s="111" t="s">
        <v>40</v>
      </c>
      <c r="N268" s="108" t="s">
        <v>8863</v>
      </c>
      <c r="O268" s="116">
        <v>1</v>
      </c>
      <c r="P268" s="111" t="s">
        <v>53</v>
      </c>
      <c r="Q268" s="108" t="s">
        <v>8866</v>
      </c>
      <c r="R268" s="117">
        <v>2</v>
      </c>
      <c r="S268" s="113"/>
      <c r="T268" s="108" t="s">
        <v>47</v>
      </c>
      <c r="U268" s="114"/>
      <c r="V268" s="113"/>
      <c r="W268" s="108" t="s">
        <v>47</v>
      </c>
      <c r="X268" s="114"/>
      <c r="Y268" s="113"/>
      <c r="Z268" s="108" t="s">
        <v>47</v>
      </c>
      <c r="AA268" s="114"/>
      <c r="AB268" s="113"/>
      <c r="AC268" s="105" t="s">
        <v>725</v>
      </c>
      <c r="AD268" s="115" t="s">
        <v>101</v>
      </c>
    </row>
    <row r="269" spans="1:30" x14ac:dyDescent="0.2">
      <c r="A269" s="104" t="s">
        <v>726</v>
      </c>
      <c r="B269" s="105" t="s">
        <v>381</v>
      </c>
      <c r="C269" s="105" t="s">
        <v>722</v>
      </c>
      <c r="D269" s="106"/>
      <c r="E269" s="107"/>
      <c r="F269" s="108" t="s">
        <v>8867</v>
      </c>
      <c r="G269" s="118">
        <v>3</v>
      </c>
      <c r="H269" s="108" t="s">
        <v>8868</v>
      </c>
      <c r="I269" s="110">
        <v>3</v>
      </c>
      <c r="J269" s="111" t="s">
        <v>40</v>
      </c>
      <c r="K269" s="108" t="s">
        <v>8869</v>
      </c>
      <c r="L269" s="112">
        <v>4</v>
      </c>
      <c r="M269" s="113"/>
      <c r="N269" s="108" t="s">
        <v>8867</v>
      </c>
      <c r="O269" s="110">
        <v>3</v>
      </c>
      <c r="P269" s="111" t="s">
        <v>46</v>
      </c>
      <c r="Q269" s="108" t="s">
        <v>8870</v>
      </c>
      <c r="R269" s="117">
        <v>2</v>
      </c>
      <c r="S269" s="111" t="s">
        <v>46</v>
      </c>
      <c r="T269" s="108" t="s">
        <v>8871</v>
      </c>
      <c r="U269" s="116">
        <v>1</v>
      </c>
      <c r="V269" s="113"/>
      <c r="W269" s="108" t="s">
        <v>727</v>
      </c>
      <c r="X269" s="116">
        <v>1</v>
      </c>
      <c r="Y269" s="113"/>
      <c r="Z269" s="108" t="s">
        <v>47</v>
      </c>
      <c r="AA269" s="114"/>
      <c r="AB269" s="113"/>
      <c r="AC269" s="105" t="s">
        <v>728</v>
      </c>
      <c r="AD269" s="115" t="s">
        <v>101</v>
      </c>
    </row>
    <row r="270" spans="1:30" x14ac:dyDescent="0.2">
      <c r="A270" s="104" t="s">
        <v>729</v>
      </c>
      <c r="B270" s="105" t="s">
        <v>381</v>
      </c>
      <c r="C270" s="105" t="s">
        <v>722</v>
      </c>
      <c r="D270" s="106"/>
      <c r="E270" s="107"/>
      <c r="F270" s="108" t="s">
        <v>8872</v>
      </c>
      <c r="G270" s="109">
        <v>4</v>
      </c>
      <c r="H270" s="108" t="s">
        <v>8873</v>
      </c>
      <c r="I270" s="110">
        <v>3</v>
      </c>
      <c r="J270" s="111" t="s">
        <v>40</v>
      </c>
      <c r="K270" s="108" t="s">
        <v>8874</v>
      </c>
      <c r="L270" s="112">
        <v>4</v>
      </c>
      <c r="M270" s="113"/>
      <c r="N270" s="108" t="s">
        <v>8872</v>
      </c>
      <c r="O270" s="112">
        <v>4</v>
      </c>
      <c r="P270" s="111" t="s">
        <v>55</v>
      </c>
      <c r="Q270" s="108" t="s">
        <v>8875</v>
      </c>
      <c r="R270" s="117">
        <v>2</v>
      </c>
      <c r="S270" s="113"/>
      <c r="T270" s="108" t="s">
        <v>47</v>
      </c>
      <c r="U270" s="114"/>
      <c r="V270" s="113"/>
      <c r="W270" s="108" t="s">
        <v>47</v>
      </c>
      <c r="X270" s="114"/>
      <c r="Y270" s="113"/>
      <c r="Z270" s="108" t="s">
        <v>47</v>
      </c>
      <c r="AA270" s="114"/>
      <c r="AB270" s="113"/>
      <c r="AC270" s="105" t="s">
        <v>730</v>
      </c>
      <c r="AD270" s="115" t="s">
        <v>101</v>
      </c>
    </row>
    <row r="271" spans="1:30" x14ac:dyDescent="0.2">
      <c r="A271" s="104" t="s">
        <v>731</v>
      </c>
      <c r="B271" s="105" t="s">
        <v>381</v>
      </c>
      <c r="C271" s="105" t="s">
        <v>732</v>
      </c>
      <c r="D271" s="106" t="s">
        <v>298</v>
      </c>
      <c r="E271" s="107"/>
      <c r="F271" s="108" t="s">
        <v>733</v>
      </c>
      <c r="G271" s="120">
        <v>2</v>
      </c>
      <c r="H271" s="108" t="s">
        <v>734</v>
      </c>
      <c r="I271" s="116">
        <v>1</v>
      </c>
      <c r="J271" s="111" t="s">
        <v>53</v>
      </c>
      <c r="K271" s="108" t="s">
        <v>733</v>
      </c>
      <c r="L271" s="117">
        <v>2</v>
      </c>
      <c r="M271" s="113"/>
      <c r="N271" s="108" t="s">
        <v>733</v>
      </c>
      <c r="O271" s="117">
        <v>2</v>
      </c>
      <c r="P271" s="111" t="s">
        <v>53</v>
      </c>
      <c r="Q271" s="108" t="s">
        <v>735</v>
      </c>
      <c r="R271" s="112">
        <v>4</v>
      </c>
      <c r="S271" s="113"/>
      <c r="T271" s="108" t="s">
        <v>736</v>
      </c>
      <c r="U271" s="112">
        <v>4</v>
      </c>
      <c r="V271" s="113"/>
      <c r="W271" s="108" t="s">
        <v>736</v>
      </c>
      <c r="X271" s="112">
        <v>4</v>
      </c>
      <c r="Y271" s="113"/>
      <c r="Z271" s="108" t="s">
        <v>47</v>
      </c>
      <c r="AA271" s="114"/>
      <c r="AB271" s="113"/>
      <c r="AC271" s="105" t="s">
        <v>737</v>
      </c>
      <c r="AD271" s="115" t="s">
        <v>101</v>
      </c>
    </row>
    <row r="272" spans="1:30" x14ac:dyDescent="0.2">
      <c r="A272" s="104" t="s">
        <v>738</v>
      </c>
      <c r="B272" s="105" t="s">
        <v>381</v>
      </c>
      <c r="C272" s="105" t="s">
        <v>732</v>
      </c>
      <c r="D272" s="106"/>
      <c r="E272" s="107"/>
      <c r="F272" s="108" t="s">
        <v>739</v>
      </c>
      <c r="G272" s="109">
        <v>4</v>
      </c>
      <c r="H272" s="108" t="s">
        <v>740</v>
      </c>
      <c r="I272" s="117">
        <v>2</v>
      </c>
      <c r="J272" s="113"/>
      <c r="K272" s="108" t="s">
        <v>741</v>
      </c>
      <c r="L272" s="110">
        <v>3</v>
      </c>
      <c r="M272" s="113"/>
      <c r="N272" s="108" t="s">
        <v>739</v>
      </c>
      <c r="O272" s="112">
        <v>4</v>
      </c>
      <c r="P272" s="113"/>
      <c r="Q272" s="108" t="s">
        <v>739</v>
      </c>
      <c r="R272" s="112">
        <v>4</v>
      </c>
      <c r="S272" s="113"/>
      <c r="T272" s="108" t="s">
        <v>47</v>
      </c>
      <c r="U272" s="114"/>
      <c r="V272" s="113"/>
      <c r="W272" s="108" t="s">
        <v>47</v>
      </c>
      <c r="X272" s="114"/>
      <c r="Y272" s="113"/>
      <c r="Z272" s="108" t="s">
        <v>47</v>
      </c>
      <c r="AA272" s="114"/>
      <c r="AB272" s="113"/>
      <c r="AC272" s="105" t="s">
        <v>742</v>
      </c>
      <c r="AD272" s="115" t="s">
        <v>101</v>
      </c>
    </row>
    <row r="273" spans="1:30" x14ac:dyDescent="0.2">
      <c r="A273" s="104" t="s">
        <v>743</v>
      </c>
      <c r="B273" s="105" t="s">
        <v>381</v>
      </c>
      <c r="C273" s="105" t="s">
        <v>744</v>
      </c>
      <c r="D273" s="106" t="s">
        <v>298</v>
      </c>
      <c r="E273" s="107"/>
      <c r="F273" s="108" t="s">
        <v>745</v>
      </c>
      <c r="G273" s="109">
        <v>4</v>
      </c>
      <c r="H273" s="108" t="s">
        <v>449</v>
      </c>
      <c r="I273" s="116">
        <v>1</v>
      </c>
      <c r="J273" s="111" t="s">
        <v>157</v>
      </c>
      <c r="K273" s="108" t="s">
        <v>8876</v>
      </c>
      <c r="L273" s="116">
        <v>1</v>
      </c>
      <c r="M273" s="111" t="s">
        <v>157</v>
      </c>
      <c r="N273" s="108" t="s">
        <v>745</v>
      </c>
      <c r="O273" s="112">
        <v>4</v>
      </c>
      <c r="P273" s="113"/>
      <c r="Q273" s="108" t="s">
        <v>746</v>
      </c>
      <c r="R273" s="112">
        <v>4</v>
      </c>
      <c r="S273" s="113"/>
      <c r="T273" s="108" t="s">
        <v>736</v>
      </c>
      <c r="U273" s="112">
        <v>4</v>
      </c>
      <c r="V273" s="113"/>
      <c r="W273" s="108" t="s">
        <v>736</v>
      </c>
      <c r="X273" s="112">
        <v>4</v>
      </c>
      <c r="Y273" s="113"/>
      <c r="Z273" s="108" t="s">
        <v>47</v>
      </c>
      <c r="AA273" s="114"/>
      <c r="AB273" s="113"/>
      <c r="AC273" s="105" t="s">
        <v>747</v>
      </c>
      <c r="AD273" s="115" t="s">
        <v>101</v>
      </c>
    </row>
    <row r="274" spans="1:30" x14ac:dyDescent="0.2">
      <c r="A274" s="104" t="s">
        <v>748</v>
      </c>
      <c r="B274" s="105" t="s">
        <v>381</v>
      </c>
      <c r="C274" s="105" t="s">
        <v>744</v>
      </c>
      <c r="D274" s="106"/>
      <c r="E274" s="107"/>
      <c r="F274" s="108" t="s">
        <v>746</v>
      </c>
      <c r="G274" s="109">
        <v>4</v>
      </c>
      <c r="H274" s="108" t="s">
        <v>454</v>
      </c>
      <c r="I274" s="116">
        <v>1</v>
      </c>
      <c r="J274" s="111" t="s">
        <v>53</v>
      </c>
      <c r="K274" s="108" t="s">
        <v>8877</v>
      </c>
      <c r="L274" s="117">
        <v>2</v>
      </c>
      <c r="M274" s="111" t="s">
        <v>53</v>
      </c>
      <c r="N274" s="108" t="s">
        <v>746</v>
      </c>
      <c r="O274" s="112">
        <v>4</v>
      </c>
      <c r="P274" s="113"/>
      <c r="Q274" s="108" t="s">
        <v>745</v>
      </c>
      <c r="R274" s="112">
        <v>4</v>
      </c>
      <c r="S274" s="113"/>
      <c r="T274" s="108" t="s">
        <v>47</v>
      </c>
      <c r="U274" s="114"/>
      <c r="V274" s="113"/>
      <c r="W274" s="108" t="s">
        <v>47</v>
      </c>
      <c r="X274" s="114"/>
      <c r="Y274" s="113"/>
      <c r="Z274" s="108" t="s">
        <v>47</v>
      </c>
      <c r="AA274" s="114"/>
      <c r="AB274" s="113"/>
      <c r="AC274" s="105" t="s">
        <v>749</v>
      </c>
      <c r="AD274" s="115" t="s">
        <v>101</v>
      </c>
    </row>
    <row r="275" spans="1:30" x14ac:dyDescent="0.2">
      <c r="A275" s="104" t="s">
        <v>750</v>
      </c>
      <c r="B275" s="105" t="s">
        <v>381</v>
      </c>
      <c r="C275" s="105" t="s">
        <v>722</v>
      </c>
      <c r="D275" s="106"/>
      <c r="E275" s="107"/>
      <c r="F275" s="108" t="s">
        <v>8878</v>
      </c>
      <c r="G275" s="119">
        <v>1</v>
      </c>
      <c r="H275" s="108" t="s">
        <v>8879</v>
      </c>
      <c r="I275" s="116">
        <v>1</v>
      </c>
      <c r="J275" s="113"/>
      <c r="K275" s="108" t="s">
        <v>8880</v>
      </c>
      <c r="L275" s="116">
        <v>1</v>
      </c>
      <c r="M275" s="113"/>
      <c r="N275" s="108" t="s">
        <v>8878</v>
      </c>
      <c r="O275" s="116">
        <v>1</v>
      </c>
      <c r="P275" s="113"/>
      <c r="Q275" s="108" t="s">
        <v>8881</v>
      </c>
      <c r="R275" s="117">
        <v>2</v>
      </c>
      <c r="S275" s="111" t="s">
        <v>40</v>
      </c>
      <c r="T275" s="108" t="s">
        <v>8882</v>
      </c>
      <c r="U275" s="112">
        <v>4</v>
      </c>
      <c r="V275" s="113"/>
      <c r="W275" s="108" t="s">
        <v>47</v>
      </c>
      <c r="X275" s="114"/>
      <c r="Y275" s="113"/>
      <c r="Z275" s="108" t="s">
        <v>47</v>
      </c>
      <c r="AA275" s="114"/>
      <c r="AB275" s="113"/>
      <c r="AC275" s="105" t="s">
        <v>751</v>
      </c>
      <c r="AD275" s="115" t="s">
        <v>101</v>
      </c>
    </row>
    <row r="276" spans="1:30" x14ac:dyDescent="0.2">
      <c r="A276" s="104" t="s">
        <v>752</v>
      </c>
      <c r="B276" s="105" t="s">
        <v>381</v>
      </c>
      <c r="C276" s="105" t="s">
        <v>722</v>
      </c>
      <c r="D276" s="106"/>
      <c r="E276" s="107"/>
      <c r="F276" s="108" t="s">
        <v>8883</v>
      </c>
      <c r="G276" s="119">
        <v>1</v>
      </c>
      <c r="H276" s="108" t="s">
        <v>8884</v>
      </c>
      <c r="I276" s="116">
        <v>1</v>
      </c>
      <c r="J276" s="113"/>
      <c r="K276" s="108" t="s">
        <v>8885</v>
      </c>
      <c r="L276" s="116">
        <v>1</v>
      </c>
      <c r="M276" s="113"/>
      <c r="N276" s="108" t="s">
        <v>8883</v>
      </c>
      <c r="O276" s="116">
        <v>1</v>
      </c>
      <c r="P276" s="113"/>
      <c r="Q276" s="108" t="s">
        <v>8886</v>
      </c>
      <c r="R276" s="117">
        <v>2</v>
      </c>
      <c r="S276" s="111" t="s">
        <v>40</v>
      </c>
      <c r="T276" s="108" t="s">
        <v>47</v>
      </c>
      <c r="U276" s="114"/>
      <c r="V276" s="113"/>
      <c r="W276" s="108" t="s">
        <v>47</v>
      </c>
      <c r="X276" s="114"/>
      <c r="Y276" s="113"/>
      <c r="Z276" s="108" t="s">
        <v>47</v>
      </c>
      <c r="AA276" s="114"/>
      <c r="AB276" s="113"/>
      <c r="AC276" s="105" t="s">
        <v>753</v>
      </c>
      <c r="AD276" s="115" t="s">
        <v>101</v>
      </c>
    </row>
    <row r="277" spans="1:30" x14ac:dyDescent="0.2">
      <c r="A277" s="104" t="s">
        <v>754</v>
      </c>
      <c r="B277" s="105" t="s">
        <v>381</v>
      </c>
      <c r="C277" s="105" t="s">
        <v>722</v>
      </c>
      <c r="D277" s="106"/>
      <c r="E277" s="107"/>
      <c r="F277" s="108" t="s">
        <v>755</v>
      </c>
      <c r="G277" s="120">
        <v>2</v>
      </c>
      <c r="H277" s="108" t="s">
        <v>8887</v>
      </c>
      <c r="I277" s="117">
        <v>2</v>
      </c>
      <c r="J277" s="111" t="s">
        <v>40</v>
      </c>
      <c r="K277" s="108" t="s">
        <v>8888</v>
      </c>
      <c r="L277" s="110">
        <v>3</v>
      </c>
      <c r="M277" s="113"/>
      <c r="N277" s="108" t="s">
        <v>755</v>
      </c>
      <c r="O277" s="117">
        <v>2</v>
      </c>
      <c r="P277" s="113"/>
      <c r="Q277" s="108" t="s">
        <v>8889</v>
      </c>
      <c r="R277" s="116">
        <v>1</v>
      </c>
      <c r="S277" s="111" t="s">
        <v>40</v>
      </c>
      <c r="T277" s="108" t="s">
        <v>756</v>
      </c>
      <c r="U277" s="116">
        <v>1</v>
      </c>
      <c r="V277" s="113"/>
      <c r="W277" s="108" t="s">
        <v>757</v>
      </c>
      <c r="X277" s="116">
        <v>1</v>
      </c>
      <c r="Y277" s="113"/>
      <c r="Z277" s="108" t="s">
        <v>47</v>
      </c>
      <c r="AA277" s="114"/>
      <c r="AB277" s="113"/>
      <c r="AC277" s="105" t="s">
        <v>758</v>
      </c>
      <c r="AD277" s="115" t="s">
        <v>101</v>
      </c>
    </row>
    <row r="278" spans="1:30" x14ac:dyDescent="0.2">
      <c r="A278" s="104" t="s">
        <v>759</v>
      </c>
      <c r="B278" s="105" t="s">
        <v>381</v>
      </c>
      <c r="C278" s="105" t="s">
        <v>722</v>
      </c>
      <c r="D278" s="106"/>
      <c r="E278" s="107"/>
      <c r="F278" s="108" t="s">
        <v>8890</v>
      </c>
      <c r="G278" s="120">
        <v>2</v>
      </c>
      <c r="H278" s="108" t="s">
        <v>8891</v>
      </c>
      <c r="I278" s="117">
        <v>2</v>
      </c>
      <c r="J278" s="111" t="s">
        <v>40</v>
      </c>
      <c r="K278" s="108" t="s">
        <v>760</v>
      </c>
      <c r="L278" s="110">
        <v>3</v>
      </c>
      <c r="M278" s="113"/>
      <c r="N278" s="108" t="s">
        <v>8890</v>
      </c>
      <c r="O278" s="117">
        <v>2</v>
      </c>
      <c r="P278" s="113"/>
      <c r="Q278" s="108" t="s">
        <v>8892</v>
      </c>
      <c r="R278" s="116">
        <v>1</v>
      </c>
      <c r="S278" s="113"/>
      <c r="T278" s="108" t="s">
        <v>47</v>
      </c>
      <c r="U278" s="114"/>
      <c r="V278" s="113"/>
      <c r="W278" s="108" t="s">
        <v>47</v>
      </c>
      <c r="X278" s="114"/>
      <c r="Y278" s="113"/>
      <c r="Z278" s="108" t="s">
        <v>47</v>
      </c>
      <c r="AA278" s="114"/>
      <c r="AB278" s="113"/>
      <c r="AC278" s="105" t="s">
        <v>761</v>
      </c>
      <c r="AD278" s="115" t="s">
        <v>101</v>
      </c>
    </row>
    <row r="279" spans="1:30" x14ac:dyDescent="0.2">
      <c r="A279" s="104" t="s">
        <v>762</v>
      </c>
      <c r="B279" s="105" t="s">
        <v>381</v>
      </c>
      <c r="C279" s="105" t="s">
        <v>722</v>
      </c>
      <c r="D279" s="106"/>
      <c r="E279" s="107"/>
      <c r="F279" s="108" t="s">
        <v>8893</v>
      </c>
      <c r="G279" s="120">
        <v>2</v>
      </c>
      <c r="H279" s="108" t="s">
        <v>8894</v>
      </c>
      <c r="I279" s="117">
        <v>2</v>
      </c>
      <c r="J279" s="111" t="s">
        <v>46</v>
      </c>
      <c r="K279" s="108" t="s">
        <v>8895</v>
      </c>
      <c r="L279" s="116">
        <v>1</v>
      </c>
      <c r="M279" s="113"/>
      <c r="N279" s="108" t="s">
        <v>8893</v>
      </c>
      <c r="O279" s="117">
        <v>2</v>
      </c>
      <c r="P279" s="111" t="s">
        <v>40</v>
      </c>
      <c r="Q279" s="108" t="s">
        <v>8896</v>
      </c>
      <c r="R279" s="112">
        <v>4</v>
      </c>
      <c r="S279" s="113"/>
      <c r="T279" s="108" t="s">
        <v>763</v>
      </c>
      <c r="U279" s="112">
        <v>4</v>
      </c>
      <c r="V279" s="113"/>
      <c r="W279" s="108" t="s">
        <v>764</v>
      </c>
      <c r="X279" s="110">
        <v>3</v>
      </c>
      <c r="Y279" s="113"/>
      <c r="Z279" s="108" t="s">
        <v>47</v>
      </c>
      <c r="AA279" s="114"/>
      <c r="AB279" s="113"/>
      <c r="AC279" s="105" t="s">
        <v>765</v>
      </c>
      <c r="AD279" s="115" t="s">
        <v>101</v>
      </c>
    </row>
    <row r="280" spans="1:30" x14ac:dyDescent="0.2">
      <c r="A280" s="104" t="s">
        <v>766</v>
      </c>
      <c r="B280" s="105" t="s">
        <v>381</v>
      </c>
      <c r="C280" s="105" t="s">
        <v>722</v>
      </c>
      <c r="D280" s="106"/>
      <c r="E280" s="107"/>
      <c r="F280" s="108" t="s">
        <v>8897</v>
      </c>
      <c r="G280" s="118">
        <v>3</v>
      </c>
      <c r="H280" s="108" t="s">
        <v>8898</v>
      </c>
      <c r="I280" s="117">
        <v>2</v>
      </c>
      <c r="J280" s="111" t="s">
        <v>46</v>
      </c>
      <c r="K280" s="108" t="s">
        <v>8899</v>
      </c>
      <c r="L280" s="116">
        <v>1</v>
      </c>
      <c r="M280" s="113"/>
      <c r="N280" s="108" t="s">
        <v>8897</v>
      </c>
      <c r="O280" s="110">
        <v>3</v>
      </c>
      <c r="P280" s="113"/>
      <c r="Q280" s="108" t="s">
        <v>8900</v>
      </c>
      <c r="R280" s="112">
        <v>4</v>
      </c>
      <c r="S280" s="113"/>
      <c r="T280" s="108" t="s">
        <v>47</v>
      </c>
      <c r="U280" s="114"/>
      <c r="V280" s="113"/>
      <c r="W280" s="108" t="s">
        <v>47</v>
      </c>
      <c r="X280" s="114"/>
      <c r="Y280" s="113"/>
      <c r="Z280" s="108" t="s">
        <v>47</v>
      </c>
      <c r="AA280" s="114"/>
      <c r="AB280" s="113"/>
      <c r="AC280" s="105" t="s">
        <v>767</v>
      </c>
      <c r="AD280" s="115" t="s">
        <v>101</v>
      </c>
    </row>
    <row r="281" spans="1:30" x14ac:dyDescent="0.2">
      <c r="A281" s="104" t="s">
        <v>768</v>
      </c>
      <c r="B281" s="105" t="s">
        <v>381</v>
      </c>
      <c r="C281" s="105" t="s">
        <v>722</v>
      </c>
      <c r="D281" s="106"/>
      <c r="E281" s="107"/>
      <c r="F281" s="108" t="s">
        <v>8901</v>
      </c>
      <c r="G281" s="109">
        <v>4</v>
      </c>
      <c r="H281" s="108" t="s">
        <v>769</v>
      </c>
      <c r="I281" s="110">
        <v>3</v>
      </c>
      <c r="J281" s="113"/>
      <c r="K281" s="108" t="s">
        <v>8902</v>
      </c>
      <c r="L281" s="117">
        <v>2</v>
      </c>
      <c r="M281" s="113"/>
      <c r="N281" s="108" t="s">
        <v>8901</v>
      </c>
      <c r="O281" s="112">
        <v>4</v>
      </c>
      <c r="P281" s="111" t="s">
        <v>46</v>
      </c>
      <c r="Q281" s="108" t="s">
        <v>8903</v>
      </c>
      <c r="R281" s="110">
        <v>3</v>
      </c>
      <c r="S281" s="113"/>
      <c r="T281" s="108" t="s">
        <v>8904</v>
      </c>
      <c r="U281" s="116">
        <v>1</v>
      </c>
      <c r="V281" s="113"/>
      <c r="W281" s="108" t="s">
        <v>47</v>
      </c>
      <c r="X281" s="114"/>
      <c r="Y281" s="113"/>
      <c r="Z281" s="108" t="s">
        <v>47</v>
      </c>
      <c r="AA281" s="114"/>
      <c r="AB281" s="113"/>
      <c r="AC281" s="105" t="s">
        <v>770</v>
      </c>
      <c r="AD281" s="115" t="s">
        <v>101</v>
      </c>
    </row>
    <row r="282" spans="1:30" x14ac:dyDescent="0.2">
      <c r="A282" s="104" t="s">
        <v>771</v>
      </c>
      <c r="B282" s="105" t="s">
        <v>381</v>
      </c>
      <c r="C282" s="105" t="s">
        <v>722</v>
      </c>
      <c r="D282" s="106"/>
      <c r="E282" s="107"/>
      <c r="F282" s="108" t="s">
        <v>8905</v>
      </c>
      <c r="G282" s="109">
        <v>4</v>
      </c>
      <c r="H282" s="108" t="s">
        <v>8906</v>
      </c>
      <c r="I282" s="110">
        <v>3</v>
      </c>
      <c r="J282" s="113"/>
      <c r="K282" s="108" t="s">
        <v>8907</v>
      </c>
      <c r="L282" s="117">
        <v>2</v>
      </c>
      <c r="M282" s="113"/>
      <c r="N282" s="108" t="s">
        <v>8905</v>
      </c>
      <c r="O282" s="112">
        <v>4</v>
      </c>
      <c r="P282" s="111" t="s">
        <v>46</v>
      </c>
      <c r="Q282" s="108" t="s">
        <v>8908</v>
      </c>
      <c r="R282" s="110">
        <v>3</v>
      </c>
      <c r="S282" s="113"/>
      <c r="T282" s="108" t="s">
        <v>47</v>
      </c>
      <c r="U282" s="114"/>
      <c r="V282" s="113"/>
      <c r="W282" s="108" t="s">
        <v>47</v>
      </c>
      <c r="X282" s="114"/>
      <c r="Y282" s="113"/>
      <c r="Z282" s="108" t="s">
        <v>47</v>
      </c>
      <c r="AA282" s="114"/>
      <c r="AB282" s="113"/>
      <c r="AC282" s="105" t="s">
        <v>772</v>
      </c>
      <c r="AD282" s="115" t="s">
        <v>101</v>
      </c>
    </row>
    <row r="283" spans="1:30" x14ac:dyDescent="0.2">
      <c r="A283" s="104" t="s">
        <v>773</v>
      </c>
      <c r="B283" s="105" t="s">
        <v>42</v>
      </c>
      <c r="C283" s="105" t="s">
        <v>355</v>
      </c>
      <c r="D283" s="106" t="s">
        <v>514</v>
      </c>
      <c r="E283" s="107"/>
      <c r="F283" s="108" t="s">
        <v>8909</v>
      </c>
      <c r="G283" s="119">
        <v>1</v>
      </c>
      <c r="H283" s="108" t="s">
        <v>774</v>
      </c>
      <c r="I283" s="116">
        <v>1</v>
      </c>
      <c r="J283" s="113"/>
      <c r="K283" s="108" t="s">
        <v>8910</v>
      </c>
      <c r="L283" s="116">
        <v>1</v>
      </c>
      <c r="M283" s="113"/>
      <c r="N283" s="108" t="s">
        <v>8909</v>
      </c>
      <c r="O283" s="116">
        <v>1</v>
      </c>
      <c r="P283" s="113"/>
      <c r="Q283" s="108" t="s">
        <v>775</v>
      </c>
      <c r="R283" s="116">
        <v>1</v>
      </c>
      <c r="S283" s="113"/>
      <c r="T283" s="108" t="s">
        <v>776</v>
      </c>
      <c r="U283" s="116">
        <v>1</v>
      </c>
      <c r="V283" s="113"/>
      <c r="W283" s="108" t="s">
        <v>47</v>
      </c>
      <c r="X283" s="114"/>
      <c r="Y283" s="113"/>
      <c r="Z283" s="108" t="s">
        <v>47</v>
      </c>
      <c r="AA283" s="114"/>
      <c r="AB283" s="113"/>
      <c r="AC283" s="105" t="s">
        <v>777</v>
      </c>
      <c r="AD283" s="115" t="s">
        <v>49</v>
      </c>
    </row>
    <row r="284" spans="1:30" x14ac:dyDescent="0.2">
      <c r="A284" s="104" t="s">
        <v>778</v>
      </c>
      <c r="B284" s="105" t="s">
        <v>42</v>
      </c>
      <c r="C284" s="105" t="s">
        <v>355</v>
      </c>
      <c r="D284" s="106" t="s">
        <v>514</v>
      </c>
      <c r="E284" s="107"/>
      <c r="F284" s="108" t="s">
        <v>8911</v>
      </c>
      <c r="G284" s="119">
        <v>1</v>
      </c>
      <c r="H284" s="108" t="s">
        <v>8912</v>
      </c>
      <c r="I284" s="116">
        <v>1</v>
      </c>
      <c r="J284" s="113"/>
      <c r="K284" s="108" t="s">
        <v>8913</v>
      </c>
      <c r="L284" s="116">
        <v>1</v>
      </c>
      <c r="M284" s="113"/>
      <c r="N284" s="108" t="s">
        <v>8911</v>
      </c>
      <c r="O284" s="116">
        <v>1</v>
      </c>
      <c r="P284" s="113"/>
      <c r="Q284" s="108" t="s">
        <v>779</v>
      </c>
      <c r="R284" s="116">
        <v>1</v>
      </c>
      <c r="S284" s="113"/>
      <c r="T284" s="108" t="s">
        <v>8914</v>
      </c>
      <c r="U284" s="116">
        <v>1</v>
      </c>
      <c r="V284" s="113"/>
      <c r="W284" s="108" t="s">
        <v>8915</v>
      </c>
      <c r="X284" s="116">
        <v>1</v>
      </c>
      <c r="Y284" s="113"/>
      <c r="Z284" s="108" t="s">
        <v>8916</v>
      </c>
      <c r="AA284" s="116">
        <v>1</v>
      </c>
      <c r="AB284" s="113"/>
      <c r="AC284" s="105" t="s">
        <v>780</v>
      </c>
      <c r="AD284" s="115" t="s">
        <v>49</v>
      </c>
    </row>
    <row r="285" spans="1:30" x14ac:dyDescent="0.2">
      <c r="A285" s="104" t="s">
        <v>781</v>
      </c>
      <c r="B285" s="105" t="s">
        <v>42</v>
      </c>
      <c r="C285" s="105" t="s">
        <v>355</v>
      </c>
      <c r="D285" s="106" t="s">
        <v>514</v>
      </c>
      <c r="E285" s="107"/>
      <c r="F285" s="108" t="s">
        <v>8917</v>
      </c>
      <c r="G285" s="119">
        <v>1</v>
      </c>
      <c r="H285" s="108" t="s">
        <v>8918</v>
      </c>
      <c r="I285" s="116">
        <v>1</v>
      </c>
      <c r="J285" s="113"/>
      <c r="K285" s="108" t="s">
        <v>8919</v>
      </c>
      <c r="L285" s="116">
        <v>1</v>
      </c>
      <c r="M285" s="113"/>
      <c r="N285" s="108" t="s">
        <v>8917</v>
      </c>
      <c r="O285" s="116">
        <v>1</v>
      </c>
      <c r="P285" s="113"/>
      <c r="Q285" s="108" t="s">
        <v>782</v>
      </c>
      <c r="R285" s="116">
        <v>1</v>
      </c>
      <c r="S285" s="113"/>
      <c r="T285" s="108" t="s">
        <v>8920</v>
      </c>
      <c r="U285" s="116">
        <v>1</v>
      </c>
      <c r="V285" s="113"/>
      <c r="W285" s="108" t="s">
        <v>8921</v>
      </c>
      <c r="X285" s="116">
        <v>1</v>
      </c>
      <c r="Y285" s="113"/>
      <c r="Z285" s="108" t="s">
        <v>47</v>
      </c>
      <c r="AA285" s="114"/>
      <c r="AB285" s="113"/>
      <c r="AC285" s="105" t="s">
        <v>783</v>
      </c>
      <c r="AD285" s="115" t="s">
        <v>49</v>
      </c>
    </row>
    <row r="286" spans="1:30" x14ac:dyDescent="0.2">
      <c r="A286" s="104" t="s">
        <v>784</v>
      </c>
      <c r="B286" s="105" t="s">
        <v>42</v>
      </c>
      <c r="C286" s="105" t="s">
        <v>279</v>
      </c>
      <c r="D286" s="106" t="s">
        <v>125</v>
      </c>
      <c r="E286" s="107" t="s">
        <v>182</v>
      </c>
      <c r="F286" s="108" t="s">
        <v>8922</v>
      </c>
      <c r="G286" s="118">
        <v>3</v>
      </c>
      <c r="H286" s="108" t="s">
        <v>8923</v>
      </c>
      <c r="I286" s="116">
        <v>1</v>
      </c>
      <c r="J286" s="111" t="s">
        <v>53</v>
      </c>
      <c r="K286" s="108" t="s">
        <v>8924</v>
      </c>
      <c r="L286" s="112">
        <v>4</v>
      </c>
      <c r="M286" s="113"/>
      <c r="N286" s="108" t="s">
        <v>8922</v>
      </c>
      <c r="O286" s="110">
        <v>3</v>
      </c>
      <c r="P286" s="111" t="s">
        <v>40</v>
      </c>
      <c r="Q286" s="108" t="s">
        <v>8925</v>
      </c>
      <c r="R286" s="117">
        <v>2</v>
      </c>
      <c r="S286" s="113"/>
      <c r="T286" s="108" t="s">
        <v>8926</v>
      </c>
      <c r="U286" s="117">
        <v>2</v>
      </c>
      <c r="V286" s="113"/>
      <c r="W286" s="108" t="s">
        <v>8927</v>
      </c>
      <c r="X286" s="117">
        <v>2</v>
      </c>
      <c r="Y286" s="111" t="s">
        <v>40</v>
      </c>
      <c r="Z286" s="108" t="s">
        <v>8928</v>
      </c>
      <c r="AA286" s="110">
        <v>3</v>
      </c>
      <c r="AB286" s="113"/>
      <c r="AC286" s="105" t="s">
        <v>785</v>
      </c>
      <c r="AD286" s="115" t="s">
        <v>49</v>
      </c>
    </row>
    <row r="287" spans="1:30" x14ac:dyDescent="0.2">
      <c r="A287" s="104" t="s">
        <v>786</v>
      </c>
      <c r="B287" s="105" t="s">
        <v>381</v>
      </c>
      <c r="C287" s="105" t="s">
        <v>433</v>
      </c>
      <c r="D287" s="106" t="s">
        <v>125</v>
      </c>
      <c r="E287" s="107"/>
      <c r="F287" s="108" t="s">
        <v>8929</v>
      </c>
      <c r="G287" s="119">
        <v>1</v>
      </c>
      <c r="H287" s="108" t="s">
        <v>8930</v>
      </c>
      <c r="I287" s="117">
        <v>2</v>
      </c>
      <c r="J287" s="111" t="s">
        <v>46</v>
      </c>
      <c r="K287" s="108" t="s">
        <v>8931</v>
      </c>
      <c r="L287" s="116">
        <v>1</v>
      </c>
      <c r="M287" s="113"/>
      <c r="N287" s="108" t="s">
        <v>8929</v>
      </c>
      <c r="O287" s="116">
        <v>1</v>
      </c>
      <c r="P287" s="113"/>
      <c r="Q287" s="108" t="s">
        <v>8932</v>
      </c>
      <c r="R287" s="117">
        <v>2</v>
      </c>
      <c r="S287" s="111" t="s">
        <v>53</v>
      </c>
      <c r="T287" s="108" t="s">
        <v>8933</v>
      </c>
      <c r="U287" s="117">
        <v>2</v>
      </c>
      <c r="V287" s="113"/>
      <c r="W287" s="108" t="s">
        <v>47</v>
      </c>
      <c r="X287" s="114"/>
      <c r="Y287" s="113"/>
      <c r="Z287" s="108" t="s">
        <v>47</v>
      </c>
      <c r="AA287" s="114"/>
      <c r="AB287" s="113"/>
      <c r="AC287" s="105" t="s">
        <v>787</v>
      </c>
      <c r="AD287" s="115" t="s">
        <v>101</v>
      </c>
    </row>
    <row r="288" spans="1:30" x14ac:dyDescent="0.2">
      <c r="A288" s="104" t="s">
        <v>788</v>
      </c>
      <c r="B288" s="105" t="s">
        <v>381</v>
      </c>
      <c r="C288" s="105" t="s">
        <v>433</v>
      </c>
      <c r="D288" s="106" t="s">
        <v>125</v>
      </c>
      <c r="E288" s="107"/>
      <c r="F288" s="108" t="s">
        <v>8934</v>
      </c>
      <c r="G288" s="119">
        <v>1</v>
      </c>
      <c r="H288" s="108" t="s">
        <v>789</v>
      </c>
      <c r="I288" s="117">
        <v>2</v>
      </c>
      <c r="J288" s="111" t="s">
        <v>46</v>
      </c>
      <c r="K288" s="108" t="s">
        <v>8935</v>
      </c>
      <c r="L288" s="116">
        <v>1</v>
      </c>
      <c r="M288" s="113"/>
      <c r="N288" s="108" t="s">
        <v>8934</v>
      </c>
      <c r="O288" s="116">
        <v>1</v>
      </c>
      <c r="P288" s="113"/>
      <c r="Q288" s="108" t="s">
        <v>8936</v>
      </c>
      <c r="R288" s="117">
        <v>2</v>
      </c>
      <c r="S288" s="111" t="s">
        <v>53</v>
      </c>
      <c r="T288" s="108" t="s">
        <v>8937</v>
      </c>
      <c r="U288" s="117">
        <v>2</v>
      </c>
      <c r="V288" s="113"/>
      <c r="W288" s="108" t="s">
        <v>47</v>
      </c>
      <c r="X288" s="114"/>
      <c r="Y288" s="113"/>
      <c r="Z288" s="108" t="s">
        <v>47</v>
      </c>
      <c r="AA288" s="114"/>
      <c r="AB288" s="113"/>
      <c r="AC288" s="105" t="s">
        <v>790</v>
      </c>
      <c r="AD288" s="115" t="s">
        <v>101</v>
      </c>
    </row>
    <row r="289" spans="1:30" x14ac:dyDescent="0.2">
      <c r="A289" s="104" t="s">
        <v>791</v>
      </c>
      <c r="B289" s="105" t="s">
        <v>381</v>
      </c>
      <c r="C289" s="105" t="s">
        <v>433</v>
      </c>
      <c r="D289" s="106"/>
      <c r="E289" s="107"/>
      <c r="F289" s="108" t="s">
        <v>8938</v>
      </c>
      <c r="G289" s="118">
        <v>3</v>
      </c>
      <c r="H289" s="108" t="s">
        <v>8939</v>
      </c>
      <c r="I289" s="112">
        <v>4</v>
      </c>
      <c r="J289" s="111" t="s">
        <v>44</v>
      </c>
      <c r="K289" s="108" t="s">
        <v>792</v>
      </c>
      <c r="L289" s="116">
        <v>1</v>
      </c>
      <c r="M289" s="113"/>
      <c r="N289" s="108" t="s">
        <v>8938</v>
      </c>
      <c r="O289" s="110">
        <v>3</v>
      </c>
      <c r="P289" s="111" t="s">
        <v>46</v>
      </c>
      <c r="Q289" s="108" t="s">
        <v>47</v>
      </c>
      <c r="R289" s="114"/>
      <c r="S289" s="113"/>
      <c r="T289" s="108" t="s">
        <v>47</v>
      </c>
      <c r="U289" s="114"/>
      <c r="V289" s="113"/>
      <c r="W289" s="108" t="s">
        <v>47</v>
      </c>
      <c r="X289" s="114"/>
      <c r="Y289" s="113"/>
      <c r="Z289" s="108" t="s">
        <v>47</v>
      </c>
      <c r="AA289" s="114"/>
      <c r="AB289" s="113"/>
      <c r="AC289" s="105" t="s">
        <v>793</v>
      </c>
      <c r="AD289" s="115" t="s">
        <v>101</v>
      </c>
    </row>
    <row r="290" spans="1:30" x14ac:dyDescent="0.2">
      <c r="A290" s="104" t="s">
        <v>794</v>
      </c>
      <c r="B290" s="105" t="s">
        <v>381</v>
      </c>
      <c r="C290" s="105" t="s">
        <v>433</v>
      </c>
      <c r="D290" s="106"/>
      <c r="E290" s="107"/>
      <c r="F290" s="108" t="s">
        <v>8938</v>
      </c>
      <c r="G290" s="118">
        <v>3</v>
      </c>
      <c r="H290" s="108" t="s">
        <v>8939</v>
      </c>
      <c r="I290" s="112">
        <v>4</v>
      </c>
      <c r="J290" s="111" t="s">
        <v>44</v>
      </c>
      <c r="K290" s="108" t="s">
        <v>792</v>
      </c>
      <c r="L290" s="116">
        <v>1</v>
      </c>
      <c r="M290" s="113"/>
      <c r="N290" s="108" t="s">
        <v>8938</v>
      </c>
      <c r="O290" s="110">
        <v>3</v>
      </c>
      <c r="P290" s="111" t="s">
        <v>46</v>
      </c>
      <c r="Q290" s="108" t="s">
        <v>47</v>
      </c>
      <c r="R290" s="114"/>
      <c r="S290" s="113"/>
      <c r="T290" s="108" t="s">
        <v>47</v>
      </c>
      <c r="U290" s="114"/>
      <c r="V290" s="113"/>
      <c r="W290" s="108" t="s">
        <v>47</v>
      </c>
      <c r="X290" s="114"/>
      <c r="Y290" s="113"/>
      <c r="Z290" s="108" t="s">
        <v>47</v>
      </c>
      <c r="AA290" s="114"/>
      <c r="AB290" s="113"/>
      <c r="AC290" s="105" t="s">
        <v>795</v>
      </c>
      <c r="AD290" s="115" t="s">
        <v>101</v>
      </c>
    </row>
    <row r="291" spans="1:30" x14ac:dyDescent="0.2">
      <c r="A291" s="104" t="s">
        <v>796</v>
      </c>
      <c r="B291" s="105" t="s">
        <v>381</v>
      </c>
      <c r="C291" s="105" t="s">
        <v>797</v>
      </c>
      <c r="D291" s="106"/>
      <c r="E291" s="107"/>
      <c r="F291" s="108" t="s">
        <v>8940</v>
      </c>
      <c r="G291" s="119">
        <v>1</v>
      </c>
      <c r="H291" s="108" t="s">
        <v>8941</v>
      </c>
      <c r="I291" s="112">
        <v>4</v>
      </c>
      <c r="J291" s="111" t="s">
        <v>44</v>
      </c>
      <c r="K291" s="108" t="s">
        <v>8942</v>
      </c>
      <c r="L291" s="116">
        <v>1</v>
      </c>
      <c r="M291" s="113"/>
      <c r="N291" s="108" t="s">
        <v>8940</v>
      </c>
      <c r="O291" s="116">
        <v>1</v>
      </c>
      <c r="P291" s="113"/>
      <c r="Q291" s="108" t="s">
        <v>8943</v>
      </c>
      <c r="R291" s="116">
        <v>1</v>
      </c>
      <c r="S291" s="111" t="s">
        <v>40</v>
      </c>
      <c r="T291" s="108" t="s">
        <v>8944</v>
      </c>
      <c r="U291" s="116">
        <v>1</v>
      </c>
      <c r="V291" s="113"/>
      <c r="W291" s="108" t="s">
        <v>47</v>
      </c>
      <c r="X291" s="114"/>
      <c r="Y291" s="113"/>
      <c r="Z291" s="108" t="s">
        <v>47</v>
      </c>
      <c r="AA291" s="114"/>
      <c r="AB291" s="113"/>
      <c r="AC291" s="105" t="s">
        <v>798</v>
      </c>
      <c r="AD291" s="115" t="s">
        <v>101</v>
      </c>
    </row>
    <row r="292" spans="1:30" x14ac:dyDescent="0.2">
      <c r="A292" s="104" t="s">
        <v>799</v>
      </c>
      <c r="B292" s="105" t="s">
        <v>381</v>
      </c>
      <c r="C292" s="105" t="s">
        <v>797</v>
      </c>
      <c r="D292" s="106"/>
      <c r="E292" s="107"/>
      <c r="F292" s="108" t="s">
        <v>8945</v>
      </c>
      <c r="G292" s="119">
        <v>1</v>
      </c>
      <c r="H292" s="108" t="s">
        <v>800</v>
      </c>
      <c r="I292" s="112">
        <v>4</v>
      </c>
      <c r="J292" s="111" t="s">
        <v>44</v>
      </c>
      <c r="K292" s="108" t="s">
        <v>801</v>
      </c>
      <c r="L292" s="116">
        <v>1</v>
      </c>
      <c r="M292" s="113"/>
      <c r="N292" s="108" t="s">
        <v>8945</v>
      </c>
      <c r="O292" s="116">
        <v>1</v>
      </c>
      <c r="P292" s="113"/>
      <c r="Q292" s="108" t="s">
        <v>8946</v>
      </c>
      <c r="R292" s="116">
        <v>1</v>
      </c>
      <c r="S292" s="111" t="s">
        <v>40</v>
      </c>
      <c r="T292" s="108" t="s">
        <v>802</v>
      </c>
      <c r="U292" s="116">
        <v>1</v>
      </c>
      <c r="V292" s="113"/>
      <c r="W292" s="108" t="s">
        <v>47</v>
      </c>
      <c r="X292" s="114"/>
      <c r="Y292" s="113"/>
      <c r="Z292" s="108" t="s">
        <v>47</v>
      </c>
      <c r="AA292" s="114"/>
      <c r="AB292" s="113"/>
      <c r="AC292" s="105" t="s">
        <v>803</v>
      </c>
      <c r="AD292" s="115" t="s">
        <v>101</v>
      </c>
    </row>
    <row r="293" spans="1:30" x14ac:dyDescent="0.2">
      <c r="A293" s="104" t="s">
        <v>804</v>
      </c>
      <c r="B293" s="105" t="s">
        <v>805</v>
      </c>
      <c r="C293" s="105" t="s">
        <v>571</v>
      </c>
      <c r="D293" s="106"/>
      <c r="E293" s="107"/>
      <c r="F293" s="108" t="s">
        <v>8947</v>
      </c>
      <c r="G293" s="120">
        <v>2</v>
      </c>
      <c r="H293" s="108" t="s">
        <v>8948</v>
      </c>
      <c r="I293" s="116">
        <v>1</v>
      </c>
      <c r="J293" s="111" t="s">
        <v>40</v>
      </c>
      <c r="K293" s="108" t="s">
        <v>8949</v>
      </c>
      <c r="L293" s="117">
        <v>2</v>
      </c>
      <c r="M293" s="113"/>
      <c r="N293" s="108" t="s">
        <v>8947</v>
      </c>
      <c r="O293" s="117">
        <v>2</v>
      </c>
      <c r="P293" s="113"/>
      <c r="Q293" s="108" t="s">
        <v>8950</v>
      </c>
      <c r="R293" s="117">
        <v>2</v>
      </c>
      <c r="S293" s="113"/>
      <c r="T293" s="108" t="s">
        <v>8951</v>
      </c>
      <c r="U293" s="110">
        <v>3</v>
      </c>
      <c r="V293" s="113"/>
      <c r="W293" s="108" t="s">
        <v>8952</v>
      </c>
      <c r="X293" s="117">
        <v>2</v>
      </c>
      <c r="Y293" s="113"/>
      <c r="Z293" s="108" t="s">
        <v>806</v>
      </c>
      <c r="AA293" s="117">
        <v>2</v>
      </c>
      <c r="AB293" s="111" t="s">
        <v>40</v>
      </c>
      <c r="AC293" s="105" t="s">
        <v>807</v>
      </c>
      <c r="AD293" s="115" t="s">
        <v>107</v>
      </c>
    </row>
    <row r="294" spans="1:30" x14ac:dyDescent="0.2">
      <c r="A294" s="104" t="s">
        <v>808</v>
      </c>
      <c r="B294" s="105" t="s">
        <v>805</v>
      </c>
      <c r="C294" s="105" t="s">
        <v>571</v>
      </c>
      <c r="D294" s="106"/>
      <c r="E294" s="107"/>
      <c r="F294" s="108" t="s">
        <v>8953</v>
      </c>
      <c r="G294" s="120">
        <v>2</v>
      </c>
      <c r="H294" s="108" t="s">
        <v>8954</v>
      </c>
      <c r="I294" s="116">
        <v>1</v>
      </c>
      <c r="J294" s="111" t="s">
        <v>40</v>
      </c>
      <c r="K294" s="108" t="s">
        <v>8955</v>
      </c>
      <c r="L294" s="117">
        <v>2</v>
      </c>
      <c r="M294" s="113"/>
      <c r="N294" s="108" t="s">
        <v>8953</v>
      </c>
      <c r="O294" s="117">
        <v>2</v>
      </c>
      <c r="P294" s="113"/>
      <c r="Q294" s="108" t="s">
        <v>8956</v>
      </c>
      <c r="R294" s="117">
        <v>2</v>
      </c>
      <c r="S294" s="113"/>
      <c r="T294" s="108" t="s">
        <v>8957</v>
      </c>
      <c r="U294" s="110">
        <v>3</v>
      </c>
      <c r="V294" s="113"/>
      <c r="W294" s="108" t="s">
        <v>8958</v>
      </c>
      <c r="X294" s="117">
        <v>2</v>
      </c>
      <c r="Y294" s="113"/>
      <c r="Z294" s="108" t="s">
        <v>8959</v>
      </c>
      <c r="AA294" s="117">
        <v>2</v>
      </c>
      <c r="AB294" s="113"/>
      <c r="AC294" s="105" t="s">
        <v>809</v>
      </c>
      <c r="AD294" s="115" t="s">
        <v>107</v>
      </c>
    </row>
    <row r="295" spans="1:30" x14ac:dyDescent="0.2">
      <c r="A295" s="104" t="s">
        <v>810</v>
      </c>
      <c r="B295" s="105" t="s">
        <v>805</v>
      </c>
      <c r="C295" s="105" t="s">
        <v>571</v>
      </c>
      <c r="D295" s="106"/>
      <c r="E295" s="107"/>
      <c r="F295" s="108" t="s">
        <v>8960</v>
      </c>
      <c r="G295" s="120">
        <v>2</v>
      </c>
      <c r="H295" s="108" t="s">
        <v>8961</v>
      </c>
      <c r="I295" s="116">
        <v>1</v>
      </c>
      <c r="J295" s="111" t="s">
        <v>40</v>
      </c>
      <c r="K295" s="108" t="s">
        <v>8962</v>
      </c>
      <c r="L295" s="117">
        <v>2</v>
      </c>
      <c r="M295" s="113"/>
      <c r="N295" s="108" t="s">
        <v>8960</v>
      </c>
      <c r="O295" s="117">
        <v>2</v>
      </c>
      <c r="P295" s="113"/>
      <c r="Q295" s="108" t="s">
        <v>8963</v>
      </c>
      <c r="R295" s="117">
        <v>2</v>
      </c>
      <c r="S295" s="111" t="s">
        <v>40</v>
      </c>
      <c r="T295" s="108" t="s">
        <v>8964</v>
      </c>
      <c r="U295" s="110">
        <v>3</v>
      </c>
      <c r="V295" s="113"/>
      <c r="W295" s="108" t="s">
        <v>8965</v>
      </c>
      <c r="X295" s="110">
        <v>3</v>
      </c>
      <c r="Y295" s="111" t="s">
        <v>46</v>
      </c>
      <c r="Z295" s="108" t="s">
        <v>47</v>
      </c>
      <c r="AA295" s="114"/>
      <c r="AB295" s="113"/>
      <c r="AC295" s="105" t="s">
        <v>811</v>
      </c>
      <c r="AD295" s="115" t="s">
        <v>107</v>
      </c>
    </row>
    <row r="296" spans="1:30" x14ac:dyDescent="0.2">
      <c r="A296" s="104" t="s">
        <v>812</v>
      </c>
      <c r="B296" s="105" t="s">
        <v>805</v>
      </c>
      <c r="C296" s="105" t="s">
        <v>571</v>
      </c>
      <c r="D296" s="106"/>
      <c r="E296" s="107"/>
      <c r="F296" s="108" t="s">
        <v>8966</v>
      </c>
      <c r="G296" s="120">
        <v>2</v>
      </c>
      <c r="H296" s="108" t="s">
        <v>8967</v>
      </c>
      <c r="I296" s="116">
        <v>1</v>
      </c>
      <c r="J296" s="111" t="s">
        <v>40</v>
      </c>
      <c r="K296" s="108" t="s">
        <v>8968</v>
      </c>
      <c r="L296" s="117">
        <v>2</v>
      </c>
      <c r="M296" s="113"/>
      <c r="N296" s="108" t="s">
        <v>8966</v>
      </c>
      <c r="O296" s="117">
        <v>2</v>
      </c>
      <c r="P296" s="113"/>
      <c r="Q296" s="108" t="s">
        <v>8969</v>
      </c>
      <c r="R296" s="117">
        <v>2</v>
      </c>
      <c r="S296" s="113"/>
      <c r="T296" s="108" t="s">
        <v>8970</v>
      </c>
      <c r="U296" s="110">
        <v>3</v>
      </c>
      <c r="V296" s="113"/>
      <c r="W296" s="108" t="s">
        <v>813</v>
      </c>
      <c r="X296" s="110">
        <v>3</v>
      </c>
      <c r="Y296" s="111" t="s">
        <v>46</v>
      </c>
      <c r="Z296" s="108" t="s">
        <v>8971</v>
      </c>
      <c r="AA296" s="110">
        <v>3</v>
      </c>
      <c r="AB296" s="111" t="s">
        <v>40</v>
      </c>
      <c r="AC296" s="105" t="s">
        <v>814</v>
      </c>
      <c r="AD296" s="115" t="s">
        <v>107</v>
      </c>
    </row>
    <row r="297" spans="1:30" x14ac:dyDescent="0.2">
      <c r="A297" s="104" t="s">
        <v>815</v>
      </c>
      <c r="B297" s="105" t="s">
        <v>805</v>
      </c>
      <c r="C297" s="105" t="s">
        <v>571</v>
      </c>
      <c r="D297" s="106"/>
      <c r="E297" s="107"/>
      <c r="F297" s="108" t="s">
        <v>8972</v>
      </c>
      <c r="G297" s="120">
        <v>2</v>
      </c>
      <c r="H297" s="108" t="s">
        <v>8973</v>
      </c>
      <c r="I297" s="116">
        <v>1</v>
      </c>
      <c r="J297" s="111" t="s">
        <v>40</v>
      </c>
      <c r="K297" s="108" t="s">
        <v>8974</v>
      </c>
      <c r="L297" s="117">
        <v>2</v>
      </c>
      <c r="M297" s="113"/>
      <c r="N297" s="108" t="s">
        <v>8972</v>
      </c>
      <c r="O297" s="117">
        <v>2</v>
      </c>
      <c r="P297" s="113"/>
      <c r="Q297" s="108" t="s">
        <v>8975</v>
      </c>
      <c r="R297" s="117">
        <v>2</v>
      </c>
      <c r="S297" s="113"/>
      <c r="T297" s="108" t="s">
        <v>8976</v>
      </c>
      <c r="U297" s="110">
        <v>3</v>
      </c>
      <c r="V297" s="113"/>
      <c r="W297" s="108" t="s">
        <v>8977</v>
      </c>
      <c r="X297" s="117">
        <v>2</v>
      </c>
      <c r="Y297" s="113"/>
      <c r="Z297" s="108" t="s">
        <v>8978</v>
      </c>
      <c r="AA297" s="117">
        <v>2</v>
      </c>
      <c r="AB297" s="111" t="s">
        <v>40</v>
      </c>
      <c r="AC297" s="105" t="s">
        <v>816</v>
      </c>
      <c r="AD297" s="115" t="s">
        <v>107</v>
      </c>
    </row>
    <row r="298" spans="1:30" x14ac:dyDescent="0.2">
      <c r="A298" s="104" t="s">
        <v>817</v>
      </c>
      <c r="B298" s="105" t="s">
        <v>805</v>
      </c>
      <c r="C298" s="105" t="s">
        <v>571</v>
      </c>
      <c r="D298" s="106"/>
      <c r="E298" s="107"/>
      <c r="F298" s="108" t="s">
        <v>47</v>
      </c>
      <c r="G298" s="113"/>
      <c r="H298" s="108" t="s">
        <v>47</v>
      </c>
      <c r="I298" s="114"/>
      <c r="J298" s="113"/>
      <c r="K298" s="108" t="s">
        <v>47</v>
      </c>
      <c r="L298" s="114"/>
      <c r="M298" s="113"/>
      <c r="N298" s="108" t="s">
        <v>47</v>
      </c>
      <c r="O298" s="114"/>
      <c r="P298" s="113"/>
      <c r="Q298" s="108" t="s">
        <v>47</v>
      </c>
      <c r="R298" s="114"/>
      <c r="S298" s="113"/>
      <c r="T298" s="108" t="s">
        <v>47</v>
      </c>
      <c r="U298" s="114"/>
      <c r="V298" s="113"/>
      <c r="W298" s="108" t="s">
        <v>47</v>
      </c>
      <c r="X298" s="114"/>
      <c r="Y298" s="113"/>
      <c r="Z298" s="108" t="s">
        <v>47</v>
      </c>
      <c r="AA298" s="114"/>
      <c r="AB298" s="113"/>
      <c r="AC298" s="105" t="s">
        <v>818</v>
      </c>
      <c r="AD298" s="115" t="s">
        <v>107</v>
      </c>
    </row>
    <row r="299" spans="1:30" x14ac:dyDescent="0.2">
      <c r="A299" s="104" t="s">
        <v>819</v>
      </c>
      <c r="B299" s="105" t="s">
        <v>805</v>
      </c>
      <c r="C299" s="105" t="s">
        <v>571</v>
      </c>
      <c r="D299" s="106"/>
      <c r="E299" s="107"/>
      <c r="F299" s="108" t="s">
        <v>8979</v>
      </c>
      <c r="G299" s="120">
        <v>2</v>
      </c>
      <c r="H299" s="108" t="s">
        <v>8980</v>
      </c>
      <c r="I299" s="116">
        <v>1</v>
      </c>
      <c r="J299" s="111" t="s">
        <v>40</v>
      </c>
      <c r="K299" s="108" t="s">
        <v>8981</v>
      </c>
      <c r="L299" s="117">
        <v>2</v>
      </c>
      <c r="M299" s="113"/>
      <c r="N299" s="108" t="s">
        <v>8979</v>
      </c>
      <c r="O299" s="117">
        <v>2</v>
      </c>
      <c r="P299" s="113"/>
      <c r="Q299" s="108" t="s">
        <v>8982</v>
      </c>
      <c r="R299" s="117">
        <v>2</v>
      </c>
      <c r="S299" s="113"/>
      <c r="T299" s="108" t="s">
        <v>8983</v>
      </c>
      <c r="U299" s="110">
        <v>3</v>
      </c>
      <c r="V299" s="113"/>
      <c r="W299" s="108" t="s">
        <v>8984</v>
      </c>
      <c r="X299" s="117">
        <v>2</v>
      </c>
      <c r="Y299" s="113"/>
      <c r="Z299" s="108" t="s">
        <v>820</v>
      </c>
      <c r="AA299" s="117">
        <v>2</v>
      </c>
      <c r="AB299" s="113"/>
      <c r="AC299" s="105" t="s">
        <v>821</v>
      </c>
      <c r="AD299" s="115" t="s">
        <v>107</v>
      </c>
    </row>
    <row r="300" spans="1:30" x14ac:dyDescent="0.2">
      <c r="A300" s="104" t="s">
        <v>822</v>
      </c>
      <c r="B300" s="105" t="s">
        <v>805</v>
      </c>
      <c r="C300" s="105" t="s">
        <v>571</v>
      </c>
      <c r="D300" s="106"/>
      <c r="E300" s="107"/>
      <c r="F300" s="108" t="s">
        <v>8985</v>
      </c>
      <c r="G300" s="120">
        <v>2</v>
      </c>
      <c r="H300" s="108" t="s">
        <v>8986</v>
      </c>
      <c r="I300" s="116">
        <v>1</v>
      </c>
      <c r="J300" s="111" t="s">
        <v>40</v>
      </c>
      <c r="K300" s="108" t="s">
        <v>8987</v>
      </c>
      <c r="L300" s="116">
        <v>1</v>
      </c>
      <c r="M300" s="113"/>
      <c r="N300" s="108" t="s">
        <v>8985</v>
      </c>
      <c r="O300" s="117">
        <v>2</v>
      </c>
      <c r="P300" s="111" t="s">
        <v>46</v>
      </c>
      <c r="Q300" s="108" t="s">
        <v>8988</v>
      </c>
      <c r="R300" s="117">
        <v>2</v>
      </c>
      <c r="S300" s="113"/>
      <c r="T300" s="108" t="s">
        <v>8989</v>
      </c>
      <c r="U300" s="110">
        <v>3</v>
      </c>
      <c r="V300" s="113"/>
      <c r="W300" s="108" t="s">
        <v>823</v>
      </c>
      <c r="X300" s="117">
        <v>2</v>
      </c>
      <c r="Y300" s="113"/>
      <c r="Z300" s="108" t="s">
        <v>47</v>
      </c>
      <c r="AA300" s="114"/>
      <c r="AB300" s="113"/>
      <c r="AC300" s="105" t="s">
        <v>824</v>
      </c>
      <c r="AD300" s="115" t="s">
        <v>107</v>
      </c>
    </row>
    <row r="301" spans="1:30" x14ac:dyDescent="0.2">
      <c r="A301" s="104" t="s">
        <v>825</v>
      </c>
      <c r="B301" s="105" t="s">
        <v>805</v>
      </c>
      <c r="C301" s="105" t="s">
        <v>571</v>
      </c>
      <c r="D301" s="106"/>
      <c r="E301" s="107"/>
      <c r="F301" s="108" t="s">
        <v>826</v>
      </c>
      <c r="G301" s="120">
        <v>2</v>
      </c>
      <c r="H301" s="108" t="s">
        <v>8990</v>
      </c>
      <c r="I301" s="116">
        <v>1</v>
      </c>
      <c r="J301" s="111" t="s">
        <v>40</v>
      </c>
      <c r="K301" s="108" t="s">
        <v>8991</v>
      </c>
      <c r="L301" s="117">
        <v>2</v>
      </c>
      <c r="M301" s="113"/>
      <c r="N301" s="108" t="s">
        <v>826</v>
      </c>
      <c r="O301" s="117">
        <v>2</v>
      </c>
      <c r="P301" s="113"/>
      <c r="Q301" s="108" t="s">
        <v>8992</v>
      </c>
      <c r="R301" s="117">
        <v>2</v>
      </c>
      <c r="S301" s="113"/>
      <c r="T301" s="108" t="s">
        <v>8993</v>
      </c>
      <c r="U301" s="110">
        <v>3</v>
      </c>
      <c r="V301" s="113"/>
      <c r="W301" s="108" t="s">
        <v>47</v>
      </c>
      <c r="X301" s="114"/>
      <c r="Y301" s="113"/>
      <c r="Z301" s="108" t="s">
        <v>47</v>
      </c>
      <c r="AA301" s="114"/>
      <c r="AB301" s="113"/>
      <c r="AC301" s="105" t="s">
        <v>827</v>
      </c>
      <c r="AD301" s="115" t="s">
        <v>107</v>
      </c>
    </row>
    <row r="302" spans="1:30" x14ac:dyDescent="0.2">
      <c r="A302" s="104" t="s">
        <v>828</v>
      </c>
      <c r="B302" s="105" t="s">
        <v>805</v>
      </c>
      <c r="C302" s="105" t="s">
        <v>571</v>
      </c>
      <c r="D302" s="106"/>
      <c r="E302" s="107"/>
      <c r="F302" s="108" t="s">
        <v>8994</v>
      </c>
      <c r="G302" s="119">
        <v>1</v>
      </c>
      <c r="H302" s="108" t="s">
        <v>8995</v>
      </c>
      <c r="I302" s="116">
        <v>1</v>
      </c>
      <c r="J302" s="113"/>
      <c r="K302" s="108" t="s">
        <v>8996</v>
      </c>
      <c r="L302" s="116">
        <v>1</v>
      </c>
      <c r="M302" s="113"/>
      <c r="N302" s="108" t="s">
        <v>8994</v>
      </c>
      <c r="O302" s="116">
        <v>1</v>
      </c>
      <c r="P302" s="113"/>
      <c r="Q302" s="108" t="s">
        <v>8997</v>
      </c>
      <c r="R302" s="117">
        <v>2</v>
      </c>
      <c r="S302" s="113"/>
      <c r="T302" s="108" t="s">
        <v>8998</v>
      </c>
      <c r="U302" s="117">
        <v>2</v>
      </c>
      <c r="V302" s="113"/>
      <c r="W302" s="108" t="s">
        <v>829</v>
      </c>
      <c r="X302" s="117">
        <v>2</v>
      </c>
      <c r="Y302" s="113"/>
      <c r="Z302" s="108" t="s">
        <v>47</v>
      </c>
      <c r="AA302" s="114"/>
      <c r="AB302" s="113"/>
      <c r="AC302" s="105" t="s">
        <v>830</v>
      </c>
      <c r="AD302" s="115" t="s">
        <v>107</v>
      </c>
    </row>
    <row r="303" spans="1:30" x14ac:dyDescent="0.2">
      <c r="A303" s="104" t="s">
        <v>831</v>
      </c>
      <c r="B303" s="105" t="s">
        <v>805</v>
      </c>
      <c r="C303" s="105" t="s">
        <v>571</v>
      </c>
      <c r="D303" s="106"/>
      <c r="E303" s="107"/>
      <c r="F303" s="108" t="s">
        <v>47</v>
      </c>
      <c r="G303" s="113"/>
      <c r="H303" s="108" t="s">
        <v>47</v>
      </c>
      <c r="I303" s="114"/>
      <c r="J303" s="113"/>
      <c r="K303" s="108" t="s">
        <v>47</v>
      </c>
      <c r="L303" s="114"/>
      <c r="M303" s="113"/>
      <c r="N303" s="108" t="s">
        <v>47</v>
      </c>
      <c r="O303" s="114"/>
      <c r="P303" s="113"/>
      <c r="Q303" s="108" t="s">
        <v>47</v>
      </c>
      <c r="R303" s="114"/>
      <c r="S303" s="113"/>
      <c r="T303" s="108" t="s">
        <v>47</v>
      </c>
      <c r="U303" s="114"/>
      <c r="V303" s="113"/>
      <c r="W303" s="108" t="s">
        <v>47</v>
      </c>
      <c r="X303" s="114"/>
      <c r="Y303" s="113"/>
      <c r="Z303" s="108" t="s">
        <v>47</v>
      </c>
      <c r="AA303" s="114"/>
      <c r="AB303" s="113"/>
      <c r="AC303" s="105" t="s">
        <v>832</v>
      </c>
      <c r="AD303" s="115" t="s">
        <v>107</v>
      </c>
    </row>
    <row r="304" spans="1:30" x14ac:dyDescent="0.2">
      <c r="A304" s="104" t="s">
        <v>833</v>
      </c>
      <c r="B304" s="105" t="s">
        <v>805</v>
      </c>
      <c r="C304" s="105" t="s">
        <v>571</v>
      </c>
      <c r="D304" s="106"/>
      <c r="E304" s="107"/>
      <c r="F304" s="108" t="s">
        <v>8999</v>
      </c>
      <c r="G304" s="119">
        <v>1</v>
      </c>
      <c r="H304" s="108" t="s">
        <v>9000</v>
      </c>
      <c r="I304" s="116">
        <v>1</v>
      </c>
      <c r="J304" s="111" t="s">
        <v>40</v>
      </c>
      <c r="K304" s="108" t="s">
        <v>9001</v>
      </c>
      <c r="L304" s="116">
        <v>1</v>
      </c>
      <c r="M304" s="113"/>
      <c r="N304" s="108" t="s">
        <v>8999</v>
      </c>
      <c r="O304" s="116">
        <v>1</v>
      </c>
      <c r="P304" s="113"/>
      <c r="Q304" s="108" t="s">
        <v>9002</v>
      </c>
      <c r="R304" s="117">
        <v>2</v>
      </c>
      <c r="S304" s="113"/>
      <c r="T304" s="108" t="s">
        <v>47</v>
      </c>
      <c r="U304" s="114"/>
      <c r="V304" s="113"/>
      <c r="W304" s="108" t="s">
        <v>47</v>
      </c>
      <c r="X304" s="114"/>
      <c r="Y304" s="113"/>
      <c r="Z304" s="108" t="s">
        <v>47</v>
      </c>
      <c r="AA304" s="114"/>
      <c r="AB304" s="113"/>
      <c r="AC304" s="105" t="s">
        <v>834</v>
      </c>
      <c r="AD304" s="115" t="s">
        <v>107</v>
      </c>
    </row>
    <row r="305" spans="1:30" x14ac:dyDescent="0.2">
      <c r="A305" s="104" t="s">
        <v>835</v>
      </c>
      <c r="B305" s="105" t="s">
        <v>805</v>
      </c>
      <c r="C305" s="105" t="s">
        <v>571</v>
      </c>
      <c r="D305" s="106"/>
      <c r="E305" s="107"/>
      <c r="F305" s="108" t="s">
        <v>9003</v>
      </c>
      <c r="G305" s="120">
        <v>2</v>
      </c>
      <c r="H305" s="108" t="s">
        <v>8996</v>
      </c>
      <c r="I305" s="116">
        <v>1</v>
      </c>
      <c r="J305" s="111" t="s">
        <v>40</v>
      </c>
      <c r="K305" s="108" t="s">
        <v>836</v>
      </c>
      <c r="L305" s="116">
        <v>1</v>
      </c>
      <c r="M305" s="111" t="s">
        <v>40</v>
      </c>
      <c r="N305" s="108" t="s">
        <v>9003</v>
      </c>
      <c r="O305" s="117">
        <v>2</v>
      </c>
      <c r="P305" s="111" t="s">
        <v>46</v>
      </c>
      <c r="Q305" s="108" t="s">
        <v>837</v>
      </c>
      <c r="R305" s="117">
        <v>2</v>
      </c>
      <c r="S305" s="113"/>
      <c r="T305" s="108" t="s">
        <v>9004</v>
      </c>
      <c r="U305" s="110">
        <v>3</v>
      </c>
      <c r="V305" s="113"/>
      <c r="W305" s="108" t="s">
        <v>838</v>
      </c>
      <c r="X305" s="117">
        <v>2</v>
      </c>
      <c r="Y305" s="113"/>
      <c r="Z305" s="108" t="s">
        <v>47</v>
      </c>
      <c r="AA305" s="114"/>
      <c r="AB305" s="113"/>
      <c r="AC305" s="105" t="s">
        <v>839</v>
      </c>
      <c r="AD305" s="115" t="s">
        <v>107</v>
      </c>
    </row>
    <row r="306" spans="1:30" x14ac:dyDescent="0.2">
      <c r="A306" s="104" t="s">
        <v>840</v>
      </c>
      <c r="B306" s="105" t="s">
        <v>805</v>
      </c>
      <c r="C306" s="105" t="s">
        <v>571</v>
      </c>
      <c r="D306" s="106"/>
      <c r="E306" s="107"/>
      <c r="F306" s="108" t="s">
        <v>9005</v>
      </c>
      <c r="G306" s="120">
        <v>2</v>
      </c>
      <c r="H306" s="108" t="s">
        <v>841</v>
      </c>
      <c r="I306" s="116">
        <v>1</v>
      </c>
      <c r="J306" s="111" t="s">
        <v>40</v>
      </c>
      <c r="K306" s="108" t="s">
        <v>9006</v>
      </c>
      <c r="L306" s="117">
        <v>2</v>
      </c>
      <c r="M306" s="113"/>
      <c r="N306" s="108" t="s">
        <v>9005</v>
      </c>
      <c r="O306" s="117">
        <v>2</v>
      </c>
      <c r="P306" s="113"/>
      <c r="Q306" s="108" t="s">
        <v>9007</v>
      </c>
      <c r="R306" s="117">
        <v>2</v>
      </c>
      <c r="S306" s="111" t="s">
        <v>40</v>
      </c>
      <c r="T306" s="108" t="s">
        <v>9008</v>
      </c>
      <c r="U306" s="110">
        <v>3</v>
      </c>
      <c r="V306" s="113"/>
      <c r="W306" s="108" t="s">
        <v>9009</v>
      </c>
      <c r="X306" s="117">
        <v>2</v>
      </c>
      <c r="Y306" s="113"/>
      <c r="Z306" s="108" t="s">
        <v>9010</v>
      </c>
      <c r="AA306" s="110">
        <v>3</v>
      </c>
      <c r="AB306" s="111" t="s">
        <v>40</v>
      </c>
      <c r="AC306" s="105" t="s">
        <v>842</v>
      </c>
      <c r="AD306" s="115" t="s">
        <v>107</v>
      </c>
    </row>
    <row r="307" spans="1:30" x14ac:dyDescent="0.2">
      <c r="A307" s="104" t="s">
        <v>843</v>
      </c>
      <c r="B307" s="105" t="s">
        <v>805</v>
      </c>
      <c r="C307" s="105" t="s">
        <v>571</v>
      </c>
      <c r="D307" s="106"/>
      <c r="E307" s="107"/>
      <c r="F307" s="108" t="s">
        <v>844</v>
      </c>
      <c r="G307" s="118">
        <v>3</v>
      </c>
      <c r="H307" s="108" t="s">
        <v>9011</v>
      </c>
      <c r="I307" s="110">
        <v>3</v>
      </c>
      <c r="J307" s="113"/>
      <c r="K307" s="108" t="s">
        <v>9011</v>
      </c>
      <c r="L307" s="110">
        <v>3</v>
      </c>
      <c r="M307" s="113"/>
      <c r="N307" s="108" t="s">
        <v>844</v>
      </c>
      <c r="O307" s="110">
        <v>3</v>
      </c>
      <c r="P307" s="113"/>
      <c r="Q307" s="108" t="s">
        <v>9012</v>
      </c>
      <c r="R307" s="110">
        <v>3</v>
      </c>
      <c r="S307" s="113"/>
      <c r="T307" s="108" t="s">
        <v>9013</v>
      </c>
      <c r="U307" s="110">
        <v>3</v>
      </c>
      <c r="V307" s="113"/>
      <c r="W307" s="108" t="s">
        <v>9014</v>
      </c>
      <c r="X307" s="110">
        <v>3</v>
      </c>
      <c r="Y307" s="113"/>
      <c r="Z307" s="108" t="s">
        <v>9015</v>
      </c>
      <c r="AA307" s="112">
        <v>4</v>
      </c>
      <c r="AB307" s="111" t="s">
        <v>55</v>
      </c>
      <c r="AC307" s="105" t="s">
        <v>845</v>
      </c>
      <c r="AD307" s="115" t="s">
        <v>107</v>
      </c>
    </row>
    <row r="308" spans="1:30" x14ac:dyDescent="0.2">
      <c r="A308" s="104" t="s">
        <v>846</v>
      </c>
      <c r="B308" s="105" t="s">
        <v>805</v>
      </c>
      <c r="C308" s="105" t="s">
        <v>571</v>
      </c>
      <c r="D308" s="106"/>
      <c r="E308" s="107"/>
      <c r="F308" s="108" t="s">
        <v>9016</v>
      </c>
      <c r="G308" s="118">
        <v>3</v>
      </c>
      <c r="H308" s="108" t="s">
        <v>9017</v>
      </c>
      <c r="I308" s="110">
        <v>3</v>
      </c>
      <c r="J308" s="113"/>
      <c r="K308" s="108" t="s">
        <v>9017</v>
      </c>
      <c r="L308" s="110">
        <v>3</v>
      </c>
      <c r="M308" s="113"/>
      <c r="N308" s="108" t="s">
        <v>9016</v>
      </c>
      <c r="O308" s="110">
        <v>3</v>
      </c>
      <c r="P308" s="113"/>
      <c r="Q308" s="108" t="s">
        <v>9018</v>
      </c>
      <c r="R308" s="110">
        <v>3</v>
      </c>
      <c r="S308" s="113"/>
      <c r="T308" s="108" t="s">
        <v>9019</v>
      </c>
      <c r="U308" s="110">
        <v>3</v>
      </c>
      <c r="V308" s="113"/>
      <c r="W308" s="108" t="s">
        <v>9020</v>
      </c>
      <c r="X308" s="110">
        <v>3</v>
      </c>
      <c r="Y308" s="113"/>
      <c r="Z308" s="108" t="s">
        <v>9021</v>
      </c>
      <c r="AA308" s="112">
        <v>4</v>
      </c>
      <c r="AB308" s="113"/>
      <c r="AC308" s="105" t="s">
        <v>847</v>
      </c>
      <c r="AD308" s="115" t="s">
        <v>107</v>
      </c>
    </row>
    <row r="309" spans="1:30" x14ac:dyDescent="0.2">
      <c r="A309" s="104" t="s">
        <v>848</v>
      </c>
      <c r="B309" s="105" t="s">
        <v>805</v>
      </c>
      <c r="C309" s="105" t="s">
        <v>571</v>
      </c>
      <c r="D309" s="106"/>
      <c r="E309" s="107"/>
      <c r="F309" s="108" t="s">
        <v>9022</v>
      </c>
      <c r="G309" s="109">
        <v>4</v>
      </c>
      <c r="H309" s="108" t="s">
        <v>9023</v>
      </c>
      <c r="I309" s="110">
        <v>3</v>
      </c>
      <c r="J309" s="113"/>
      <c r="K309" s="108" t="s">
        <v>9024</v>
      </c>
      <c r="L309" s="110">
        <v>3</v>
      </c>
      <c r="M309" s="111" t="s">
        <v>40</v>
      </c>
      <c r="N309" s="108" t="s">
        <v>9022</v>
      </c>
      <c r="O309" s="112">
        <v>4</v>
      </c>
      <c r="P309" s="113"/>
      <c r="Q309" s="108" t="s">
        <v>9025</v>
      </c>
      <c r="R309" s="110">
        <v>3</v>
      </c>
      <c r="S309" s="113"/>
      <c r="T309" s="108" t="s">
        <v>9026</v>
      </c>
      <c r="U309" s="117">
        <v>2</v>
      </c>
      <c r="V309" s="113"/>
      <c r="W309" s="108" t="s">
        <v>9027</v>
      </c>
      <c r="X309" s="110">
        <v>3</v>
      </c>
      <c r="Y309" s="113"/>
      <c r="Z309" s="108" t="s">
        <v>47</v>
      </c>
      <c r="AA309" s="114"/>
      <c r="AB309" s="113"/>
      <c r="AC309" s="105" t="s">
        <v>849</v>
      </c>
      <c r="AD309" s="115" t="s">
        <v>107</v>
      </c>
    </row>
    <row r="310" spans="1:30" x14ac:dyDescent="0.2">
      <c r="A310" s="104" t="s">
        <v>850</v>
      </c>
      <c r="B310" s="105" t="s">
        <v>805</v>
      </c>
      <c r="C310" s="105" t="s">
        <v>571</v>
      </c>
      <c r="D310" s="106"/>
      <c r="E310" s="107"/>
      <c r="F310" s="108" t="s">
        <v>851</v>
      </c>
      <c r="G310" s="109">
        <v>4</v>
      </c>
      <c r="H310" s="108" t="s">
        <v>852</v>
      </c>
      <c r="I310" s="110">
        <v>3</v>
      </c>
      <c r="J310" s="111" t="s">
        <v>40</v>
      </c>
      <c r="K310" s="108" t="s">
        <v>9028</v>
      </c>
      <c r="L310" s="110">
        <v>3</v>
      </c>
      <c r="M310" s="111" t="s">
        <v>40</v>
      </c>
      <c r="N310" s="108" t="s">
        <v>851</v>
      </c>
      <c r="O310" s="112">
        <v>4</v>
      </c>
      <c r="P310" s="113"/>
      <c r="Q310" s="108" t="s">
        <v>853</v>
      </c>
      <c r="R310" s="112">
        <v>4</v>
      </c>
      <c r="S310" s="113"/>
      <c r="T310" s="108" t="s">
        <v>9029</v>
      </c>
      <c r="U310" s="112">
        <v>4</v>
      </c>
      <c r="V310" s="113"/>
      <c r="W310" s="108" t="s">
        <v>9030</v>
      </c>
      <c r="X310" s="112">
        <v>4</v>
      </c>
      <c r="Y310" s="113"/>
      <c r="Z310" s="108" t="s">
        <v>47</v>
      </c>
      <c r="AA310" s="114"/>
      <c r="AB310" s="113"/>
      <c r="AC310" s="105" t="s">
        <v>854</v>
      </c>
      <c r="AD310" s="115" t="s">
        <v>107</v>
      </c>
    </row>
    <row r="311" spans="1:30" x14ac:dyDescent="0.2">
      <c r="A311" s="104" t="s">
        <v>855</v>
      </c>
      <c r="B311" s="105" t="s">
        <v>805</v>
      </c>
      <c r="C311" s="105" t="s">
        <v>571</v>
      </c>
      <c r="D311" s="106"/>
      <c r="E311" s="107"/>
      <c r="F311" s="108" t="s">
        <v>9031</v>
      </c>
      <c r="G311" s="118">
        <v>3</v>
      </c>
      <c r="H311" s="108" t="s">
        <v>9032</v>
      </c>
      <c r="I311" s="110">
        <v>3</v>
      </c>
      <c r="J311" s="113"/>
      <c r="K311" s="108" t="s">
        <v>9033</v>
      </c>
      <c r="L311" s="110">
        <v>3</v>
      </c>
      <c r="M311" s="113"/>
      <c r="N311" s="108" t="s">
        <v>9031</v>
      </c>
      <c r="O311" s="110">
        <v>3</v>
      </c>
      <c r="P311" s="113"/>
      <c r="Q311" s="108" t="s">
        <v>9034</v>
      </c>
      <c r="R311" s="110">
        <v>3</v>
      </c>
      <c r="S311" s="113"/>
      <c r="T311" s="108" t="s">
        <v>9035</v>
      </c>
      <c r="U311" s="112">
        <v>4</v>
      </c>
      <c r="V311" s="113"/>
      <c r="W311" s="108" t="s">
        <v>9036</v>
      </c>
      <c r="X311" s="112">
        <v>4</v>
      </c>
      <c r="Y311" s="111" t="s">
        <v>46</v>
      </c>
      <c r="Z311" s="108" t="s">
        <v>47</v>
      </c>
      <c r="AA311" s="114"/>
      <c r="AB311" s="113"/>
      <c r="AC311" s="105" t="s">
        <v>856</v>
      </c>
      <c r="AD311" s="115" t="s">
        <v>107</v>
      </c>
    </row>
    <row r="312" spans="1:30" x14ac:dyDescent="0.2">
      <c r="A312" s="104" t="s">
        <v>857</v>
      </c>
      <c r="B312" s="105" t="s">
        <v>805</v>
      </c>
      <c r="C312" s="105" t="s">
        <v>571</v>
      </c>
      <c r="D312" s="106"/>
      <c r="E312" s="107"/>
      <c r="F312" s="108" t="s">
        <v>858</v>
      </c>
      <c r="G312" s="118">
        <v>3</v>
      </c>
      <c r="H312" s="108" t="s">
        <v>9033</v>
      </c>
      <c r="I312" s="110">
        <v>3</v>
      </c>
      <c r="J312" s="113"/>
      <c r="K312" s="108" t="s">
        <v>9037</v>
      </c>
      <c r="L312" s="110">
        <v>3</v>
      </c>
      <c r="M312" s="113"/>
      <c r="N312" s="108" t="s">
        <v>858</v>
      </c>
      <c r="O312" s="110">
        <v>3</v>
      </c>
      <c r="P312" s="113"/>
      <c r="Q312" s="108" t="s">
        <v>9038</v>
      </c>
      <c r="R312" s="110">
        <v>3</v>
      </c>
      <c r="S312" s="113"/>
      <c r="T312" s="108" t="s">
        <v>9039</v>
      </c>
      <c r="U312" s="110">
        <v>3</v>
      </c>
      <c r="V312" s="111" t="s">
        <v>40</v>
      </c>
      <c r="W312" s="108" t="s">
        <v>9040</v>
      </c>
      <c r="X312" s="110">
        <v>3</v>
      </c>
      <c r="Y312" s="113"/>
      <c r="Z312" s="108" t="s">
        <v>9041</v>
      </c>
      <c r="AA312" s="112">
        <v>4</v>
      </c>
      <c r="AB312" s="111" t="s">
        <v>46</v>
      </c>
      <c r="AC312" s="105" t="s">
        <v>859</v>
      </c>
      <c r="AD312" s="115" t="s">
        <v>107</v>
      </c>
    </row>
    <row r="313" spans="1:30" x14ac:dyDescent="0.2">
      <c r="A313" s="104" t="s">
        <v>860</v>
      </c>
      <c r="B313" s="105" t="s">
        <v>805</v>
      </c>
      <c r="C313" s="105" t="s">
        <v>571</v>
      </c>
      <c r="D313" s="106"/>
      <c r="E313" s="107"/>
      <c r="F313" s="108" t="s">
        <v>9042</v>
      </c>
      <c r="G313" s="118">
        <v>3</v>
      </c>
      <c r="H313" s="108" t="s">
        <v>9043</v>
      </c>
      <c r="I313" s="110">
        <v>3</v>
      </c>
      <c r="J313" s="113"/>
      <c r="K313" s="108" t="s">
        <v>9044</v>
      </c>
      <c r="L313" s="110">
        <v>3</v>
      </c>
      <c r="M313" s="113"/>
      <c r="N313" s="108" t="s">
        <v>9042</v>
      </c>
      <c r="O313" s="110">
        <v>3</v>
      </c>
      <c r="P313" s="113"/>
      <c r="Q313" s="108" t="s">
        <v>9045</v>
      </c>
      <c r="R313" s="110">
        <v>3</v>
      </c>
      <c r="S313" s="113"/>
      <c r="T313" s="108" t="s">
        <v>9046</v>
      </c>
      <c r="U313" s="110">
        <v>3</v>
      </c>
      <c r="V313" s="113"/>
      <c r="W313" s="108" t="s">
        <v>861</v>
      </c>
      <c r="X313" s="110">
        <v>3</v>
      </c>
      <c r="Y313" s="113"/>
      <c r="Z313" s="108" t="s">
        <v>9047</v>
      </c>
      <c r="AA313" s="110">
        <v>3</v>
      </c>
      <c r="AB313" s="111" t="s">
        <v>55</v>
      </c>
      <c r="AC313" s="105" t="s">
        <v>862</v>
      </c>
      <c r="AD313" s="115" t="s">
        <v>107</v>
      </c>
    </row>
    <row r="314" spans="1:30" x14ac:dyDescent="0.2">
      <c r="A314" s="104" t="s">
        <v>863</v>
      </c>
      <c r="B314" s="105" t="s">
        <v>805</v>
      </c>
      <c r="C314" s="105" t="s">
        <v>571</v>
      </c>
      <c r="D314" s="106"/>
      <c r="E314" s="107"/>
      <c r="F314" s="108" t="s">
        <v>9048</v>
      </c>
      <c r="G314" s="118">
        <v>3</v>
      </c>
      <c r="H314" s="108" t="s">
        <v>9049</v>
      </c>
      <c r="I314" s="110">
        <v>3</v>
      </c>
      <c r="J314" s="113"/>
      <c r="K314" s="108" t="s">
        <v>9043</v>
      </c>
      <c r="L314" s="110">
        <v>3</v>
      </c>
      <c r="M314" s="113"/>
      <c r="N314" s="108" t="s">
        <v>9048</v>
      </c>
      <c r="O314" s="110">
        <v>3</v>
      </c>
      <c r="P314" s="113"/>
      <c r="Q314" s="108" t="s">
        <v>9050</v>
      </c>
      <c r="R314" s="110">
        <v>3</v>
      </c>
      <c r="S314" s="113"/>
      <c r="T314" s="108" t="s">
        <v>9051</v>
      </c>
      <c r="U314" s="110">
        <v>3</v>
      </c>
      <c r="V314" s="113"/>
      <c r="W314" s="108" t="s">
        <v>864</v>
      </c>
      <c r="X314" s="110">
        <v>3</v>
      </c>
      <c r="Y314" s="113"/>
      <c r="Z314" s="108" t="s">
        <v>47</v>
      </c>
      <c r="AA314" s="114"/>
      <c r="AB314" s="113"/>
      <c r="AC314" s="105" t="s">
        <v>865</v>
      </c>
      <c r="AD314" s="115" t="s">
        <v>107</v>
      </c>
    </row>
    <row r="315" spans="1:30" x14ac:dyDescent="0.2">
      <c r="A315" s="104" t="s">
        <v>866</v>
      </c>
      <c r="B315" s="105" t="s">
        <v>805</v>
      </c>
      <c r="C315" s="105" t="s">
        <v>571</v>
      </c>
      <c r="D315" s="106"/>
      <c r="E315" s="107"/>
      <c r="F315" s="108" t="s">
        <v>9052</v>
      </c>
      <c r="G315" s="118">
        <v>3</v>
      </c>
      <c r="H315" s="108" t="s">
        <v>9053</v>
      </c>
      <c r="I315" s="110">
        <v>3</v>
      </c>
      <c r="J315" s="113"/>
      <c r="K315" s="108" t="s">
        <v>9054</v>
      </c>
      <c r="L315" s="110">
        <v>3</v>
      </c>
      <c r="M315" s="111" t="s">
        <v>40</v>
      </c>
      <c r="N315" s="108" t="s">
        <v>9052</v>
      </c>
      <c r="O315" s="110">
        <v>3</v>
      </c>
      <c r="P315" s="113"/>
      <c r="Q315" s="108" t="s">
        <v>9055</v>
      </c>
      <c r="R315" s="110">
        <v>3</v>
      </c>
      <c r="S315" s="113"/>
      <c r="T315" s="108" t="s">
        <v>9056</v>
      </c>
      <c r="U315" s="117">
        <v>2</v>
      </c>
      <c r="V315" s="111" t="s">
        <v>46</v>
      </c>
      <c r="W315" s="108" t="s">
        <v>9057</v>
      </c>
      <c r="X315" s="110">
        <v>3</v>
      </c>
      <c r="Y315" s="113"/>
      <c r="Z315" s="108" t="s">
        <v>47</v>
      </c>
      <c r="AA315" s="114"/>
      <c r="AB315" s="113"/>
      <c r="AC315" s="105" t="s">
        <v>867</v>
      </c>
      <c r="AD315" s="115" t="s">
        <v>107</v>
      </c>
    </row>
    <row r="316" spans="1:30" x14ac:dyDescent="0.2">
      <c r="A316" s="104" t="s">
        <v>868</v>
      </c>
      <c r="B316" s="105" t="s">
        <v>805</v>
      </c>
      <c r="C316" s="105" t="s">
        <v>571</v>
      </c>
      <c r="D316" s="106"/>
      <c r="E316" s="107"/>
      <c r="F316" s="108" t="s">
        <v>9058</v>
      </c>
      <c r="G316" s="118">
        <v>3</v>
      </c>
      <c r="H316" s="108" t="s">
        <v>9059</v>
      </c>
      <c r="I316" s="110">
        <v>3</v>
      </c>
      <c r="J316" s="111" t="s">
        <v>40</v>
      </c>
      <c r="K316" s="108" t="s">
        <v>9060</v>
      </c>
      <c r="L316" s="110">
        <v>3</v>
      </c>
      <c r="M316" s="111" t="s">
        <v>40</v>
      </c>
      <c r="N316" s="108" t="s">
        <v>9058</v>
      </c>
      <c r="O316" s="110">
        <v>3</v>
      </c>
      <c r="P316" s="111" t="s">
        <v>40</v>
      </c>
      <c r="Q316" s="108" t="s">
        <v>869</v>
      </c>
      <c r="R316" s="112">
        <v>4</v>
      </c>
      <c r="S316" s="113"/>
      <c r="T316" s="108" t="s">
        <v>9061</v>
      </c>
      <c r="U316" s="112">
        <v>4</v>
      </c>
      <c r="V316" s="113"/>
      <c r="W316" s="108" t="s">
        <v>9062</v>
      </c>
      <c r="X316" s="110">
        <v>3</v>
      </c>
      <c r="Y316" s="113"/>
      <c r="Z316" s="108" t="s">
        <v>47</v>
      </c>
      <c r="AA316" s="114"/>
      <c r="AB316" s="113"/>
      <c r="AC316" s="105" t="s">
        <v>870</v>
      </c>
      <c r="AD316" s="115" t="s">
        <v>107</v>
      </c>
    </row>
    <row r="317" spans="1:30" x14ac:dyDescent="0.2">
      <c r="A317" s="104" t="s">
        <v>871</v>
      </c>
      <c r="B317" s="105" t="s">
        <v>805</v>
      </c>
      <c r="C317" s="105" t="s">
        <v>571</v>
      </c>
      <c r="D317" s="106"/>
      <c r="E317" s="107"/>
      <c r="F317" s="108" t="s">
        <v>872</v>
      </c>
      <c r="G317" s="118">
        <v>3</v>
      </c>
      <c r="H317" s="108" t="s">
        <v>9063</v>
      </c>
      <c r="I317" s="110">
        <v>3</v>
      </c>
      <c r="J317" s="113"/>
      <c r="K317" s="108" t="s">
        <v>9049</v>
      </c>
      <c r="L317" s="110">
        <v>3</v>
      </c>
      <c r="M317" s="113"/>
      <c r="N317" s="108" t="s">
        <v>872</v>
      </c>
      <c r="O317" s="110">
        <v>3</v>
      </c>
      <c r="P317" s="113"/>
      <c r="Q317" s="108" t="s">
        <v>9064</v>
      </c>
      <c r="R317" s="110">
        <v>3</v>
      </c>
      <c r="S317" s="113"/>
      <c r="T317" s="108" t="s">
        <v>9065</v>
      </c>
      <c r="U317" s="110">
        <v>3</v>
      </c>
      <c r="V317" s="113"/>
      <c r="W317" s="108" t="s">
        <v>873</v>
      </c>
      <c r="X317" s="110">
        <v>3</v>
      </c>
      <c r="Y317" s="113"/>
      <c r="Z317" s="108" t="s">
        <v>9066</v>
      </c>
      <c r="AA317" s="110">
        <v>3</v>
      </c>
      <c r="AB317" s="113"/>
      <c r="AC317" s="105" t="s">
        <v>874</v>
      </c>
      <c r="AD317" s="115" t="s">
        <v>107</v>
      </c>
    </row>
    <row r="318" spans="1:30" x14ac:dyDescent="0.2">
      <c r="A318" s="104" t="s">
        <v>875</v>
      </c>
      <c r="B318" s="105" t="s">
        <v>805</v>
      </c>
      <c r="C318" s="105" t="s">
        <v>571</v>
      </c>
      <c r="D318" s="106"/>
      <c r="E318" s="107"/>
      <c r="F318" s="108" t="s">
        <v>9067</v>
      </c>
      <c r="G318" s="118">
        <v>3</v>
      </c>
      <c r="H318" s="108" t="s">
        <v>9068</v>
      </c>
      <c r="I318" s="110">
        <v>3</v>
      </c>
      <c r="J318" s="113"/>
      <c r="K318" s="108" t="s">
        <v>9063</v>
      </c>
      <c r="L318" s="110">
        <v>3</v>
      </c>
      <c r="M318" s="113"/>
      <c r="N318" s="108" t="s">
        <v>9067</v>
      </c>
      <c r="O318" s="110">
        <v>3</v>
      </c>
      <c r="P318" s="113"/>
      <c r="Q318" s="108" t="s">
        <v>9069</v>
      </c>
      <c r="R318" s="110">
        <v>3</v>
      </c>
      <c r="S318" s="113"/>
      <c r="T318" s="108" t="s">
        <v>9070</v>
      </c>
      <c r="U318" s="110">
        <v>3</v>
      </c>
      <c r="V318" s="113"/>
      <c r="W318" s="108" t="s">
        <v>9071</v>
      </c>
      <c r="X318" s="110">
        <v>3</v>
      </c>
      <c r="Y318" s="113"/>
      <c r="Z318" s="108" t="s">
        <v>876</v>
      </c>
      <c r="AA318" s="110">
        <v>3</v>
      </c>
      <c r="AB318" s="111" t="s">
        <v>55</v>
      </c>
      <c r="AC318" s="105" t="s">
        <v>877</v>
      </c>
      <c r="AD318" s="115" t="s">
        <v>107</v>
      </c>
    </row>
    <row r="319" spans="1:30" x14ac:dyDescent="0.2">
      <c r="A319" s="104" t="s">
        <v>878</v>
      </c>
      <c r="B319" s="105" t="s">
        <v>805</v>
      </c>
      <c r="C319" s="105" t="s">
        <v>571</v>
      </c>
      <c r="D319" s="106"/>
      <c r="E319" s="107"/>
      <c r="F319" s="108" t="s">
        <v>879</v>
      </c>
      <c r="G319" s="109">
        <v>4</v>
      </c>
      <c r="H319" s="108" t="s">
        <v>9072</v>
      </c>
      <c r="I319" s="110">
        <v>3</v>
      </c>
      <c r="J319" s="111" t="s">
        <v>40</v>
      </c>
      <c r="K319" s="108" t="s">
        <v>9059</v>
      </c>
      <c r="L319" s="110">
        <v>3</v>
      </c>
      <c r="M319" s="111" t="s">
        <v>40</v>
      </c>
      <c r="N319" s="108" t="s">
        <v>879</v>
      </c>
      <c r="O319" s="112">
        <v>4</v>
      </c>
      <c r="P319" s="113"/>
      <c r="Q319" s="108" t="s">
        <v>9073</v>
      </c>
      <c r="R319" s="112">
        <v>4</v>
      </c>
      <c r="S319" s="113"/>
      <c r="T319" s="108" t="s">
        <v>47</v>
      </c>
      <c r="U319" s="114"/>
      <c r="V319" s="113"/>
      <c r="W319" s="108" t="s">
        <v>47</v>
      </c>
      <c r="X319" s="114"/>
      <c r="Y319" s="113"/>
      <c r="Z319" s="108" t="s">
        <v>47</v>
      </c>
      <c r="AA319" s="114"/>
      <c r="AB319" s="113"/>
      <c r="AC319" s="105" t="s">
        <v>880</v>
      </c>
      <c r="AD319" s="115" t="s">
        <v>107</v>
      </c>
    </row>
    <row r="320" spans="1:30" x14ac:dyDescent="0.2">
      <c r="A320" s="104" t="s">
        <v>881</v>
      </c>
      <c r="B320" s="105" t="s">
        <v>805</v>
      </c>
      <c r="C320" s="105" t="s">
        <v>571</v>
      </c>
      <c r="D320" s="106"/>
      <c r="E320" s="107"/>
      <c r="F320" s="108" t="s">
        <v>9074</v>
      </c>
      <c r="G320" s="118">
        <v>3</v>
      </c>
      <c r="H320" s="108" t="s">
        <v>9075</v>
      </c>
      <c r="I320" s="110">
        <v>3</v>
      </c>
      <c r="J320" s="113"/>
      <c r="K320" s="108" t="s">
        <v>9075</v>
      </c>
      <c r="L320" s="110">
        <v>3</v>
      </c>
      <c r="M320" s="113"/>
      <c r="N320" s="108" t="s">
        <v>9074</v>
      </c>
      <c r="O320" s="110">
        <v>3</v>
      </c>
      <c r="P320" s="113"/>
      <c r="Q320" s="108" t="s">
        <v>9076</v>
      </c>
      <c r="R320" s="110">
        <v>3</v>
      </c>
      <c r="S320" s="113"/>
      <c r="T320" s="108" t="s">
        <v>9077</v>
      </c>
      <c r="U320" s="110">
        <v>3</v>
      </c>
      <c r="V320" s="113"/>
      <c r="W320" s="108" t="s">
        <v>9078</v>
      </c>
      <c r="X320" s="110">
        <v>3</v>
      </c>
      <c r="Y320" s="113"/>
      <c r="Z320" s="108" t="s">
        <v>9079</v>
      </c>
      <c r="AA320" s="112">
        <v>4</v>
      </c>
      <c r="AB320" s="111" t="s">
        <v>55</v>
      </c>
      <c r="AC320" s="105" t="s">
        <v>882</v>
      </c>
      <c r="AD320" s="115" t="s">
        <v>107</v>
      </c>
    </row>
    <row r="321" spans="1:30" x14ac:dyDescent="0.2">
      <c r="A321" s="104" t="s">
        <v>883</v>
      </c>
      <c r="B321" s="105" t="s">
        <v>805</v>
      </c>
      <c r="C321" s="105" t="s">
        <v>571</v>
      </c>
      <c r="D321" s="106"/>
      <c r="E321" s="107"/>
      <c r="F321" s="108" t="s">
        <v>9080</v>
      </c>
      <c r="G321" s="109">
        <v>4</v>
      </c>
      <c r="H321" s="108" t="s">
        <v>9081</v>
      </c>
      <c r="I321" s="112">
        <v>4</v>
      </c>
      <c r="J321" s="113"/>
      <c r="K321" s="108" t="s">
        <v>9082</v>
      </c>
      <c r="L321" s="112">
        <v>4</v>
      </c>
      <c r="M321" s="113"/>
      <c r="N321" s="108" t="s">
        <v>9080</v>
      </c>
      <c r="O321" s="112">
        <v>4</v>
      </c>
      <c r="P321" s="113"/>
      <c r="Q321" s="108" t="s">
        <v>9083</v>
      </c>
      <c r="R321" s="112">
        <v>4</v>
      </c>
      <c r="S321" s="113"/>
      <c r="T321" s="108" t="s">
        <v>9084</v>
      </c>
      <c r="U321" s="117">
        <v>2</v>
      </c>
      <c r="V321" s="113"/>
      <c r="W321" s="108" t="s">
        <v>9085</v>
      </c>
      <c r="X321" s="112">
        <v>4</v>
      </c>
      <c r="Y321" s="111" t="s">
        <v>46</v>
      </c>
      <c r="Z321" s="108" t="s">
        <v>47</v>
      </c>
      <c r="AA321" s="114"/>
      <c r="AB321" s="113"/>
      <c r="AC321" s="105" t="s">
        <v>884</v>
      </c>
      <c r="AD321" s="115" t="s">
        <v>107</v>
      </c>
    </row>
    <row r="322" spans="1:30" x14ac:dyDescent="0.2">
      <c r="A322" s="104" t="s">
        <v>885</v>
      </c>
      <c r="B322" s="105" t="s">
        <v>805</v>
      </c>
      <c r="C322" s="105" t="s">
        <v>571</v>
      </c>
      <c r="D322" s="106"/>
      <c r="E322" s="107"/>
      <c r="F322" s="108" t="s">
        <v>9086</v>
      </c>
      <c r="G322" s="109">
        <v>4</v>
      </c>
      <c r="H322" s="108" t="s">
        <v>9087</v>
      </c>
      <c r="I322" s="112">
        <v>4</v>
      </c>
      <c r="J322" s="113"/>
      <c r="K322" s="108" t="s">
        <v>9088</v>
      </c>
      <c r="L322" s="112">
        <v>4</v>
      </c>
      <c r="M322" s="113"/>
      <c r="N322" s="108" t="s">
        <v>9086</v>
      </c>
      <c r="O322" s="112">
        <v>4</v>
      </c>
      <c r="P322" s="113"/>
      <c r="Q322" s="108" t="s">
        <v>47</v>
      </c>
      <c r="R322" s="114"/>
      <c r="S322" s="113"/>
      <c r="T322" s="108" t="s">
        <v>47</v>
      </c>
      <c r="U322" s="114"/>
      <c r="V322" s="113"/>
      <c r="W322" s="108" t="s">
        <v>47</v>
      </c>
      <c r="X322" s="114"/>
      <c r="Y322" s="113"/>
      <c r="Z322" s="108" t="s">
        <v>47</v>
      </c>
      <c r="AA322" s="114"/>
      <c r="AB322" s="113"/>
      <c r="AC322" s="105" t="s">
        <v>886</v>
      </c>
      <c r="AD322" s="115" t="s">
        <v>107</v>
      </c>
    </row>
    <row r="323" spans="1:30" x14ac:dyDescent="0.2">
      <c r="A323" s="104" t="s">
        <v>887</v>
      </c>
      <c r="B323" s="105" t="s">
        <v>805</v>
      </c>
      <c r="C323" s="105" t="s">
        <v>571</v>
      </c>
      <c r="D323" s="106"/>
      <c r="E323" s="107"/>
      <c r="F323" s="108" t="s">
        <v>9089</v>
      </c>
      <c r="G323" s="109">
        <v>4</v>
      </c>
      <c r="H323" s="108" t="s">
        <v>9090</v>
      </c>
      <c r="I323" s="112">
        <v>4</v>
      </c>
      <c r="J323" s="111" t="s">
        <v>46</v>
      </c>
      <c r="K323" s="108" t="s">
        <v>9091</v>
      </c>
      <c r="L323" s="112">
        <v>4</v>
      </c>
      <c r="M323" s="113"/>
      <c r="N323" s="108" t="s">
        <v>9089</v>
      </c>
      <c r="O323" s="112">
        <v>4</v>
      </c>
      <c r="P323" s="113"/>
      <c r="Q323" s="108" t="s">
        <v>9092</v>
      </c>
      <c r="R323" s="112">
        <v>4</v>
      </c>
      <c r="S323" s="113"/>
      <c r="T323" s="108" t="s">
        <v>9093</v>
      </c>
      <c r="U323" s="112">
        <v>4</v>
      </c>
      <c r="V323" s="113"/>
      <c r="W323" s="108" t="s">
        <v>9094</v>
      </c>
      <c r="X323" s="112">
        <v>4</v>
      </c>
      <c r="Y323" s="113"/>
      <c r="Z323" s="108" t="s">
        <v>47</v>
      </c>
      <c r="AA323" s="114"/>
      <c r="AB323" s="113"/>
      <c r="AC323" s="105" t="s">
        <v>888</v>
      </c>
      <c r="AD323" s="115" t="s">
        <v>107</v>
      </c>
    </row>
    <row r="324" spans="1:30" x14ac:dyDescent="0.2">
      <c r="A324" s="104" t="s">
        <v>889</v>
      </c>
      <c r="B324" s="105" t="s">
        <v>805</v>
      </c>
      <c r="C324" s="105" t="s">
        <v>571</v>
      </c>
      <c r="D324" s="106"/>
      <c r="E324" s="107"/>
      <c r="F324" s="108" t="s">
        <v>9095</v>
      </c>
      <c r="G324" s="109">
        <v>4</v>
      </c>
      <c r="H324" s="108" t="s">
        <v>9096</v>
      </c>
      <c r="I324" s="110">
        <v>3</v>
      </c>
      <c r="J324" s="113"/>
      <c r="K324" s="108" t="s">
        <v>9053</v>
      </c>
      <c r="L324" s="110">
        <v>3</v>
      </c>
      <c r="M324" s="113"/>
      <c r="N324" s="108" t="s">
        <v>9095</v>
      </c>
      <c r="O324" s="112">
        <v>4</v>
      </c>
      <c r="P324" s="113"/>
      <c r="Q324" s="108" t="s">
        <v>9097</v>
      </c>
      <c r="R324" s="112">
        <v>4</v>
      </c>
      <c r="S324" s="113"/>
      <c r="T324" s="108" t="s">
        <v>9098</v>
      </c>
      <c r="U324" s="112">
        <v>4</v>
      </c>
      <c r="V324" s="113"/>
      <c r="W324" s="108" t="s">
        <v>9099</v>
      </c>
      <c r="X324" s="112">
        <v>4</v>
      </c>
      <c r="Y324" s="113"/>
      <c r="Z324" s="108" t="s">
        <v>47</v>
      </c>
      <c r="AA324" s="114"/>
      <c r="AB324" s="113"/>
      <c r="AC324" s="105" t="s">
        <v>890</v>
      </c>
      <c r="AD324" s="115" t="s">
        <v>107</v>
      </c>
    </row>
    <row r="325" spans="1:30" x14ac:dyDescent="0.2">
      <c r="A325" s="104" t="s">
        <v>891</v>
      </c>
      <c r="B325" s="105" t="s">
        <v>805</v>
      </c>
      <c r="C325" s="105" t="s">
        <v>571</v>
      </c>
      <c r="D325" s="106"/>
      <c r="E325" s="107"/>
      <c r="F325" s="108" t="s">
        <v>9100</v>
      </c>
      <c r="G325" s="109">
        <v>4</v>
      </c>
      <c r="H325" s="108" t="s">
        <v>9101</v>
      </c>
      <c r="I325" s="110">
        <v>3</v>
      </c>
      <c r="J325" s="113"/>
      <c r="K325" s="108" t="s">
        <v>9101</v>
      </c>
      <c r="L325" s="110">
        <v>3</v>
      </c>
      <c r="M325" s="113"/>
      <c r="N325" s="108" t="s">
        <v>9100</v>
      </c>
      <c r="O325" s="112">
        <v>4</v>
      </c>
      <c r="P325" s="113"/>
      <c r="Q325" s="108" t="s">
        <v>9102</v>
      </c>
      <c r="R325" s="112">
        <v>4</v>
      </c>
      <c r="S325" s="113"/>
      <c r="T325" s="108" t="s">
        <v>9103</v>
      </c>
      <c r="U325" s="112">
        <v>4</v>
      </c>
      <c r="V325" s="113"/>
      <c r="W325" s="108" t="s">
        <v>9104</v>
      </c>
      <c r="X325" s="112">
        <v>4</v>
      </c>
      <c r="Y325" s="113"/>
      <c r="Z325" s="108" t="s">
        <v>47</v>
      </c>
      <c r="AA325" s="114"/>
      <c r="AB325" s="113"/>
      <c r="AC325" s="105" t="s">
        <v>892</v>
      </c>
      <c r="AD325" s="115" t="s">
        <v>107</v>
      </c>
    </row>
    <row r="326" spans="1:30" x14ac:dyDescent="0.2">
      <c r="A326" s="104" t="s">
        <v>893</v>
      </c>
      <c r="B326" s="105" t="s">
        <v>805</v>
      </c>
      <c r="C326" s="105" t="s">
        <v>571</v>
      </c>
      <c r="D326" s="106"/>
      <c r="E326" s="107"/>
      <c r="F326" s="108" t="s">
        <v>9105</v>
      </c>
      <c r="G326" s="109">
        <v>4</v>
      </c>
      <c r="H326" s="108" t="s">
        <v>894</v>
      </c>
      <c r="I326" s="112">
        <v>4</v>
      </c>
      <c r="J326" s="113"/>
      <c r="K326" s="108" t="s">
        <v>894</v>
      </c>
      <c r="L326" s="112">
        <v>4</v>
      </c>
      <c r="M326" s="113"/>
      <c r="N326" s="108" t="s">
        <v>9105</v>
      </c>
      <c r="O326" s="112">
        <v>4</v>
      </c>
      <c r="P326" s="113"/>
      <c r="Q326" s="108" t="s">
        <v>9106</v>
      </c>
      <c r="R326" s="112">
        <v>4</v>
      </c>
      <c r="S326" s="113"/>
      <c r="T326" s="108" t="s">
        <v>9107</v>
      </c>
      <c r="U326" s="112">
        <v>4</v>
      </c>
      <c r="V326" s="113"/>
      <c r="W326" s="108" t="s">
        <v>9108</v>
      </c>
      <c r="X326" s="112">
        <v>4</v>
      </c>
      <c r="Y326" s="113"/>
      <c r="Z326" s="108" t="s">
        <v>47</v>
      </c>
      <c r="AA326" s="114"/>
      <c r="AB326" s="113"/>
      <c r="AC326" s="105" t="s">
        <v>895</v>
      </c>
      <c r="AD326" s="115" t="s">
        <v>107</v>
      </c>
    </row>
    <row r="327" spans="1:30" x14ac:dyDescent="0.2">
      <c r="A327" s="104" t="s">
        <v>896</v>
      </c>
      <c r="B327" s="105" t="s">
        <v>805</v>
      </c>
      <c r="C327" s="105" t="s">
        <v>571</v>
      </c>
      <c r="D327" s="106"/>
      <c r="E327" s="107"/>
      <c r="F327" s="108" t="s">
        <v>47</v>
      </c>
      <c r="G327" s="113"/>
      <c r="H327" s="108" t="s">
        <v>897</v>
      </c>
      <c r="I327" s="112">
        <v>4</v>
      </c>
      <c r="J327" s="113"/>
      <c r="K327" s="108" t="s">
        <v>897</v>
      </c>
      <c r="L327" s="112">
        <v>4</v>
      </c>
      <c r="M327" s="113"/>
      <c r="N327" s="108" t="s">
        <v>47</v>
      </c>
      <c r="O327" s="114"/>
      <c r="P327" s="113"/>
      <c r="Q327" s="108" t="s">
        <v>47</v>
      </c>
      <c r="R327" s="114"/>
      <c r="S327" s="113"/>
      <c r="T327" s="108" t="s">
        <v>47</v>
      </c>
      <c r="U327" s="114"/>
      <c r="V327" s="113"/>
      <c r="W327" s="108" t="s">
        <v>47</v>
      </c>
      <c r="X327" s="114"/>
      <c r="Y327" s="113"/>
      <c r="Z327" s="108" t="s">
        <v>47</v>
      </c>
      <c r="AA327" s="114"/>
      <c r="AB327" s="113"/>
      <c r="AC327" s="105" t="s">
        <v>898</v>
      </c>
      <c r="AD327" s="115" t="s">
        <v>107</v>
      </c>
    </row>
    <row r="328" spans="1:30" x14ac:dyDescent="0.2">
      <c r="A328" s="104" t="s">
        <v>899</v>
      </c>
      <c r="B328" s="105" t="s">
        <v>805</v>
      </c>
      <c r="C328" s="105" t="s">
        <v>571</v>
      </c>
      <c r="D328" s="106"/>
      <c r="E328" s="107"/>
      <c r="F328" s="108" t="s">
        <v>9109</v>
      </c>
      <c r="G328" s="109">
        <v>4</v>
      </c>
      <c r="H328" s="108" t="s">
        <v>900</v>
      </c>
      <c r="I328" s="112">
        <v>4</v>
      </c>
      <c r="J328" s="113"/>
      <c r="K328" s="108" t="s">
        <v>901</v>
      </c>
      <c r="L328" s="112">
        <v>4</v>
      </c>
      <c r="M328" s="113"/>
      <c r="N328" s="108" t="s">
        <v>9109</v>
      </c>
      <c r="O328" s="112">
        <v>4</v>
      </c>
      <c r="P328" s="113"/>
      <c r="Q328" s="108" t="s">
        <v>9110</v>
      </c>
      <c r="R328" s="112">
        <v>4</v>
      </c>
      <c r="S328" s="113"/>
      <c r="T328" s="108" t="s">
        <v>9111</v>
      </c>
      <c r="U328" s="110">
        <v>3</v>
      </c>
      <c r="V328" s="113"/>
      <c r="W328" s="108" t="s">
        <v>9112</v>
      </c>
      <c r="X328" s="112">
        <v>4</v>
      </c>
      <c r="Y328" s="113"/>
      <c r="Z328" s="108" t="s">
        <v>47</v>
      </c>
      <c r="AA328" s="114"/>
      <c r="AB328" s="113"/>
      <c r="AC328" s="105" t="s">
        <v>902</v>
      </c>
      <c r="AD328" s="115" t="s">
        <v>107</v>
      </c>
    </row>
    <row r="329" spans="1:30" x14ac:dyDescent="0.2">
      <c r="A329" s="104" t="s">
        <v>903</v>
      </c>
      <c r="B329" s="105" t="s">
        <v>805</v>
      </c>
      <c r="C329" s="105" t="s">
        <v>571</v>
      </c>
      <c r="D329" s="106"/>
      <c r="E329" s="107"/>
      <c r="F329" s="108" t="s">
        <v>47</v>
      </c>
      <c r="G329" s="113"/>
      <c r="H329" s="108" t="s">
        <v>47</v>
      </c>
      <c r="I329" s="114"/>
      <c r="J329" s="113"/>
      <c r="K329" s="108" t="s">
        <v>47</v>
      </c>
      <c r="L329" s="114"/>
      <c r="M329" s="113"/>
      <c r="N329" s="108" t="s">
        <v>47</v>
      </c>
      <c r="O329" s="114"/>
      <c r="P329" s="113"/>
      <c r="Q329" s="108" t="s">
        <v>47</v>
      </c>
      <c r="R329" s="114"/>
      <c r="S329" s="113"/>
      <c r="T329" s="108" t="s">
        <v>47</v>
      </c>
      <c r="U329" s="114"/>
      <c r="V329" s="113"/>
      <c r="W329" s="108" t="s">
        <v>47</v>
      </c>
      <c r="X329" s="114"/>
      <c r="Y329" s="113"/>
      <c r="Z329" s="108" t="s">
        <v>47</v>
      </c>
      <c r="AA329" s="114"/>
      <c r="AB329" s="113"/>
      <c r="AC329" s="105" t="s">
        <v>904</v>
      </c>
      <c r="AD329" s="115" t="s">
        <v>107</v>
      </c>
    </row>
    <row r="330" spans="1:30" x14ac:dyDescent="0.2">
      <c r="A330" s="104" t="s">
        <v>905</v>
      </c>
      <c r="B330" s="105" t="s">
        <v>805</v>
      </c>
      <c r="C330" s="105" t="s">
        <v>571</v>
      </c>
      <c r="D330" s="106"/>
      <c r="E330" s="107"/>
      <c r="F330" s="108" t="s">
        <v>906</v>
      </c>
      <c r="G330" s="109">
        <v>4</v>
      </c>
      <c r="H330" s="108" t="s">
        <v>9113</v>
      </c>
      <c r="I330" s="112">
        <v>4</v>
      </c>
      <c r="J330" s="113"/>
      <c r="K330" s="108" t="s">
        <v>9114</v>
      </c>
      <c r="L330" s="112">
        <v>4</v>
      </c>
      <c r="M330" s="113"/>
      <c r="N330" s="108" t="s">
        <v>906</v>
      </c>
      <c r="O330" s="112">
        <v>4</v>
      </c>
      <c r="P330" s="113"/>
      <c r="Q330" s="108" t="s">
        <v>907</v>
      </c>
      <c r="R330" s="112">
        <v>4</v>
      </c>
      <c r="S330" s="113"/>
      <c r="T330" s="108" t="s">
        <v>9115</v>
      </c>
      <c r="U330" s="117">
        <v>2</v>
      </c>
      <c r="V330" s="113"/>
      <c r="W330" s="108" t="s">
        <v>9116</v>
      </c>
      <c r="X330" s="110">
        <v>3</v>
      </c>
      <c r="Y330" s="113"/>
      <c r="Z330" s="108" t="s">
        <v>9117</v>
      </c>
      <c r="AA330" s="110">
        <v>3</v>
      </c>
      <c r="AB330" s="113"/>
      <c r="AC330" s="105" t="s">
        <v>908</v>
      </c>
      <c r="AD330" s="115" t="s">
        <v>107</v>
      </c>
    </row>
    <row r="331" spans="1:30" x14ac:dyDescent="0.2">
      <c r="A331" s="104" t="s">
        <v>909</v>
      </c>
      <c r="B331" s="105" t="s">
        <v>805</v>
      </c>
      <c r="C331" s="105" t="s">
        <v>571</v>
      </c>
      <c r="D331" s="106"/>
      <c r="E331" s="107"/>
      <c r="F331" s="108" t="s">
        <v>9118</v>
      </c>
      <c r="G331" s="109">
        <v>4</v>
      </c>
      <c r="H331" s="108" t="s">
        <v>9119</v>
      </c>
      <c r="I331" s="112">
        <v>4</v>
      </c>
      <c r="J331" s="113"/>
      <c r="K331" s="108" t="s">
        <v>9120</v>
      </c>
      <c r="L331" s="112">
        <v>4</v>
      </c>
      <c r="M331" s="113"/>
      <c r="N331" s="108" t="s">
        <v>9118</v>
      </c>
      <c r="O331" s="112">
        <v>4</v>
      </c>
      <c r="P331" s="113"/>
      <c r="Q331" s="108" t="s">
        <v>9121</v>
      </c>
      <c r="R331" s="112">
        <v>4</v>
      </c>
      <c r="S331" s="113"/>
      <c r="T331" s="108" t="s">
        <v>9122</v>
      </c>
      <c r="U331" s="117">
        <v>2</v>
      </c>
      <c r="V331" s="113"/>
      <c r="W331" s="108" t="s">
        <v>9123</v>
      </c>
      <c r="X331" s="110">
        <v>3</v>
      </c>
      <c r="Y331" s="113"/>
      <c r="Z331" s="108" t="s">
        <v>9124</v>
      </c>
      <c r="AA331" s="110">
        <v>3</v>
      </c>
      <c r="AB331" s="113"/>
      <c r="AC331" s="105" t="s">
        <v>910</v>
      </c>
      <c r="AD331" s="115" t="s">
        <v>107</v>
      </c>
    </row>
    <row r="332" spans="1:30" x14ac:dyDescent="0.2">
      <c r="A332" s="104" t="s">
        <v>911</v>
      </c>
      <c r="B332" s="105" t="s">
        <v>805</v>
      </c>
      <c r="C332" s="105" t="s">
        <v>571</v>
      </c>
      <c r="D332" s="106"/>
      <c r="E332" s="107"/>
      <c r="F332" s="108" t="s">
        <v>9125</v>
      </c>
      <c r="G332" s="109">
        <v>4</v>
      </c>
      <c r="H332" s="108" t="s">
        <v>912</v>
      </c>
      <c r="I332" s="110">
        <v>3</v>
      </c>
      <c r="J332" s="113"/>
      <c r="K332" s="108" t="s">
        <v>912</v>
      </c>
      <c r="L332" s="110">
        <v>3</v>
      </c>
      <c r="M332" s="113"/>
      <c r="N332" s="108" t="s">
        <v>9125</v>
      </c>
      <c r="O332" s="112">
        <v>4</v>
      </c>
      <c r="P332" s="113"/>
      <c r="Q332" s="108" t="s">
        <v>913</v>
      </c>
      <c r="R332" s="112">
        <v>4</v>
      </c>
      <c r="S332" s="113"/>
      <c r="T332" s="108" t="s">
        <v>9126</v>
      </c>
      <c r="U332" s="112">
        <v>4</v>
      </c>
      <c r="V332" s="113"/>
      <c r="W332" s="108" t="s">
        <v>9127</v>
      </c>
      <c r="X332" s="112">
        <v>4</v>
      </c>
      <c r="Y332" s="113"/>
      <c r="Z332" s="108" t="s">
        <v>47</v>
      </c>
      <c r="AA332" s="114"/>
      <c r="AB332" s="113"/>
      <c r="AC332" s="105" t="s">
        <v>914</v>
      </c>
      <c r="AD332" s="115" t="s">
        <v>107</v>
      </c>
    </row>
    <row r="333" spans="1:30" x14ac:dyDescent="0.2">
      <c r="A333" s="104" t="s">
        <v>915</v>
      </c>
      <c r="B333" s="105" t="s">
        <v>805</v>
      </c>
      <c r="C333" s="105" t="s">
        <v>571</v>
      </c>
      <c r="D333" s="106"/>
      <c r="E333" s="107"/>
      <c r="F333" s="108" t="s">
        <v>9128</v>
      </c>
      <c r="G333" s="109">
        <v>4</v>
      </c>
      <c r="H333" s="108" t="s">
        <v>9088</v>
      </c>
      <c r="I333" s="112">
        <v>4</v>
      </c>
      <c r="J333" s="113"/>
      <c r="K333" s="108" t="s">
        <v>9129</v>
      </c>
      <c r="L333" s="112">
        <v>4</v>
      </c>
      <c r="M333" s="113"/>
      <c r="N333" s="108" t="s">
        <v>9128</v>
      </c>
      <c r="O333" s="112">
        <v>4</v>
      </c>
      <c r="P333" s="113"/>
      <c r="Q333" s="108" t="s">
        <v>9130</v>
      </c>
      <c r="R333" s="112">
        <v>4</v>
      </c>
      <c r="S333" s="113"/>
      <c r="T333" s="108" t="s">
        <v>9131</v>
      </c>
      <c r="U333" s="117">
        <v>2</v>
      </c>
      <c r="V333" s="113"/>
      <c r="W333" s="108" t="s">
        <v>8567</v>
      </c>
      <c r="X333" s="112">
        <v>4</v>
      </c>
      <c r="Y333" s="113"/>
      <c r="Z333" s="108" t="s">
        <v>47</v>
      </c>
      <c r="AA333" s="114"/>
      <c r="AB333" s="113"/>
      <c r="AC333" s="105" t="s">
        <v>916</v>
      </c>
      <c r="AD333" s="115" t="s">
        <v>107</v>
      </c>
    </row>
    <row r="334" spans="1:30" x14ac:dyDescent="0.2">
      <c r="A334" s="104" t="s">
        <v>917</v>
      </c>
      <c r="B334" s="105" t="s">
        <v>805</v>
      </c>
      <c r="C334" s="105" t="s">
        <v>571</v>
      </c>
      <c r="D334" s="106"/>
      <c r="E334" s="107"/>
      <c r="F334" s="108" t="s">
        <v>9132</v>
      </c>
      <c r="G334" s="109">
        <v>4</v>
      </c>
      <c r="H334" s="108" t="s">
        <v>9120</v>
      </c>
      <c r="I334" s="112">
        <v>4</v>
      </c>
      <c r="J334" s="113"/>
      <c r="K334" s="108" t="s">
        <v>918</v>
      </c>
      <c r="L334" s="112">
        <v>4</v>
      </c>
      <c r="M334" s="113"/>
      <c r="N334" s="108" t="s">
        <v>9132</v>
      </c>
      <c r="O334" s="112">
        <v>4</v>
      </c>
      <c r="P334" s="113"/>
      <c r="Q334" s="108" t="s">
        <v>9133</v>
      </c>
      <c r="R334" s="112">
        <v>4</v>
      </c>
      <c r="S334" s="113"/>
      <c r="T334" s="108" t="s">
        <v>9134</v>
      </c>
      <c r="U334" s="117">
        <v>2</v>
      </c>
      <c r="V334" s="113"/>
      <c r="W334" s="108" t="s">
        <v>9135</v>
      </c>
      <c r="X334" s="112">
        <v>4</v>
      </c>
      <c r="Y334" s="113"/>
      <c r="Z334" s="108" t="s">
        <v>9136</v>
      </c>
      <c r="AA334" s="112">
        <v>4</v>
      </c>
      <c r="AB334" s="113"/>
      <c r="AC334" s="105" t="s">
        <v>919</v>
      </c>
      <c r="AD334" s="115" t="s">
        <v>107</v>
      </c>
    </row>
    <row r="335" spans="1:30" x14ac:dyDescent="0.2">
      <c r="A335" s="104" t="s">
        <v>920</v>
      </c>
      <c r="B335" s="105" t="s">
        <v>805</v>
      </c>
      <c r="C335" s="105" t="s">
        <v>571</v>
      </c>
      <c r="D335" s="106"/>
      <c r="E335" s="107"/>
      <c r="F335" s="108" t="s">
        <v>9137</v>
      </c>
      <c r="G335" s="109">
        <v>4</v>
      </c>
      <c r="H335" s="108" t="s">
        <v>9138</v>
      </c>
      <c r="I335" s="110">
        <v>3</v>
      </c>
      <c r="J335" s="113"/>
      <c r="K335" s="108" t="s">
        <v>9139</v>
      </c>
      <c r="L335" s="112">
        <v>4</v>
      </c>
      <c r="M335" s="113"/>
      <c r="N335" s="108" t="s">
        <v>9137</v>
      </c>
      <c r="O335" s="112">
        <v>4</v>
      </c>
      <c r="P335" s="113"/>
      <c r="Q335" s="108" t="s">
        <v>9140</v>
      </c>
      <c r="R335" s="112">
        <v>4</v>
      </c>
      <c r="S335" s="111" t="s">
        <v>46</v>
      </c>
      <c r="T335" s="108" t="s">
        <v>9141</v>
      </c>
      <c r="U335" s="112">
        <v>4</v>
      </c>
      <c r="V335" s="113"/>
      <c r="W335" s="108" t="s">
        <v>47</v>
      </c>
      <c r="X335" s="114"/>
      <c r="Y335" s="113"/>
      <c r="Z335" s="108" t="s">
        <v>47</v>
      </c>
      <c r="AA335" s="114"/>
      <c r="AB335" s="113"/>
      <c r="AC335" s="105" t="s">
        <v>921</v>
      </c>
      <c r="AD335" s="115" t="s">
        <v>107</v>
      </c>
    </row>
    <row r="336" spans="1:30" x14ac:dyDescent="0.2">
      <c r="A336" s="104" t="s">
        <v>922</v>
      </c>
      <c r="B336" s="105" t="s">
        <v>805</v>
      </c>
      <c r="C336" s="105" t="s">
        <v>571</v>
      </c>
      <c r="D336" s="106"/>
      <c r="E336" s="107"/>
      <c r="F336" s="108" t="s">
        <v>9142</v>
      </c>
      <c r="G336" s="109">
        <v>4</v>
      </c>
      <c r="H336" s="108" t="s">
        <v>9143</v>
      </c>
      <c r="I336" s="110">
        <v>3</v>
      </c>
      <c r="J336" s="113"/>
      <c r="K336" s="108" t="s">
        <v>9144</v>
      </c>
      <c r="L336" s="110">
        <v>3</v>
      </c>
      <c r="M336" s="113"/>
      <c r="N336" s="108" t="s">
        <v>9142</v>
      </c>
      <c r="O336" s="112">
        <v>4</v>
      </c>
      <c r="P336" s="113"/>
      <c r="Q336" s="108" t="s">
        <v>923</v>
      </c>
      <c r="R336" s="110">
        <v>3</v>
      </c>
      <c r="S336" s="111" t="s">
        <v>40</v>
      </c>
      <c r="T336" s="108" t="s">
        <v>9145</v>
      </c>
      <c r="U336" s="112">
        <v>4</v>
      </c>
      <c r="V336" s="113"/>
      <c r="W336" s="108" t="s">
        <v>9146</v>
      </c>
      <c r="X336" s="112">
        <v>4</v>
      </c>
      <c r="Y336" s="113"/>
      <c r="Z336" s="108" t="s">
        <v>47</v>
      </c>
      <c r="AA336" s="114"/>
      <c r="AB336" s="113"/>
      <c r="AC336" s="105" t="s">
        <v>924</v>
      </c>
      <c r="AD336" s="115" t="s">
        <v>107</v>
      </c>
    </row>
    <row r="337" spans="1:30" x14ac:dyDescent="0.2">
      <c r="A337" s="104" t="s">
        <v>925</v>
      </c>
      <c r="B337" s="105" t="s">
        <v>805</v>
      </c>
      <c r="C337" s="105" t="s">
        <v>571</v>
      </c>
      <c r="D337" s="106"/>
      <c r="E337" s="107"/>
      <c r="F337" s="108" t="s">
        <v>9147</v>
      </c>
      <c r="G337" s="109">
        <v>4</v>
      </c>
      <c r="H337" s="108" t="s">
        <v>9091</v>
      </c>
      <c r="I337" s="112">
        <v>4</v>
      </c>
      <c r="J337" s="113"/>
      <c r="K337" s="108" t="s">
        <v>926</v>
      </c>
      <c r="L337" s="112">
        <v>4</v>
      </c>
      <c r="M337" s="113"/>
      <c r="N337" s="108" t="s">
        <v>9147</v>
      </c>
      <c r="O337" s="112">
        <v>4</v>
      </c>
      <c r="P337" s="113"/>
      <c r="Q337" s="108" t="s">
        <v>9148</v>
      </c>
      <c r="R337" s="112">
        <v>4</v>
      </c>
      <c r="S337" s="113"/>
      <c r="T337" s="108" t="s">
        <v>9149</v>
      </c>
      <c r="U337" s="112">
        <v>4</v>
      </c>
      <c r="V337" s="113"/>
      <c r="W337" s="108" t="s">
        <v>9150</v>
      </c>
      <c r="X337" s="112">
        <v>4</v>
      </c>
      <c r="Y337" s="113"/>
      <c r="Z337" s="108" t="s">
        <v>47</v>
      </c>
      <c r="AA337" s="114"/>
      <c r="AB337" s="113"/>
      <c r="AC337" s="105" t="s">
        <v>927</v>
      </c>
      <c r="AD337" s="115" t="s">
        <v>107</v>
      </c>
    </row>
    <row r="338" spans="1:30" x14ac:dyDescent="0.2">
      <c r="A338" s="104" t="s">
        <v>928</v>
      </c>
      <c r="B338" s="105" t="s">
        <v>805</v>
      </c>
      <c r="C338" s="105" t="s">
        <v>571</v>
      </c>
      <c r="D338" s="106"/>
      <c r="E338" s="107"/>
      <c r="F338" s="108" t="s">
        <v>9151</v>
      </c>
      <c r="G338" s="109">
        <v>4</v>
      </c>
      <c r="H338" s="108" t="s">
        <v>9152</v>
      </c>
      <c r="I338" s="112">
        <v>4</v>
      </c>
      <c r="J338" s="113"/>
      <c r="K338" s="108" t="s">
        <v>9153</v>
      </c>
      <c r="L338" s="112">
        <v>4</v>
      </c>
      <c r="M338" s="113"/>
      <c r="N338" s="108" t="s">
        <v>9151</v>
      </c>
      <c r="O338" s="112">
        <v>4</v>
      </c>
      <c r="P338" s="113"/>
      <c r="Q338" s="108" t="s">
        <v>9154</v>
      </c>
      <c r="R338" s="112">
        <v>4</v>
      </c>
      <c r="S338" s="113"/>
      <c r="T338" s="108" t="s">
        <v>9155</v>
      </c>
      <c r="U338" s="112">
        <v>4</v>
      </c>
      <c r="V338" s="113"/>
      <c r="W338" s="108" t="s">
        <v>929</v>
      </c>
      <c r="X338" s="112">
        <v>4</v>
      </c>
      <c r="Y338" s="113"/>
      <c r="Z338" s="108" t="s">
        <v>47</v>
      </c>
      <c r="AA338" s="114"/>
      <c r="AB338" s="113"/>
      <c r="AC338" s="105" t="s">
        <v>930</v>
      </c>
      <c r="AD338" s="115" t="s">
        <v>107</v>
      </c>
    </row>
    <row r="339" spans="1:30" x14ac:dyDescent="0.2">
      <c r="A339" s="104" t="s">
        <v>931</v>
      </c>
      <c r="B339" s="105" t="s">
        <v>805</v>
      </c>
      <c r="C339" s="105" t="s">
        <v>571</v>
      </c>
      <c r="D339" s="106"/>
      <c r="E339" s="107"/>
      <c r="F339" s="108" t="s">
        <v>47</v>
      </c>
      <c r="G339" s="113"/>
      <c r="H339" s="108" t="s">
        <v>47</v>
      </c>
      <c r="I339" s="114"/>
      <c r="J339" s="113"/>
      <c r="K339" s="108" t="s">
        <v>47</v>
      </c>
      <c r="L339" s="114"/>
      <c r="M339" s="113"/>
      <c r="N339" s="108" t="s">
        <v>47</v>
      </c>
      <c r="O339" s="114"/>
      <c r="P339" s="113"/>
      <c r="Q339" s="108" t="s">
        <v>47</v>
      </c>
      <c r="R339" s="114"/>
      <c r="S339" s="113"/>
      <c r="T339" s="108" t="s">
        <v>47</v>
      </c>
      <c r="U339" s="114"/>
      <c r="V339" s="113"/>
      <c r="W339" s="108" t="s">
        <v>47</v>
      </c>
      <c r="X339" s="114"/>
      <c r="Y339" s="113"/>
      <c r="Z339" s="108" t="s">
        <v>47</v>
      </c>
      <c r="AA339" s="114"/>
      <c r="AB339" s="113"/>
      <c r="AC339" s="105" t="s">
        <v>932</v>
      </c>
      <c r="AD339" s="115" t="s">
        <v>107</v>
      </c>
    </row>
    <row r="340" spans="1:30" x14ac:dyDescent="0.2">
      <c r="A340" s="104" t="s">
        <v>933</v>
      </c>
      <c r="B340" s="105" t="s">
        <v>805</v>
      </c>
      <c r="C340" s="105" t="s">
        <v>571</v>
      </c>
      <c r="D340" s="106"/>
      <c r="E340" s="107"/>
      <c r="F340" s="108" t="s">
        <v>9156</v>
      </c>
      <c r="G340" s="109">
        <v>4</v>
      </c>
      <c r="H340" s="108" t="s">
        <v>9157</v>
      </c>
      <c r="I340" s="112">
        <v>4</v>
      </c>
      <c r="J340" s="113"/>
      <c r="K340" s="108" t="s">
        <v>9081</v>
      </c>
      <c r="L340" s="112">
        <v>4</v>
      </c>
      <c r="M340" s="113"/>
      <c r="N340" s="108" t="s">
        <v>9156</v>
      </c>
      <c r="O340" s="112">
        <v>4</v>
      </c>
      <c r="P340" s="113"/>
      <c r="Q340" s="108" t="s">
        <v>9158</v>
      </c>
      <c r="R340" s="112">
        <v>4</v>
      </c>
      <c r="S340" s="113"/>
      <c r="T340" s="108" t="s">
        <v>9159</v>
      </c>
      <c r="U340" s="116">
        <v>1</v>
      </c>
      <c r="V340" s="113"/>
      <c r="W340" s="108" t="s">
        <v>9160</v>
      </c>
      <c r="X340" s="110">
        <v>3</v>
      </c>
      <c r="Y340" s="113"/>
      <c r="Z340" s="108" t="s">
        <v>934</v>
      </c>
      <c r="AA340" s="110">
        <v>3</v>
      </c>
      <c r="AB340" s="113"/>
      <c r="AC340" s="105" t="s">
        <v>935</v>
      </c>
      <c r="AD340" s="115" t="s">
        <v>107</v>
      </c>
    </row>
    <row r="341" spans="1:30" x14ac:dyDescent="0.2">
      <c r="A341" s="104" t="s">
        <v>936</v>
      </c>
      <c r="B341" s="105" t="s">
        <v>805</v>
      </c>
      <c r="C341" s="105" t="s">
        <v>571</v>
      </c>
      <c r="D341" s="106"/>
      <c r="E341" s="107"/>
      <c r="F341" s="108" t="s">
        <v>9161</v>
      </c>
      <c r="G341" s="109">
        <v>4</v>
      </c>
      <c r="H341" s="108" t="s">
        <v>937</v>
      </c>
      <c r="I341" s="112">
        <v>4</v>
      </c>
      <c r="J341" s="113"/>
      <c r="K341" s="108" t="s">
        <v>9087</v>
      </c>
      <c r="L341" s="112">
        <v>4</v>
      </c>
      <c r="M341" s="113"/>
      <c r="N341" s="108" t="s">
        <v>9161</v>
      </c>
      <c r="O341" s="112">
        <v>4</v>
      </c>
      <c r="P341" s="113"/>
      <c r="Q341" s="108" t="s">
        <v>938</v>
      </c>
      <c r="R341" s="112">
        <v>4</v>
      </c>
      <c r="S341" s="113"/>
      <c r="T341" s="108" t="s">
        <v>9162</v>
      </c>
      <c r="U341" s="117">
        <v>2</v>
      </c>
      <c r="V341" s="113"/>
      <c r="W341" s="108" t="s">
        <v>9163</v>
      </c>
      <c r="X341" s="110">
        <v>3</v>
      </c>
      <c r="Y341" s="113"/>
      <c r="Z341" s="108" t="s">
        <v>47</v>
      </c>
      <c r="AA341" s="114"/>
      <c r="AB341" s="113"/>
      <c r="AC341" s="105" t="s">
        <v>939</v>
      </c>
      <c r="AD341" s="115" t="s">
        <v>107</v>
      </c>
    </row>
    <row r="342" spans="1:30" x14ac:dyDescent="0.2">
      <c r="A342" s="104" t="s">
        <v>940</v>
      </c>
      <c r="B342" s="105" t="s">
        <v>805</v>
      </c>
      <c r="C342" s="105" t="s">
        <v>571</v>
      </c>
      <c r="D342" s="106"/>
      <c r="E342" s="107"/>
      <c r="F342" s="108" t="s">
        <v>9164</v>
      </c>
      <c r="G342" s="109">
        <v>4</v>
      </c>
      <c r="H342" s="108" t="s">
        <v>9165</v>
      </c>
      <c r="I342" s="112">
        <v>4</v>
      </c>
      <c r="J342" s="113"/>
      <c r="K342" s="108" t="s">
        <v>9166</v>
      </c>
      <c r="L342" s="112">
        <v>4</v>
      </c>
      <c r="M342" s="113"/>
      <c r="N342" s="108" t="s">
        <v>9164</v>
      </c>
      <c r="O342" s="112">
        <v>4</v>
      </c>
      <c r="P342" s="113"/>
      <c r="Q342" s="108" t="s">
        <v>9167</v>
      </c>
      <c r="R342" s="112">
        <v>4</v>
      </c>
      <c r="S342" s="113"/>
      <c r="T342" s="108" t="s">
        <v>9168</v>
      </c>
      <c r="U342" s="117">
        <v>2</v>
      </c>
      <c r="V342" s="113"/>
      <c r="W342" s="108" t="s">
        <v>941</v>
      </c>
      <c r="X342" s="110">
        <v>3</v>
      </c>
      <c r="Y342" s="113"/>
      <c r="Z342" s="108" t="s">
        <v>47</v>
      </c>
      <c r="AA342" s="114"/>
      <c r="AB342" s="113"/>
      <c r="AC342" s="105" t="s">
        <v>942</v>
      </c>
      <c r="AD342" s="115" t="s">
        <v>107</v>
      </c>
    </row>
    <row r="343" spans="1:30" x14ac:dyDescent="0.2">
      <c r="A343" s="104" t="s">
        <v>943</v>
      </c>
      <c r="B343" s="105" t="s">
        <v>805</v>
      </c>
      <c r="C343" s="105" t="s">
        <v>571</v>
      </c>
      <c r="D343" s="106"/>
      <c r="E343" s="107"/>
      <c r="F343" s="108" t="s">
        <v>9169</v>
      </c>
      <c r="G343" s="109">
        <v>4</v>
      </c>
      <c r="H343" s="108" t="s">
        <v>901</v>
      </c>
      <c r="I343" s="112">
        <v>4</v>
      </c>
      <c r="J343" s="113"/>
      <c r="K343" s="108" t="s">
        <v>9119</v>
      </c>
      <c r="L343" s="112">
        <v>4</v>
      </c>
      <c r="M343" s="113"/>
      <c r="N343" s="108" t="s">
        <v>9169</v>
      </c>
      <c r="O343" s="112">
        <v>4</v>
      </c>
      <c r="P343" s="113"/>
      <c r="Q343" s="108" t="s">
        <v>9170</v>
      </c>
      <c r="R343" s="112">
        <v>4</v>
      </c>
      <c r="S343" s="113"/>
      <c r="T343" s="108" t="s">
        <v>9171</v>
      </c>
      <c r="U343" s="117">
        <v>2</v>
      </c>
      <c r="V343" s="113"/>
      <c r="W343" s="108" t="s">
        <v>47</v>
      </c>
      <c r="X343" s="114"/>
      <c r="Y343" s="113"/>
      <c r="Z343" s="108" t="s">
        <v>47</v>
      </c>
      <c r="AA343" s="114"/>
      <c r="AB343" s="113"/>
      <c r="AC343" s="105" t="s">
        <v>944</v>
      </c>
      <c r="AD343" s="115" t="s">
        <v>107</v>
      </c>
    </row>
    <row r="344" spans="1:30" x14ac:dyDescent="0.2">
      <c r="A344" s="104" t="s">
        <v>945</v>
      </c>
      <c r="B344" s="105" t="s">
        <v>805</v>
      </c>
      <c r="C344" s="105" t="s">
        <v>571</v>
      </c>
      <c r="D344" s="106"/>
      <c r="E344" s="107"/>
      <c r="F344" s="108" t="s">
        <v>946</v>
      </c>
      <c r="G344" s="109">
        <v>4</v>
      </c>
      <c r="H344" s="108" t="s">
        <v>9144</v>
      </c>
      <c r="I344" s="110">
        <v>3</v>
      </c>
      <c r="J344" s="113"/>
      <c r="K344" s="108" t="s">
        <v>9172</v>
      </c>
      <c r="L344" s="110">
        <v>3</v>
      </c>
      <c r="M344" s="113"/>
      <c r="N344" s="108" t="s">
        <v>946</v>
      </c>
      <c r="O344" s="112">
        <v>4</v>
      </c>
      <c r="P344" s="113"/>
      <c r="Q344" s="108" t="s">
        <v>9173</v>
      </c>
      <c r="R344" s="110">
        <v>3</v>
      </c>
      <c r="S344" s="111" t="s">
        <v>40</v>
      </c>
      <c r="T344" s="108" t="s">
        <v>9174</v>
      </c>
      <c r="U344" s="112">
        <v>4</v>
      </c>
      <c r="V344" s="113"/>
      <c r="W344" s="108" t="s">
        <v>9175</v>
      </c>
      <c r="X344" s="112">
        <v>4</v>
      </c>
      <c r="Y344" s="113"/>
      <c r="Z344" s="108" t="s">
        <v>47</v>
      </c>
      <c r="AA344" s="114"/>
      <c r="AB344" s="113"/>
      <c r="AC344" s="105" t="s">
        <v>947</v>
      </c>
      <c r="AD344" s="115" t="s">
        <v>107</v>
      </c>
    </row>
    <row r="345" spans="1:30" x14ac:dyDescent="0.2">
      <c r="A345" s="104" t="s">
        <v>948</v>
      </c>
      <c r="B345" s="105" t="s">
        <v>805</v>
      </c>
      <c r="C345" s="105" t="s">
        <v>571</v>
      </c>
      <c r="D345" s="106"/>
      <c r="E345" s="107"/>
      <c r="F345" s="108" t="s">
        <v>9176</v>
      </c>
      <c r="G345" s="109">
        <v>4</v>
      </c>
      <c r="H345" s="108" t="s">
        <v>9153</v>
      </c>
      <c r="I345" s="112">
        <v>4</v>
      </c>
      <c r="J345" s="113"/>
      <c r="K345" s="108" t="s">
        <v>9152</v>
      </c>
      <c r="L345" s="112">
        <v>4</v>
      </c>
      <c r="M345" s="113"/>
      <c r="N345" s="108" t="s">
        <v>9176</v>
      </c>
      <c r="O345" s="112">
        <v>4</v>
      </c>
      <c r="P345" s="113"/>
      <c r="Q345" s="108" t="s">
        <v>9177</v>
      </c>
      <c r="R345" s="112">
        <v>4</v>
      </c>
      <c r="S345" s="113"/>
      <c r="T345" s="108" t="s">
        <v>47</v>
      </c>
      <c r="U345" s="114"/>
      <c r="V345" s="113"/>
      <c r="W345" s="108" t="s">
        <v>47</v>
      </c>
      <c r="X345" s="114"/>
      <c r="Y345" s="113"/>
      <c r="Z345" s="108" t="s">
        <v>47</v>
      </c>
      <c r="AA345" s="114"/>
      <c r="AB345" s="113"/>
      <c r="AC345" s="105" t="s">
        <v>949</v>
      </c>
      <c r="AD345" s="115" t="s">
        <v>107</v>
      </c>
    </row>
    <row r="346" spans="1:30" x14ac:dyDescent="0.2">
      <c r="A346" s="104" t="s">
        <v>950</v>
      </c>
      <c r="B346" s="105" t="s">
        <v>805</v>
      </c>
      <c r="C346" s="105" t="s">
        <v>571</v>
      </c>
      <c r="D346" s="106"/>
      <c r="E346" s="107"/>
      <c r="F346" s="108" t="s">
        <v>9178</v>
      </c>
      <c r="G346" s="109">
        <v>4</v>
      </c>
      <c r="H346" s="108" t="s">
        <v>9179</v>
      </c>
      <c r="I346" s="112">
        <v>4</v>
      </c>
      <c r="J346" s="113"/>
      <c r="K346" s="108" t="s">
        <v>9113</v>
      </c>
      <c r="L346" s="112">
        <v>4</v>
      </c>
      <c r="M346" s="113"/>
      <c r="N346" s="108" t="s">
        <v>9178</v>
      </c>
      <c r="O346" s="112">
        <v>4</v>
      </c>
      <c r="P346" s="113"/>
      <c r="Q346" s="108" t="s">
        <v>9180</v>
      </c>
      <c r="R346" s="112">
        <v>4</v>
      </c>
      <c r="S346" s="113"/>
      <c r="T346" s="108" t="s">
        <v>9181</v>
      </c>
      <c r="U346" s="117">
        <v>2</v>
      </c>
      <c r="V346" s="113"/>
      <c r="W346" s="108" t="s">
        <v>9182</v>
      </c>
      <c r="X346" s="110">
        <v>3</v>
      </c>
      <c r="Y346" s="113"/>
      <c r="Z346" s="108" t="s">
        <v>951</v>
      </c>
      <c r="AA346" s="110">
        <v>3</v>
      </c>
      <c r="AB346" s="113"/>
      <c r="AC346" s="105" t="s">
        <v>952</v>
      </c>
      <c r="AD346" s="115" t="s">
        <v>107</v>
      </c>
    </row>
    <row r="347" spans="1:30" x14ac:dyDescent="0.2">
      <c r="A347" s="104" t="s">
        <v>953</v>
      </c>
      <c r="B347" s="105" t="s">
        <v>805</v>
      </c>
      <c r="C347" s="105" t="s">
        <v>571</v>
      </c>
      <c r="D347" s="106"/>
      <c r="E347" s="107"/>
      <c r="F347" s="108" t="s">
        <v>9183</v>
      </c>
      <c r="G347" s="109">
        <v>4</v>
      </c>
      <c r="H347" s="108" t="s">
        <v>9054</v>
      </c>
      <c r="I347" s="110">
        <v>3</v>
      </c>
      <c r="J347" s="113"/>
      <c r="K347" s="108" t="s">
        <v>9184</v>
      </c>
      <c r="L347" s="110">
        <v>3</v>
      </c>
      <c r="M347" s="113"/>
      <c r="N347" s="108" t="s">
        <v>9183</v>
      </c>
      <c r="O347" s="112">
        <v>4</v>
      </c>
      <c r="P347" s="113"/>
      <c r="Q347" s="108" t="s">
        <v>9185</v>
      </c>
      <c r="R347" s="112">
        <v>4</v>
      </c>
      <c r="S347" s="113"/>
      <c r="T347" s="108" t="s">
        <v>9186</v>
      </c>
      <c r="U347" s="112">
        <v>4</v>
      </c>
      <c r="V347" s="113"/>
      <c r="W347" s="108" t="s">
        <v>9187</v>
      </c>
      <c r="X347" s="112">
        <v>4</v>
      </c>
      <c r="Y347" s="113"/>
      <c r="Z347" s="108" t="s">
        <v>47</v>
      </c>
      <c r="AA347" s="114"/>
      <c r="AB347" s="113"/>
      <c r="AC347" s="105" t="s">
        <v>954</v>
      </c>
      <c r="AD347" s="115" t="s">
        <v>107</v>
      </c>
    </row>
    <row r="348" spans="1:30" x14ac:dyDescent="0.2">
      <c r="A348" s="104" t="s">
        <v>955</v>
      </c>
      <c r="B348" s="105" t="s">
        <v>805</v>
      </c>
      <c r="C348" s="105" t="s">
        <v>571</v>
      </c>
      <c r="D348" s="106"/>
      <c r="E348" s="107"/>
      <c r="F348" s="108" t="s">
        <v>9188</v>
      </c>
      <c r="G348" s="109">
        <v>4</v>
      </c>
      <c r="H348" s="108" t="s">
        <v>9166</v>
      </c>
      <c r="I348" s="112">
        <v>4</v>
      </c>
      <c r="J348" s="113"/>
      <c r="K348" s="108" t="s">
        <v>956</v>
      </c>
      <c r="L348" s="112">
        <v>4</v>
      </c>
      <c r="M348" s="113"/>
      <c r="N348" s="108" t="s">
        <v>9188</v>
      </c>
      <c r="O348" s="112">
        <v>4</v>
      </c>
      <c r="P348" s="113"/>
      <c r="Q348" s="108" t="s">
        <v>9189</v>
      </c>
      <c r="R348" s="112">
        <v>4</v>
      </c>
      <c r="S348" s="113"/>
      <c r="T348" s="108" t="s">
        <v>9190</v>
      </c>
      <c r="U348" s="117">
        <v>2</v>
      </c>
      <c r="V348" s="113"/>
      <c r="W348" s="108" t="s">
        <v>9191</v>
      </c>
      <c r="X348" s="110">
        <v>3</v>
      </c>
      <c r="Y348" s="111" t="s">
        <v>40</v>
      </c>
      <c r="Z348" s="108" t="s">
        <v>957</v>
      </c>
      <c r="AA348" s="112">
        <v>4</v>
      </c>
      <c r="AB348" s="113"/>
      <c r="AC348" s="105" t="s">
        <v>958</v>
      </c>
      <c r="AD348" s="115" t="s">
        <v>107</v>
      </c>
    </row>
    <row r="349" spans="1:30" x14ac:dyDescent="0.2">
      <c r="A349" s="104" t="s">
        <v>959</v>
      </c>
      <c r="B349" s="105" t="s">
        <v>805</v>
      </c>
      <c r="C349" s="105" t="s">
        <v>960</v>
      </c>
      <c r="D349" s="106" t="s">
        <v>125</v>
      </c>
      <c r="E349" s="107"/>
      <c r="F349" s="108" t="s">
        <v>9192</v>
      </c>
      <c r="G349" s="120">
        <v>2</v>
      </c>
      <c r="H349" s="108" t="s">
        <v>9193</v>
      </c>
      <c r="I349" s="116">
        <v>1</v>
      </c>
      <c r="J349" s="113"/>
      <c r="K349" s="108" t="s">
        <v>9194</v>
      </c>
      <c r="L349" s="116">
        <v>1</v>
      </c>
      <c r="M349" s="113"/>
      <c r="N349" s="108" t="s">
        <v>9192</v>
      </c>
      <c r="O349" s="117">
        <v>2</v>
      </c>
      <c r="P349" s="113"/>
      <c r="Q349" s="108" t="s">
        <v>961</v>
      </c>
      <c r="R349" s="110">
        <v>3</v>
      </c>
      <c r="S349" s="113"/>
      <c r="T349" s="108" t="s">
        <v>962</v>
      </c>
      <c r="U349" s="117">
        <v>2</v>
      </c>
      <c r="V349" s="113"/>
      <c r="W349" s="108" t="s">
        <v>47</v>
      </c>
      <c r="X349" s="114"/>
      <c r="Y349" s="113"/>
      <c r="Z349" s="108" t="s">
        <v>47</v>
      </c>
      <c r="AA349" s="114"/>
      <c r="AB349" s="113"/>
      <c r="AC349" s="105" t="s">
        <v>963</v>
      </c>
      <c r="AD349" s="115" t="s">
        <v>107</v>
      </c>
    </row>
    <row r="350" spans="1:30" x14ac:dyDescent="0.2">
      <c r="A350" s="104" t="s">
        <v>964</v>
      </c>
      <c r="B350" s="105" t="s">
        <v>805</v>
      </c>
      <c r="C350" s="105" t="s">
        <v>145</v>
      </c>
      <c r="D350" s="106"/>
      <c r="E350" s="107"/>
      <c r="F350" s="108" t="s">
        <v>9195</v>
      </c>
      <c r="G350" s="119">
        <v>1</v>
      </c>
      <c r="H350" s="108" t="s">
        <v>9196</v>
      </c>
      <c r="I350" s="116">
        <v>1</v>
      </c>
      <c r="J350" s="113"/>
      <c r="K350" s="108" t="s">
        <v>9197</v>
      </c>
      <c r="L350" s="116">
        <v>1</v>
      </c>
      <c r="M350" s="113"/>
      <c r="N350" s="108" t="s">
        <v>9195</v>
      </c>
      <c r="O350" s="116">
        <v>1</v>
      </c>
      <c r="P350" s="111" t="s">
        <v>40</v>
      </c>
      <c r="Q350" s="108" t="s">
        <v>9198</v>
      </c>
      <c r="R350" s="112">
        <v>4</v>
      </c>
      <c r="S350" s="113"/>
      <c r="T350" s="108" t="s">
        <v>47</v>
      </c>
      <c r="U350" s="114"/>
      <c r="V350" s="113"/>
      <c r="W350" s="108" t="s">
        <v>47</v>
      </c>
      <c r="X350" s="114"/>
      <c r="Y350" s="113"/>
      <c r="Z350" s="108" t="s">
        <v>47</v>
      </c>
      <c r="AA350" s="114"/>
      <c r="AB350" s="113"/>
      <c r="AC350" s="105" t="s">
        <v>965</v>
      </c>
      <c r="AD350" s="115" t="s">
        <v>107</v>
      </c>
    </row>
    <row r="351" spans="1:30" x14ac:dyDescent="0.2">
      <c r="A351" s="104" t="s">
        <v>966</v>
      </c>
      <c r="B351" s="105" t="s">
        <v>805</v>
      </c>
      <c r="C351" s="105" t="s">
        <v>145</v>
      </c>
      <c r="D351" s="106"/>
      <c r="E351" s="107"/>
      <c r="F351" s="108" t="s">
        <v>9199</v>
      </c>
      <c r="G351" s="119">
        <v>1</v>
      </c>
      <c r="H351" s="108" t="s">
        <v>9200</v>
      </c>
      <c r="I351" s="116">
        <v>1</v>
      </c>
      <c r="J351" s="113"/>
      <c r="K351" s="108" t="s">
        <v>9201</v>
      </c>
      <c r="L351" s="116">
        <v>1</v>
      </c>
      <c r="M351" s="113"/>
      <c r="N351" s="108" t="s">
        <v>9199</v>
      </c>
      <c r="O351" s="116">
        <v>1</v>
      </c>
      <c r="P351" s="111" t="s">
        <v>40</v>
      </c>
      <c r="Q351" s="108" t="s">
        <v>9202</v>
      </c>
      <c r="R351" s="112">
        <v>4</v>
      </c>
      <c r="S351" s="113"/>
      <c r="T351" s="108" t="s">
        <v>47</v>
      </c>
      <c r="U351" s="114"/>
      <c r="V351" s="113"/>
      <c r="W351" s="108" t="s">
        <v>47</v>
      </c>
      <c r="X351" s="114"/>
      <c r="Y351" s="113"/>
      <c r="Z351" s="108" t="s">
        <v>47</v>
      </c>
      <c r="AA351" s="114"/>
      <c r="AB351" s="113"/>
      <c r="AC351" s="105" t="s">
        <v>967</v>
      </c>
      <c r="AD351" s="115" t="s">
        <v>107</v>
      </c>
    </row>
    <row r="352" spans="1:30" x14ac:dyDescent="0.2">
      <c r="A352" s="104" t="s">
        <v>968</v>
      </c>
      <c r="B352" s="105" t="s">
        <v>805</v>
      </c>
      <c r="C352" s="105" t="s">
        <v>960</v>
      </c>
      <c r="D352" s="106"/>
      <c r="E352" s="107"/>
      <c r="F352" s="108" t="s">
        <v>9203</v>
      </c>
      <c r="G352" s="118">
        <v>3</v>
      </c>
      <c r="H352" s="108" t="s">
        <v>9204</v>
      </c>
      <c r="I352" s="116">
        <v>1</v>
      </c>
      <c r="J352" s="111" t="s">
        <v>40</v>
      </c>
      <c r="K352" s="108" t="s">
        <v>969</v>
      </c>
      <c r="L352" s="117">
        <v>2</v>
      </c>
      <c r="M352" s="113"/>
      <c r="N352" s="108" t="s">
        <v>9203</v>
      </c>
      <c r="O352" s="110">
        <v>3</v>
      </c>
      <c r="P352" s="113"/>
      <c r="Q352" s="108" t="s">
        <v>9205</v>
      </c>
      <c r="R352" s="112">
        <v>4</v>
      </c>
      <c r="S352" s="113"/>
      <c r="T352" s="108" t="s">
        <v>47</v>
      </c>
      <c r="U352" s="114"/>
      <c r="V352" s="113"/>
      <c r="W352" s="108" t="s">
        <v>47</v>
      </c>
      <c r="X352" s="114"/>
      <c r="Y352" s="113"/>
      <c r="Z352" s="108" t="s">
        <v>47</v>
      </c>
      <c r="AA352" s="114"/>
      <c r="AB352" s="113"/>
      <c r="AC352" s="105" t="s">
        <v>970</v>
      </c>
      <c r="AD352" s="115" t="s">
        <v>107</v>
      </c>
    </row>
    <row r="353" spans="1:30" x14ac:dyDescent="0.2">
      <c r="A353" s="104" t="s">
        <v>971</v>
      </c>
      <c r="B353" s="105" t="s">
        <v>805</v>
      </c>
      <c r="C353" s="105" t="s">
        <v>145</v>
      </c>
      <c r="D353" s="106"/>
      <c r="E353" s="107"/>
      <c r="F353" s="108" t="s">
        <v>9206</v>
      </c>
      <c r="G353" s="119">
        <v>1</v>
      </c>
      <c r="H353" s="108" t="s">
        <v>9207</v>
      </c>
      <c r="I353" s="116">
        <v>1</v>
      </c>
      <c r="J353" s="113"/>
      <c r="K353" s="108" t="s">
        <v>9208</v>
      </c>
      <c r="L353" s="116">
        <v>1</v>
      </c>
      <c r="M353" s="113"/>
      <c r="N353" s="108" t="s">
        <v>9206</v>
      </c>
      <c r="O353" s="116">
        <v>1</v>
      </c>
      <c r="P353" s="113"/>
      <c r="Q353" s="108" t="s">
        <v>9209</v>
      </c>
      <c r="R353" s="112">
        <v>4</v>
      </c>
      <c r="S353" s="111" t="s">
        <v>46</v>
      </c>
      <c r="T353" s="108" t="s">
        <v>47</v>
      </c>
      <c r="U353" s="114"/>
      <c r="V353" s="113"/>
      <c r="W353" s="108" t="s">
        <v>47</v>
      </c>
      <c r="X353" s="114"/>
      <c r="Y353" s="113"/>
      <c r="Z353" s="108" t="s">
        <v>47</v>
      </c>
      <c r="AA353" s="114"/>
      <c r="AB353" s="113"/>
      <c r="AC353" s="105" t="s">
        <v>972</v>
      </c>
      <c r="AD353" s="115" t="s">
        <v>107</v>
      </c>
    </row>
    <row r="354" spans="1:30" x14ac:dyDescent="0.2">
      <c r="A354" s="104" t="s">
        <v>973</v>
      </c>
      <c r="B354" s="105" t="s">
        <v>805</v>
      </c>
      <c r="C354" s="105" t="s">
        <v>960</v>
      </c>
      <c r="D354" s="106"/>
      <c r="E354" s="107"/>
      <c r="F354" s="108" t="s">
        <v>47</v>
      </c>
      <c r="G354" s="113"/>
      <c r="H354" s="108" t="s">
        <v>47</v>
      </c>
      <c r="I354" s="114"/>
      <c r="J354" s="113"/>
      <c r="K354" s="108" t="s">
        <v>47</v>
      </c>
      <c r="L354" s="114"/>
      <c r="M354" s="113"/>
      <c r="N354" s="108" t="s">
        <v>47</v>
      </c>
      <c r="O354" s="114"/>
      <c r="P354" s="113"/>
      <c r="Q354" s="108" t="s">
        <v>47</v>
      </c>
      <c r="R354" s="114"/>
      <c r="S354" s="113"/>
      <c r="T354" s="108" t="s">
        <v>47</v>
      </c>
      <c r="U354" s="114"/>
      <c r="V354" s="113"/>
      <c r="W354" s="108" t="s">
        <v>47</v>
      </c>
      <c r="X354" s="114"/>
      <c r="Y354" s="113"/>
      <c r="Z354" s="108" t="s">
        <v>47</v>
      </c>
      <c r="AA354" s="114"/>
      <c r="AB354" s="113"/>
      <c r="AC354" s="105" t="s">
        <v>974</v>
      </c>
      <c r="AD354" s="115" t="s">
        <v>107</v>
      </c>
    </row>
    <row r="355" spans="1:30" x14ac:dyDescent="0.2">
      <c r="A355" s="104" t="s">
        <v>975</v>
      </c>
      <c r="B355" s="105" t="s">
        <v>805</v>
      </c>
      <c r="C355" s="105" t="s">
        <v>145</v>
      </c>
      <c r="D355" s="106"/>
      <c r="E355" s="107"/>
      <c r="F355" s="108" t="s">
        <v>9210</v>
      </c>
      <c r="G355" s="119">
        <v>1</v>
      </c>
      <c r="H355" s="108" t="s">
        <v>9211</v>
      </c>
      <c r="I355" s="116">
        <v>1</v>
      </c>
      <c r="J355" s="113"/>
      <c r="K355" s="108" t="s">
        <v>9212</v>
      </c>
      <c r="L355" s="116">
        <v>1</v>
      </c>
      <c r="M355" s="113"/>
      <c r="N355" s="108" t="s">
        <v>9210</v>
      </c>
      <c r="O355" s="116">
        <v>1</v>
      </c>
      <c r="P355" s="113"/>
      <c r="Q355" s="108" t="s">
        <v>9213</v>
      </c>
      <c r="R355" s="112">
        <v>4</v>
      </c>
      <c r="S355" s="113"/>
      <c r="T355" s="108" t="s">
        <v>9214</v>
      </c>
      <c r="U355" s="112">
        <v>4</v>
      </c>
      <c r="V355" s="113"/>
      <c r="W355" s="108" t="s">
        <v>47</v>
      </c>
      <c r="X355" s="114"/>
      <c r="Y355" s="113"/>
      <c r="Z355" s="108" t="s">
        <v>47</v>
      </c>
      <c r="AA355" s="114"/>
      <c r="AB355" s="113"/>
      <c r="AC355" s="105" t="s">
        <v>976</v>
      </c>
      <c r="AD355" s="115" t="s">
        <v>107</v>
      </c>
    </row>
    <row r="356" spans="1:30" x14ac:dyDescent="0.2">
      <c r="A356" s="104" t="s">
        <v>977</v>
      </c>
      <c r="B356" s="105" t="s">
        <v>805</v>
      </c>
      <c r="C356" s="105" t="s">
        <v>960</v>
      </c>
      <c r="D356" s="106" t="s">
        <v>125</v>
      </c>
      <c r="E356" s="107"/>
      <c r="F356" s="108" t="s">
        <v>9215</v>
      </c>
      <c r="G356" s="120">
        <v>2</v>
      </c>
      <c r="H356" s="108" t="s">
        <v>9216</v>
      </c>
      <c r="I356" s="116">
        <v>1</v>
      </c>
      <c r="J356" s="113"/>
      <c r="K356" s="108" t="s">
        <v>978</v>
      </c>
      <c r="L356" s="117">
        <v>2</v>
      </c>
      <c r="M356" s="111" t="s">
        <v>46</v>
      </c>
      <c r="N356" s="108" t="s">
        <v>9215</v>
      </c>
      <c r="O356" s="117">
        <v>2</v>
      </c>
      <c r="P356" s="111" t="s">
        <v>40</v>
      </c>
      <c r="Q356" s="108" t="s">
        <v>9217</v>
      </c>
      <c r="R356" s="112">
        <v>4</v>
      </c>
      <c r="S356" s="111" t="s">
        <v>46</v>
      </c>
      <c r="T356" s="108" t="s">
        <v>979</v>
      </c>
      <c r="U356" s="110">
        <v>3</v>
      </c>
      <c r="V356" s="113"/>
      <c r="W356" s="108" t="s">
        <v>47</v>
      </c>
      <c r="X356" s="114"/>
      <c r="Y356" s="113"/>
      <c r="Z356" s="108" t="s">
        <v>47</v>
      </c>
      <c r="AA356" s="114"/>
      <c r="AB356" s="113"/>
      <c r="AC356" s="105" t="s">
        <v>980</v>
      </c>
      <c r="AD356" s="115" t="s">
        <v>107</v>
      </c>
    </row>
    <row r="357" spans="1:30" x14ac:dyDescent="0.2">
      <c r="A357" s="104" t="s">
        <v>981</v>
      </c>
      <c r="B357" s="105" t="s">
        <v>805</v>
      </c>
      <c r="C357" s="105" t="s">
        <v>582</v>
      </c>
      <c r="D357" s="106" t="s">
        <v>94</v>
      </c>
      <c r="E357" s="107"/>
      <c r="F357" s="108" t="s">
        <v>9218</v>
      </c>
      <c r="G357" s="120">
        <v>2</v>
      </c>
      <c r="H357" s="108" t="s">
        <v>9219</v>
      </c>
      <c r="I357" s="116">
        <v>1</v>
      </c>
      <c r="J357" s="111" t="s">
        <v>53</v>
      </c>
      <c r="K357" s="108" t="s">
        <v>9220</v>
      </c>
      <c r="L357" s="116">
        <v>1</v>
      </c>
      <c r="M357" s="111" t="s">
        <v>157</v>
      </c>
      <c r="N357" s="108" t="s">
        <v>9218</v>
      </c>
      <c r="O357" s="117">
        <v>2</v>
      </c>
      <c r="P357" s="113"/>
      <c r="Q357" s="108" t="s">
        <v>9221</v>
      </c>
      <c r="R357" s="117">
        <v>2</v>
      </c>
      <c r="S357" s="111" t="s">
        <v>40</v>
      </c>
      <c r="T357" s="108" t="s">
        <v>9222</v>
      </c>
      <c r="U357" s="110">
        <v>3</v>
      </c>
      <c r="V357" s="113"/>
      <c r="W357" s="108" t="s">
        <v>9223</v>
      </c>
      <c r="X357" s="116">
        <v>1</v>
      </c>
      <c r="Y357" s="113"/>
      <c r="Z357" s="108" t="s">
        <v>9224</v>
      </c>
      <c r="AA357" s="117">
        <v>2</v>
      </c>
      <c r="AB357" s="113"/>
      <c r="AC357" s="105" t="s">
        <v>982</v>
      </c>
      <c r="AD357" s="115" t="s">
        <v>107</v>
      </c>
    </row>
    <row r="358" spans="1:30" x14ac:dyDescent="0.2">
      <c r="A358" s="104" t="s">
        <v>983</v>
      </c>
      <c r="B358" s="105" t="s">
        <v>805</v>
      </c>
      <c r="C358" s="105" t="s">
        <v>582</v>
      </c>
      <c r="D358" s="106" t="s">
        <v>94</v>
      </c>
      <c r="E358" s="107"/>
      <c r="F358" s="108" t="s">
        <v>9225</v>
      </c>
      <c r="G358" s="120">
        <v>2</v>
      </c>
      <c r="H358" s="108" t="s">
        <v>9226</v>
      </c>
      <c r="I358" s="116">
        <v>1</v>
      </c>
      <c r="J358" s="111" t="s">
        <v>53</v>
      </c>
      <c r="K358" s="108" t="s">
        <v>9227</v>
      </c>
      <c r="L358" s="116">
        <v>1</v>
      </c>
      <c r="M358" s="111" t="s">
        <v>157</v>
      </c>
      <c r="N358" s="108" t="s">
        <v>9225</v>
      </c>
      <c r="O358" s="117">
        <v>2</v>
      </c>
      <c r="P358" s="113"/>
      <c r="Q358" s="108" t="s">
        <v>9228</v>
      </c>
      <c r="R358" s="117">
        <v>2</v>
      </c>
      <c r="S358" s="111" t="s">
        <v>40</v>
      </c>
      <c r="T358" s="108" t="s">
        <v>9229</v>
      </c>
      <c r="U358" s="110">
        <v>3</v>
      </c>
      <c r="V358" s="113"/>
      <c r="W358" s="108" t="s">
        <v>9230</v>
      </c>
      <c r="X358" s="116">
        <v>1</v>
      </c>
      <c r="Y358" s="113"/>
      <c r="Z358" s="108" t="s">
        <v>47</v>
      </c>
      <c r="AA358" s="114"/>
      <c r="AB358" s="113"/>
      <c r="AC358" s="105" t="s">
        <v>984</v>
      </c>
      <c r="AD358" s="115" t="s">
        <v>107</v>
      </c>
    </row>
    <row r="359" spans="1:30" x14ac:dyDescent="0.2">
      <c r="A359" s="104" t="s">
        <v>985</v>
      </c>
      <c r="B359" s="105" t="s">
        <v>805</v>
      </c>
      <c r="C359" s="105" t="s">
        <v>582</v>
      </c>
      <c r="D359" s="106" t="s">
        <v>125</v>
      </c>
      <c r="E359" s="107"/>
      <c r="F359" s="108" t="s">
        <v>9231</v>
      </c>
      <c r="G359" s="118">
        <v>3</v>
      </c>
      <c r="H359" s="108" t="s">
        <v>9232</v>
      </c>
      <c r="I359" s="116">
        <v>1</v>
      </c>
      <c r="J359" s="111" t="s">
        <v>53</v>
      </c>
      <c r="K359" s="108" t="s">
        <v>9233</v>
      </c>
      <c r="L359" s="116">
        <v>1</v>
      </c>
      <c r="M359" s="111" t="s">
        <v>157</v>
      </c>
      <c r="N359" s="108" t="s">
        <v>9231</v>
      </c>
      <c r="O359" s="110">
        <v>3</v>
      </c>
      <c r="P359" s="113"/>
      <c r="Q359" s="108" t="s">
        <v>9234</v>
      </c>
      <c r="R359" s="117">
        <v>2</v>
      </c>
      <c r="S359" s="111" t="s">
        <v>53</v>
      </c>
      <c r="T359" s="108" t="s">
        <v>9235</v>
      </c>
      <c r="U359" s="110">
        <v>3</v>
      </c>
      <c r="V359" s="113"/>
      <c r="W359" s="108" t="s">
        <v>9236</v>
      </c>
      <c r="X359" s="116">
        <v>1</v>
      </c>
      <c r="Y359" s="111" t="s">
        <v>40</v>
      </c>
      <c r="Z359" s="108" t="s">
        <v>9237</v>
      </c>
      <c r="AA359" s="117">
        <v>2</v>
      </c>
      <c r="AB359" s="113"/>
      <c r="AC359" s="105" t="s">
        <v>986</v>
      </c>
      <c r="AD359" s="115" t="s">
        <v>107</v>
      </c>
    </row>
    <row r="360" spans="1:30" x14ac:dyDescent="0.2">
      <c r="A360" s="104" t="s">
        <v>987</v>
      </c>
      <c r="B360" s="105" t="s">
        <v>805</v>
      </c>
      <c r="C360" s="105" t="s">
        <v>582</v>
      </c>
      <c r="D360" s="106" t="s">
        <v>94</v>
      </c>
      <c r="E360" s="107"/>
      <c r="F360" s="108" t="s">
        <v>9238</v>
      </c>
      <c r="G360" s="120">
        <v>2</v>
      </c>
      <c r="H360" s="108" t="s">
        <v>9239</v>
      </c>
      <c r="I360" s="116">
        <v>1</v>
      </c>
      <c r="J360" s="111" t="s">
        <v>53</v>
      </c>
      <c r="K360" s="108" t="s">
        <v>9240</v>
      </c>
      <c r="L360" s="116">
        <v>1</v>
      </c>
      <c r="M360" s="111" t="s">
        <v>53</v>
      </c>
      <c r="N360" s="108" t="s">
        <v>9238</v>
      </c>
      <c r="O360" s="117">
        <v>2</v>
      </c>
      <c r="P360" s="113"/>
      <c r="Q360" s="108" t="s">
        <v>9241</v>
      </c>
      <c r="R360" s="116">
        <v>1</v>
      </c>
      <c r="S360" s="111" t="s">
        <v>40</v>
      </c>
      <c r="T360" s="108" t="s">
        <v>9242</v>
      </c>
      <c r="U360" s="117">
        <v>2</v>
      </c>
      <c r="V360" s="113"/>
      <c r="W360" s="108" t="s">
        <v>9243</v>
      </c>
      <c r="X360" s="116">
        <v>1</v>
      </c>
      <c r="Y360" s="113"/>
      <c r="Z360" s="108" t="s">
        <v>9244</v>
      </c>
      <c r="AA360" s="116">
        <v>1</v>
      </c>
      <c r="AB360" s="113"/>
      <c r="AC360" s="105" t="s">
        <v>988</v>
      </c>
      <c r="AD360" s="115" t="s">
        <v>107</v>
      </c>
    </row>
    <row r="361" spans="1:30" x14ac:dyDescent="0.2">
      <c r="A361" s="104" t="s">
        <v>989</v>
      </c>
      <c r="B361" s="105" t="s">
        <v>805</v>
      </c>
      <c r="C361" s="105" t="s">
        <v>582</v>
      </c>
      <c r="D361" s="106"/>
      <c r="E361" s="107"/>
      <c r="F361" s="108" t="s">
        <v>47</v>
      </c>
      <c r="G361" s="113"/>
      <c r="H361" s="108" t="s">
        <v>47</v>
      </c>
      <c r="I361" s="114"/>
      <c r="J361" s="113"/>
      <c r="K361" s="108" t="s">
        <v>47</v>
      </c>
      <c r="L361" s="114"/>
      <c r="M361" s="113"/>
      <c r="N361" s="108" t="s">
        <v>47</v>
      </c>
      <c r="O361" s="114"/>
      <c r="P361" s="113"/>
      <c r="Q361" s="108" t="s">
        <v>47</v>
      </c>
      <c r="R361" s="114"/>
      <c r="S361" s="113"/>
      <c r="T361" s="108" t="s">
        <v>47</v>
      </c>
      <c r="U361" s="114"/>
      <c r="V361" s="113"/>
      <c r="W361" s="108" t="s">
        <v>47</v>
      </c>
      <c r="X361" s="114"/>
      <c r="Y361" s="113"/>
      <c r="Z361" s="108" t="s">
        <v>47</v>
      </c>
      <c r="AA361" s="114"/>
      <c r="AB361" s="113"/>
      <c r="AC361" s="105" t="s">
        <v>990</v>
      </c>
      <c r="AD361" s="115" t="s">
        <v>107</v>
      </c>
    </row>
    <row r="362" spans="1:30" x14ac:dyDescent="0.2">
      <c r="A362" s="104" t="s">
        <v>991</v>
      </c>
      <c r="B362" s="105" t="s">
        <v>805</v>
      </c>
      <c r="C362" s="105" t="s">
        <v>582</v>
      </c>
      <c r="D362" s="106" t="s">
        <v>94</v>
      </c>
      <c r="E362" s="107"/>
      <c r="F362" s="108" t="s">
        <v>9245</v>
      </c>
      <c r="G362" s="120">
        <v>2</v>
      </c>
      <c r="H362" s="108" t="s">
        <v>9246</v>
      </c>
      <c r="I362" s="116">
        <v>1</v>
      </c>
      <c r="J362" s="111" t="s">
        <v>53</v>
      </c>
      <c r="K362" s="108" t="s">
        <v>9247</v>
      </c>
      <c r="L362" s="116">
        <v>1</v>
      </c>
      <c r="M362" s="111" t="s">
        <v>53</v>
      </c>
      <c r="N362" s="108" t="s">
        <v>9245</v>
      </c>
      <c r="O362" s="117">
        <v>2</v>
      </c>
      <c r="P362" s="113"/>
      <c r="Q362" s="108" t="s">
        <v>9248</v>
      </c>
      <c r="R362" s="116">
        <v>1</v>
      </c>
      <c r="S362" s="111" t="s">
        <v>53</v>
      </c>
      <c r="T362" s="108" t="s">
        <v>9249</v>
      </c>
      <c r="U362" s="117">
        <v>2</v>
      </c>
      <c r="V362" s="113"/>
      <c r="W362" s="108" t="s">
        <v>9250</v>
      </c>
      <c r="X362" s="116">
        <v>1</v>
      </c>
      <c r="Y362" s="113"/>
      <c r="Z362" s="108" t="s">
        <v>47</v>
      </c>
      <c r="AA362" s="114"/>
      <c r="AB362" s="113"/>
      <c r="AC362" s="105" t="s">
        <v>992</v>
      </c>
      <c r="AD362" s="115" t="s">
        <v>107</v>
      </c>
    </row>
    <row r="363" spans="1:30" x14ac:dyDescent="0.2">
      <c r="A363" s="104" t="s">
        <v>993</v>
      </c>
      <c r="B363" s="105" t="s">
        <v>805</v>
      </c>
      <c r="C363" s="105" t="s">
        <v>582</v>
      </c>
      <c r="D363" s="106"/>
      <c r="E363" s="107"/>
      <c r="F363" s="108" t="s">
        <v>47</v>
      </c>
      <c r="G363" s="113"/>
      <c r="H363" s="108" t="s">
        <v>9251</v>
      </c>
      <c r="I363" s="116">
        <v>1</v>
      </c>
      <c r="J363" s="111" t="s">
        <v>40</v>
      </c>
      <c r="K363" s="108" t="s">
        <v>9252</v>
      </c>
      <c r="L363" s="116">
        <v>1</v>
      </c>
      <c r="M363" s="113"/>
      <c r="N363" s="108" t="s">
        <v>47</v>
      </c>
      <c r="O363" s="114"/>
      <c r="P363" s="113"/>
      <c r="Q363" s="108" t="s">
        <v>47</v>
      </c>
      <c r="R363" s="114"/>
      <c r="S363" s="113"/>
      <c r="T363" s="108" t="s">
        <v>47</v>
      </c>
      <c r="U363" s="114"/>
      <c r="V363" s="113"/>
      <c r="W363" s="108" t="s">
        <v>47</v>
      </c>
      <c r="X363" s="114"/>
      <c r="Y363" s="113"/>
      <c r="Z363" s="108" t="s">
        <v>47</v>
      </c>
      <c r="AA363" s="114"/>
      <c r="AB363" s="113"/>
      <c r="AC363" s="105" t="s">
        <v>994</v>
      </c>
      <c r="AD363" s="115" t="s">
        <v>107</v>
      </c>
    </row>
    <row r="364" spans="1:30" x14ac:dyDescent="0.2">
      <c r="A364" s="104" t="s">
        <v>995</v>
      </c>
      <c r="B364" s="105" t="s">
        <v>805</v>
      </c>
      <c r="C364" s="105" t="s">
        <v>582</v>
      </c>
      <c r="D364" s="106" t="s">
        <v>94</v>
      </c>
      <c r="E364" s="107"/>
      <c r="F364" s="108" t="s">
        <v>9253</v>
      </c>
      <c r="G364" s="120">
        <v>2</v>
      </c>
      <c r="H364" s="108" t="s">
        <v>9254</v>
      </c>
      <c r="I364" s="116">
        <v>1</v>
      </c>
      <c r="J364" s="111" t="s">
        <v>53</v>
      </c>
      <c r="K364" s="108" t="s">
        <v>9255</v>
      </c>
      <c r="L364" s="116">
        <v>1</v>
      </c>
      <c r="M364" s="111" t="s">
        <v>157</v>
      </c>
      <c r="N364" s="108" t="s">
        <v>9253</v>
      </c>
      <c r="O364" s="117">
        <v>2</v>
      </c>
      <c r="P364" s="113"/>
      <c r="Q364" s="108" t="s">
        <v>9256</v>
      </c>
      <c r="R364" s="117">
        <v>2</v>
      </c>
      <c r="S364" s="111" t="s">
        <v>53</v>
      </c>
      <c r="T364" s="108" t="s">
        <v>9257</v>
      </c>
      <c r="U364" s="110">
        <v>3</v>
      </c>
      <c r="V364" s="113"/>
      <c r="W364" s="108" t="s">
        <v>9258</v>
      </c>
      <c r="X364" s="116">
        <v>1</v>
      </c>
      <c r="Y364" s="113"/>
      <c r="Z364" s="108" t="s">
        <v>47</v>
      </c>
      <c r="AA364" s="114"/>
      <c r="AB364" s="113"/>
      <c r="AC364" s="105" t="s">
        <v>996</v>
      </c>
      <c r="AD364" s="115" t="s">
        <v>107</v>
      </c>
    </row>
    <row r="365" spans="1:30" x14ac:dyDescent="0.2">
      <c r="A365" s="104" t="s">
        <v>997</v>
      </c>
      <c r="B365" s="105" t="s">
        <v>805</v>
      </c>
      <c r="C365" s="105" t="s">
        <v>513</v>
      </c>
      <c r="D365" s="106"/>
      <c r="E365" s="107" t="s">
        <v>182</v>
      </c>
      <c r="F365" s="108" t="s">
        <v>47</v>
      </c>
      <c r="G365" s="113"/>
      <c r="H365" s="108" t="s">
        <v>47</v>
      </c>
      <c r="I365" s="114"/>
      <c r="J365" s="113"/>
      <c r="K365" s="108" t="s">
        <v>47</v>
      </c>
      <c r="L365" s="114"/>
      <c r="M365" s="113"/>
      <c r="N365" s="108" t="s">
        <v>47</v>
      </c>
      <c r="O365" s="114"/>
      <c r="P365" s="113"/>
      <c r="Q365" s="108" t="s">
        <v>47</v>
      </c>
      <c r="R365" s="114"/>
      <c r="S365" s="113"/>
      <c r="T365" s="108" t="s">
        <v>47</v>
      </c>
      <c r="U365" s="114"/>
      <c r="V365" s="113"/>
      <c r="W365" s="108" t="s">
        <v>47</v>
      </c>
      <c r="X365" s="114"/>
      <c r="Y365" s="113"/>
      <c r="Z365" s="108" t="s">
        <v>47</v>
      </c>
      <c r="AA365" s="114"/>
      <c r="AB365" s="113"/>
      <c r="AC365" s="105" t="s">
        <v>998</v>
      </c>
      <c r="AD365" s="115" t="s">
        <v>107</v>
      </c>
    </row>
    <row r="366" spans="1:30" x14ac:dyDescent="0.2">
      <c r="A366" s="104" t="s">
        <v>999</v>
      </c>
      <c r="B366" s="105" t="s">
        <v>805</v>
      </c>
      <c r="C366" s="105" t="s">
        <v>513</v>
      </c>
      <c r="D366" s="106" t="s">
        <v>125</v>
      </c>
      <c r="E366" s="107" t="s">
        <v>182</v>
      </c>
      <c r="F366" s="108" t="s">
        <v>9259</v>
      </c>
      <c r="G366" s="119">
        <v>1</v>
      </c>
      <c r="H366" s="108" t="s">
        <v>9260</v>
      </c>
      <c r="I366" s="116">
        <v>1</v>
      </c>
      <c r="J366" s="111" t="s">
        <v>40</v>
      </c>
      <c r="K366" s="108" t="s">
        <v>9261</v>
      </c>
      <c r="L366" s="116">
        <v>1</v>
      </c>
      <c r="M366" s="113"/>
      <c r="N366" s="108" t="s">
        <v>9259</v>
      </c>
      <c r="O366" s="116">
        <v>1</v>
      </c>
      <c r="P366" s="113"/>
      <c r="Q366" s="108" t="s">
        <v>9262</v>
      </c>
      <c r="R366" s="116">
        <v>1</v>
      </c>
      <c r="S366" s="111" t="s">
        <v>40</v>
      </c>
      <c r="T366" s="108" t="s">
        <v>9263</v>
      </c>
      <c r="U366" s="110">
        <v>3</v>
      </c>
      <c r="V366" s="113"/>
      <c r="W366" s="108" t="s">
        <v>9264</v>
      </c>
      <c r="X366" s="110">
        <v>3</v>
      </c>
      <c r="Y366" s="113"/>
      <c r="Z366" s="108" t="s">
        <v>9265</v>
      </c>
      <c r="AA366" s="117">
        <v>2</v>
      </c>
      <c r="AB366" s="111" t="s">
        <v>40</v>
      </c>
      <c r="AC366" s="105" t="s">
        <v>1000</v>
      </c>
      <c r="AD366" s="115" t="s">
        <v>107</v>
      </c>
    </row>
    <row r="367" spans="1:30" x14ac:dyDescent="0.2">
      <c r="A367" s="104" t="s">
        <v>1001</v>
      </c>
      <c r="B367" s="105" t="s">
        <v>805</v>
      </c>
      <c r="C367" s="105" t="s">
        <v>513</v>
      </c>
      <c r="D367" s="106" t="s">
        <v>125</v>
      </c>
      <c r="E367" s="107" t="s">
        <v>182</v>
      </c>
      <c r="F367" s="108" t="s">
        <v>9266</v>
      </c>
      <c r="G367" s="119">
        <v>1</v>
      </c>
      <c r="H367" s="108" t="s">
        <v>9267</v>
      </c>
      <c r="I367" s="116">
        <v>1</v>
      </c>
      <c r="J367" s="113"/>
      <c r="K367" s="108" t="s">
        <v>9268</v>
      </c>
      <c r="L367" s="116">
        <v>1</v>
      </c>
      <c r="M367" s="113"/>
      <c r="N367" s="108" t="s">
        <v>9266</v>
      </c>
      <c r="O367" s="116">
        <v>1</v>
      </c>
      <c r="P367" s="113"/>
      <c r="Q367" s="108" t="s">
        <v>9269</v>
      </c>
      <c r="R367" s="116">
        <v>1</v>
      </c>
      <c r="S367" s="111" t="s">
        <v>40</v>
      </c>
      <c r="T367" s="108" t="s">
        <v>9270</v>
      </c>
      <c r="U367" s="110">
        <v>3</v>
      </c>
      <c r="V367" s="113"/>
      <c r="W367" s="108" t="s">
        <v>9271</v>
      </c>
      <c r="X367" s="110">
        <v>3</v>
      </c>
      <c r="Y367" s="113"/>
      <c r="Z367" s="108" t="s">
        <v>9272</v>
      </c>
      <c r="AA367" s="117">
        <v>2</v>
      </c>
      <c r="AB367" s="111" t="s">
        <v>40</v>
      </c>
      <c r="AC367" s="105" t="s">
        <v>1002</v>
      </c>
      <c r="AD367" s="115" t="s">
        <v>107</v>
      </c>
    </row>
    <row r="368" spans="1:30" x14ac:dyDescent="0.2">
      <c r="A368" s="104" t="s">
        <v>1003</v>
      </c>
      <c r="B368" s="105" t="s">
        <v>805</v>
      </c>
      <c r="C368" s="105" t="s">
        <v>145</v>
      </c>
      <c r="D368" s="106"/>
      <c r="E368" s="107" t="s">
        <v>146</v>
      </c>
      <c r="F368" s="108" t="s">
        <v>9273</v>
      </c>
      <c r="G368" s="119">
        <v>1</v>
      </c>
      <c r="H368" s="108" t="s">
        <v>9274</v>
      </c>
      <c r="I368" s="116">
        <v>1</v>
      </c>
      <c r="J368" s="113"/>
      <c r="K368" s="108" t="s">
        <v>9275</v>
      </c>
      <c r="L368" s="116">
        <v>1</v>
      </c>
      <c r="M368" s="113"/>
      <c r="N368" s="108" t="s">
        <v>9273</v>
      </c>
      <c r="O368" s="116">
        <v>1</v>
      </c>
      <c r="P368" s="113"/>
      <c r="Q368" s="108" t="s">
        <v>9276</v>
      </c>
      <c r="R368" s="116">
        <v>1</v>
      </c>
      <c r="S368" s="111" t="s">
        <v>40</v>
      </c>
      <c r="T368" s="108" t="s">
        <v>9277</v>
      </c>
      <c r="U368" s="117">
        <v>2</v>
      </c>
      <c r="V368" s="111" t="s">
        <v>40</v>
      </c>
      <c r="W368" s="108" t="s">
        <v>47</v>
      </c>
      <c r="X368" s="114"/>
      <c r="Y368" s="113"/>
      <c r="Z368" s="108" t="s">
        <v>47</v>
      </c>
      <c r="AA368" s="114"/>
      <c r="AB368" s="113"/>
      <c r="AC368" s="105" t="s">
        <v>1004</v>
      </c>
      <c r="AD368" s="115" t="s">
        <v>107</v>
      </c>
    </row>
    <row r="369" spans="1:30" x14ac:dyDescent="0.2">
      <c r="A369" s="104" t="s">
        <v>1005</v>
      </c>
      <c r="B369" s="105" t="s">
        <v>805</v>
      </c>
      <c r="C369" s="105" t="s">
        <v>513</v>
      </c>
      <c r="D369" s="106" t="s">
        <v>105</v>
      </c>
      <c r="E369" s="107" t="s">
        <v>182</v>
      </c>
      <c r="F369" s="108" t="s">
        <v>9278</v>
      </c>
      <c r="G369" s="119">
        <v>1</v>
      </c>
      <c r="H369" s="108" t="s">
        <v>9279</v>
      </c>
      <c r="I369" s="116">
        <v>1</v>
      </c>
      <c r="J369" s="111" t="s">
        <v>40</v>
      </c>
      <c r="K369" s="108" t="s">
        <v>9280</v>
      </c>
      <c r="L369" s="116">
        <v>1</v>
      </c>
      <c r="M369" s="113"/>
      <c r="N369" s="108" t="s">
        <v>9278</v>
      </c>
      <c r="O369" s="116">
        <v>1</v>
      </c>
      <c r="P369" s="113"/>
      <c r="Q369" s="108" t="s">
        <v>9281</v>
      </c>
      <c r="R369" s="117">
        <v>2</v>
      </c>
      <c r="S369" s="113"/>
      <c r="T369" s="108" t="s">
        <v>9282</v>
      </c>
      <c r="U369" s="110">
        <v>3</v>
      </c>
      <c r="V369" s="113"/>
      <c r="W369" s="108" t="s">
        <v>9283</v>
      </c>
      <c r="X369" s="110">
        <v>3</v>
      </c>
      <c r="Y369" s="113"/>
      <c r="Z369" s="108" t="s">
        <v>9284</v>
      </c>
      <c r="AA369" s="112">
        <v>4</v>
      </c>
      <c r="AB369" s="113"/>
      <c r="AC369" s="105" t="s">
        <v>1006</v>
      </c>
      <c r="AD369" s="115" t="s">
        <v>107</v>
      </c>
    </row>
    <row r="370" spans="1:30" x14ac:dyDescent="0.2">
      <c r="A370" s="104" t="s">
        <v>1007</v>
      </c>
      <c r="B370" s="105" t="s">
        <v>805</v>
      </c>
      <c r="C370" s="105" t="s">
        <v>513</v>
      </c>
      <c r="D370" s="106" t="s">
        <v>94</v>
      </c>
      <c r="E370" s="107" t="s">
        <v>182</v>
      </c>
      <c r="F370" s="108" t="s">
        <v>9285</v>
      </c>
      <c r="G370" s="119">
        <v>1</v>
      </c>
      <c r="H370" s="108" t="s">
        <v>9286</v>
      </c>
      <c r="I370" s="116">
        <v>1</v>
      </c>
      <c r="J370" s="113"/>
      <c r="K370" s="108" t="s">
        <v>9287</v>
      </c>
      <c r="L370" s="116">
        <v>1</v>
      </c>
      <c r="M370" s="113"/>
      <c r="N370" s="108" t="s">
        <v>9285</v>
      </c>
      <c r="O370" s="116">
        <v>1</v>
      </c>
      <c r="P370" s="113"/>
      <c r="Q370" s="108" t="s">
        <v>9288</v>
      </c>
      <c r="R370" s="116">
        <v>1</v>
      </c>
      <c r="S370" s="113"/>
      <c r="T370" s="108" t="s">
        <v>9289</v>
      </c>
      <c r="U370" s="116">
        <v>1</v>
      </c>
      <c r="V370" s="111" t="s">
        <v>40</v>
      </c>
      <c r="W370" s="108" t="s">
        <v>9290</v>
      </c>
      <c r="X370" s="117">
        <v>2</v>
      </c>
      <c r="Y370" s="113"/>
      <c r="Z370" s="108" t="s">
        <v>9291</v>
      </c>
      <c r="AA370" s="116">
        <v>1</v>
      </c>
      <c r="AB370" s="111" t="s">
        <v>40</v>
      </c>
      <c r="AC370" s="105" t="s">
        <v>1008</v>
      </c>
      <c r="AD370" s="115" t="s">
        <v>107</v>
      </c>
    </row>
    <row r="371" spans="1:30" x14ac:dyDescent="0.2">
      <c r="A371" s="104" t="s">
        <v>1009</v>
      </c>
      <c r="B371" s="105" t="s">
        <v>805</v>
      </c>
      <c r="C371" s="105" t="s">
        <v>513</v>
      </c>
      <c r="D371" s="106" t="s">
        <v>94</v>
      </c>
      <c r="E371" s="107" t="s">
        <v>182</v>
      </c>
      <c r="F371" s="108" t="s">
        <v>9292</v>
      </c>
      <c r="G371" s="119">
        <v>1</v>
      </c>
      <c r="H371" s="108" t="s">
        <v>9293</v>
      </c>
      <c r="I371" s="116">
        <v>1</v>
      </c>
      <c r="J371" s="113"/>
      <c r="K371" s="108" t="s">
        <v>9294</v>
      </c>
      <c r="L371" s="116">
        <v>1</v>
      </c>
      <c r="M371" s="113"/>
      <c r="N371" s="108" t="s">
        <v>9292</v>
      </c>
      <c r="O371" s="116">
        <v>1</v>
      </c>
      <c r="P371" s="113"/>
      <c r="Q371" s="108" t="s">
        <v>9295</v>
      </c>
      <c r="R371" s="116">
        <v>1</v>
      </c>
      <c r="S371" s="113"/>
      <c r="T371" s="108" t="s">
        <v>9296</v>
      </c>
      <c r="U371" s="116">
        <v>1</v>
      </c>
      <c r="V371" s="111" t="s">
        <v>40</v>
      </c>
      <c r="W371" s="108" t="s">
        <v>9297</v>
      </c>
      <c r="X371" s="117">
        <v>2</v>
      </c>
      <c r="Y371" s="113"/>
      <c r="Z371" s="108" t="s">
        <v>9298</v>
      </c>
      <c r="AA371" s="116">
        <v>1</v>
      </c>
      <c r="AB371" s="113"/>
      <c r="AC371" s="105" t="s">
        <v>1010</v>
      </c>
      <c r="AD371" s="115" t="s">
        <v>107</v>
      </c>
    </row>
    <row r="372" spans="1:30" x14ac:dyDescent="0.2">
      <c r="A372" s="104" t="s">
        <v>1011</v>
      </c>
      <c r="B372" s="105" t="s">
        <v>805</v>
      </c>
      <c r="C372" s="105" t="s">
        <v>513</v>
      </c>
      <c r="D372" s="106" t="s">
        <v>94</v>
      </c>
      <c r="E372" s="107" t="s">
        <v>182</v>
      </c>
      <c r="F372" s="108" t="s">
        <v>9299</v>
      </c>
      <c r="G372" s="119">
        <v>1</v>
      </c>
      <c r="H372" s="108" t="s">
        <v>9300</v>
      </c>
      <c r="I372" s="116">
        <v>1</v>
      </c>
      <c r="J372" s="113"/>
      <c r="K372" s="108" t="s">
        <v>9301</v>
      </c>
      <c r="L372" s="116">
        <v>1</v>
      </c>
      <c r="M372" s="113"/>
      <c r="N372" s="108" t="s">
        <v>9299</v>
      </c>
      <c r="O372" s="116">
        <v>1</v>
      </c>
      <c r="P372" s="113"/>
      <c r="Q372" s="108" t="s">
        <v>9302</v>
      </c>
      <c r="R372" s="116">
        <v>1</v>
      </c>
      <c r="S372" s="113"/>
      <c r="T372" s="108" t="s">
        <v>9303</v>
      </c>
      <c r="U372" s="117">
        <v>2</v>
      </c>
      <c r="V372" s="113"/>
      <c r="W372" s="108" t="s">
        <v>9304</v>
      </c>
      <c r="X372" s="117">
        <v>2</v>
      </c>
      <c r="Y372" s="113"/>
      <c r="Z372" s="108" t="s">
        <v>9305</v>
      </c>
      <c r="AA372" s="117">
        <v>2</v>
      </c>
      <c r="AB372" s="113"/>
      <c r="AC372" s="105" t="s">
        <v>1012</v>
      </c>
      <c r="AD372" s="115" t="s">
        <v>107</v>
      </c>
    </row>
    <row r="373" spans="1:30" x14ac:dyDescent="0.2">
      <c r="A373" s="104" t="s">
        <v>1013</v>
      </c>
      <c r="B373" s="105" t="s">
        <v>805</v>
      </c>
      <c r="C373" s="105" t="s">
        <v>513</v>
      </c>
      <c r="D373" s="106" t="s">
        <v>94</v>
      </c>
      <c r="E373" s="107" t="s">
        <v>182</v>
      </c>
      <c r="F373" s="108" t="s">
        <v>9306</v>
      </c>
      <c r="G373" s="119">
        <v>1</v>
      </c>
      <c r="H373" s="108" t="s">
        <v>9307</v>
      </c>
      <c r="I373" s="116">
        <v>1</v>
      </c>
      <c r="J373" s="113"/>
      <c r="K373" s="108" t="s">
        <v>9308</v>
      </c>
      <c r="L373" s="116">
        <v>1</v>
      </c>
      <c r="M373" s="113"/>
      <c r="N373" s="108" t="s">
        <v>9306</v>
      </c>
      <c r="O373" s="116">
        <v>1</v>
      </c>
      <c r="P373" s="113"/>
      <c r="Q373" s="108" t="s">
        <v>9309</v>
      </c>
      <c r="R373" s="116">
        <v>1</v>
      </c>
      <c r="S373" s="113"/>
      <c r="T373" s="108" t="s">
        <v>9310</v>
      </c>
      <c r="U373" s="117">
        <v>2</v>
      </c>
      <c r="V373" s="113"/>
      <c r="W373" s="108" t="s">
        <v>47</v>
      </c>
      <c r="X373" s="114"/>
      <c r="Y373" s="113"/>
      <c r="Z373" s="108" t="s">
        <v>47</v>
      </c>
      <c r="AA373" s="114"/>
      <c r="AB373" s="113"/>
      <c r="AC373" s="105" t="s">
        <v>1014</v>
      </c>
      <c r="AD373" s="115" t="s">
        <v>107</v>
      </c>
    </row>
    <row r="374" spans="1:30" x14ac:dyDescent="0.2">
      <c r="A374" s="104" t="s">
        <v>1015</v>
      </c>
      <c r="B374" s="105" t="s">
        <v>805</v>
      </c>
      <c r="C374" s="105" t="s">
        <v>513</v>
      </c>
      <c r="D374" s="106" t="s">
        <v>94</v>
      </c>
      <c r="E374" s="107" t="s">
        <v>182</v>
      </c>
      <c r="F374" s="108" t="s">
        <v>9311</v>
      </c>
      <c r="G374" s="119">
        <v>1</v>
      </c>
      <c r="H374" s="108" t="s">
        <v>9312</v>
      </c>
      <c r="I374" s="116">
        <v>1</v>
      </c>
      <c r="J374" s="113"/>
      <c r="K374" s="108" t="s">
        <v>9313</v>
      </c>
      <c r="L374" s="116">
        <v>1</v>
      </c>
      <c r="M374" s="113"/>
      <c r="N374" s="108" t="s">
        <v>9311</v>
      </c>
      <c r="O374" s="116">
        <v>1</v>
      </c>
      <c r="P374" s="113"/>
      <c r="Q374" s="108" t="s">
        <v>9314</v>
      </c>
      <c r="R374" s="116">
        <v>1</v>
      </c>
      <c r="S374" s="113"/>
      <c r="T374" s="108" t="s">
        <v>9315</v>
      </c>
      <c r="U374" s="117">
        <v>2</v>
      </c>
      <c r="V374" s="113"/>
      <c r="W374" s="108" t="s">
        <v>9316</v>
      </c>
      <c r="X374" s="117">
        <v>2</v>
      </c>
      <c r="Y374" s="113"/>
      <c r="Z374" s="108" t="s">
        <v>9317</v>
      </c>
      <c r="AA374" s="116">
        <v>1</v>
      </c>
      <c r="AB374" s="111" t="s">
        <v>40</v>
      </c>
      <c r="AC374" s="105" t="s">
        <v>1016</v>
      </c>
      <c r="AD374" s="115" t="s">
        <v>107</v>
      </c>
    </row>
    <row r="375" spans="1:30" x14ac:dyDescent="0.2">
      <c r="A375" s="104" t="s">
        <v>1017</v>
      </c>
      <c r="B375" s="105" t="s">
        <v>805</v>
      </c>
      <c r="C375" s="105" t="s">
        <v>508</v>
      </c>
      <c r="D375" s="106" t="s">
        <v>125</v>
      </c>
      <c r="E375" s="107" t="s">
        <v>376</v>
      </c>
      <c r="F375" s="108" t="s">
        <v>9318</v>
      </c>
      <c r="G375" s="119">
        <v>1</v>
      </c>
      <c r="H375" s="108" t="s">
        <v>9319</v>
      </c>
      <c r="I375" s="116">
        <v>1</v>
      </c>
      <c r="J375" s="113"/>
      <c r="K375" s="108" t="s">
        <v>9320</v>
      </c>
      <c r="L375" s="116">
        <v>1</v>
      </c>
      <c r="M375" s="113"/>
      <c r="N375" s="108" t="s">
        <v>9318</v>
      </c>
      <c r="O375" s="116">
        <v>1</v>
      </c>
      <c r="P375" s="113"/>
      <c r="Q375" s="108" t="s">
        <v>9321</v>
      </c>
      <c r="R375" s="116">
        <v>1</v>
      </c>
      <c r="S375" s="113"/>
      <c r="T375" s="108" t="s">
        <v>9322</v>
      </c>
      <c r="U375" s="110">
        <v>3</v>
      </c>
      <c r="V375" s="113"/>
      <c r="W375" s="108" t="s">
        <v>9323</v>
      </c>
      <c r="X375" s="110">
        <v>3</v>
      </c>
      <c r="Y375" s="113"/>
      <c r="Z375" s="108" t="s">
        <v>9324</v>
      </c>
      <c r="AA375" s="110">
        <v>3</v>
      </c>
      <c r="AB375" s="111" t="s">
        <v>55</v>
      </c>
      <c r="AC375" s="105" t="s">
        <v>1018</v>
      </c>
      <c r="AD375" s="115" t="s">
        <v>107</v>
      </c>
    </row>
    <row r="376" spans="1:30" x14ac:dyDescent="0.2">
      <c r="A376" s="104" t="s">
        <v>1019</v>
      </c>
      <c r="B376" s="105" t="s">
        <v>805</v>
      </c>
      <c r="C376" s="105" t="s">
        <v>508</v>
      </c>
      <c r="D376" s="106" t="s">
        <v>125</v>
      </c>
      <c r="E376" s="107" t="s">
        <v>376</v>
      </c>
      <c r="F376" s="108" t="s">
        <v>9325</v>
      </c>
      <c r="G376" s="119">
        <v>1</v>
      </c>
      <c r="H376" s="108" t="s">
        <v>1020</v>
      </c>
      <c r="I376" s="116">
        <v>1</v>
      </c>
      <c r="J376" s="113"/>
      <c r="K376" s="108" t="s">
        <v>9326</v>
      </c>
      <c r="L376" s="116">
        <v>1</v>
      </c>
      <c r="M376" s="113"/>
      <c r="N376" s="108" t="s">
        <v>9325</v>
      </c>
      <c r="O376" s="116">
        <v>1</v>
      </c>
      <c r="P376" s="113"/>
      <c r="Q376" s="108" t="s">
        <v>9327</v>
      </c>
      <c r="R376" s="116">
        <v>1</v>
      </c>
      <c r="S376" s="113"/>
      <c r="T376" s="108" t="s">
        <v>1021</v>
      </c>
      <c r="U376" s="112">
        <v>4</v>
      </c>
      <c r="V376" s="113"/>
      <c r="W376" s="108" t="s">
        <v>9328</v>
      </c>
      <c r="X376" s="110">
        <v>3</v>
      </c>
      <c r="Y376" s="113"/>
      <c r="Z376" s="108" t="s">
        <v>9329</v>
      </c>
      <c r="AA376" s="110">
        <v>3</v>
      </c>
      <c r="AB376" s="111" t="s">
        <v>46</v>
      </c>
      <c r="AC376" s="105" t="s">
        <v>1022</v>
      </c>
      <c r="AD376" s="115" t="s">
        <v>107</v>
      </c>
    </row>
    <row r="377" spans="1:30" x14ac:dyDescent="0.2">
      <c r="A377" s="104" t="s">
        <v>1023</v>
      </c>
      <c r="B377" s="105" t="s">
        <v>805</v>
      </c>
      <c r="C377" s="105" t="s">
        <v>508</v>
      </c>
      <c r="D377" s="106" t="s">
        <v>94</v>
      </c>
      <c r="E377" s="107" t="s">
        <v>376</v>
      </c>
      <c r="F377" s="108" t="s">
        <v>1024</v>
      </c>
      <c r="G377" s="119">
        <v>1</v>
      </c>
      <c r="H377" s="108" t="s">
        <v>9330</v>
      </c>
      <c r="I377" s="116">
        <v>1</v>
      </c>
      <c r="J377" s="113"/>
      <c r="K377" s="108" t="s">
        <v>9331</v>
      </c>
      <c r="L377" s="116">
        <v>1</v>
      </c>
      <c r="M377" s="113"/>
      <c r="N377" s="108" t="s">
        <v>1024</v>
      </c>
      <c r="O377" s="116">
        <v>1</v>
      </c>
      <c r="P377" s="113"/>
      <c r="Q377" s="108" t="s">
        <v>9332</v>
      </c>
      <c r="R377" s="116">
        <v>1</v>
      </c>
      <c r="S377" s="113"/>
      <c r="T377" s="108" t="s">
        <v>9333</v>
      </c>
      <c r="U377" s="117">
        <v>2</v>
      </c>
      <c r="V377" s="113"/>
      <c r="W377" s="108" t="s">
        <v>9334</v>
      </c>
      <c r="X377" s="117">
        <v>2</v>
      </c>
      <c r="Y377" s="113"/>
      <c r="Z377" s="108" t="s">
        <v>9335</v>
      </c>
      <c r="AA377" s="117">
        <v>2</v>
      </c>
      <c r="AB377" s="111" t="s">
        <v>46</v>
      </c>
      <c r="AC377" s="105" t="s">
        <v>1025</v>
      </c>
      <c r="AD377" s="115" t="s">
        <v>107</v>
      </c>
    </row>
    <row r="378" spans="1:30" x14ac:dyDescent="0.2">
      <c r="A378" s="104" t="s">
        <v>1026</v>
      </c>
      <c r="B378" s="105" t="s">
        <v>805</v>
      </c>
      <c r="C378" s="105" t="s">
        <v>508</v>
      </c>
      <c r="D378" s="106"/>
      <c r="E378" s="107" t="s">
        <v>376</v>
      </c>
      <c r="F378" s="108" t="s">
        <v>9336</v>
      </c>
      <c r="G378" s="119">
        <v>1</v>
      </c>
      <c r="H378" s="108" t="s">
        <v>9337</v>
      </c>
      <c r="I378" s="116">
        <v>1</v>
      </c>
      <c r="J378" s="113"/>
      <c r="K378" s="108" t="s">
        <v>9338</v>
      </c>
      <c r="L378" s="116">
        <v>1</v>
      </c>
      <c r="M378" s="113"/>
      <c r="N378" s="108" t="s">
        <v>9336</v>
      </c>
      <c r="O378" s="116">
        <v>1</v>
      </c>
      <c r="P378" s="113"/>
      <c r="Q378" s="108" t="s">
        <v>47</v>
      </c>
      <c r="R378" s="114"/>
      <c r="S378" s="113"/>
      <c r="T378" s="108" t="s">
        <v>47</v>
      </c>
      <c r="U378" s="114"/>
      <c r="V378" s="113"/>
      <c r="W378" s="108" t="s">
        <v>47</v>
      </c>
      <c r="X378" s="114"/>
      <c r="Y378" s="113"/>
      <c r="Z378" s="108" t="s">
        <v>47</v>
      </c>
      <c r="AA378" s="114"/>
      <c r="AB378" s="113"/>
      <c r="AC378" s="105" t="s">
        <v>1027</v>
      </c>
      <c r="AD378" s="115" t="s">
        <v>107</v>
      </c>
    </row>
    <row r="379" spans="1:30" x14ac:dyDescent="0.2">
      <c r="A379" s="104" t="s">
        <v>1028</v>
      </c>
      <c r="B379" s="105" t="s">
        <v>805</v>
      </c>
      <c r="C379" s="105" t="s">
        <v>508</v>
      </c>
      <c r="D379" s="106" t="s">
        <v>125</v>
      </c>
      <c r="E379" s="107" t="s">
        <v>376</v>
      </c>
      <c r="F379" s="108" t="s">
        <v>9339</v>
      </c>
      <c r="G379" s="119">
        <v>1</v>
      </c>
      <c r="H379" s="108" t="s">
        <v>1029</v>
      </c>
      <c r="I379" s="116">
        <v>1</v>
      </c>
      <c r="J379" s="113"/>
      <c r="K379" s="108" t="s">
        <v>9340</v>
      </c>
      <c r="L379" s="116">
        <v>1</v>
      </c>
      <c r="M379" s="113"/>
      <c r="N379" s="108" t="s">
        <v>9339</v>
      </c>
      <c r="O379" s="116">
        <v>1</v>
      </c>
      <c r="P379" s="113"/>
      <c r="Q379" s="108" t="s">
        <v>9341</v>
      </c>
      <c r="R379" s="116">
        <v>1</v>
      </c>
      <c r="S379" s="113"/>
      <c r="T379" s="108" t="s">
        <v>1030</v>
      </c>
      <c r="U379" s="110">
        <v>3</v>
      </c>
      <c r="V379" s="113"/>
      <c r="W379" s="108" t="s">
        <v>9342</v>
      </c>
      <c r="X379" s="110">
        <v>3</v>
      </c>
      <c r="Y379" s="113"/>
      <c r="Z379" s="108" t="s">
        <v>9343</v>
      </c>
      <c r="AA379" s="110">
        <v>3</v>
      </c>
      <c r="AB379" s="111" t="s">
        <v>46</v>
      </c>
      <c r="AC379" s="105" t="s">
        <v>1031</v>
      </c>
      <c r="AD379" s="115" t="s">
        <v>107</v>
      </c>
    </row>
    <row r="380" spans="1:30" x14ac:dyDescent="0.2">
      <c r="A380" s="104" t="s">
        <v>1032</v>
      </c>
      <c r="B380" s="105" t="s">
        <v>805</v>
      </c>
      <c r="C380" s="105" t="s">
        <v>513</v>
      </c>
      <c r="D380" s="106" t="s">
        <v>125</v>
      </c>
      <c r="E380" s="107" t="s">
        <v>182</v>
      </c>
      <c r="F380" s="108" t="s">
        <v>9344</v>
      </c>
      <c r="G380" s="119">
        <v>1</v>
      </c>
      <c r="H380" s="108" t="s">
        <v>9345</v>
      </c>
      <c r="I380" s="116">
        <v>1</v>
      </c>
      <c r="J380" s="111" t="s">
        <v>40</v>
      </c>
      <c r="K380" s="108" t="s">
        <v>9346</v>
      </c>
      <c r="L380" s="116">
        <v>1</v>
      </c>
      <c r="M380" s="113"/>
      <c r="N380" s="108" t="s">
        <v>9344</v>
      </c>
      <c r="O380" s="116">
        <v>1</v>
      </c>
      <c r="P380" s="113"/>
      <c r="Q380" s="108" t="s">
        <v>9347</v>
      </c>
      <c r="R380" s="116">
        <v>1</v>
      </c>
      <c r="S380" s="111" t="s">
        <v>40</v>
      </c>
      <c r="T380" s="108" t="s">
        <v>9348</v>
      </c>
      <c r="U380" s="110">
        <v>3</v>
      </c>
      <c r="V380" s="113"/>
      <c r="W380" s="108" t="s">
        <v>9349</v>
      </c>
      <c r="X380" s="110">
        <v>3</v>
      </c>
      <c r="Y380" s="113"/>
      <c r="Z380" s="108" t="s">
        <v>9350</v>
      </c>
      <c r="AA380" s="117">
        <v>2</v>
      </c>
      <c r="AB380" s="111" t="s">
        <v>40</v>
      </c>
      <c r="AC380" s="105" t="s">
        <v>1033</v>
      </c>
      <c r="AD380" s="115" t="s">
        <v>107</v>
      </c>
    </row>
    <row r="381" spans="1:30" x14ac:dyDescent="0.2">
      <c r="A381" s="104" t="s">
        <v>1034</v>
      </c>
      <c r="B381" s="105" t="s">
        <v>805</v>
      </c>
      <c r="C381" s="105" t="s">
        <v>513</v>
      </c>
      <c r="D381" s="106"/>
      <c r="E381" s="107" t="s">
        <v>182</v>
      </c>
      <c r="F381" s="108" t="s">
        <v>9351</v>
      </c>
      <c r="G381" s="119">
        <v>1</v>
      </c>
      <c r="H381" s="108" t="s">
        <v>9352</v>
      </c>
      <c r="I381" s="116">
        <v>1</v>
      </c>
      <c r="J381" s="113"/>
      <c r="K381" s="108" t="s">
        <v>9353</v>
      </c>
      <c r="L381" s="116">
        <v>1</v>
      </c>
      <c r="M381" s="113"/>
      <c r="N381" s="108" t="s">
        <v>9351</v>
      </c>
      <c r="O381" s="116">
        <v>1</v>
      </c>
      <c r="P381" s="113"/>
      <c r="Q381" s="108" t="s">
        <v>9354</v>
      </c>
      <c r="R381" s="116">
        <v>1</v>
      </c>
      <c r="S381" s="113"/>
      <c r="T381" s="108" t="s">
        <v>47</v>
      </c>
      <c r="U381" s="114"/>
      <c r="V381" s="113"/>
      <c r="W381" s="108" t="s">
        <v>47</v>
      </c>
      <c r="X381" s="114"/>
      <c r="Y381" s="113"/>
      <c r="Z381" s="108" t="s">
        <v>47</v>
      </c>
      <c r="AA381" s="114"/>
      <c r="AB381" s="113"/>
      <c r="AC381" s="105" t="s">
        <v>1035</v>
      </c>
      <c r="AD381" s="115" t="s">
        <v>107</v>
      </c>
    </row>
    <row r="382" spans="1:30" x14ac:dyDescent="0.2">
      <c r="A382" s="104" t="s">
        <v>1036</v>
      </c>
      <c r="B382" s="105" t="s">
        <v>805</v>
      </c>
      <c r="C382" s="105" t="s">
        <v>638</v>
      </c>
      <c r="D382" s="106" t="s">
        <v>94</v>
      </c>
      <c r="E382" s="107"/>
      <c r="F382" s="108" t="s">
        <v>9355</v>
      </c>
      <c r="G382" s="120">
        <v>2</v>
      </c>
      <c r="H382" s="108" t="s">
        <v>9356</v>
      </c>
      <c r="I382" s="116">
        <v>1</v>
      </c>
      <c r="J382" s="111" t="s">
        <v>40</v>
      </c>
      <c r="K382" s="108" t="s">
        <v>9357</v>
      </c>
      <c r="L382" s="116">
        <v>1</v>
      </c>
      <c r="M382" s="113"/>
      <c r="N382" s="108" t="s">
        <v>9355</v>
      </c>
      <c r="O382" s="117">
        <v>2</v>
      </c>
      <c r="P382" s="111" t="s">
        <v>40</v>
      </c>
      <c r="Q382" s="108" t="s">
        <v>9358</v>
      </c>
      <c r="R382" s="110">
        <v>3</v>
      </c>
      <c r="S382" s="111" t="s">
        <v>40</v>
      </c>
      <c r="T382" s="108" t="s">
        <v>9359</v>
      </c>
      <c r="U382" s="117">
        <v>2</v>
      </c>
      <c r="V382" s="113"/>
      <c r="W382" s="108" t="s">
        <v>9360</v>
      </c>
      <c r="X382" s="116">
        <v>1</v>
      </c>
      <c r="Y382" s="113"/>
      <c r="Z382" s="108" t="s">
        <v>47</v>
      </c>
      <c r="AA382" s="114"/>
      <c r="AB382" s="113"/>
      <c r="AC382" s="105" t="s">
        <v>1037</v>
      </c>
      <c r="AD382" s="115" t="s">
        <v>107</v>
      </c>
    </row>
    <row r="383" spans="1:30" x14ac:dyDescent="0.2">
      <c r="A383" s="104" t="s">
        <v>1038</v>
      </c>
      <c r="B383" s="105" t="s">
        <v>805</v>
      </c>
      <c r="C383" s="105" t="s">
        <v>638</v>
      </c>
      <c r="D383" s="106" t="s">
        <v>94</v>
      </c>
      <c r="E383" s="107"/>
      <c r="F383" s="108" t="s">
        <v>9361</v>
      </c>
      <c r="G383" s="120">
        <v>2</v>
      </c>
      <c r="H383" s="108" t="s">
        <v>9362</v>
      </c>
      <c r="I383" s="116">
        <v>1</v>
      </c>
      <c r="J383" s="111" t="s">
        <v>40</v>
      </c>
      <c r="K383" s="108" t="s">
        <v>9363</v>
      </c>
      <c r="L383" s="116">
        <v>1</v>
      </c>
      <c r="M383" s="113"/>
      <c r="N383" s="108" t="s">
        <v>9361</v>
      </c>
      <c r="O383" s="117">
        <v>2</v>
      </c>
      <c r="P383" s="111" t="s">
        <v>40</v>
      </c>
      <c r="Q383" s="108" t="s">
        <v>9364</v>
      </c>
      <c r="R383" s="110">
        <v>3</v>
      </c>
      <c r="S383" s="111" t="s">
        <v>40</v>
      </c>
      <c r="T383" s="108" t="s">
        <v>9365</v>
      </c>
      <c r="U383" s="117">
        <v>2</v>
      </c>
      <c r="V383" s="113"/>
      <c r="W383" s="108" t="s">
        <v>9366</v>
      </c>
      <c r="X383" s="116">
        <v>1</v>
      </c>
      <c r="Y383" s="113"/>
      <c r="Z383" s="108" t="s">
        <v>47</v>
      </c>
      <c r="AA383" s="114"/>
      <c r="AB383" s="113"/>
      <c r="AC383" s="105" t="s">
        <v>1039</v>
      </c>
      <c r="AD383" s="115" t="s">
        <v>107</v>
      </c>
    </row>
    <row r="384" spans="1:30" x14ac:dyDescent="0.2">
      <c r="A384" s="104" t="s">
        <v>1040</v>
      </c>
      <c r="B384" s="105" t="s">
        <v>805</v>
      </c>
      <c r="C384" s="105" t="s">
        <v>638</v>
      </c>
      <c r="D384" s="106" t="s">
        <v>125</v>
      </c>
      <c r="E384" s="107"/>
      <c r="F384" s="108" t="s">
        <v>9367</v>
      </c>
      <c r="G384" s="118">
        <v>3</v>
      </c>
      <c r="H384" s="108" t="s">
        <v>9368</v>
      </c>
      <c r="I384" s="116">
        <v>1</v>
      </c>
      <c r="J384" s="111" t="s">
        <v>53</v>
      </c>
      <c r="K384" s="108" t="s">
        <v>9369</v>
      </c>
      <c r="L384" s="116">
        <v>1</v>
      </c>
      <c r="M384" s="113"/>
      <c r="N384" s="108" t="s">
        <v>9367</v>
      </c>
      <c r="O384" s="110">
        <v>3</v>
      </c>
      <c r="P384" s="113"/>
      <c r="Q384" s="108" t="s">
        <v>9370</v>
      </c>
      <c r="R384" s="110">
        <v>3</v>
      </c>
      <c r="S384" s="111" t="s">
        <v>40</v>
      </c>
      <c r="T384" s="108" t="s">
        <v>9371</v>
      </c>
      <c r="U384" s="110">
        <v>3</v>
      </c>
      <c r="V384" s="113"/>
      <c r="W384" s="108" t="s">
        <v>9372</v>
      </c>
      <c r="X384" s="117">
        <v>2</v>
      </c>
      <c r="Y384" s="113"/>
      <c r="Z384" s="108" t="s">
        <v>47</v>
      </c>
      <c r="AA384" s="114"/>
      <c r="AB384" s="113"/>
      <c r="AC384" s="105" t="s">
        <v>1041</v>
      </c>
      <c r="AD384" s="115" t="s">
        <v>107</v>
      </c>
    </row>
    <row r="385" spans="1:30" x14ac:dyDescent="0.2">
      <c r="A385" s="104" t="s">
        <v>1042</v>
      </c>
      <c r="B385" s="105" t="s">
        <v>805</v>
      </c>
      <c r="C385" s="105" t="s">
        <v>638</v>
      </c>
      <c r="D385" s="106" t="s">
        <v>94</v>
      </c>
      <c r="E385" s="107"/>
      <c r="F385" s="108" t="s">
        <v>9373</v>
      </c>
      <c r="G385" s="120">
        <v>2</v>
      </c>
      <c r="H385" s="108" t="s">
        <v>9374</v>
      </c>
      <c r="I385" s="116">
        <v>1</v>
      </c>
      <c r="J385" s="111" t="s">
        <v>40</v>
      </c>
      <c r="K385" s="108" t="s">
        <v>9375</v>
      </c>
      <c r="L385" s="116">
        <v>1</v>
      </c>
      <c r="M385" s="113"/>
      <c r="N385" s="108" t="s">
        <v>9373</v>
      </c>
      <c r="O385" s="117">
        <v>2</v>
      </c>
      <c r="P385" s="113"/>
      <c r="Q385" s="108" t="s">
        <v>9376</v>
      </c>
      <c r="R385" s="117">
        <v>2</v>
      </c>
      <c r="S385" s="111" t="s">
        <v>40</v>
      </c>
      <c r="T385" s="108" t="s">
        <v>9377</v>
      </c>
      <c r="U385" s="116">
        <v>1</v>
      </c>
      <c r="V385" s="113"/>
      <c r="W385" s="108" t="s">
        <v>9378</v>
      </c>
      <c r="X385" s="116">
        <v>1</v>
      </c>
      <c r="Y385" s="113"/>
      <c r="Z385" s="108" t="s">
        <v>47</v>
      </c>
      <c r="AA385" s="114"/>
      <c r="AB385" s="113"/>
      <c r="AC385" s="105" t="s">
        <v>1043</v>
      </c>
      <c r="AD385" s="115" t="s">
        <v>107</v>
      </c>
    </row>
    <row r="386" spans="1:30" x14ac:dyDescent="0.2">
      <c r="A386" s="104" t="s">
        <v>1044</v>
      </c>
      <c r="B386" s="105" t="s">
        <v>805</v>
      </c>
      <c r="C386" s="105" t="s">
        <v>638</v>
      </c>
      <c r="D386" s="106"/>
      <c r="E386" s="107"/>
      <c r="F386" s="108" t="s">
        <v>9379</v>
      </c>
      <c r="G386" s="120">
        <v>2</v>
      </c>
      <c r="H386" s="108" t="s">
        <v>9380</v>
      </c>
      <c r="I386" s="116">
        <v>1</v>
      </c>
      <c r="J386" s="111" t="s">
        <v>40</v>
      </c>
      <c r="K386" s="108" t="s">
        <v>9381</v>
      </c>
      <c r="L386" s="116">
        <v>1</v>
      </c>
      <c r="M386" s="113"/>
      <c r="N386" s="108" t="s">
        <v>9379</v>
      </c>
      <c r="O386" s="117">
        <v>2</v>
      </c>
      <c r="P386" s="113"/>
      <c r="Q386" s="108" t="s">
        <v>47</v>
      </c>
      <c r="R386" s="114"/>
      <c r="S386" s="113"/>
      <c r="T386" s="108" t="s">
        <v>47</v>
      </c>
      <c r="U386" s="114"/>
      <c r="V386" s="113"/>
      <c r="W386" s="108" t="s">
        <v>47</v>
      </c>
      <c r="X386" s="114"/>
      <c r="Y386" s="113"/>
      <c r="Z386" s="108" t="s">
        <v>47</v>
      </c>
      <c r="AA386" s="114"/>
      <c r="AB386" s="113"/>
      <c r="AC386" s="105" t="s">
        <v>1045</v>
      </c>
      <c r="AD386" s="115" t="s">
        <v>107</v>
      </c>
    </row>
    <row r="387" spans="1:30" x14ac:dyDescent="0.2">
      <c r="A387" s="104" t="s">
        <v>1046</v>
      </c>
      <c r="B387" s="105" t="s">
        <v>805</v>
      </c>
      <c r="C387" s="105" t="s">
        <v>638</v>
      </c>
      <c r="D387" s="106" t="s">
        <v>94</v>
      </c>
      <c r="E387" s="107"/>
      <c r="F387" s="108" t="s">
        <v>9382</v>
      </c>
      <c r="G387" s="120">
        <v>2</v>
      </c>
      <c r="H387" s="108" t="s">
        <v>9383</v>
      </c>
      <c r="I387" s="116">
        <v>1</v>
      </c>
      <c r="J387" s="111" t="s">
        <v>40</v>
      </c>
      <c r="K387" s="108" t="s">
        <v>9384</v>
      </c>
      <c r="L387" s="116">
        <v>1</v>
      </c>
      <c r="M387" s="113"/>
      <c r="N387" s="108" t="s">
        <v>9382</v>
      </c>
      <c r="O387" s="117">
        <v>2</v>
      </c>
      <c r="P387" s="113"/>
      <c r="Q387" s="108" t="s">
        <v>9385</v>
      </c>
      <c r="R387" s="117">
        <v>2</v>
      </c>
      <c r="S387" s="111" t="s">
        <v>40</v>
      </c>
      <c r="T387" s="108" t="s">
        <v>9386</v>
      </c>
      <c r="U387" s="116">
        <v>1</v>
      </c>
      <c r="V387" s="113"/>
      <c r="W387" s="108" t="s">
        <v>9387</v>
      </c>
      <c r="X387" s="116">
        <v>1</v>
      </c>
      <c r="Y387" s="113"/>
      <c r="Z387" s="108" t="s">
        <v>47</v>
      </c>
      <c r="AA387" s="114"/>
      <c r="AB387" s="113"/>
      <c r="AC387" s="105" t="s">
        <v>1047</v>
      </c>
      <c r="AD387" s="115" t="s">
        <v>107</v>
      </c>
    </row>
    <row r="388" spans="1:30" x14ac:dyDescent="0.2">
      <c r="A388" s="104" t="s">
        <v>1048</v>
      </c>
      <c r="B388" s="105" t="s">
        <v>805</v>
      </c>
      <c r="C388" s="105" t="s">
        <v>638</v>
      </c>
      <c r="D388" s="106"/>
      <c r="E388" s="107"/>
      <c r="F388" s="108" t="s">
        <v>9388</v>
      </c>
      <c r="G388" s="119">
        <v>1</v>
      </c>
      <c r="H388" s="108" t="s">
        <v>9389</v>
      </c>
      <c r="I388" s="116">
        <v>1</v>
      </c>
      <c r="J388" s="111" t="s">
        <v>40</v>
      </c>
      <c r="K388" s="108" t="s">
        <v>9390</v>
      </c>
      <c r="L388" s="116">
        <v>1</v>
      </c>
      <c r="M388" s="113"/>
      <c r="N388" s="108" t="s">
        <v>9388</v>
      </c>
      <c r="O388" s="116">
        <v>1</v>
      </c>
      <c r="P388" s="111" t="s">
        <v>40</v>
      </c>
      <c r="Q388" s="108" t="s">
        <v>9391</v>
      </c>
      <c r="R388" s="117">
        <v>2</v>
      </c>
      <c r="S388" s="113"/>
      <c r="T388" s="108" t="s">
        <v>47</v>
      </c>
      <c r="U388" s="114"/>
      <c r="V388" s="113"/>
      <c r="W388" s="108" t="s">
        <v>47</v>
      </c>
      <c r="X388" s="114"/>
      <c r="Y388" s="113"/>
      <c r="Z388" s="108" t="s">
        <v>47</v>
      </c>
      <c r="AA388" s="114"/>
      <c r="AB388" s="113"/>
      <c r="AC388" s="105" t="s">
        <v>1049</v>
      </c>
      <c r="AD388" s="115" t="s">
        <v>107</v>
      </c>
    </row>
    <row r="389" spans="1:30" x14ac:dyDescent="0.2">
      <c r="A389" s="104" t="s">
        <v>1050</v>
      </c>
      <c r="B389" s="105" t="s">
        <v>805</v>
      </c>
      <c r="C389" s="105" t="s">
        <v>638</v>
      </c>
      <c r="D389" s="106"/>
      <c r="E389" s="107"/>
      <c r="F389" s="108" t="s">
        <v>9392</v>
      </c>
      <c r="G389" s="120">
        <v>2</v>
      </c>
      <c r="H389" s="108" t="s">
        <v>9393</v>
      </c>
      <c r="I389" s="116">
        <v>1</v>
      </c>
      <c r="J389" s="111" t="s">
        <v>40</v>
      </c>
      <c r="K389" s="108" t="s">
        <v>9394</v>
      </c>
      <c r="L389" s="116">
        <v>1</v>
      </c>
      <c r="M389" s="113"/>
      <c r="N389" s="108" t="s">
        <v>9392</v>
      </c>
      <c r="O389" s="117">
        <v>2</v>
      </c>
      <c r="P389" s="111" t="s">
        <v>40</v>
      </c>
      <c r="Q389" s="108" t="s">
        <v>9395</v>
      </c>
      <c r="R389" s="117">
        <v>2</v>
      </c>
      <c r="S389" s="111" t="s">
        <v>40</v>
      </c>
      <c r="T389" s="108" t="s">
        <v>47</v>
      </c>
      <c r="U389" s="114"/>
      <c r="V389" s="113"/>
      <c r="W389" s="108" t="s">
        <v>47</v>
      </c>
      <c r="X389" s="114"/>
      <c r="Y389" s="113"/>
      <c r="Z389" s="108" t="s">
        <v>47</v>
      </c>
      <c r="AA389" s="114"/>
      <c r="AB389" s="113"/>
      <c r="AC389" s="105" t="s">
        <v>1051</v>
      </c>
      <c r="AD389" s="115" t="s">
        <v>107</v>
      </c>
    </row>
    <row r="390" spans="1:30" x14ac:dyDescent="0.2">
      <c r="A390" s="104" t="s">
        <v>1052</v>
      </c>
      <c r="B390" s="105" t="s">
        <v>805</v>
      </c>
      <c r="C390" s="105" t="s">
        <v>638</v>
      </c>
      <c r="D390" s="106" t="s">
        <v>94</v>
      </c>
      <c r="E390" s="107"/>
      <c r="F390" s="108" t="s">
        <v>9396</v>
      </c>
      <c r="G390" s="118">
        <v>3</v>
      </c>
      <c r="H390" s="108" t="s">
        <v>9397</v>
      </c>
      <c r="I390" s="116">
        <v>1</v>
      </c>
      <c r="J390" s="111" t="s">
        <v>53</v>
      </c>
      <c r="K390" s="108" t="s">
        <v>9398</v>
      </c>
      <c r="L390" s="116">
        <v>1</v>
      </c>
      <c r="M390" s="113"/>
      <c r="N390" s="108" t="s">
        <v>9396</v>
      </c>
      <c r="O390" s="110">
        <v>3</v>
      </c>
      <c r="P390" s="113"/>
      <c r="Q390" s="108" t="s">
        <v>9399</v>
      </c>
      <c r="R390" s="110">
        <v>3</v>
      </c>
      <c r="S390" s="111" t="s">
        <v>40</v>
      </c>
      <c r="T390" s="108" t="s">
        <v>9400</v>
      </c>
      <c r="U390" s="117">
        <v>2</v>
      </c>
      <c r="V390" s="113"/>
      <c r="W390" s="108" t="s">
        <v>9401</v>
      </c>
      <c r="X390" s="117">
        <v>2</v>
      </c>
      <c r="Y390" s="113"/>
      <c r="Z390" s="108" t="s">
        <v>47</v>
      </c>
      <c r="AA390" s="114"/>
      <c r="AB390" s="113"/>
      <c r="AC390" s="105" t="s">
        <v>1053</v>
      </c>
      <c r="AD390" s="115" t="s">
        <v>107</v>
      </c>
    </row>
    <row r="391" spans="1:30" x14ac:dyDescent="0.2">
      <c r="A391" s="104" t="s">
        <v>1054</v>
      </c>
      <c r="B391" s="105" t="s">
        <v>805</v>
      </c>
      <c r="C391" s="105" t="s">
        <v>1055</v>
      </c>
      <c r="D391" s="106" t="s">
        <v>125</v>
      </c>
      <c r="E391" s="107"/>
      <c r="F391" s="108" t="s">
        <v>9402</v>
      </c>
      <c r="G391" s="118">
        <v>3</v>
      </c>
      <c r="H391" s="108" t="s">
        <v>9403</v>
      </c>
      <c r="I391" s="116">
        <v>1</v>
      </c>
      <c r="J391" s="111" t="s">
        <v>40</v>
      </c>
      <c r="K391" s="108" t="s">
        <v>9404</v>
      </c>
      <c r="L391" s="117">
        <v>2</v>
      </c>
      <c r="M391" s="113"/>
      <c r="N391" s="108" t="s">
        <v>9402</v>
      </c>
      <c r="O391" s="110">
        <v>3</v>
      </c>
      <c r="P391" s="113"/>
      <c r="Q391" s="108" t="s">
        <v>9405</v>
      </c>
      <c r="R391" s="110">
        <v>3</v>
      </c>
      <c r="S391" s="111" t="s">
        <v>40</v>
      </c>
      <c r="T391" s="108" t="s">
        <v>9406</v>
      </c>
      <c r="U391" s="110">
        <v>3</v>
      </c>
      <c r="V391" s="113"/>
      <c r="W391" s="108" t="s">
        <v>9407</v>
      </c>
      <c r="X391" s="110">
        <v>3</v>
      </c>
      <c r="Y391" s="113"/>
      <c r="Z391" s="108" t="s">
        <v>9408</v>
      </c>
      <c r="AA391" s="110">
        <v>3</v>
      </c>
      <c r="AB391" s="113"/>
      <c r="AC391" s="105" t="s">
        <v>1056</v>
      </c>
      <c r="AD391" s="115" t="s">
        <v>107</v>
      </c>
    </row>
    <row r="392" spans="1:30" x14ac:dyDescent="0.2">
      <c r="A392" s="104" t="s">
        <v>1057</v>
      </c>
      <c r="B392" s="105" t="s">
        <v>805</v>
      </c>
      <c r="C392" s="105" t="s">
        <v>1055</v>
      </c>
      <c r="D392" s="106" t="s">
        <v>125</v>
      </c>
      <c r="E392" s="107"/>
      <c r="F392" s="108" t="s">
        <v>9409</v>
      </c>
      <c r="G392" s="120">
        <v>2</v>
      </c>
      <c r="H392" s="108" t="s">
        <v>9410</v>
      </c>
      <c r="I392" s="116">
        <v>1</v>
      </c>
      <c r="J392" s="111" t="s">
        <v>40</v>
      </c>
      <c r="K392" s="108" t="s">
        <v>9411</v>
      </c>
      <c r="L392" s="117">
        <v>2</v>
      </c>
      <c r="M392" s="113"/>
      <c r="N392" s="108" t="s">
        <v>9409</v>
      </c>
      <c r="O392" s="117">
        <v>2</v>
      </c>
      <c r="P392" s="111" t="s">
        <v>40</v>
      </c>
      <c r="Q392" s="108" t="s">
        <v>9412</v>
      </c>
      <c r="R392" s="110">
        <v>3</v>
      </c>
      <c r="S392" s="113"/>
      <c r="T392" s="108" t="s">
        <v>1058</v>
      </c>
      <c r="U392" s="110">
        <v>3</v>
      </c>
      <c r="V392" s="113"/>
      <c r="W392" s="108" t="s">
        <v>9413</v>
      </c>
      <c r="X392" s="110">
        <v>3</v>
      </c>
      <c r="Y392" s="113"/>
      <c r="Z392" s="108" t="s">
        <v>9414</v>
      </c>
      <c r="AA392" s="110">
        <v>3</v>
      </c>
      <c r="AB392" s="113"/>
      <c r="AC392" s="105" t="s">
        <v>1059</v>
      </c>
      <c r="AD392" s="115" t="s">
        <v>107</v>
      </c>
    </row>
    <row r="393" spans="1:30" x14ac:dyDescent="0.2">
      <c r="A393" s="104" t="s">
        <v>1060</v>
      </c>
      <c r="B393" s="105" t="s">
        <v>805</v>
      </c>
      <c r="C393" s="105" t="s">
        <v>1055</v>
      </c>
      <c r="D393" s="106" t="s">
        <v>125</v>
      </c>
      <c r="E393" s="107"/>
      <c r="F393" s="108" t="s">
        <v>9415</v>
      </c>
      <c r="G393" s="120">
        <v>2</v>
      </c>
      <c r="H393" s="108" t="s">
        <v>9416</v>
      </c>
      <c r="I393" s="116">
        <v>1</v>
      </c>
      <c r="J393" s="111" t="s">
        <v>40</v>
      </c>
      <c r="K393" s="108" t="s">
        <v>9417</v>
      </c>
      <c r="L393" s="117">
        <v>2</v>
      </c>
      <c r="M393" s="113"/>
      <c r="N393" s="108" t="s">
        <v>9415</v>
      </c>
      <c r="O393" s="117">
        <v>2</v>
      </c>
      <c r="P393" s="111" t="s">
        <v>40</v>
      </c>
      <c r="Q393" s="108" t="s">
        <v>9418</v>
      </c>
      <c r="R393" s="110">
        <v>3</v>
      </c>
      <c r="S393" s="113"/>
      <c r="T393" s="108" t="s">
        <v>9419</v>
      </c>
      <c r="U393" s="110">
        <v>3</v>
      </c>
      <c r="V393" s="113"/>
      <c r="W393" s="108" t="s">
        <v>9420</v>
      </c>
      <c r="X393" s="110">
        <v>3</v>
      </c>
      <c r="Y393" s="113"/>
      <c r="Z393" s="108" t="s">
        <v>9421</v>
      </c>
      <c r="AA393" s="110">
        <v>3</v>
      </c>
      <c r="AB393" s="113"/>
      <c r="AC393" s="105" t="s">
        <v>1061</v>
      </c>
      <c r="AD393" s="115" t="s">
        <v>107</v>
      </c>
    </row>
    <row r="394" spans="1:30" x14ac:dyDescent="0.2">
      <c r="A394" s="104" t="s">
        <v>1062</v>
      </c>
      <c r="B394" s="105" t="s">
        <v>805</v>
      </c>
      <c r="C394" s="105" t="s">
        <v>1063</v>
      </c>
      <c r="D394" s="106"/>
      <c r="E394" s="107"/>
      <c r="F394" s="108" t="s">
        <v>9422</v>
      </c>
      <c r="G394" s="119">
        <v>1</v>
      </c>
      <c r="H394" s="108" t="s">
        <v>9423</v>
      </c>
      <c r="I394" s="116">
        <v>1</v>
      </c>
      <c r="J394" s="113"/>
      <c r="K394" s="108" t="s">
        <v>9424</v>
      </c>
      <c r="L394" s="116">
        <v>1</v>
      </c>
      <c r="M394" s="113"/>
      <c r="N394" s="108" t="s">
        <v>9422</v>
      </c>
      <c r="O394" s="116">
        <v>1</v>
      </c>
      <c r="P394" s="113"/>
      <c r="Q394" s="108" t="s">
        <v>9425</v>
      </c>
      <c r="R394" s="116">
        <v>1</v>
      </c>
      <c r="S394" s="111" t="s">
        <v>53</v>
      </c>
      <c r="T394" s="108" t="s">
        <v>9426</v>
      </c>
      <c r="U394" s="117">
        <v>2</v>
      </c>
      <c r="V394" s="113"/>
      <c r="W394" s="108" t="s">
        <v>47</v>
      </c>
      <c r="X394" s="114"/>
      <c r="Y394" s="113"/>
      <c r="Z394" s="108" t="s">
        <v>47</v>
      </c>
      <c r="AA394" s="114"/>
      <c r="AB394" s="113"/>
      <c r="AC394" s="105" t="s">
        <v>1064</v>
      </c>
      <c r="AD394" s="115" t="s">
        <v>107</v>
      </c>
    </row>
    <row r="395" spans="1:30" x14ac:dyDescent="0.2">
      <c r="A395" s="104" t="s">
        <v>1065</v>
      </c>
      <c r="B395" s="105" t="s">
        <v>805</v>
      </c>
      <c r="C395" s="105" t="s">
        <v>1063</v>
      </c>
      <c r="D395" s="106"/>
      <c r="E395" s="107"/>
      <c r="F395" s="108" t="s">
        <v>9427</v>
      </c>
      <c r="G395" s="109">
        <v>4</v>
      </c>
      <c r="H395" s="108" t="s">
        <v>9428</v>
      </c>
      <c r="I395" s="110">
        <v>3</v>
      </c>
      <c r="J395" s="113"/>
      <c r="K395" s="108" t="s">
        <v>9429</v>
      </c>
      <c r="L395" s="112">
        <v>4</v>
      </c>
      <c r="M395" s="111" t="s">
        <v>46</v>
      </c>
      <c r="N395" s="108" t="s">
        <v>9427</v>
      </c>
      <c r="O395" s="112">
        <v>4</v>
      </c>
      <c r="P395" s="113"/>
      <c r="Q395" s="108" t="s">
        <v>9430</v>
      </c>
      <c r="R395" s="110">
        <v>3</v>
      </c>
      <c r="S395" s="113"/>
      <c r="T395" s="108" t="s">
        <v>47</v>
      </c>
      <c r="U395" s="114"/>
      <c r="V395" s="113"/>
      <c r="W395" s="108" t="s">
        <v>47</v>
      </c>
      <c r="X395" s="114"/>
      <c r="Y395" s="113"/>
      <c r="Z395" s="108" t="s">
        <v>47</v>
      </c>
      <c r="AA395" s="114"/>
      <c r="AB395" s="113"/>
      <c r="AC395" s="105" t="s">
        <v>1066</v>
      </c>
      <c r="AD395" s="115" t="s">
        <v>107</v>
      </c>
    </row>
    <row r="396" spans="1:30" x14ac:dyDescent="0.2">
      <c r="A396" s="104" t="s">
        <v>1067</v>
      </c>
      <c r="B396" s="105" t="s">
        <v>805</v>
      </c>
      <c r="C396" s="105" t="s">
        <v>1055</v>
      </c>
      <c r="D396" s="106" t="s">
        <v>125</v>
      </c>
      <c r="E396" s="107"/>
      <c r="F396" s="108" t="s">
        <v>9431</v>
      </c>
      <c r="G396" s="118">
        <v>3</v>
      </c>
      <c r="H396" s="108" t="s">
        <v>9432</v>
      </c>
      <c r="I396" s="117">
        <v>2</v>
      </c>
      <c r="J396" s="111" t="s">
        <v>40</v>
      </c>
      <c r="K396" s="108" t="s">
        <v>9433</v>
      </c>
      <c r="L396" s="117">
        <v>2</v>
      </c>
      <c r="M396" s="111" t="s">
        <v>40</v>
      </c>
      <c r="N396" s="108" t="s">
        <v>9431</v>
      </c>
      <c r="O396" s="110">
        <v>3</v>
      </c>
      <c r="P396" s="113"/>
      <c r="Q396" s="108" t="s">
        <v>9434</v>
      </c>
      <c r="R396" s="112">
        <v>4</v>
      </c>
      <c r="S396" s="113"/>
      <c r="T396" s="108" t="s">
        <v>9435</v>
      </c>
      <c r="U396" s="112">
        <v>4</v>
      </c>
      <c r="V396" s="113"/>
      <c r="W396" s="108" t="s">
        <v>9436</v>
      </c>
      <c r="X396" s="110">
        <v>3</v>
      </c>
      <c r="Y396" s="113"/>
      <c r="Z396" s="108" t="s">
        <v>47</v>
      </c>
      <c r="AA396" s="114"/>
      <c r="AB396" s="113"/>
      <c r="AC396" s="105" t="s">
        <v>1068</v>
      </c>
      <c r="AD396" s="115" t="s">
        <v>107</v>
      </c>
    </row>
    <row r="397" spans="1:30" x14ac:dyDescent="0.2">
      <c r="A397" s="104" t="s">
        <v>9437</v>
      </c>
      <c r="B397" s="105" t="s">
        <v>805</v>
      </c>
      <c r="C397" s="105" t="s">
        <v>1055</v>
      </c>
      <c r="D397" s="106" t="s">
        <v>105</v>
      </c>
      <c r="E397" s="107"/>
      <c r="F397" s="108" t="s">
        <v>9438</v>
      </c>
      <c r="G397" s="118">
        <v>3</v>
      </c>
      <c r="H397" s="108" t="s">
        <v>9439</v>
      </c>
      <c r="I397" s="117">
        <v>2</v>
      </c>
      <c r="J397" s="111" t="s">
        <v>40</v>
      </c>
      <c r="K397" s="108" t="s">
        <v>9440</v>
      </c>
      <c r="L397" s="117">
        <v>2</v>
      </c>
      <c r="M397" s="111" t="s">
        <v>40</v>
      </c>
      <c r="N397" s="108" t="s">
        <v>9438</v>
      </c>
      <c r="O397" s="110">
        <v>3</v>
      </c>
      <c r="P397" s="113"/>
      <c r="Q397" s="108" t="s">
        <v>9441</v>
      </c>
      <c r="R397" s="112">
        <v>4</v>
      </c>
      <c r="S397" s="113"/>
      <c r="T397" s="108" t="s">
        <v>9442</v>
      </c>
      <c r="U397" s="112">
        <v>4</v>
      </c>
      <c r="V397" s="113"/>
      <c r="W397" s="108" t="s">
        <v>47</v>
      </c>
      <c r="X397" s="114"/>
      <c r="Y397" s="113"/>
      <c r="Z397" s="108" t="s">
        <v>47</v>
      </c>
      <c r="AA397" s="114"/>
      <c r="AB397" s="113"/>
      <c r="AC397" s="105" t="s">
        <v>1069</v>
      </c>
      <c r="AD397" s="115" t="s">
        <v>107</v>
      </c>
    </row>
    <row r="398" spans="1:30" x14ac:dyDescent="0.2">
      <c r="A398" s="104" t="s">
        <v>1070</v>
      </c>
      <c r="B398" s="105" t="s">
        <v>805</v>
      </c>
      <c r="C398" s="105" t="s">
        <v>1055</v>
      </c>
      <c r="D398" s="106" t="s">
        <v>125</v>
      </c>
      <c r="E398" s="107"/>
      <c r="F398" s="108" t="s">
        <v>9443</v>
      </c>
      <c r="G398" s="120">
        <v>2</v>
      </c>
      <c r="H398" s="108" t="s">
        <v>9444</v>
      </c>
      <c r="I398" s="116">
        <v>1</v>
      </c>
      <c r="J398" s="111" t="s">
        <v>40</v>
      </c>
      <c r="K398" s="108" t="s">
        <v>9445</v>
      </c>
      <c r="L398" s="116">
        <v>1</v>
      </c>
      <c r="M398" s="111" t="s">
        <v>40</v>
      </c>
      <c r="N398" s="108" t="s">
        <v>9443</v>
      </c>
      <c r="O398" s="117">
        <v>2</v>
      </c>
      <c r="P398" s="113"/>
      <c r="Q398" s="108" t="s">
        <v>9446</v>
      </c>
      <c r="R398" s="117">
        <v>2</v>
      </c>
      <c r="S398" s="111" t="s">
        <v>40</v>
      </c>
      <c r="T398" s="108" t="s">
        <v>9447</v>
      </c>
      <c r="U398" s="117">
        <v>2</v>
      </c>
      <c r="V398" s="113"/>
      <c r="W398" s="108" t="s">
        <v>9448</v>
      </c>
      <c r="X398" s="117">
        <v>2</v>
      </c>
      <c r="Y398" s="113"/>
      <c r="Z398" s="108" t="s">
        <v>9449</v>
      </c>
      <c r="AA398" s="116">
        <v>1</v>
      </c>
      <c r="AB398" s="111" t="s">
        <v>40</v>
      </c>
      <c r="AC398" s="105" t="s">
        <v>1071</v>
      </c>
      <c r="AD398" s="115" t="s">
        <v>107</v>
      </c>
    </row>
    <row r="399" spans="1:30" x14ac:dyDescent="0.2">
      <c r="A399" s="104" t="s">
        <v>1072</v>
      </c>
      <c r="B399" s="105" t="s">
        <v>805</v>
      </c>
      <c r="C399" s="105" t="s">
        <v>1055</v>
      </c>
      <c r="D399" s="106" t="s">
        <v>125</v>
      </c>
      <c r="E399" s="107"/>
      <c r="F399" s="108" t="s">
        <v>9450</v>
      </c>
      <c r="G399" s="120">
        <v>2</v>
      </c>
      <c r="H399" s="108" t="s">
        <v>9451</v>
      </c>
      <c r="I399" s="116">
        <v>1</v>
      </c>
      <c r="J399" s="111" t="s">
        <v>40</v>
      </c>
      <c r="K399" s="108" t="s">
        <v>9452</v>
      </c>
      <c r="L399" s="116">
        <v>1</v>
      </c>
      <c r="M399" s="111" t="s">
        <v>40</v>
      </c>
      <c r="N399" s="108" t="s">
        <v>9450</v>
      </c>
      <c r="O399" s="117">
        <v>2</v>
      </c>
      <c r="P399" s="113"/>
      <c r="Q399" s="108" t="s">
        <v>9453</v>
      </c>
      <c r="R399" s="117">
        <v>2</v>
      </c>
      <c r="S399" s="111" t="s">
        <v>40</v>
      </c>
      <c r="T399" s="108" t="s">
        <v>9454</v>
      </c>
      <c r="U399" s="117">
        <v>2</v>
      </c>
      <c r="V399" s="113"/>
      <c r="W399" s="108" t="s">
        <v>9455</v>
      </c>
      <c r="X399" s="117">
        <v>2</v>
      </c>
      <c r="Y399" s="113"/>
      <c r="Z399" s="108" t="s">
        <v>47</v>
      </c>
      <c r="AA399" s="114"/>
      <c r="AB399" s="113"/>
      <c r="AC399" s="105" t="s">
        <v>1073</v>
      </c>
      <c r="AD399" s="115" t="s">
        <v>107</v>
      </c>
    </row>
    <row r="400" spans="1:30" x14ac:dyDescent="0.2">
      <c r="A400" s="104" t="s">
        <v>1074</v>
      </c>
      <c r="B400" s="105" t="s">
        <v>805</v>
      </c>
      <c r="C400" s="105" t="s">
        <v>1063</v>
      </c>
      <c r="D400" s="106"/>
      <c r="E400" s="107"/>
      <c r="F400" s="108" t="s">
        <v>9456</v>
      </c>
      <c r="G400" s="109">
        <v>4</v>
      </c>
      <c r="H400" s="108" t="s">
        <v>9457</v>
      </c>
      <c r="I400" s="110">
        <v>3</v>
      </c>
      <c r="J400" s="113"/>
      <c r="K400" s="108" t="s">
        <v>9458</v>
      </c>
      <c r="L400" s="110">
        <v>3</v>
      </c>
      <c r="M400" s="113"/>
      <c r="N400" s="108" t="s">
        <v>9456</v>
      </c>
      <c r="O400" s="112">
        <v>4</v>
      </c>
      <c r="P400" s="113"/>
      <c r="Q400" s="108" t="s">
        <v>9459</v>
      </c>
      <c r="R400" s="117">
        <v>2</v>
      </c>
      <c r="S400" s="111" t="s">
        <v>40</v>
      </c>
      <c r="T400" s="108" t="s">
        <v>47</v>
      </c>
      <c r="U400" s="114"/>
      <c r="V400" s="113"/>
      <c r="W400" s="108" t="s">
        <v>47</v>
      </c>
      <c r="X400" s="114"/>
      <c r="Y400" s="113"/>
      <c r="Z400" s="108" t="s">
        <v>47</v>
      </c>
      <c r="AA400" s="114"/>
      <c r="AB400" s="113"/>
      <c r="AC400" s="105" t="s">
        <v>1075</v>
      </c>
      <c r="AD400" s="115" t="s">
        <v>107</v>
      </c>
    </row>
    <row r="401" spans="1:30" x14ac:dyDescent="0.2">
      <c r="A401" s="104" t="s">
        <v>1076</v>
      </c>
      <c r="B401" s="105" t="s">
        <v>805</v>
      </c>
      <c r="C401" s="105" t="s">
        <v>1055</v>
      </c>
      <c r="D401" s="106" t="s">
        <v>125</v>
      </c>
      <c r="E401" s="107"/>
      <c r="F401" s="108" t="s">
        <v>9460</v>
      </c>
      <c r="G401" s="120">
        <v>2</v>
      </c>
      <c r="H401" s="108" t="s">
        <v>9461</v>
      </c>
      <c r="I401" s="116">
        <v>1</v>
      </c>
      <c r="J401" s="111" t="s">
        <v>40</v>
      </c>
      <c r="K401" s="108" t="s">
        <v>9462</v>
      </c>
      <c r="L401" s="116">
        <v>1</v>
      </c>
      <c r="M401" s="111" t="s">
        <v>40</v>
      </c>
      <c r="N401" s="108" t="s">
        <v>9460</v>
      </c>
      <c r="O401" s="117">
        <v>2</v>
      </c>
      <c r="P401" s="113"/>
      <c r="Q401" s="108" t="s">
        <v>9463</v>
      </c>
      <c r="R401" s="117">
        <v>2</v>
      </c>
      <c r="S401" s="111" t="s">
        <v>40</v>
      </c>
      <c r="T401" s="108" t="s">
        <v>9464</v>
      </c>
      <c r="U401" s="117">
        <v>2</v>
      </c>
      <c r="V401" s="113"/>
      <c r="W401" s="108" t="s">
        <v>9465</v>
      </c>
      <c r="X401" s="117">
        <v>2</v>
      </c>
      <c r="Y401" s="113"/>
      <c r="Z401" s="108" t="s">
        <v>47</v>
      </c>
      <c r="AA401" s="114"/>
      <c r="AB401" s="113"/>
      <c r="AC401" s="105" t="s">
        <v>1077</v>
      </c>
      <c r="AD401" s="115" t="s">
        <v>107</v>
      </c>
    </row>
    <row r="402" spans="1:30" x14ac:dyDescent="0.2">
      <c r="A402" s="104" t="s">
        <v>1078</v>
      </c>
      <c r="B402" s="105" t="s">
        <v>805</v>
      </c>
      <c r="C402" s="105" t="s">
        <v>1055</v>
      </c>
      <c r="D402" s="106" t="s">
        <v>125</v>
      </c>
      <c r="E402" s="107"/>
      <c r="F402" s="108" t="s">
        <v>9466</v>
      </c>
      <c r="G402" s="120">
        <v>2</v>
      </c>
      <c r="H402" s="108" t="s">
        <v>9467</v>
      </c>
      <c r="I402" s="116">
        <v>1</v>
      </c>
      <c r="J402" s="111" t="s">
        <v>40</v>
      </c>
      <c r="K402" s="108" t="s">
        <v>9468</v>
      </c>
      <c r="L402" s="116">
        <v>1</v>
      </c>
      <c r="M402" s="111" t="s">
        <v>40</v>
      </c>
      <c r="N402" s="108" t="s">
        <v>9466</v>
      </c>
      <c r="O402" s="117">
        <v>2</v>
      </c>
      <c r="P402" s="113"/>
      <c r="Q402" s="108" t="s">
        <v>9469</v>
      </c>
      <c r="R402" s="110">
        <v>3</v>
      </c>
      <c r="S402" s="113"/>
      <c r="T402" s="108" t="s">
        <v>9470</v>
      </c>
      <c r="U402" s="110">
        <v>3</v>
      </c>
      <c r="V402" s="113"/>
      <c r="W402" s="108" t="s">
        <v>9471</v>
      </c>
      <c r="X402" s="117">
        <v>2</v>
      </c>
      <c r="Y402" s="113"/>
      <c r="Z402" s="108" t="s">
        <v>9472</v>
      </c>
      <c r="AA402" s="117">
        <v>2</v>
      </c>
      <c r="AB402" s="113"/>
      <c r="AC402" s="105" t="s">
        <v>1079</v>
      </c>
      <c r="AD402" s="115" t="s">
        <v>107</v>
      </c>
    </row>
    <row r="403" spans="1:30" x14ac:dyDescent="0.2">
      <c r="A403" s="104" t="s">
        <v>1080</v>
      </c>
      <c r="B403" s="105" t="s">
        <v>805</v>
      </c>
      <c r="C403" s="105" t="s">
        <v>1055</v>
      </c>
      <c r="D403" s="106"/>
      <c r="E403" s="107"/>
      <c r="F403" s="108" t="s">
        <v>47</v>
      </c>
      <c r="G403" s="113"/>
      <c r="H403" s="108" t="s">
        <v>47</v>
      </c>
      <c r="I403" s="114"/>
      <c r="J403" s="113"/>
      <c r="K403" s="108" t="s">
        <v>47</v>
      </c>
      <c r="L403" s="114"/>
      <c r="M403" s="113"/>
      <c r="N403" s="108" t="s">
        <v>47</v>
      </c>
      <c r="O403" s="114"/>
      <c r="P403" s="113"/>
      <c r="Q403" s="108" t="s">
        <v>47</v>
      </c>
      <c r="R403" s="114"/>
      <c r="S403" s="113"/>
      <c r="T403" s="108" t="s">
        <v>47</v>
      </c>
      <c r="U403" s="114"/>
      <c r="V403" s="113"/>
      <c r="W403" s="108" t="s">
        <v>47</v>
      </c>
      <c r="X403" s="114"/>
      <c r="Y403" s="113"/>
      <c r="Z403" s="108" t="s">
        <v>47</v>
      </c>
      <c r="AA403" s="114"/>
      <c r="AB403" s="113"/>
      <c r="AC403" s="105" t="s">
        <v>1081</v>
      </c>
      <c r="AD403" s="115" t="s">
        <v>107</v>
      </c>
    </row>
    <row r="404" spans="1:30" x14ac:dyDescent="0.2">
      <c r="A404" s="104" t="s">
        <v>1082</v>
      </c>
      <c r="B404" s="105" t="s">
        <v>805</v>
      </c>
      <c r="C404" s="105" t="s">
        <v>1055</v>
      </c>
      <c r="D404" s="106" t="s">
        <v>105</v>
      </c>
      <c r="E404" s="107"/>
      <c r="F404" s="108" t="s">
        <v>9473</v>
      </c>
      <c r="G404" s="109">
        <v>4</v>
      </c>
      <c r="H404" s="108" t="s">
        <v>9474</v>
      </c>
      <c r="I404" s="117">
        <v>2</v>
      </c>
      <c r="J404" s="111" t="s">
        <v>53</v>
      </c>
      <c r="K404" s="108" t="s">
        <v>9475</v>
      </c>
      <c r="L404" s="112">
        <v>4</v>
      </c>
      <c r="M404" s="113"/>
      <c r="N404" s="108" t="s">
        <v>9473</v>
      </c>
      <c r="O404" s="112">
        <v>4</v>
      </c>
      <c r="P404" s="113"/>
      <c r="Q404" s="108" t="s">
        <v>9476</v>
      </c>
      <c r="R404" s="112">
        <v>4</v>
      </c>
      <c r="S404" s="113"/>
      <c r="T404" s="108" t="s">
        <v>9477</v>
      </c>
      <c r="U404" s="112">
        <v>4</v>
      </c>
      <c r="V404" s="113"/>
      <c r="W404" s="108" t="s">
        <v>47</v>
      </c>
      <c r="X404" s="114"/>
      <c r="Y404" s="113"/>
      <c r="Z404" s="108" t="s">
        <v>47</v>
      </c>
      <c r="AA404" s="114"/>
      <c r="AB404" s="113"/>
      <c r="AC404" s="105" t="s">
        <v>1083</v>
      </c>
      <c r="AD404" s="115" t="s">
        <v>107</v>
      </c>
    </row>
    <row r="405" spans="1:30" x14ac:dyDescent="0.2">
      <c r="A405" s="104" t="s">
        <v>1084</v>
      </c>
      <c r="B405" s="105" t="s">
        <v>805</v>
      </c>
      <c r="C405" s="105" t="s">
        <v>1055</v>
      </c>
      <c r="D405" s="106" t="s">
        <v>105</v>
      </c>
      <c r="E405" s="107"/>
      <c r="F405" s="108" t="s">
        <v>9478</v>
      </c>
      <c r="G405" s="109">
        <v>4</v>
      </c>
      <c r="H405" s="108" t="s">
        <v>9479</v>
      </c>
      <c r="I405" s="117">
        <v>2</v>
      </c>
      <c r="J405" s="111" t="s">
        <v>53</v>
      </c>
      <c r="K405" s="108" t="s">
        <v>9480</v>
      </c>
      <c r="L405" s="112">
        <v>4</v>
      </c>
      <c r="M405" s="113"/>
      <c r="N405" s="108" t="s">
        <v>9478</v>
      </c>
      <c r="O405" s="112">
        <v>4</v>
      </c>
      <c r="P405" s="113"/>
      <c r="Q405" s="108" t="s">
        <v>9481</v>
      </c>
      <c r="R405" s="112">
        <v>4</v>
      </c>
      <c r="S405" s="113"/>
      <c r="T405" s="108" t="s">
        <v>9482</v>
      </c>
      <c r="U405" s="112">
        <v>4</v>
      </c>
      <c r="V405" s="113"/>
      <c r="W405" s="108" t="s">
        <v>47</v>
      </c>
      <c r="X405" s="114"/>
      <c r="Y405" s="113"/>
      <c r="Z405" s="108" t="s">
        <v>47</v>
      </c>
      <c r="AA405" s="114"/>
      <c r="AB405" s="113"/>
      <c r="AC405" s="105" t="s">
        <v>1085</v>
      </c>
      <c r="AD405" s="115" t="s">
        <v>107</v>
      </c>
    </row>
    <row r="406" spans="1:30" x14ac:dyDescent="0.2">
      <c r="A406" s="104" t="s">
        <v>1086</v>
      </c>
      <c r="B406" s="105" t="s">
        <v>805</v>
      </c>
      <c r="C406" s="105" t="s">
        <v>1063</v>
      </c>
      <c r="D406" s="106"/>
      <c r="E406" s="107"/>
      <c r="F406" s="108" t="s">
        <v>9483</v>
      </c>
      <c r="G406" s="119">
        <v>1</v>
      </c>
      <c r="H406" s="108" t="s">
        <v>9484</v>
      </c>
      <c r="I406" s="116">
        <v>1</v>
      </c>
      <c r="J406" s="113"/>
      <c r="K406" s="108" t="s">
        <v>9485</v>
      </c>
      <c r="L406" s="116">
        <v>1</v>
      </c>
      <c r="M406" s="113"/>
      <c r="N406" s="108" t="s">
        <v>9483</v>
      </c>
      <c r="O406" s="116">
        <v>1</v>
      </c>
      <c r="P406" s="111" t="s">
        <v>40</v>
      </c>
      <c r="Q406" s="108" t="s">
        <v>9486</v>
      </c>
      <c r="R406" s="110">
        <v>3</v>
      </c>
      <c r="S406" s="111" t="s">
        <v>40</v>
      </c>
      <c r="T406" s="108" t="s">
        <v>9487</v>
      </c>
      <c r="U406" s="110">
        <v>3</v>
      </c>
      <c r="V406" s="113"/>
      <c r="W406" s="108" t="s">
        <v>47</v>
      </c>
      <c r="X406" s="114"/>
      <c r="Y406" s="113"/>
      <c r="Z406" s="108" t="s">
        <v>47</v>
      </c>
      <c r="AA406" s="114"/>
      <c r="AB406" s="113"/>
      <c r="AC406" s="105" t="s">
        <v>1087</v>
      </c>
      <c r="AD406" s="115" t="s">
        <v>107</v>
      </c>
    </row>
    <row r="407" spans="1:30" x14ac:dyDescent="0.2">
      <c r="A407" s="104" t="s">
        <v>1088</v>
      </c>
      <c r="B407" s="105" t="s">
        <v>805</v>
      </c>
      <c r="C407" s="105" t="s">
        <v>1055</v>
      </c>
      <c r="D407" s="106" t="s">
        <v>298</v>
      </c>
      <c r="E407" s="107"/>
      <c r="F407" s="108" t="s">
        <v>9488</v>
      </c>
      <c r="G407" s="109">
        <v>4</v>
      </c>
      <c r="H407" s="108" t="s">
        <v>9489</v>
      </c>
      <c r="I407" s="117">
        <v>2</v>
      </c>
      <c r="J407" s="111" t="s">
        <v>53</v>
      </c>
      <c r="K407" s="108" t="s">
        <v>9490</v>
      </c>
      <c r="L407" s="112">
        <v>4</v>
      </c>
      <c r="M407" s="113"/>
      <c r="N407" s="108" t="s">
        <v>9488</v>
      </c>
      <c r="O407" s="112">
        <v>4</v>
      </c>
      <c r="P407" s="113"/>
      <c r="Q407" s="108" t="s">
        <v>9491</v>
      </c>
      <c r="R407" s="112">
        <v>4</v>
      </c>
      <c r="S407" s="113"/>
      <c r="T407" s="108" t="s">
        <v>9492</v>
      </c>
      <c r="U407" s="112">
        <v>4</v>
      </c>
      <c r="V407" s="113"/>
      <c r="W407" s="108" t="s">
        <v>47</v>
      </c>
      <c r="X407" s="114"/>
      <c r="Y407" s="113"/>
      <c r="Z407" s="108" t="s">
        <v>47</v>
      </c>
      <c r="AA407" s="114"/>
      <c r="AB407" s="113"/>
      <c r="AC407" s="105" t="s">
        <v>1089</v>
      </c>
      <c r="AD407" s="115" t="s">
        <v>107</v>
      </c>
    </row>
    <row r="408" spans="1:30" x14ac:dyDescent="0.2">
      <c r="A408" s="104" t="s">
        <v>1090</v>
      </c>
      <c r="B408" s="105" t="s">
        <v>805</v>
      </c>
      <c r="C408" s="105" t="s">
        <v>1055</v>
      </c>
      <c r="D408" s="106" t="s">
        <v>105</v>
      </c>
      <c r="E408" s="107"/>
      <c r="F408" s="108" t="s">
        <v>9493</v>
      </c>
      <c r="G408" s="109">
        <v>4</v>
      </c>
      <c r="H408" s="108" t="s">
        <v>9494</v>
      </c>
      <c r="I408" s="117">
        <v>2</v>
      </c>
      <c r="J408" s="111" t="s">
        <v>53</v>
      </c>
      <c r="K408" s="108" t="s">
        <v>9495</v>
      </c>
      <c r="L408" s="112">
        <v>4</v>
      </c>
      <c r="M408" s="113"/>
      <c r="N408" s="108" t="s">
        <v>9493</v>
      </c>
      <c r="O408" s="112">
        <v>4</v>
      </c>
      <c r="P408" s="113"/>
      <c r="Q408" s="108" t="s">
        <v>9496</v>
      </c>
      <c r="R408" s="112">
        <v>4</v>
      </c>
      <c r="S408" s="113"/>
      <c r="T408" s="108" t="s">
        <v>9497</v>
      </c>
      <c r="U408" s="112">
        <v>4</v>
      </c>
      <c r="V408" s="113"/>
      <c r="W408" s="108" t="s">
        <v>47</v>
      </c>
      <c r="X408" s="114"/>
      <c r="Y408" s="113"/>
      <c r="Z408" s="108" t="s">
        <v>47</v>
      </c>
      <c r="AA408" s="114"/>
      <c r="AB408" s="113"/>
      <c r="AC408" s="105" t="s">
        <v>1091</v>
      </c>
      <c r="AD408" s="115" t="s">
        <v>107</v>
      </c>
    </row>
    <row r="409" spans="1:30" x14ac:dyDescent="0.2">
      <c r="A409" s="104" t="s">
        <v>1092</v>
      </c>
      <c r="B409" s="105" t="s">
        <v>805</v>
      </c>
      <c r="C409" s="105" t="s">
        <v>1055</v>
      </c>
      <c r="D409" s="106" t="s">
        <v>105</v>
      </c>
      <c r="E409" s="107"/>
      <c r="F409" s="108" t="s">
        <v>9498</v>
      </c>
      <c r="G409" s="109">
        <v>4</v>
      </c>
      <c r="H409" s="108" t="s">
        <v>9499</v>
      </c>
      <c r="I409" s="116">
        <v>1</v>
      </c>
      <c r="J409" s="111" t="s">
        <v>157</v>
      </c>
      <c r="K409" s="108" t="s">
        <v>9500</v>
      </c>
      <c r="L409" s="112">
        <v>4</v>
      </c>
      <c r="M409" s="113"/>
      <c r="N409" s="108" t="s">
        <v>9498</v>
      </c>
      <c r="O409" s="112">
        <v>4</v>
      </c>
      <c r="P409" s="113"/>
      <c r="Q409" s="108" t="s">
        <v>9501</v>
      </c>
      <c r="R409" s="112">
        <v>4</v>
      </c>
      <c r="S409" s="113"/>
      <c r="T409" s="108" t="s">
        <v>9502</v>
      </c>
      <c r="U409" s="112">
        <v>4</v>
      </c>
      <c r="V409" s="113"/>
      <c r="W409" s="108" t="s">
        <v>47</v>
      </c>
      <c r="X409" s="114"/>
      <c r="Y409" s="113"/>
      <c r="Z409" s="108" t="s">
        <v>47</v>
      </c>
      <c r="AA409" s="114"/>
      <c r="AB409" s="113"/>
      <c r="AC409" s="105" t="s">
        <v>1093</v>
      </c>
      <c r="AD409" s="115" t="s">
        <v>107</v>
      </c>
    </row>
    <row r="410" spans="1:30" x14ac:dyDescent="0.2">
      <c r="A410" s="104" t="s">
        <v>1094</v>
      </c>
      <c r="B410" s="105" t="s">
        <v>805</v>
      </c>
      <c r="C410" s="105" t="s">
        <v>1055</v>
      </c>
      <c r="D410" s="106" t="s">
        <v>105</v>
      </c>
      <c r="E410" s="107"/>
      <c r="F410" s="108" t="s">
        <v>9503</v>
      </c>
      <c r="G410" s="109">
        <v>4</v>
      </c>
      <c r="H410" s="108" t="s">
        <v>9504</v>
      </c>
      <c r="I410" s="116">
        <v>1</v>
      </c>
      <c r="J410" s="111" t="s">
        <v>157</v>
      </c>
      <c r="K410" s="108" t="s">
        <v>9505</v>
      </c>
      <c r="L410" s="112">
        <v>4</v>
      </c>
      <c r="M410" s="113"/>
      <c r="N410" s="108" t="s">
        <v>9503</v>
      </c>
      <c r="O410" s="112">
        <v>4</v>
      </c>
      <c r="P410" s="113"/>
      <c r="Q410" s="108" t="s">
        <v>9506</v>
      </c>
      <c r="R410" s="112">
        <v>4</v>
      </c>
      <c r="S410" s="113"/>
      <c r="T410" s="108" t="s">
        <v>9507</v>
      </c>
      <c r="U410" s="112">
        <v>4</v>
      </c>
      <c r="V410" s="113"/>
      <c r="W410" s="108" t="s">
        <v>47</v>
      </c>
      <c r="X410" s="114"/>
      <c r="Y410" s="113"/>
      <c r="Z410" s="108" t="s">
        <v>47</v>
      </c>
      <c r="AA410" s="114"/>
      <c r="AB410" s="113"/>
      <c r="AC410" s="105" t="s">
        <v>1095</v>
      </c>
      <c r="AD410" s="115" t="s">
        <v>107</v>
      </c>
    </row>
    <row r="411" spans="1:30" x14ac:dyDescent="0.2">
      <c r="A411" s="104" t="s">
        <v>1096</v>
      </c>
      <c r="B411" s="105" t="s">
        <v>805</v>
      </c>
      <c r="C411" s="105" t="s">
        <v>1055</v>
      </c>
      <c r="D411" s="106" t="s">
        <v>105</v>
      </c>
      <c r="E411" s="107"/>
      <c r="F411" s="108" t="s">
        <v>9508</v>
      </c>
      <c r="G411" s="109">
        <v>4</v>
      </c>
      <c r="H411" s="108" t="s">
        <v>9509</v>
      </c>
      <c r="I411" s="116">
        <v>1</v>
      </c>
      <c r="J411" s="111" t="s">
        <v>157</v>
      </c>
      <c r="K411" s="108" t="s">
        <v>9510</v>
      </c>
      <c r="L411" s="112">
        <v>4</v>
      </c>
      <c r="M411" s="113"/>
      <c r="N411" s="108" t="s">
        <v>9508</v>
      </c>
      <c r="O411" s="112">
        <v>4</v>
      </c>
      <c r="P411" s="113"/>
      <c r="Q411" s="108" t="s">
        <v>9511</v>
      </c>
      <c r="R411" s="112">
        <v>4</v>
      </c>
      <c r="S411" s="113"/>
      <c r="T411" s="108" t="s">
        <v>9512</v>
      </c>
      <c r="U411" s="112">
        <v>4</v>
      </c>
      <c r="V411" s="113"/>
      <c r="W411" s="108" t="s">
        <v>47</v>
      </c>
      <c r="X411" s="114"/>
      <c r="Y411" s="113"/>
      <c r="Z411" s="108" t="s">
        <v>47</v>
      </c>
      <c r="AA411" s="114"/>
      <c r="AB411" s="113"/>
      <c r="AC411" s="105" t="s">
        <v>1097</v>
      </c>
      <c r="AD411" s="115" t="s">
        <v>107</v>
      </c>
    </row>
    <row r="412" spans="1:30" x14ac:dyDescent="0.2">
      <c r="A412" s="104" t="s">
        <v>1098</v>
      </c>
      <c r="B412" s="105" t="s">
        <v>805</v>
      </c>
      <c r="C412" s="105" t="s">
        <v>1055</v>
      </c>
      <c r="D412" s="106" t="s">
        <v>105</v>
      </c>
      <c r="E412" s="107"/>
      <c r="F412" s="108" t="s">
        <v>9513</v>
      </c>
      <c r="G412" s="109">
        <v>4</v>
      </c>
      <c r="H412" s="108" t="s">
        <v>9514</v>
      </c>
      <c r="I412" s="117">
        <v>2</v>
      </c>
      <c r="J412" s="111" t="s">
        <v>53</v>
      </c>
      <c r="K412" s="108" t="s">
        <v>9515</v>
      </c>
      <c r="L412" s="112">
        <v>4</v>
      </c>
      <c r="M412" s="113"/>
      <c r="N412" s="108" t="s">
        <v>9513</v>
      </c>
      <c r="O412" s="112">
        <v>4</v>
      </c>
      <c r="P412" s="113"/>
      <c r="Q412" s="108" t="s">
        <v>9516</v>
      </c>
      <c r="R412" s="112">
        <v>4</v>
      </c>
      <c r="S412" s="113"/>
      <c r="T412" s="108" t="s">
        <v>9517</v>
      </c>
      <c r="U412" s="112">
        <v>4</v>
      </c>
      <c r="V412" s="113"/>
      <c r="W412" s="108" t="s">
        <v>47</v>
      </c>
      <c r="X412" s="114"/>
      <c r="Y412" s="113"/>
      <c r="Z412" s="108" t="s">
        <v>47</v>
      </c>
      <c r="AA412" s="114"/>
      <c r="AB412" s="113"/>
      <c r="AC412" s="105" t="s">
        <v>1099</v>
      </c>
      <c r="AD412" s="115" t="s">
        <v>107</v>
      </c>
    </row>
    <row r="413" spans="1:30" x14ac:dyDescent="0.2">
      <c r="A413" s="104" t="s">
        <v>1100</v>
      </c>
      <c r="B413" s="105" t="s">
        <v>805</v>
      </c>
      <c r="C413" s="105" t="s">
        <v>1055</v>
      </c>
      <c r="D413" s="106" t="s">
        <v>105</v>
      </c>
      <c r="E413" s="107"/>
      <c r="F413" s="108" t="s">
        <v>9518</v>
      </c>
      <c r="G413" s="109">
        <v>4</v>
      </c>
      <c r="H413" s="108" t="s">
        <v>9519</v>
      </c>
      <c r="I413" s="117">
        <v>2</v>
      </c>
      <c r="J413" s="111" t="s">
        <v>53</v>
      </c>
      <c r="K413" s="108" t="s">
        <v>9520</v>
      </c>
      <c r="L413" s="112">
        <v>4</v>
      </c>
      <c r="M413" s="113"/>
      <c r="N413" s="108" t="s">
        <v>9518</v>
      </c>
      <c r="O413" s="112">
        <v>4</v>
      </c>
      <c r="P413" s="113"/>
      <c r="Q413" s="108" t="s">
        <v>9521</v>
      </c>
      <c r="R413" s="112">
        <v>4</v>
      </c>
      <c r="S413" s="113"/>
      <c r="T413" s="108" t="s">
        <v>9522</v>
      </c>
      <c r="U413" s="112">
        <v>4</v>
      </c>
      <c r="V413" s="113"/>
      <c r="W413" s="108" t="s">
        <v>47</v>
      </c>
      <c r="X413" s="114"/>
      <c r="Y413" s="113"/>
      <c r="Z413" s="108" t="s">
        <v>47</v>
      </c>
      <c r="AA413" s="114"/>
      <c r="AB413" s="113"/>
      <c r="AC413" s="105" t="s">
        <v>1101</v>
      </c>
      <c r="AD413" s="115" t="s">
        <v>107</v>
      </c>
    </row>
    <row r="414" spans="1:30" x14ac:dyDescent="0.2">
      <c r="A414" s="104" t="s">
        <v>1102</v>
      </c>
      <c r="B414" s="105" t="s">
        <v>805</v>
      </c>
      <c r="C414" s="105" t="s">
        <v>1055</v>
      </c>
      <c r="D414" s="106" t="s">
        <v>105</v>
      </c>
      <c r="E414" s="107"/>
      <c r="F414" s="108" t="s">
        <v>9523</v>
      </c>
      <c r="G414" s="118">
        <v>3</v>
      </c>
      <c r="H414" s="108" t="s">
        <v>9524</v>
      </c>
      <c r="I414" s="116">
        <v>1</v>
      </c>
      <c r="J414" s="111" t="s">
        <v>53</v>
      </c>
      <c r="K414" s="108" t="s">
        <v>9525</v>
      </c>
      <c r="L414" s="117">
        <v>2</v>
      </c>
      <c r="M414" s="113"/>
      <c r="N414" s="108" t="s">
        <v>9523</v>
      </c>
      <c r="O414" s="110">
        <v>3</v>
      </c>
      <c r="P414" s="113"/>
      <c r="Q414" s="108" t="s">
        <v>9526</v>
      </c>
      <c r="R414" s="110">
        <v>3</v>
      </c>
      <c r="S414" s="111" t="s">
        <v>40</v>
      </c>
      <c r="T414" s="108" t="s">
        <v>9527</v>
      </c>
      <c r="U414" s="110">
        <v>3</v>
      </c>
      <c r="V414" s="111" t="s">
        <v>40</v>
      </c>
      <c r="W414" s="108" t="s">
        <v>1103</v>
      </c>
      <c r="X414" s="110">
        <v>3</v>
      </c>
      <c r="Y414" s="113"/>
      <c r="Z414" s="108" t="s">
        <v>9528</v>
      </c>
      <c r="AA414" s="110">
        <v>3</v>
      </c>
      <c r="AB414" s="113"/>
      <c r="AC414" s="105" t="s">
        <v>1104</v>
      </c>
      <c r="AD414" s="115" t="s">
        <v>107</v>
      </c>
    </row>
    <row r="415" spans="1:30" x14ac:dyDescent="0.2">
      <c r="A415" s="104" t="s">
        <v>9529</v>
      </c>
      <c r="B415" s="105" t="s">
        <v>805</v>
      </c>
      <c r="C415" s="105" t="s">
        <v>1055</v>
      </c>
      <c r="D415" s="106" t="s">
        <v>105</v>
      </c>
      <c r="E415" s="107"/>
      <c r="F415" s="108" t="s">
        <v>9530</v>
      </c>
      <c r="G415" s="118">
        <v>3</v>
      </c>
      <c r="H415" s="108" t="s">
        <v>9531</v>
      </c>
      <c r="I415" s="117">
        <v>2</v>
      </c>
      <c r="J415" s="111" t="s">
        <v>40</v>
      </c>
      <c r="K415" s="108" t="s">
        <v>9532</v>
      </c>
      <c r="L415" s="117">
        <v>2</v>
      </c>
      <c r="M415" s="113"/>
      <c r="N415" s="108" t="s">
        <v>9530</v>
      </c>
      <c r="O415" s="110">
        <v>3</v>
      </c>
      <c r="P415" s="113"/>
      <c r="Q415" s="108" t="s">
        <v>9533</v>
      </c>
      <c r="R415" s="110">
        <v>3</v>
      </c>
      <c r="S415" s="111" t="s">
        <v>40</v>
      </c>
      <c r="T415" s="108" t="s">
        <v>9534</v>
      </c>
      <c r="U415" s="110">
        <v>3</v>
      </c>
      <c r="V415" s="113"/>
      <c r="W415" s="108" t="s">
        <v>47</v>
      </c>
      <c r="X415" s="114"/>
      <c r="Y415" s="113"/>
      <c r="Z415" s="108" t="s">
        <v>47</v>
      </c>
      <c r="AA415" s="114"/>
      <c r="AB415" s="113"/>
      <c r="AC415" s="105" t="s">
        <v>1105</v>
      </c>
      <c r="AD415" s="115" t="s">
        <v>107</v>
      </c>
    </row>
    <row r="416" spans="1:30" x14ac:dyDescent="0.2">
      <c r="A416" s="104" t="s">
        <v>1106</v>
      </c>
      <c r="B416" s="105" t="s">
        <v>805</v>
      </c>
      <c r="C416" s="105" t="s">
        <v>1063</v>
      </c>
      <c r="D416" s="106"/>
      <c r="E416" s="107"/>
      <c r="F416" s="108" t="s">
        <v>47</v>
      </c>
      <c r="G416" s="113"/>
      <c r="H416" s="108" t="s">
        <v>9535</v>
      </c>
      <c r="I416" s="110">
        <v>3</v>
      </c>
      <c r="J416" s="113"/>
      <c r="K416" s="108" t="s">
        <v>9536</v>
      </c>
      <c r="L416" s="112">
        <v>4</v>
      </c>
      <c r="M416" s="111" t="s">
        <v>46</v>
      </c>
      <c r="N416" s="108" t="s">
        <v>47</v>
      </c>
      <c r="O416" s="114"/>
      <c r="P416" s="113"/>
      <c r="Q416" s="108" t="s">
        <v>47</v>
      </c>
      <c r="R416" s="114"/>
      <c r="S416" s="113"/>
      <c r="T416" s="108" t="s">
        <v>47</v>
      </c>
      <c r="U416" s="114"/>
      <c r="V416" s="113"/>
      <c r="W416" s="108" t="s">
        <v>47</v>
      </c>
      <c r="X416" s="114"/>
      <c r="Y416" s="113"/>
      <c r="Z416" s="108" t="s">
        <v>47</v>
      </c>
      <c r="AA416" s="114"/>
      <c r="AB416" s="113"/>
      <c r="AC416" s="105" t="s">
        <v>1107</v>
      </c>
      <c r="AD416" s="115" t="s">
        <v>107</v>
      </c>
    </row>
    <row r="417" spans="1:30" x14ac:dyDescent="0.2">
      <c r="A417" s="104" t="s">
        <v>9537</v>
      </c>
      <c r="B417" s="105" t="s">
        <v>805</v>
      </c>
      <c r="C417" s="105" t="s">
        <v>1063</v>
      </c>
      <c r="D417" s="106"/>
      <c r="E417" s="107"/>
      <c r="F417" s="108" t="s">
        <v>9538</v>
      </c>
      <c r="G417" s="109">
        <v>4</v>
      </c>
      <c r="H417" s="108" t="s">
        <v>9539</v>
      </c>
      <c r="I417" s="112">
        <v>4</v>
      </c>
      <c r="J417" s="111" t="s">
        <v>46</v>
      </c>
      <c r="K417" s="108" t="s">
        <v>9540</v>
      </c>
      <c r="L417" s="112">
        <v>4</v>
      </c>
      <c r="M417" s="111" t="s">
        <v>46</v>
      </c>
      <c r="N417" s="108" t="s">
        <v>9538</v>
      </c>
      <c r="O417" s="112">
        <v>4</v>
      </c>
      <c r="P417" s="113"/>
      <c r="Q417" s="108" t="s">
        <v>47</v>
      </c>
      <c r="R417" s="114"/>
      <c r="S417" s="113"/>
      <c r="T417" s="108" t="s">
        <v>47</v>
      </c>
      <c r="U417" s="114"/>
      <c r="V417" s="113"/>
      <c r="W417" s="108" t="s">
        <v>47</v>
      </c>
      <c r="X417" s="114"/>
      <c r="Y417" s="113"/>
      <c r="Z417" s="108" t="s">
        <v>47</v>
      </c>
      <c r="AA417" s="114"/>
      <c r="AB417" s="113"/>
      <c r="AC417" s="105" t="s">
        <v>1108</v>
      </c>
      <c r="AD417" s="115" t="s">
        <v>107</v>
      </c>
    </row>
    <row r="418" spans="1:30" x14ac:dyDescent="0.2">
      <c r="A418" s="104" t="s">
        <v>1109</v>
      </c>
      <c r="B418" s="105" t="s">
        <v>805</v>
      </c>
      <c r="C418" s="105" t="s">
        <v>1110</v>
      </c>
      <c r="D418" s="106"/>
      <c r="E418" s="107"/>
      <c r="F418" s="108" t="s">
        <v>47</v>
      </c>
      <c r="G418" s="113"/>
      <c r="H418" s="108" t="s">
        <v>47</v>
      </c>
      <c r="I418" s="114"/>
      <c r="J418" s="113"/>
      <c r="K418" s="108" t="s">
        <v>47</v>
      </c>
      <c r="L418" s="114"/>
      <c r="M418" s="113"/>
      <c r="N418" s="108" t="s">
        <v>47</v>
      </c>
      <c r="O418" s="114"/>
      <c r="P418" s="113"/>
      <c r="Q418" s="108" t="s">
        <v>47</v>
      </c>
      <c r="R418" s="114"/>
      <c r="S418" s="113"/>
      <c r="T418" s="108" t="s">
        <v>47</v>
      </c>
      <c r="U418" s="114"/>
      <c r="V418" s="113"/>
      <c r="W418" s="108" t="s">
        <v>47</v>
      </c>
      <c r="X418" s="114"/>
      <c r="Y418" s="113"/>
      <c r="Z418" s="108" t="s">
        <v>47</v>
      </c>
      <c r="AA418" s="114"/>
      <c r="AB418" s="113"/>
      <c r="AC418" s="105" t="s">
        <v>1111</v>
      </c>
      <c r="AD418" s="115" t="s">
        <v>107</v>
      </c>
    </row>
    <row r="419" spans="1:30" x14ac:dyDescent="0.2">
      <c r="A419" s="104" t="s">
        <v>1112</v>
      </c>
      <c r="B419" s="105" t="s">
        <v>805</v>
      </c>
      <c r="C419" s="105" t="s">
        <v>1110</v>
      </c>
      <c r="D419" s="106" t="s">
        <v>105</v>
      </c>
      <c r="E419" s="107"/>
      <c r="F419" s="108" t="s">
        <v>9541</v>
      </c>
      <c r="G419" s="109">
        <v>4</v>
      </c>
      <c r="H419" s="108" t="s">
        <v>9542</v>
      </c>
      <c r="I419" s="116">
        <v>1</v>
      </c>
      <c r="J419" s="111" t="s">
        <v>157</v>
      </c>
      <c r="K419" s="108" t="s">
        <v>9543</v>
      </c>
      <c r="L419" s="110">
        <v>3</v>
      </c>
      <c r="M419" s="111" t="s">
        <v>40</v>
      </c>
      <c r="N419" s="108" t="s">
        <v>9541</v>
      </c>
      <c r="O419" s="112">
        <v>4</v>
      </c>
      <c r="P419" s="113"/>
      <c r="Q419" s="108" t="s">
        <v>9544</v>
      </c>
      <c r="R419" s="117">
        <v>2</v>
      </c>
      <c r="S419" s="111" t="s">
        <v>53</v>
      </c>
      <c r="T419" s="108" t="s">
        <v>9545</v>
      </c>
      <c r="U419" s="112">
        <v>4</v>
      </c>
      <c r="V419" s="113"/>
      <c r="W419" s="108" t="s">
        <v>1113</v>
      </c>
      <c r="X419" s="110">
        <v>3</v>
      </c>
      <c r="Y419" s="113"/>
      <c r="Z419" s="108" t="s">
        <v>9546</v>
      </c>
      <c r="AA419" s="112">
        <v>4</v>
      </c>
      <c r="AB419" s="111" t="s">
        <v>46</v>
      </c>
      <c r="AC419" s="105" t="s">
        <v>1114</v>
      </c>
      <c r="AD419" s="115" t="s">
        <v>107</v>
      </c>
    </row>
    <row r="420" spans="1:30" x14ac:dyDescent="0.2">
      <c r="A420" s="104" t="s">
        <v>1115</v>
      </c>
      <c r="B420" s="105" t="s">
        <v>805</v>
      </c>
      <c r="C420" s="105" t="s">
        <v>1110</v>
      </c>
      <c r="D420" s="106" t="s">
        <v>105</v>
      </c>
      <c r="E420" s="107"/>
      <c r="F420" s="108" t="s">
        <v>9547</v>
      </c>
      <c r="G420" s="109">
        <v>4</v>
      </c>
      <c r="H420" s="108" t="s">
        <v>9548</v>
      </c>
      <c r="I420" s="116">
        <v>1</v>
      </c>
      <c r="J420" s="111" t="s">
        <v>157</v>
      </c>
      <c r="K420" s="108" t="s">
        <v>9549</v>
      </c>
      <c r="L420" s="110">
        <v>3</v>
      </c>
      <c r="M420" s="111" t="s">
        <v>40</v>
      </c>
      <c r="N420" s="108" t="s">
        <v>9547</v>
      </c>
      <c r="O420" s="112">
        <v>4</v>
      </c>
      <c r="P420" s="113"/>
      <c r="Q420" s="108" t="s">
        <v>9550</v>
      </c>
      <c r="R420" s="117">
        <v>2</v>
      </c>
      <c r="S420" s="111" t="s">
        <v>53</v>
      </c>
      <c r="T420" s="108" t="s">
        <v>9551</v>
      </c>
      <c r="U420" s="112">
        <v>4</v>
      </c>
      <c r="V420" s="113"/>
      <c r="W420" s="108" t="s">
        <v>9552</v>
      </c>
      <c r="X420" s="110">
        <v>3</v>
      </c>
      <c r="Y420" s="113"/>
      <c r="Z420" s="108" t="s">
        <v>9553</v>
      </c>
      <c r="AA420" s="112">
        <v>4</v>
      </c>
      <c r="AB420" s="111" t="s">
        <v>46</v>
      </c>
      <c r="AC420" s="105" t="s">
        <v>1116</v>
      </c>
      <c r="AD420" s="115" t="s">
        <v>107</v>
      </c>
    </row>
    <row r="421" spans="1:30" x14ac:dyDescent="0.2">
      <c r="A421" s="104" t="s">
        <v>1117</v>
      </c>
      <c r="B421" s="105" t="s">
        <v>805</v>
      </c>
      <c r="C421" s="105" t="s">
        <v>1110</v>
      </c>
      <c r="D421" s="106"/>
      <c r="E421" s="107"/>
      <c r="F421" s="108" t="s">
        <v>9554</v>
      </c>
      <c r="G421" s="109">
        <v>4</v>
      </c>
      <c r="H421" s="108" t="s">
        <v>9555</v>
      </c>
      <c r="I421" s="116">
        <v>1</v>
      </c>
      <c r="J421" s="111" t="s">
        <v>157</v>
      </c>
      <c r="K421" s="108" t="s">
        <v>9556</v>
      </c>
      <c r="L421" s="112">
        <v>4</v>
      </c>
      <c r="M421" s="113"/>
      <c r="N421" s="108" t="s">
        <v>9554</v>
      </c>
      <c r="O421" s="112">
        <v>4</v>
      </c>
      <c r="P421" s="113"/>
      <c r="Q421" s="108" t="s">
        <v>9557</v>
      </c>
      <c r="R421" s="116">
        <v>1</v>
      </c>
      <c r="S421" s="113"/>
      <c r="T421" s="108" t="s">
        <v>47</v>
      </c>
      <c r="U421" s="114"/>
      <c r="V421" s="113"/>
      <c r="W421" s="108" t="s">
        <v>47</v>
      </c>
      <c r="X421" s="114"/>
      <c r="Y421" s="113"/>
      <c r="Z421" s="108" t="s">
        <v>47</v>
      </c>
      <c r="AA421" s="114"/>
      <c r="AB421" s="113"/>
      <c r="AC421" s="105" t="s">
        <v>1118</v>
      </c>
      <c r="AD421" s="115" t="s">
        <v>107</v>
      </c>
    </row>
    <row r="422" spans="1:30" x14ac:dyDescent="0.2">
      <c r="A422" s="104" t="s">
        <v>1119</v>
      </c>
      <c r="B422" s="105" t="s">
        <v>805</v>
      </c>
      <c r="C422" s="105" t="s">
        <v>1110</v>
      </c>
      <c r="D422" s="106" t="s">
        <v>105</v>
      </c>
      <c r="E422" s="107"/>
      <c r="F422" s="108" t="s">
        <v>9558</v>
      </c>
      <c r="G422" s="109">
        <v>4</v>
      </c>
      <c r="H422" s="108" t="s">
        <v>9559</v>
      </c>
      <c r="I422" s="116">
        <v>1</v>
      </c>
      <c r="J422" s="111" t="s">
        <v>157</v>
      </c>
      <c r="K422" s="108" t="s">
        <v>9560</v>
      </c>
      <c r="L422" s="110">
        <v>3</v>
      </c>
      <c r="M422" s="111" t="s">
        <v>40</v>
      </c>
      <c r="N422" s="108" t="s">
        <v>9558</v>
      </c>
      <c r="O422" s="112">
        <v>4</v>
      </c>
      <c r="P422" s="113"/>
      <c r="Q422" s="108" t="s">
        <v>9561</v>
      </c>
      <c r="R422" s="117">
        <v>2</v>
      </c>
      <c r="S422" s="111" t="s">
        <v>53</v>
      </c>
      <c r="T422" s="108" t="s">
        <v>9562</v>
      </c>
      <c r="U422" s="112">
        <v>4</v>
      </c>
      <c r="V422" s="113"/>
      <c r="W422" s="108" t="s">
        <v>9563</v>
      </c>
      <c r="X422" s="110">
        <v>3</v>
      </c>
      <c r="Y422" s="113"/>
      <c r="Z422" s="108" t="s">
        <v>47</v>
      </c>
      <c r="AA422" s="114"/>
      <c r="AB422" s="113"/>
      <c r="AC422" s="105" t="s">
        <v>1120</v>
      </c>
      <c r="AD422" s="115" t="s">
        <v>107</v>
      </c>
    </row>
    <row r="423" spans="1:30" x14ac:dyDescent="0.2">
      <c r="A423" s="104" t="s">
        <v>1121</v>
      </c>
      <c r="B423" s="105" t="s">
        <v>805</v>
      </c>
      <c r="C423" s="105" t="s">
        <v>1110</v>
      </c>
      <c r="D423" s="106" t="s">
        <v>125</v>
      </c>
      <c r="E423" s="107"/>
      <c r="F423" s="108" t="s">
        <v>1122</v>
      </c>
      <c r="G423" s="109">
        <v>4</v>
      </c>
      <c r="H423" s="108" t="s">
        <v>9564</v>
      </c>
      <c r="I423" s="116">
        <v>1</v>
      </c>
      <c r="J423" s="111" t="s">
        <v>157</v>
      </c>
      <c r="K423" s="108" t="s">
        <v>9565</v>
      </c>
      <c r="L423" s="110">
        <v>3</v>
      </c>
      <c r="M423" s="111" t="s">
        <v>40</v>
      </c>
      <c r="N423" s="108" t="s">
        <v>1122</v>
      </c>
      <c r="O423" s="112">
        <v>4</v>
      </c>
      <c r="P423" s="113"/>
      <c r="Q423" s="108" t="s">
        <v>9566</v>
      </c>
      <c r="R423" s="116">
        <v>1</v>
      </c>
      <c r="S423" s="111" t="s">
        <v>157</v>
      </c>
      <c r="T423" s="108" t="s">
        <v>9567</v>
      </c>
      <c r="U423" s="110">
        <v>3</v>
      </c>
      <c r="V423" s="113"/>
      <c r="W423" s="108" t="s">
        <v>9568</v>
      </c>
      <c r="X423" s="117">
        <v>2</v>
      </c>
      <c r="Y423" s="113"/>
      <c r="Z423" s="108" t="s">
        <v>9569</v>
      </c>
      <c r="AA423" s="110">
        <v>3</v>
      </c>
      <c r="AB423" s="111" t="s">
        <v>46</v>
      </c>
      <c r="AC423" s="105" t="s">
        <v>1123</v>
      </c>
      <c r="AD423" s="115" t="s">
        <v>107</v>
      </c>
    </row>
    <row r="424" spans="1:30" x14ac:dyDescent="0.2">
      <c r="A424" s="104" t="s">
        <v>1124</v>
      </c>
      <c r="B424" s="105" t="s">
        <v>805</v>
      </c>
      <c r="C424" s="105" t="s">
        <v>1110</v>
      </c>
      <c r="D424" s="106"/>
      <c r="E424" s="107"/>
      <c r="F424" s="108" t="s">
        <v>9570</v>
      </c>
      <c r="G424" s="109">
        <v>4</v>
      </c>
      <c r="H424" s="108" t="s">
        <v>9571</v>
      </c>
      <c r="I424" s="116">
        <v>1</v>
      </c>
      <c r="J424" s="111" t="s">
        <v>157</v>
      </c>
      <c r="K424" s="108" t="s">
        <v>9572</v>
      </c>
      <c r="L424" s="110">
        <v>3</v>
      </c>
      <c r="M424" s="111" t="s">
        <v>40</v>
      </c>
      <c r="N424" s="108" t="s">
        <v>9570</v>
      </c>
      <c r="O424" s="112">
        <v>4</v>
      </c>
      <c r="P424" s="113"/>
      <c r="Q424" s="108" t="s">
        <v>47</v>
      </c>
      <c r="R424" s="114"/>
      <c r="S424" s="113"/>
      <c r="T424" s="108" t="s">
        <v>47</v>
      </c>
      <c r="U424" s="114"/>
      <c r="V424" s="113"/>
      <c r="W424" s="108" t="s">
        <v>47</v>
      </c>
      <c r="X424" s="114"/>
      <c r="Y424" s="113"/>
      <c r="Z424" s="108" t="s">
        <v>47</v>
      </c>
      <c r="AA424" s="114"/>
      <c r="AB424" s="113"/>
      <c r="AC424" s="105" t="s">
        <v>1125</v>
      </c>
      <c r="AD424" s="115" t="s">
        <v>107</v>
      </c>
    </row>
    <row r="425" spans="1:30" x14ac:dyDescent="0.2">
      <c r="A425" s="104" t="s">
        <v>1126</v>
      </c>
      <c r="B425" s="105" t="s">
        <v>805</v>
      </c>
      <c r="C425" s="105" t="s">
        <v>1110</v>
      </c>
      <c r="D425" s="106" t="s">
        <v>125</v>
      </c>
      <c r="E425" s="107"/>
      <c r="F425" s="108" t="s">
        <v>9573</v>
      </c>
      <c r="G425" s="109">
        <v>4</v>
      </c>
      <c r="H425" s="108" t="s">
        <v>9574</v>
      </c>
      <c r="I425" s="116">
        <v>1</v>
      </c>
      <c r="J425" s="111" t="s">
        <v>157</v>
      </c>
      <c r="K425" s="108" t="s">
        <v>1127</v>
      </c>
      <c r="L425" s="110">
        <v>3</v>
      </c>
      <c r="M425" s="111" t="s">
        <v>40</v>
      </c>
      <c r="N425" s="108" t="s">
        <v>9573</v>
      </c>
      <c r="O425" s="112">
        <v>4</v>
      </c>
      <c r="P425" s="113"/>
      <c r="Q425" s="108" t="s">
        <v>9575</v>
      </c>
      <c r="R425" s="116">
        <v>1</v>
      </c>
      <c r="S425" s="111" t="s">
        <v>157</v>
      </c>
      <c r="T425" s="108" t="s">
        <v>8087</v>
      </c>
      <c r="U425" s="110">
        <v>3</v>
      </c>
      <c r="V425" s="113"/>
      <c r="W425" s="108" t="s">
        <v>9576</v>
      </c>
      <c r="X425" s="117">
        <v>2</v>
      </c>
      <c r="Y425" s="113"/>
      <c r="Z425" s="108" t="s">
        <v>9577</v>
      </c>
      <c r="AA425" s="110">
        <v>3</v>
      </c>
      <c r="AB425" s="113"/>
      <c r="AC425" s="105" t="s">
        <v>1128</v>
      </c>
      <c r="AD425" s="115" t="s">
        <v>107</v>
      </c>
    </row>
    <row r="426" spans="1:30" x14ac:dyDescent="0.2">
      <c r="A426" s="104" t="s">
        <v>1129</v>
      </c>
      <c r="B426" s="105" t="s">
        <v>805</v>
      </c>
      <c r="C426" s="105" t="s">
        <v>1110</v>
      </c>
      <c r="D426" s="106" t="s">
        <v>125</v>
      </c>
      <c r="E426" s="107"/>
      <c r="F426" s="108" t="s">
        <v>1130</v>
      </c>
      <c r="G426" s="109">
        <v>4</v>
      </c>
      <c r="H426" s="108" t="s">
        <v>9578</v>
      </c>
      <c r="I426" s="116">
        <v>1</v>
      </c>
      <c r="J426" s="111" t="s">
        <v>157</v>
      </c>
      <c r="K426" s="108" t="s">
        <v>9579</v>
      </c>
      <c r="L426" s="110">
        <v>3</v>
      </c>
      <c r="M426" s="111" t="s">
        <v>40</v>
      </c>
      <c r="N426" s="108" t="s">
        <v>1130</v>
      </c>
      <c r="O426" s="112">
        <v>4</v>
      </c>
      <c r="P426" s="113"/>
      <c r="Q426" s="108" t="s">
        <v>9580</v>
      </c>
      <c r="R426" s="116">
        <v>1</v>
      </c>
      <c r="S426" s="111" t="s">
        <v>157</v>
      </c>
      <c r="T426" s="108" t="s">
        <v>9581</v>
      </c>
      <c r="U426" s="112">
        <v>4</v>
      </c>
      <c r="V426" s="113"/>
      <c r="W426" s="108" t="s">
        <v>9582</v>
      </c>
      <c r="X426" s="117">
        <v>2</v>
      </c>
      <c r="Y426" s="111" t="s">
        <v>40</v>
      </c>
      <c r="Z426" s="108" t="s">
        <v>9583</v>
      </c>
      <c r="AA426" s="110">
        <v>3</v>
      </c>
      <c r="AB426" s="113"/>
      <c r="AC426" s="105" t="s">
        <v>1131</v>
      </c>
      <c r="AD426" s="115" t="s">
        <v>107</v>
      </c>
    </row>
    <row r="427" spans="1:30" x14ac:dyDescent="0.2">
      <c r="A427" s="104" t="s">
        <v>1132</v>
      </c>
      <c r="B427" s="105" t="s">
        <v>805</v>
      </c>
      <c r="C427" s="105" t="s">
        <v>1110</v>
      </c>
      <c r="D427" s="106" t="s">
        <v>125</v>
      </c>
      <c r="E427" s="107"/>
      <c r="F427" s="108" t="s">
        <v>9584</v>
      </c>
      <c r="G427" s="109">
        <v>4</v>
      </c>
      <c r="H427" s="108" t="s">
        <v>9585</v>
      </c>
      <c r="I427" s="116">
        <v>1</v>
      </c>
      <c r="J427" s="111" t="s">
        <v>157</v>
      </c>
      <c r="K427" s="108" t="s">
        <v>1133</v>
      </c>
      <c r="L427" s="110">
        <v>3</v>
      </c>
      <c r="M427" s="111" t="s">
        <v>40</v>
      </c>
      <c r="N427" s="108" t="s">
        <v>9584</v>
      </c>
      <c r="O427" s="112">
        <v>4</v>
      </c>
      <c r="P427" s="113"/>
      <c r="Q427" s="108" t="s">
        <v>9586</v>
      </c>
      <c r="R427" s="116">
        <v>1</v>
      </c>
      <c r="S427" s="111" t="s">
        <v>157</v>
      </c>
      <c r="T427" s="108" t="s">
        <v>9587</v>
      </c>
      <c r="U427" s="112">
        <v>4</v>
      </c>
      <c r="V427" s="113"/>
      <c r="W427" s="108" t="s">
        <v>9588</v>
      </c>
      <c r="X427" s="117">
        <v>2</v>
      </c>
      <c r="Y427" s="111" t="s">
        <v>40</v>
      </c>
      <c r="Z427" s="108" t="s">
        <v>9589</v>
      </c>
      <c r="AA427" s="110">
        <v>3</v>
      </c>
      <c r="AB427" s="113"/>
      <c r="AC427" s="105" t="s">
        <v>1134</v>
      </c>
      <c r="AD427" s="115" t="s">
        <v>107</v>
      </c>
    </row>
    <row r="428" spans="1:30" x14ac:dyDescent="0.2">
      <c r="A428" s="104" t="s">
        <v>1135</v>
      </c>
      <c r="B428" s="105" t="s">
        <v>805</v>
      </c>
      <c r="C428" s="105" t="s">
        <v>1110</v>
      </c>
      <c r="D428" s="106" t="s">
        <v>105</v>
      </c>
      <c r="E428" s="107"/>
      <c r="F428" s="108" t="s">
        <v>9590</v>
      </c>
      <c r="G428" s="109">
        <v>4</v>
      </c>
      <c r="H428" s="108" t="s">
        <v>9591</v>
      </c>
      <c r="I428" s="116">
        <v>1</v>
      </c>
      <c r="J428" s="111" t="s">
        <v>157</v>
      </c>
      <c r="K428" s="108" t="s">
        <v>9592</v>
      </c>
      <c r="L428" s="110">
        <v>3</v>
      </c>
      <c r="M428" s="111" t="s">
        <v>40</v>
      </c>
      <c r="N428" s="108" t="s">
        <v>9590</v>
      </c>
      <c r="O428" s="112">
        <v>4</v>
      </c>
      <c r="P428" s="113"/>
      <c r="Q428" s="108" t="s">
        <v>9593</v>
      </c>
      <c r="R428" s="117">
        <v>2</v>
      </c>
      <c r="S428" s="111" t="s">
        <v>53</v>
      </c>
      <c r="T428" s="108" t="s">
        <v>1136</v>
      </c>
      <c r="U428" s="112">
        <v>4</v>
      </c>
      <c r="V428" s="113"/>
      <c r="W428" s="108" t="s">
        <v>1137</v>
      </c>
      <c r="X428" s="110">
        <v>3</v>
      </c>
      <c r="Y428" s="113"/>
      <c r="Z428" s="108" t="s">
        <v>9594</v>
      </c>
      <c r="AA428" s="112">
        <v>4</v>
      </c>
      <c r="AB428" s="113"/>
      <c r="AC428" s="105" t="s">
        <v>1138</v>
      </c>
      <c r="AD428" s="115" t="s">
        <v>107</v>
      </c>
    </row>
    <row r="429" spans="1:30" x14ac:dyDescent="0.2">
      <c r="A429" s="104" t="s">
        <v>1139</v>
      </c>
      <c r="B429" s="105" t="s">
        <v>805</v>
      </c>
      <c r="C429" s="105" t="s">
        <v>1110</v>
      </c>
      <c r="D429" s="106" t="s">
        <v>105</v>
      </c>
      <c r="E429" s="107"/>
      <c r="F429" s="108" t="s">
        <v>9595</v>
      </c>
      <c r="G429" s="109">
        <v>4</v>
      </c>
      <c r="H429" s="108" t="s">
        <v>9596</v>
      </c>
      <c r="I429" s="116">
        <v>1</v>
      </c>
      <c r="J429" s="111" t="s">
        <v>157</v>
      </c>
      <c r="K429" s="108" t="s">
        <v>9597</v>
      </c>
      <c r="L429" s="110">
        <v>3</v>
      </c>
      <c r="M429" s="111" t="s">
        <v>40</v>
      </c>
      <c r="N429" s="108" t="s">
        <v>9595</v>
      </c>
      <c r="O429" s="112">
        <v>4</v>
      </c>
      <c r="P429" s="113"/>
      <c r="Q429" s="108" t="s">
        <v>9598</v>
      </c>
      <c r="R429" s="116">
        <v>1</v>
      </c>
      <c r="S429" s="111" t="s">
        <v>53</v>
      </c>
      <c r="T429" s="108" t="s">
        <v>9599</v>
      </c>
      <c r="U429" s="110">
        <v>3</v>
      </c>
      <c r="V429" s="113"/>
      <c r="W429" s="108" t="s">
        <v>47</v>
      </c>
      <c r="X429" s="114"/>
      <c r="Y429" s="113"/>
      <c r="Z429" s="108" t="s">
        <v>47</v>
      </c>
      <c r="AA429" s="114"/>
      <c r="AB429" s="113"/>
      <c r="AC429" s="105" t="s">
        <v>1140</v>
      </c>
      <c r="AD429" s="115" t="s">
        <v>107</v>
      </c>
    </row>
    <row r="430" spans="1:30" x14ac:dyDescent="0.2">
      <c r="A430" s="104" t="s">
        <v>1141</v>
      </c>
      <c r="B430" s="105" t="s">
        <v>805</v>
      </c>
      <c r="C430" s="105" t="s">
        <v>1142</v>
      </c>
      <c r="D430" s="106" t="s">
        <v>94</v>
      </c>
      <c r="E430" s="107"/>
      <c r="F430" s="108" t="s">
        <v>1143</v>
      </c>
      <c r="G430" s="119">
        <v>1</v>
      </c>
      <c r="H430" s="108" t="s">
        <v>1144</v>
      </c>
      <c r="I430" s="116">
        <v>1</v>
      </c>
      <c r="J430" s="113"/>
      <c r="K430" s="108" t="s">
        <v>1145</v>
      </c>
      <c r="L430" s="116">
        <v>1</v>
      </c>
      <c r="M430" s="113"/>
      <c r="N430" s="108" t="s">
        <v>1143</v>
      </c>
      <c r="O430" s="116">
        <v>1</v>
      </c>
      <c r="P430" s="113"/>
      <c r="Q430" s="108" t="s">
        <v>1146</v>
      </c>
      <c r="R430" s="117">
        <v>2</v>
      </c>
      <c r="S430" s="111" t="s">
        <v>40</v>
      </c>
      <c r="T430" s="108" t="s">
        <v>9600</v>
      </c>
      <c r="U430" s="117">
        <v>2</v>
      </c>
      <c r="V430" s="113"/>
      <c r="W430" s="108" t="s">
        <v>9601</v>
      </c>
      <c r="X430" s="116">
        <v>1</v>
      </c>
      <c r="Y430" s="113"/>
      <c r="Z430" s="108" t="s">
        <v>1147</v>
      </c>
      <c r="AA430" s="117">
        <v>2</v>
      </c>
      <c r="AB430" s="113"/>
      <c r="AC430" s="105" t="s">
        <v>1148</v>
      </c>
      <c r="AD430" s="115" t="s">
        <v>107</v>
      </c>
    </row>
    <row r="431" spans="1:30" x14ac:dyDescent="0.2">
      <c r="A431" s="104" t="s">
        <v>1149</v>
      </c>
      <c r="B431" s="105" t="s">
        <v>805</v>
      </c>
      <c r="C431" s="105" t="s">
        <v>1142</v>
      </c>
      <c r="D431" s="106" t="s">
        <v>94</v>
      </c>
      <c r="E431" s="107"/>
      <c r="F431" s="108" t="s">
        <v>1150</v>
      </c>
      <c r="G431" s="119">
        <v>1</v>
      </c>
      <c r="H431" s="108" t="s">
        <v>1151</v>
      </c>
      <c r="I431" s="116">
        <v>1</v>
      </c>
      <c r="J431" s="113"/>
      <c r="K431" s="108" t="s">
        <v>1152</v>
      </c>
      <c r="L431" s="116">
        <v>1</v>
      </c>
      <c r="M431" s="113"/>
      <c r="N431" s="108" t="s">
        <v>1150</v>
      </c>
      <c r="O431" s="116">
        <v>1</v>
      </c>
      <c r="P431" s="113"/>
      <c r="Q431" s="108" t="s">
        <v>9602</v>
      </c>
      <c r="R431" s="117">
        <v>2</v>
      </c>
      <c r="S431" s="111" t="s">
        <v>40</v>
      </c>
      <c r="T431" s="108" t="s">
        <v>9603</v>
      </c>
      <c r="U431" s="117">
        <v>2</v>
      </c>
      <c r="V431" s="113"/>
      <c r="W431" s="108" t="s">
        <v>9604</v>
      </c>
      <c r="X431" s="116">
        <v>1</v>
      </c>
      <c r="Y431" s="113"/>
      <c r="Z431" s="108" t="s">
        <v>9605</v>
      </c>
      <c r="AA431" s="117">
        <v>2</v>
      </c>
      <c r="AB431" s="113"/>
      <c r="AC431" s="105" t="s">
        <v>1153</v>
      </c>
      <c r="AD431" s="115" t="s">
        <v>107</v>
      </c>
    </row>
    <row r="432" spans="1:30" x14ac:dyDescent="0.2">
      <c r="A432" s="104" t="s">
        <v>1154</v>
      </c>
      <c r="B432" s="105" t="s">
        <v>805</v>
      </c>
      <c r="C432" s="105" t="s">
        <v>1142</v>
      </c>
      <c r="D432" s="106" t="s">
        <v>94</v>
      </c>
      <c r="E432" s="107"/>
      <c r="F432" s="108" t="s">
        <v>9606</v>
      </c>
      <c r="G432" s="120">
        <v>2</v>
      </c>
      <c r="H432" s="108" t="s">
        <v>1155</v>
      </c>
      <c r="I432" s="116">
        <v>1</v>
      </c>
      <c r="J432" s="111" t="s">
        <v>40</v>
      </c>
      <c r="K432" s="108" t="s">
        <v>1156</v>
      </c>
      <c r="L432" s="116">
        <v>1</v>
      </c>
      <c r="M432" s="113"/>
      <c r="N432" s="108" t="s">
        <v>9606</v>
      </c>
      <c r="O432" s="117">
        <v>2</v>
      </c>
      <c r="P432" s="113"/>
      <c r="Q432" s="108" t="s">
        <v>1157</v>
      </c>
      <c r="R432" s="110">
        <v>3</v>
      </c>
      <c r="S432" s="113"/>
      <c r="T432" s="108" t="s">
        <v>9607</v>
      </c>
      <c r="U432" s="110">
        <v>3</v>
      </c>
      <c r="V432" s="113"/>
      <c r="W432" s="108" t="s">
        <v>1158</v>
      </c>
      <c r="X432" s="116">
        <v>1</v>
      </c>
      <c r="Y432" s="113"/>
      <c r="Z432" s="108" t="s">
        <v>47</v>
      </c>
      <c r="AA432" s="114"/>
      <c r="AB432" s="113"/>
      <c r="AC432" s="105" t="s">
        <v>1159</v>
      </c>
      <c r="AD432" s="115" t="s">
        <v>107</v>
      </c>
    </row>
    <row r="433" spans="1:30" x14ac:dyDescent="0.2">
      <c r="A433" s="104" t="s">
        <v>1160</v>
      </c>
      <c r="B433" s="105" t="s">
        <v>805</v>
      </c>
      <c r="C433" s="105" t="s">
        <v>1142</v>
      </c>
      <c r="D433" s="106" t="s">
        <v>94</v>
      </c>
      <c r="E433" s="107"/>
      <c r="F433" s="108" t="s">
        <v>1161</v>
      </c>
      <c r="G433" s="119">
        <v>1</v>
      </c>
      <c r="H433" s="108" t="s">
        <v>9608</v>
      </c>
      <c r="I433" s="116">
        <v>1</v>
      </c>
      <c r="J433" s="111" t="s">
        <v>40</v>
      </c>
      <c r="K433" s="108" t="s">
        <v>9609</v>
      </c>
      <c r="L433" s="116">
        <v>1</v>
      </c>
      <c r="M433" s="113"/>
      <c r="N433" s="108" t="s">
        <v>1161</v>
      </c>
      <c r="O433" s="116">
        <v>1</v>
      </c>
      <c r="P433" s="113"/>
      <c r="Q433" s="108" t="s">
        <v>9610</v>
      </c>
      <c r="R433" s="117">
        <v>2</v>
      </c>
      <c r="S433" s="113"/>
      <c r="T433" s="108" t="s">
        <v>1162</v>
      </c>
      <c r="U433" s="117">
        <v>2</v>
      </c>
      <c r="V433" s="113"/>
      <c r="W433" s="108" t="s">
        <v>1163</v>
      </c>
      <c r="X433" s="116">
        <v>1</v>
      </c>
      <c r="Y433" s="113"/>
      <c r="Z433" s="108" t="s">
        <v>9611</v>
      </c>
      <c r="AA433" s="116">
        <v>1</v>
      </c>
      <c r="AB433" s="111" t="s">
        <v>40</v>
      </c>
      <c r="AC433" s="105" t="s">
        <v>1164</v>
      </c>
      <c r="AD433" s="115" t="s">
        <v>107</v>
      </c>
    </row>
    <row r="434" spans="1:30" x14ac:dyDescent="0.2">
      <c r="A434" s="104" t="s">
        <v>1165</v>
      </c>
      <c r="B434" s="105" t="s">
        <v>805</v>
      </c>
      <c r="C434" s="105" t="s">
        <v>1142</v>
      </c>
      <c r="D434" s="106" t="s">
        <v>94</v>
      </c>
      <c r="E434" s="107"/>
      <c r="F434" s="108" t="s">
        <v>1166</v>
      </c>
      <c r="G434" s="119">
        <v>1</v>
      </c>
      <c r="H434" s="108" t="s">
        <v>1152</v>
      </c>
      <c r="I434" s="116">
        <v>1</v>
      </c>
      <c r="J434" s="111" t="s">
        <v>40</v>
      </c>
      <c r="K434" s="108" t="s">
        <v>1155</v>
      </c>
      <c r="L434" s="116">
        <v>1</v>
      </c>
      <c r="M434" s="113"/>
      <c r="N434" s="108" t="s">
        <v>1166</v>
      </c>
      <c r="O434" s="116">
        <v>1</v>
      </c>
      <c r="P434" s="113"/>
      <c r="Q434" s="108" t="s">
        <v>1167</v>
      </c>
      <c r="R434" s="117">
        <v>2</v>
      </c>
      <c r="S434" s="113"/>
      <c r="T434" s="108" t="s">
        <v>9612</v>
      </c>
      <c r="U434" s="117">
        <v>2</v>
      </c>
      <c r="V434" s="113"/>
      <c r="W434" s="108" t="s">
        <v>9613</v>
      </c>
      <c r="X434" s="116">
        <v>1</v>
      </c>
      <c r="Y434" s="113"/>
      <c r="Z434" s="108" t="s">
        <v>1168</v>
      </c>
      <c r="AA434" s="116">
        <v>1</v>
      </c>
      <c r="AB434" s="113"/>
      <c r="AC434" s="105" t="s">
        <v>1169</v>
      </c>
      <c r="AD434" s="115" t="s">
        <v>107</v>
      </c>
    </row>
    <row r="435" spans="1:30" x14ac:dyDescent="0.2">
      <c r="A435" s="104" t="s">
        <v>1170</v>
      </c>
      <c r="B435" s="105" t="s">
        <v>805</v>
      </c>
      <c r="C435" s="105" t="s">
        <v>1142</v>
      </c>
      <c r="D435" s="106" t="s">
        <v>94</v>
      </c>
      <c r="E435" s="107"/>
      <c r="F435" s="108" t="s">
        <v>1171</v>
      </c>
      <c r="G435" s="119">
        <v>1</v>
      </c>
      <c r="H435" s="108" t="s">
        <v>9614</v>
      </c>
      <c r="I435" s="116">
        <v>1</v>
      </c>
      <c r="J435" s="113"/>
      <c r="K435" s="108" t="s">
        <v>1144</v>
      </c>
      <c r="L435" s="116">
        <v>1</v>
      </c>
      <c r="M435" s="113"/>
      <c r="N435" s="108" t="s">
        <v>1171</v>
      </c>
      <c r="O435" s="116">
        <v>1</v>
      </c>
      <c r="P435" s="113"/>
      <c r="Q435" s="108" t="s">
        <v>9615</v>
      </c>
      <c r="R435" s="117">
        <v>2</v>
      </c>
      <c r="S435" s="113"/>
      <c r="T435" s="108" t="s">
        <v>9616</v>
      </c>
      <c r="U435" s="116">
        <v>1</v>
      </c>
      <c r="V435" s="111" t="s">
        <v>40</v>
      </c>
      <c r="W435" s="108" t="s">
        <v>1172</v>
      </c>
      <c r="X435" s="116">
        <v>1</v>
      </c>
      <c r="Y435" s="113"/>
      <c r="Z435" s="108" t="s">
        <v>9617</v>
      </c>
      <c r="AA435" s="116">
        <v>1</v>
      </c>
      <c r="AB435" s="113"/>
      <c r="AC435" s="105" t="s">
        <v>1173</v>
      </c>
      <c r="AD435" s="115" t="s">
        <v>107</v>
      </c>
    </row>
    <row r="436" spans="1:30" x14ac:dyDescent="0.2">
      <c r="A436" s="104" t="s">
        <v>1174</v>
      </c>
      <c r="B436" s="105" t="s">
        <v>805</v>
      </c>
      <c r="C436" s="105" t="s">
        <v>1142</v>
      </c>
      <c r="D436" s="106" t="s">
        <v>94</v>
      </c>
      <c r="E436" s="107"/>
      <c r="F436" s="108" t="s">
        <v>9618</v>
      </c>
      <c r="G436" s="119">
        <v>1</v>
      </c>
      <c r="H436" s="108" t="s">
        <v>9619</v>
      </c>
      <c r="I436" s="116">
        <v>1</v>
      </c>
      <c r="J436" s="113"/>
      <c r="K436" s="108" t="s">
        <v>1175</v>
      </c>
      <c r="L436" s="116">
        <v>1</v>
      </c>
      <c r="M436" s="113"/>
      <c r="N436" s="108" t="s">
        <v>9618</v>
      </c>
      <c r="O436" s="116">
        <v>1</v>
      </c>
      <c r="P436" s="113"/>
      <c r="Q436" s="108" t="s">
        <v>9620</v>
      </c>
      <c r="R436" s="117">
        <v>2</v>
      </c>
      <c r="S436" s="111" t="s">
        <v>40</v>
      </c>
      <c r="T436" s="108" t="s">
        <v>1176</v>
      </c>
      <c r="U436" s="110">
        <v>3</v>
      </c>
      <c r="V436" s="113"/>
      <c r="W436" s="108" t="s">
        <v>9621</v>
      </c>
      <c r="X436" s="116">
        <v>1</v>
      </c>
      <c r="Y436" s="113"/>
      <c r="Z436" s="108" t="s">
        <v>1177</v>
      </c>
      <c r="AA436" s="117">
        <v>2</v>
      </c>
      <c r="AB436" s="113"/>
      <c r="AC436" s="105" t="s">
        <v>1178</v>
      </c>
      <c r="AD436" s="115" t="s">
        <v>107</v>
      </c>
    </row>
    <row r="437" spans="1:30" x14ac:dyDescent="0.2">
      <c r="A437" s="104" t="s">
        <v>1179</v>
      </c>
      <c r="B437" s="105" t="s">
        <v>805</v>
      </c>
      <c r="C437" s="105" t="s">
        <v>1180</v>
      </c>
      <c r="D437" s="106" t="s">
        <v>125</v>
      </c>
      <c r="E437" s="107"/>
      <c r="F437" s="108" t="s">
        <v>9622</v>
      </c>
      <c r="G437" s="120">
        <v>2</v>
      </c>
      <c r="H437" s="108" t="s">
        <v>9623</v>
      </c>
      <c r="I437" s="112">
        <v>4</v>
      </c>
      <c r="J437" s="111" t="s">
        <v>55</v>
      </c>
      <c r="K437" s="108" t="s">
        <v>9624</v>
      </c>
      <c r="L437" s="117">
        <v>2</v>
      </c>
      <c r="M437" s="111" t="s">
        <v>46</v>
      </c>
      <c r="N437" s="108" t="s">
        <v>9622</v>
      </c>
      <c r="O437" s="117">
        <v>2</v>
      </c>
      <c r="P437" s="113"/>
      <c r="Q437" s="108" t="s">
        <v>9625</v>
      </c>
      <c r="R437" s="117">
        <v>2</v>
      </c>
      <c r="S437" s="113"/>
      <c r="T437" s="108" t="s">
        <v>9626</v>
      </c>
      <c r="U437" s="116">
        <v>1</v>
      </c>
      <c r="V437" s="113"/>
      <c r="W437" s="108" t="s">
        <v>9627</v>
      </c>
      <c r="X437" s="116">
        <v>1</v>
      </c>
      <c r="Y437" s="113"/>
      <c r="Z437" s="108" t="s">
        <v>9628</v>
      </c>
      <c r="AA437" s="116">
        <v>1</v>
      </c>
      <c r="AB437" s="111" t="s">
        <v>40</v>
      </c>
      <c r="AC437" s="105" t="s">
        <v>1181</v>
      </c>
      <c r="AD437" s="115" t="s">
        <v>107</v>
      </c>
    </row>
    <row r="438" spans="1:30" x14ac:dyDescent="0.2">
      <c r="A438" s="104" t="s">
        <v>1182</v>
      </c>
      <c r="B438" s="105" t="s">
        <v>805</v>
      </c>
      <c r="C438" s="105" t="s">
        <v>1180</v>
      </c>
      <c r="D438" s="106" t="s">
        <v>125</v>
      </c>
      <c r="E438" s="107"/>
      <c r="F438" s="108" t="s">
        <v>9629</v>
      </c>
      <c r="G438" s="120">
        <v>2</v>
      </c>
      <c r="H438" s="108" t="s">
        <v>9630</v>
      </c>
      <c r="I438" s="112">
        <v>4</v>
      </c>
      <c r="J438" s="111" t="s">
        <v>55</v>
      </c>
      <c r="K438" s="108" t="s">
        <v>9631</v>
      </c>
      <c r="L438" s="117">
        <v>2</v>
      </c>
      <c r="M438" s="111" t="s">
        <v>46</v>
      </c>
      <c r="N438" s="108" t="s">
        <v>9629</v>
      </c>
      <c r="O438" s="117">
        <v>2</v>
      </c>
      <c r="P438" s="113"/>
      <c r="Q438" s="108" t="s">
        <v>9632</v>
      </c>
      <c r="R438" s="117">
        <v>2</v>
      </c>
      <c r="S438" s="113"/>
      <c r="T438" s="108" t="s">
        <v>9633</v>
      </c>
      <c r="U438" s="116">
        <v>1</v>
      </c>
      <c r="V438" s="113"/>
      <c r="W438" s="108" t="s">
        <v>9634</v>
      </c>
      <c r="X438" s="116">
        <v>1</v>
      </c>
      <c r="Y438" s="113"/>
      <c r="Z438" s="108" t="s">
        <v>9635</v>
      </c>
      <c r="AA438" s="116">
        <v>1</v>
      </c>
      <c r="AB438" s="111" t="s">
        <v>40</v>
      </c>
      <c r="AC438" s="105" t="s">
        <v>1183</v>
      </c>
      <c r="AD438" s="115" t="s">
        <v>107</v>
      </c>
    </row>
    <row r="439" spans="1:30" x14ac:dyDescent="0.2">
      <c r="A439" s="104" t="s">
        <v>1184</v>
      </c>
      <c r="B439" s="105" t="s">
        <v>805</v>
      </c>
      <c r="C439" s="105" t="s">
        <v>1180</v>
      </c>
      <c r="D439" s="106"/>
      <c r="E439" s="107"/>
      <c r="F439" s="108" t="s">
        <v>47</v>
      </c>
      <c r="G439" s="113"/>
      <c r="H439" s="108" t="s">
        <v>9636</v>
      </c>
      <c r="I439" s="112">
        <v>4</v>
      </c>
      <c r="J439" s="113"/>
      <c r="K439" s="108" t="s">
        <v>9637</v>
      </c>
      <c r="L439" s="112">
        <v>4</v>
      </c>
      <c r="M439" s="113"/>
      <c r="N439" s="108" t="s">
        <v>47</v>
      </c>
      <c r="O439" s="114"/>
      <c r="P439" s="113"/>
      <c r="Q439" s="108" t="s">
        <v>47</v>
      </c>
      <c r="R439" s="114"/>
      <c r="S439" s="113"/>
      <c r="T439" s="108" t="s">
        <v>47</v>
      </c>
      <c r="U439" s="114"/>
      <c r="V439" s="113"/>
      <c r="W439" s="108" t="s">
        <v>47</v>
      </c>
      <c r="X439" s="114"/>
      <c r="Y439" s="113"/>
      <c r="Z439" s="108" t="s">
        <v>47</v>
      </c>
      <c r="AA439" s="114"/>
      <c r="AB439" s="113"/>
      <c r="AC439" s="105" t="s">
        <v>1185</v>
      </c>
      <c r="AD439" s="115" t="s">
        <v>107</v>
      </c>
    </row>
    <row r="440" spans="1:30" x14ac:dyDescent="0.2">
      <c r="A440" s="104" t="s">
        <v>1186</v>
      </c>
      <c r="B440" s="105" t="s">
        <v>805</v>
      </c>
      <c r="C440" s="105" t="s">
        <v>1180</v>
      </c>
      <c r="D440" s="106"/>
      <c r="E440" s="107"/>
      <c r="F440" s="108" t="s">
        <v>9638</v>
      </c>
      <c r="G440" s="120">
        <v>2</v>
      </c>
      <c r="H440" s="108" t="s">
        <v>9639</v>
      </c>
      <c r="I440" s="112">
        <v>4</v>
      </c>
      <c r="J440" s="111" t="s">
        <v>55</v>
      </c>
      <c r="K440" s="108" t="s">
        <v>9640</v>
      </c>
      <c r="L440" s="110">
        <v>3</v>
      </c>
      <c r="M440" s="111" t="s">
        <v>46</v>
      </c>
      <c r="N440" s="108" t="s">
        <v>9638</v>
      </c>
      <c r="O440" s="117">
        <v>2</v>
      </c>
      <c r="P440" s="113"/>
      <c r="Q440" s="108" t="s">
        <v>9641</v>
      </c>
      <c r="R440" s="110">
        <v>3</v>
      </c>
      <c r="S440" s="111" t="s">
        <v>46</v>
      </c>
      <c r="T440" s="108" t="s">
        <v>47</v>
      </c>
      <c r="U440" s="114"/>
      <c r="V440" s="113"/>
      <c r="W440" s="108" t="s">
        <v>47</v>
      </c>
      <c r="X440" s="114"/>
      <c r="Y440" s="113"/>
      <c r="Z440" s="108" t="s">
        <v>47</v>
      </c>
      <c r="AA440" s="114"/>
      <c r="AB440" s="113"/>
      <c r="AC440" s="105" t="s">
        <v>1187</v>
      </c>
      <c r="AD440" s="115" t="s">
        <v>107</v>
      </c>
    </row>
    <row r="441" spans="1:30" x14ac:dyDescent="0.2">
      <c r="A441" s="104" t="s">
        <v>1188</v>
      </c>
      <c r="B441" s="105" t="s">
        <v>805</v>
      </c>
      <c r="C441" s="105" t="s">
        <v>1180</v>
      </c>
      <c r="D441" s="106" t="s">
        <v>125</v>
      </c>
      <c r="E441" s="107"/>
      <c r="F441" s="108" t="s">
        <v>9642</v>
      </c>
      <c r="G441" s="119">
        <v>1</v>
      </c>
      <c r="H441" s="108" t="s">
        <v>9643</v>
      </c>
      <c r="I441" s="112">
        <v>4</v>
      </c>
      <c r="J441" s="111" t="s">
        <v>44</v>
      </c>
      <c r="K441" s="108" t="s">
        <v>9644</v>
      </c>
      <c r="L441" s="117">
        <v>2</v>
      </c>
      <c r="M441" s="111" t="s">
        <v>46</v>
      </c>
      <c r="N441" s="108" t="s">
        <v>9642</v>
      </c>
      <c r="O441" s="116">
        <v>1</v>
      </c>
      <c r="P441" s="113"/>
      <c r="Q441" s="108" t="s">
        <v>9645</v>
      </c>
      <c r="R441" s="117">
        <v>2</v>
      </c>
      <c r="S441" s="111" t="s">
        <v>46</v>
      </c>
      <c r="T441" s="108" t="s">
        <v>9646</v>
      </c>
      <c r="U441" s="116">
        <v>1</v>
      </c>
      <c r="V441" s="113"/>
      <c r="W441" s="108" t="s">
        <v>9647</v>
      </c>
      <c r="X441" s="116">
        <v>1</v>
      </c>
      <c r="Y441" s="113"/>
      <c r="Z441" s="108" t="s">
        <v>9648</v>
      </c>
      <c r="AA441" s="116">
        <v>1</v>
      </c>
      <c r="AB441" s="113"/>
      <c r="AC441" s="105" t="s">
        <v>1189</v>
      </c>
      <c r="AD441" s="115" t="s">
        <v>107</v>
      </c>
    </row>
    <row r="442" spans="1:30" x14ac:dyDescent="0.2">
      <c r="A442" s="104" t="s">
        <v>1190</v>
      </c>
      <c r="B442" s="105" t="s">
        <v>805</v>
      </c>
      <c r="C442" s="105" t="s">
        <v>1180</v>
      </c>
      <c r="D442" s="106"/>
      <c r="E442" s="107"/>
      <c r="F442" s="108" t="s">
        <v>1191</v>
      </c>
      <c r="G442" s="119">
        <v>1</v>
      </c>
      <c r="H442" s="108" t="s">
        <v>9649</v>
      </c>
      <c r="I442" s="112">
        <v>4</v>
      </c>
      <c r="J442" s="111" t="s">
        <v>44</v>
      </c>
      <c r="K442" s="108" t="s">
        <v>9650</v>
      </c>
      <c r="L442" s="117">
        <v>2</v>
      </c>
      <c r="M442" s="111" t="s">
        <v>46</v>
      </c>
      <c r="N442" s="108" t="s">
        <v>1191</v>
      </c>
      <c r="O442" s="116">
        <v>1</v>
      </c>
      <c r="P442" s="113"/>
      <c r="Q442" s="108" t="s">
        <v>9651</v>
      </c>
      <c r="R442" s="117">
        <v>2</v>
      </c>
      <c r="S442" s="111" t="s">
        <v>46</v>
      </c>
      <c r="T442" s="108" t="s">
        <v>47</v>
      </c>
      <c r="U442" s="114"/>
      <c r="V442" s="113"/>
      <c r="W442" s="108" t="s">
        <v>47</v>
      </c>
      <c r="X442" s="114"/>
      <c r="Y442" s="113"/>
      <c r="Z442" s="108" t="s">
        <v>47</v>
      </c>
      <c r="AA442" s="114"/>
      <c r="AB442" s="113"/>
      <c r="AC442" s="105" t="s">
        <v>1192</v>
      </c>
      <c r="AD442" s="115" t="s">
        <v>107</v>
      </c>
    </row>
    <row r="443" spans="1:30" x14ac:dyDescent="0.2">
      <c r="A443" s="104" t="s">
        <v>1193</v>
      </c>
      <c r="B443" s="105" t="s">
        <v>805</v>
      </c>
      <c r="C443" s="105" t="s">
        <v>1194</v>
      </c>
      <c r="D443" s="106"/>
      <c r="E443" s="107"/>
      <c r="F443" s="108" t="s">
        <v>9652</v>
      </c>
      <c r="G443" s="120">
        <v>2</v>
      </c>
      <c r="H443" s="108" t="s">
        <v>9653</v>
      </c>
      <c r="I443" s="110">
        <v>3</v>
      </c>
      <c r="J443" s="111" t="s">
        <v>46</v>
      </c>
      <c r="K443" s="108" t="s">
        <v>9654</v>
      </c>
      <c r="L443" s="110">
        <v>3</v>
      </c>
      <c r="M443" s="111" t="s">
        <v>46</v>
      </c>
      <c r="N443" s="108" t="s">
        <v>9652</v>
      </c>
      <c r="O443" s="117">
        <v>2</v>
      </c>
      <c r="P443" s="113"/>
      <c r="Q443" s="108" t="s">
        <v>47</v>
      </c>
      <c r="R443" s="114"/>
      <c r="S443" s="113"/>
      <c r="T443" s="108" t="s">
        <v>47</v>
      </c>
      <c r="U443" s="114"/>
      <c r="V443" s="113"/>
      <c r="W443" s="108" t="s">
        <v>47</v>
      </c>
      <c r="X443" s="114"/>
      <c r="Y443" s="113"/>
      <c r="Z443" s="108" t="s">
        <v>47</v>
      </c>
      <c r="AA443" s="114"/>
      <c r="AB443" s="113"/>
      <c r="AC443" s="105" t="s">
        <v>1195</v>
      </c>
      <c r="AD443" s="115" t="s">
        <v>107</v>
      </c>
    </row>
    <row r="444" spans="1:30" x14ac:dyDescent="0.2">
      <c r="A444" s="104" t="s">
        <v>9655</v>
      </c>
      <c r="B444" s="105" t="s">
        <v>805</v>
      </c>
      <c r="C444" s="105" t="s">
        <v>1180</v>
      </c>
      <c r="D444" s="106"/>
      <c r="E444" s="107"/>
      <c r="F444" s="108" t="s">
        <v>47</v>
      </c>
      <c r="G444" s="113"/>
      <c r="H444" s="108" t="s">
        <v>9656</v>
      </c>
      <c r="I444" s="112">
        <v>4</v>
      </c>
      <c r="J444" s="113"/>
      <c r="K444" s="108" t="s">
        <v>47</v>
      </c>
      <c r="L444" s="114"/>
      <c r="M444" s="113"/>
      <c r="N444" s="108" t="s">
        <v>47</v>
      </c>
      <c r="O444" s="114"/>
      <c r="P444" s="113"/>
      <c r="Q444" s="108" t="s">
        <v>47</v>
      </c>
      <c r="R444" s="114"/>
      <c r="S444" s="113"/>
      <c r="T444" s="108" t="s">
        <v>47</v>
      </c>
      <c r="U444" s="114"/>
      <c r="V444" s="113"/>
      <c r="W444" s="108" t="s">
        <v>47</v>
      </c>
      <c r="X444" s="114"/>
      <c r="Y444" s="113"/>
      <c r="Z444" s="108" t="s">
        <v>47</v>
      </c>
      <c r="AA444" s="114"/>
      <c r="AB444" s="113"/>
      <c r="AC444" s="105" t="s">
        <v>9657</v>
      </c>
      <c r="AD444" s="115" t="s">
        <v>107</v>
      </c>
    </row>
    <row r="445" spans="1:30" x14ac:dyDescent="0.2">
      <c r="A445" s="104" t="s">
        <v>1196</v>
      </c>
      <c r="B445" s="105" t="s">
        <v>805</v>
      </c>
      <c r="C445" s="105" t="s">
        <v>1180</v>
      </c>
      <c r="D445" s="106"/>
      <c r="E445" s="107"/>
      <c r="F445" s="108" t="s">
        <v>9658</v>
      </c>
      <c r="G445" s="119">
        <v>1</v>
      </c>
      <c r="H445" s="108" t="s">
        <v>9659</v>
      </c>
      <c r="I445" s="112">
        <v>4</v>
      </c>
      <c r="J445" s="111" t="s">
        <v>55</v>
      </c>
      <c r="K445" s="108" t="s">
        <v>9660</v>
      </c>
      <c r="L445" s="117">
        <v>2</v>
      </c>
      <c r="M445" s="111" t="s">
        <v>46</v>
      </c>
      <c r="N445" s="108" t="s">
        <v>9658</v>
      </c>
      <c r="O445" s="116">
        <v>1</v>
      </c>
      <c r="P445" s="113"/>
      <c r="Q445" s="108" t="s">
        <v>9661</v>
      </c>
      <c r="R445" s="117">
        <v>2</v>
      </c>
      <c r="S445" s="113"/>
      <c r="T445" s="108" t="s">
        <v>47</v>
      </c>
      <c r="U445" s="114"/>
      <c r="V445" s="113"/>
      <c r="W445" s="108" t="s">
        <v>47</v>
      </c>
      <c r="X445" s="114"/>
      <c r="Y445" s="113"/>
      <c r="Z445" s="108" t="s">
        <v>47</v>
      </c>
      <c r="AA445" s="114"/>
      <c r="AB445" s="113"/>
      <c r="AC445" s="105" t="s">
        <v>1197</v>
      </c>
      <c r="AD445" s="115" t="s">
        <v>107</v>
      </c>
    </row>
    <row r="446" spans="1:30" x14ac:dyDescent="0.2">
      <c r="A446" s="104" t="s">
        <v>1198</v>
      </c>
      <c r="B446" s="105" t="s">
        <v>805</v>
      </c>
      <c r="C446" s="105" t="s">
        <v>1180</v>
      </c>
      <c r="D446" s="106"/>
      <c r="E446" s="107"/>
      <c r="F446" s="108" t="s">
        <v>9662</v>
      </c>
      <c r="G446" s="120">
        <v>2</v>
      </c>
      <c r="H446" s="108" t="s">
        <v>9663</v>
      </c>
      <c r="I446" s="112">
        <v>4</v>
      </c>
      <c r="J446" s="111" t="s">
        <v>55</v>
      </c>
      <c r="K446" s="108" t="s">
        <v>9664</v>
      </c>
      <c r="L446" s="117">
        <v>2</v>
      </c>
      <c r="M446" s="113"/>
      <c r="N446" s="108" t="s">
        <v>9662</v>
      </c>
      <c r="O446" s="117">
        <v>2</v>
      </c>
      <c r="P446" s="113"/>
      <c r="Q446" s="108" t="s">
        <v>9665</v>
      </c>
      <c r="R446" s="110">
        <v>3</v>
      </c>
      <c r="S446" s="111" t="s">
        <v>46</v>
      </c>
      <c r="T446" s="108" t="s">
        <v>47</v>
      </c>
      <c r="U446" s="114"/>
      <c r="V446" s="113"/>
      <c r="W446" s="108" t="s">
        <v>47</v>
      </c>
      <c r="X446" s="114"/>
      <c r="Y446" s="113"/>
      <c r="Z446" s="108" t="s">
        <v>47</v>
      </c>
      <c r="AA446" s="114"/>
      <c r="AB446" s="113"/>
      <c r="AC446" s="105" t="s">
        <v>1199</v>
      </c>
      <c r="AD446" s="115" t="s">
        <v>107</v>
      </c>
    </row>
    <row r="447" spans="1:30" x14ac:dyDescent="0.2">
      <c r="A447" s="104" t="s">
        <v>1200</v>
      </c>
      <c r="B447" s="105" t="s">
        <v>805</v>
      </c>
      <c r="C447" s="105" t="s">
        <v>1201</v>
      </c>
      <c r="D447" s="106" t="s">
        <v>105</v>
      </c>
      <c r="E447" s="107"/>
      <c r="F447" s="108" t="s">
        <v>9666</v>
      </c>
      <c r="G447" s="118">
        <v>3</v>
      </c>
      <c r="H447" s="108" t="s">
        <v>9667</v>
      </c>
      <c r="I447" s="112">
        <v>4</v>
      </c>
      <c r="J447" s="113"/>
      <c r="K447" s="108" t="s">
        <v>9668</v>
      </c>
      <c r="L447" s="112">
        <v>4</v>
      </c>
      <c r="M447" s="111" t="s">
        <v>55</v>
      </c>
      <c r="N447" s="108" t="s">
        <v>9666</v>
      </c>
      <c r="O447" s="110">
        <v>3</v>
      </c>
      <c r="P447" s="113"/>
      <c r="Q447" s="108" t="s">
        <v>9669</v>
      </c>
      <c r="R447" s="110">
        <v>3</v>
      </c>
      <c r="S447" s="111" t="s">
        <v>46</v>
      </c>
      <c r="T447" s="108" t="s">
        <v>9670</v>
      </c>
      <c r="U447" s="110">
        <v>3</v>
      </c>
      <c r="V447" s="113"/>
      <c r="W447" s="108" t="s">
        <v>9671</v>
      </c>
      <c r="X447" s="110">
        <v>3</v>
      </c>
      <c r="Y447" s="113"/>
      <c r="Z447" s="108" t="s">
        <v>9672</v>
      </c>
      <c r="AA447" s="116">
        <v>1</v>
      </c>
      <c r="AB447" s="111" t="s">
        <v>53</v>
      </c>
      <c r="AC447" s="105" t="s">
        <v>1202</v>
      </c>
      <c r="AD447" s="115" t="s">
        <v>107</v>
      </c>
    </row>
    <row r="448" spans="1:30" x14ac:dyDescent="0.2">
      <c r="A448" s="104" t="s">
        <v>1203</v>
      </c>
      <c r="B448" s="105" t="s">
        <v>805</v>
      </c>
      <c r="C448" s="105" t="s">
        <v>1201</v>
      </c>
      <c r="D448" s="106" t="s">
        <v>105</v>
      </c>
      <c r="E448" s="107"/>
      <c r="F448" s="108" t="s">
        <v>9673</v>
      </c>
      <c r="G448" s="118">
        <v>3</v>
      </c>
      <c r="H448" s="108" t="s">
        <v>9674</v>
      </c>
      <c r="I448" s="112">
        <v>4</v>
      </c>
      <c r="J448" s="113"/>
      <c r="K448" s="108" t="s">
        <v>9675</v>
      </c>
      <c r="L448" s="112">
        <v>4</v>
      </c>
      <c r="M448" s="111" t="s">
        <v>55</v>
      </c>
      <c r="N448" s="108" t="s">
        <v>9673</v>
      </c>
      <c r="O448" s="110">
        <v>3</v>
      </c>
      <c r="P448" s="113"/>
      <c r="Q448" s="108" t="s">
        <v>9676</v>
      </c>
      <c r="R448" s="110">
        <v>3</v>
      </c>
      <c r="S448" s="111" t="s">
        <v>46</v>
      </c>
      <c r="T448" s="108" t="s">
        <v>9677</v>
      </c>
      <c r="U448" s="110">
        <v>3</v>
      </c>
      <c r="V448" s="113"/>
      <c r="W448" s="108" t="s">
        <v>9678</v>
      </c>
      <c r="X448" s="110">
        <v>3</v>
      </c>
      <c r="Y448" s="113"/>
      <c r="Z448" s="108" t="s">
        <v>47</v>
      </c>
      <c r="AA448" s="114"/>
      <c r="AB448" s="113"/>
      <c r="AC448" s="105" t="s">
        <v>1204</v>
      </c>
      <c r="AD448" s="115" t="s">
        <v>107</v>
      </c>
    </row>
    <row r="449" spans="1:30" x14ac:dyDescent="0.2">
      <c r="A449" s="104" t="s">
        <v>1205</v>
      </c>
      <c r="B449" s="105" t="s">
        <v>805</v>
      </c>
      <c r="C449" s="105" t="s">
        <v>1201</v>
      </c>
      <c r="D449" s="106" t="s">
        <v>105</v>
      </c>
      <c r="E449" s="107"/>
      <c r="F449" s="108" t="s">
        <v>9679</v>
      </c>
      <c r="G449" s="118">
        <v>3</v>
      </c>
      <c r="H449" s="108" t="s">
        <v>9680</v>
      </c>
      <c r="I449" s="112">
        <v>4</v>
      </c>
      <c r="J449" s="113"/>
      <c r="K449" s="108" t="s">
        <v>9681</v>
      </c>
      <c r="L449" s="112">
        <v>4</v>
      </c>
      <c r="M449" s="111" t="s">
        <v>55</v>
      </c>
      <c r="N449" s="108" t="s">
        <v>9679</v>
      </c>
      <c r="O449" s="110">
        <v>3</v>
      </c>
      <c r="P449" s="113"/>
      <c r="Q449" s="108" t="s">
        <v>9682</v>
      </c>
      <c r="R449" s="110">
        <v>3</v>
      </c>
      <c r="S449" s="111" t="s">
        <v>46</v>
      </c>
      <c r="T449" s="108" t="s">
        <v>9683</v>
      </c>
      <c r="U449" s="110">
        <v>3</v>
      </c>
      <c r="V449" s="113"/>
      <c r="W449" s="108" t="s">
        <v>9684</v>
      </c>
      <c r="X449" s="110">
        <v>3</v>
      </c>
      <c r="Y449" s="113"/>
      <c r="Z449" s="108" t="s">
        <v>47</v>
      </c>
      <c r="AA449" s="114"/>
      <c r="AB449" s="113"/>
      <c r="AC449" s="105" t="s">
        <v>1206</v>
      </c>
      <c r="AD449" s="115" t="s">
        <v>107</v>
      </c>
    </row>
    <row r="450" spans="1:30" x14ac:dyDescent="0.2">
      <c r="A450" s="104" t="s">
        <v>1207</v>
      </c>
      <c r="B450" s="105" t="s">
        <v>805</v>
      </c>
      <c r="C450" s="105" t="s">
        <v>145</v>
      </c>
      <c r="D450" s="106"/>
      <c r="E450" s="107"/>
      <c r="F450" s="108" t="s">
        <v>47</v>
      </c>
      <c r="G450" s="113"/>
      <c r="H450" s="108" t="s">
        <v>47</v>
      </c>
      <c r="I450" s="114"/>
      <c r="J450" s="113"/>
      <c r="K450" s="108" t="s">
        <v>47</v>
      </c>
      <c r="L450" s="114"/>
      <c r="M450" s="113"/>
      <c r="N450" s="108" t="s">
        <v>47</v>
      </c>
      <c r="O450" s="114"/>
      <c r="P450" s="113"/>
      <c r="Q450" s="108" t="s">
        <v>47</v>
      </c>
      <c r="R450" s="114"/>
      <c r="S450" s="113"/>
      <c r="T450" s="108" t="s">
        <v>47</v>
      </c>
      <c r="U450" s="114"/>
      <c r="V450" s="113"/>
      <c r="W450" s="108" t="s">
        <v>47</v>
      </c>
      <c r="X450" s="114"/>
      <c r="Y450" s="113"/>
      <c r="Z450" s="108" t="s">
        <v>47</v>
      </c>
      <c r="AA450" s="114"/>
      <c r="AB450" s="113"/>
      <c r="AC450" s="105" t="s">
        <v>1208</v>
      </c>
      <c r="AD450" s="115" t="s">
        <v>107</v>
      </c>
    </row>
    <row r="451" spans="1:30" x14ac:dyDescent="0.2">
      <c r="A451" s="104" t="s">
        <v>1209</v>
      </c>
      <c r="B451" s="105" t="s">
        <v>805</v>
      </c>
      <c r="C451" s="105" t="s">
        <v>145</v>
      </c>
      <c r="D451" s="106"/>
      <c r="E451" s="107"/>
      <c r="F451" s="108" t="s">
        <v>9685</v>
      </c>
      <c r="G451" s="119">
        <v>1</v>
      </c>
      <c r="H451" s="108" t="s">
        <v>9686</v>
      </c>
      <c r="I451" s="116">
        <v>1</v>
      </c>
      <c r="J451" s="113"/>
      <c r="K451" s="108" t="s">
        <v>9687</v>
      </c>
      <c r="L451" s="116">
        <v>1</v>
      </c>
      <c r="M451" s="113"/>
      <c r="N451" s="108" t="s">
        <v>9685</v>
      </c>
      <c r="O451" s="116">
        <v>1</v>
      </c>
      <c r="P451" s="113"/>
      <c r="Q451" s="108" t="s">
        <v>9688</v>
      </c>
      <c r="R451" s="117">
        <v>2</v>
      </c>
      <c r="S451" s="111" t="s">
        <v>46</v>
      </c>
      <c r="T451" s="108" t="s">
        <v>9689</v>
      </c>
      <c r="U451" s="112">
        <v>4</v>
      </c>
      <c r="V451" s="113"/>
      <c r="W451" s="108" t="s">
        <v>47</v>
      </c>
      <c r="X451" s="114"/>
      <c r="Y451" s="113"/>
      <c r="Z451" s="108" t="s">
        <v>47</v>
      </c>
      <c r="AA451" s="114"/>
      <c r="AB451" s="113"/>
      <c r="AC451" s="105" t="s">
        <v>1210</v>
      </c>
      <c r="AD451" s="115" t="s">
        <v>107</v>
      </c>
    </row>
    <row r="452" spans="1:30" x14ac:dyDescent="0.2">
      <c r="A452" s="104" t="s">
        <v>1211</v>
      </c>
      <c r="B452" s="105" t="s">
        <v>805</v>
      </c>
      <c r="C452" s="105" t="s">
        <v>1201</v>
      </c>
      <c r="D452" s="106" t="s">
        <v>105</v>
      </c>
      <c r="E452" s="107"/>
      <c r="F452" s="108" t="s">
        <v>9690</v>
      </c>
      <c r="G452" s="118">
        <v>3</v>
      </c>
      <c r="H452" s="108" t="s">
        <v>9691</v>
      </c>
      <c r="I452" s="112">
        <v>4</v>
      </c>
      <c r="J452" s="113"/>
      <c r="K452" s="108" t="s">
        <v>9692</v>
      </c>
      <c r="L452" s="112">
        <v>4</v>
      </c>
      <c r="M452" s="111" t="s">
        <v>55</v>
      </c>
      <c r="N452" s="108" t="s">
        <v>9690</v>
      </c>
      <c r="O452" s="110">
        <v>3</v>
      </c>
      <c r="P452" s="113"/>
      <c r="Q452" s="108" t="s">
        <v>9693</v>
      </c>
      <c r="R452" s="110">
        <v>3</v>
      </c>
      <c r="S452" s="111" t="s">
        <v>46</v>
      </c>
      <c r="T452" s="108" t="s">
        <v>9694</v>
      </c>
      <c r="U452" s="110">
        <v>3</v>
      </c>
      <c r="V452" s="113"/>
      <c r="W452" s="108" t="s">
        <v>9695</v>
      </c>
      <c r="X452" s="110">
        <v>3</v>
      </c>
      <c r="Y452" s="113"/>
      <c r="Z452" s="108" t="s">
        <v>47</v>
      </c>
      <c r="AA452" s="114"/>
      <c r="AB452" s="113"/>
      <c r="AC452" s="105" t="s">
        <v>1212</v>
      </c>
      <c r="AD452" s="115" t="s">
        <v>107</v>
      </c>
    </row>
    <row r="453" spans="1:30" x14ac:dyDescent="0.2">
      <c r="A453" s="104" t="s">
        <v>1213</v>
      </c>
      <c r="B453" s="105" t="s">
        <v>805</v>
      </c>
      <c r="C453" s="105" t="s">
        <v>1201</v>
      </c>
      <c r="D453" s="106" t="s">
        <v>105</v>
      </c>
      <c r="E453" s="107"/>
      <c r="F453" s="108" t="s">
        <v>9696</v>
      </c>
      <c r="G453" s="118">
        <v>3</v>
      </c>
      <c r="H453" s="108" t="s">
        <v>9697</v>
      </c>
      <c r="I453" s="112">
        <v>4</v>
      </c>
      <c r="J453" s="113"/>
      <c r="K453" s="108" t="s">
        <v>9698</v>
      </c>
      <c r="L453" s="112">
        <v>4</v>
      </c>
      <c r="M453" s="111" t="s">
        <v>55</v>
      </c>
      <c r="N453" s="108" t="s">
        <v>9696</v>
      </c>
      <c r="O453" s="110">
        <v>3</v>
      </c>
      <c r="P453" s="113"/>
      <c r="Q453" s="108" t="s">
        <v>9699</v>
      </c>
      <c r="R453" s="110">
        <v>3</v>
      </c>
      <c r="S453" s="111" t="s">
        <v>46</v>
      </c>
      <c r="T453" s="108" t="s">
        <v>9700</v>
      </c>
      <c r="U453" s="110">
        <v>3</v>
      </c>
      <c r="V453" s="113"/>
      <c r="W453" s="108" t="s">
        <v>9701</v>
      </c>
      <c r="X453" s="110">
        <v>3</v>
      </c>
      <c r="Y453" s="113"/>
      <c r="Z453" s="108" t="s">
        <v>9702</v>
      </c>
      <c r="AA453" s="116">
        <v>1</v>
      </c>
      <c r="AB453" s="111" t="s">
        <v>53</v>
      </c>
      <c r="AC453" s="105" t="s">
        <v>1214</v>
      </c>
      <c r="AD453" s="115" t="s">
        <v>107</v>
      </c>
    </row>
    <row r="454" spans="1:30" x14ac:dyDescent="0.2">
      <c r="A454" s="104" t="s">
        <v>1215</v>
      </c>
      <c r="B454" s="105" t="s">
        <v>805</v>
      </c>
      <c r="C454" s="105" t="s">
        <v>145</v>
      </c>
      <c r="D454" s="106"/>
      <c r="E454" s="107"/>
      <c r="F454" s="108" t="s">
        <v>9703</v>
      </c>
      <c r="G454" s="119">
        <v>1</v>
      </c>
      <c r="H454" s="108" t="s">
        <v>9704</v>
      </c>
      <c r="I454" s="117">
        <v>2</v>
      </c>
      <c r="J454" s="111" t="s">
        <v>46</v>
      </c>
      <c r="K454" s="108" t="s">
        <v>9705</v>
      </c>
      <c r="L454" s="116">
        <v>1</v>
      </c>
      <c r="M454" s="113"/>
      <c r="N454" s="108" t="s">
        <v>9703</v>
      </c>
      <c r="O454" s="116">
        <v>1</v>
      </c>
      <c r="P454" s="113"/>
      <c r="Q454" s="108" t="s">
        <v>9706</v>
      </c>
      <c r="R454" s="117">
        <v>2</v>
      </c>
      <c r="S454" s="111" t="s">
        <v>46</v>
      </c>
      <c r="T454" s="108" t="s">
        <v>9707</v>
      </c>
      <c r="U454" s="112">
        <v>4</v>
      </c>
      <c r="V454" s="113"/>
      <c r="W454" s="108" t="s">
        <v>9708</v>
      </c>
      <c r="X454" s="112">
        <v>4</v>
      </c>
      <c r="Y454" s="113"/>
      <c r="Z454" s="108" t="s">
        <v>47</v>
      </c>
      <c r="AA454" s="114"/>
      <c r="AB454" s="113"/>
      <c r="AC454" s="105" t="s">
        <v>1216</v>
      </c>
      <c r="AD454" s="115" t="s">
        <v>107</v>
      </c>
    </row>
    <row r="455" spans="1:30" x14ac:dyDescent="0.2">
      <c r="A455" s="104" t="s">
        <v>9709</v>
      </c>
      <c r="B455" s="105" t="s">
        <v>805</v>
      </c>
      <c r="C455" s="105" t="s">
        <v>145</v>
      </c>
      <c r="D455" s="106"/>
      <c r="E455" s="107"/>
      <c r="F455" s="108" t="s">
        <v>9710</v>
      </c>
      <c r="G455" s="119">
        <v>1</v>
      </c>
      <c r="H455" s="108" t="s">
        <v>9711</v>
      </c>
      <c r="I455" s="117">
        <v>2</v>
      </c>
      <c r="J455" s="111" t="s">
        <v>46</v>
      </c>
      <c r="K455" s="108" t="s">
        <v>9712</v>
      </c>
      <c r="L455" s="116">
        <v>1</v>
      </c>
      <c r="M455" s="113"/>
      <c r="N455" s="108" t="s">
        <v>9710</v>
      </c>
      <c r="O455" s="116">
        <v>1</v>
      </c>
      <c r="P455" s="113"/>
      <c r="Q455" s="108" t="s">
        <v>9713</v>
      </c>
      <c r="R455" s="117">
        <v>2</v>
      </c>
      <c r="S455" s="111" t="s">
        <v>46</v>
      </c>
      <c r="T455" s="108" t="s">
        <v>9714</v>
      </c>
      <c r="U455" s="112">
        <v>4</v>
      </c>
      <c r="V455" s="113"/>
      <c r="W455" s="108" t="s">
        <v>9715</v>
      </c>
      <c r="X455" s="112">
        <v>4</v>
      </c>
      <c r="Y455" s="113"/>
      <c r="Z455" s="108" t="s">
        <v>47</v>
      </c>
      <c r="AA455" s="114"/>
      <c r="AB455" s="113"/>
      <c r="AC455" s="105" t="s">
        <v>1217</v>
      </c>
      <c r="AD455" s="115" t="s">
        <v>107</v>
      </c>
    </row>
    <row r="456" spans="1:30" x14ac:dyDescent="0.2">
      <c r="A456" s="104" t="s">
        <v>1218</v>
      </c>
      <c r="B456" s="105" t="s">
        <v>805</v>
      </c>
      <c r="C456" s="105" t="s">
        <v>1201</v>
      </c>
      <c r="D456" s="106" t="s">
        <v>298</v>
      </c>
      <c r="E456" s="107"/>
      <c r="F456" s="108" t="s">
        <v>9716</v>
      </c>
      <c r="G456" s="109">
        <v>4</v>
      </c>
      <c r="H456" s="108" t="s">
        <v>9717</v>
      </c>
      <c r="I456" s="112">
        <v>4</v>
      </c>
      <c r="J456" s="113"/>
      <c r="K456" s="108" t="s">
        <v>9718</v>
      </c>
      <c r="L456" s="112">
        <v>4</v>
      </c>
      <c r="M456" s="111" t="s">
        <v>55</v>
      </c>
      <c r="N456" s="108" t="s">
        <v>9716</v>
      </c>
      <c r="O456" s="112">
        <v>4</v>
      </c>
      <c r="P456" s="111" t="s">
        <v>46</v>
      </c>
      <c r="Q456" s="108" t="s">
        <v>9719</v>
      </c>
      <c r="R456" s="112">
        <v>4</v>
      </c>
      <c r="S456" s="111" t="s">
        <v>46</v>
      </c>
      <c r="T456" s="108" t="s">
        <v>9720</v>
      </c>
      <c r="U456" s="110">
        <v>3</v>
      </c>
      <c r="V456" s="113"/>
      <c r="W456" s="108" t="s">
        <v>9721</v>
      </c>
      <c r="X456" s="112">
        <v>4</v>
      </c>
      <c r="Y456" s="113"/>
      <c r="Z456" s="108" t="s">
        <v>47</v>
      </c>
      <c r="AA456" s="114"/>
      <c r="AB456" s="113"/>
      <c r="AC456" s="105" t="s">
        <v>1219</v>
      </c>
      <c r="AD456" s="115" t="s">
        <v>107</v>
      </c>
    </row>
    <row r="457" spans="1:30" x14ac:dyDescent="0.2">
      <c r="A457" s="104" t="s">
        <v>1220</v>
      </c>
      <c r="B457" s="105" t="s">
        <v>805</v>
      </c>
      <c r="C457" s="105" t="s">
        <v>1201</v>
      </c>
      <c r="D457" s="106"/>
      <c r="E457" s="107"/>
      <c r="F457" s="108" t="s">
        <v>47</v>
      </c>
      <c r="G457" s="113"/>
      <c r="H457" s="108" t="s">
        <v>47</v>
      </c>
      <c r="I457" s="114"/>
      <c r="J457" s="113"/>
      <c r="K457" s="108" t="s">
        <v>47</v>
      </c>
      <c r="L457" s="114"/>
      <c r="M457" s="113"/>
      <c r="N457" s="108" t="s">
        <v>47</v>
      </c>
      <c r="O457" s="114"/>
      <c r="P457" s="113"/>
      <c r="Q457" s="108" t="s">
        <v>47</v>
      </c>
      <c r="R457" s="114"/>
      <c r="S457" s="113"/>
      <c r="T457" s="108" t="s">
        <v>47</v>
      </c>
      <c r="U457" s="114"/>
      <c r="V457" s="113"/>
      <c r="W457" s="108" t="s">
        <v>47</v>
      </c>
      <c r="X457" s="114"/>
      <c r="Y457" s="113"/>
      <c r="Z457" s="108" t="s">
        <v>47</v>
      </c>
      <c r="AA457" s="114"/>
      <c r="AB457" s="113"/>
      <c r="AC457" s="105" t="s">
        <v>1221</v>
      </c>
      <c r="AD457" s="115" t="s">
        <v>107</v>
      </c>
    </row>
    <row r="458" spans="1:30" x14ac:dyDescent="0.2">
      <c r="A458" s="104" t="s">
        <v>1222</v>
      </c>
      <c r="B458" s="105" t="s">
        <v>805</v>
      </c>
      <c r="C458" s="105" t="s">
        <v>145</v>
      </c>
      <c r="D458" s="106"/>
      <c r="E458" s="107"/>
      <c r="F458" s="108" t="s">
        <v>9722</v>
      </c>
      <c r="G458" s="119">
        <v>1</v>
      </c>
      <c r="H458" s="108" t="s">
        <v>9723</v>
      </c>
      <c r="I458" s="117">
        <v>2</v>
      </c>
      <c r="J458" s="111" t="s">
        <v>46</v>
      </c>
      <c r="K458" s="108" t="s">
        <v>9724</v>
      </c>
      <c r="L458" s="116">
        <v>1</v>
      </c>
      <c r="M458" s="113"/>
      <c r="N458" s="108" t="s">
        <v>9722</v>
      </c>
      <c r="O458" s="116">
        <v>1</v>
      </c>
      <c r="P458" s="113"/>
      <c r="Q458" s="108" t="s">
        <v>9725</v>
      </c>
      <c r="R458" s="117">
        <v>2</v>
      </c>
      <c r="S458" s="111" t="s">
        <v>46</v>
      </c>
      <c r="T458" s="108" t="s">
        <v>9726</v>
      </c>
      <c r="U458" s="112">
        <v>4</v>
      </c>
      <c r="V458" s="113"/>
      <c r="W458" s="108" t="s">
        <v>47</v>
      </c>
      <c r="X458" s="114"/>
      <c r="Y458" s="113"/>
      <c r="Z458" s="108" t="s">
        <v>47</v>
      </c>
      <c r="AA458" s="114"/>
      <c r="AB458" s="113"/>
      <c r="AC458" s="105" t="s">
        <v>1223</v>
      </c>
      <c r="AD458" s="115" t="s">
        <v>107</v>
      </c>
    </row>
    <row r="459" spans="1:30" x14ac:dyDescent="0.2">
      <c r="A459" s="104" t="s">
        <v>1224</v>
      </c>
      <c r="B459" s="105" t="s">
        <v>805</v>
      </c>
      <c r="C459" s="105" t="s">
        <v>1201</v>
      </c>
      <c r="D459" s="106" t="s">
        <v>125</v>
      </c>
      <c r="E459" s="107"/>
      <c r="F459" s="108" t="s">
        <v>9727</v>
      </c>
      <c r="G459" s="118">
        <v>3</v>
      </c>
      <c r="H459" s="108" t="s">
        <v>9728</v>
      </c>
      <c r="I459" s="112">
        <v>4</v>
      </c>
      <c r="J459" s="111" t="s">
        <v>46</v>
      </c>
      <c r="K459" s="108" t="s">
        <v>9729</v>
      </c>
      <c r="L459" s="110">
        <v>3</v>
      </c>
      <c r="M459" s="111" t="s">
        <v>55</v>
      </c>
      <c r="N459" s="108" t="s">
        <v>9727</v>
      </c>
      <c r="O459" s="110">
        <v>3</v>
      </c>
      <c r="P459" s="111" t="s">
        <v>46</v>
      </c>
      <c r="Q459" s="108" t="s">
        <v>9730</v>
      </c>
      <c r="R459" s="117">
        <v>2</v>
      </c>
      <c r="S459" s="113"/>
      <c r="T459" s="108" t="s">
        <v>9731</v>
      </c>
      <c r="U459" s="117">
        <v>2</v>
      </c>
      <c r="V459" s="113"/>
      <c r="W459" s="108" t="s">
        <v>9732</v>
      </c>
      <c r="X459" s="117">
        <v>2</v>
      </c>
      <c r="Y459" s="113"/>
      <c r="Z459" s="108" t="s">
        <v>9733</v>
      </c>
      <c r="AA459" s="116">
        <v>1</v>
      </c>
      <c r="AB459" s="111" t="s">
        <v>40</v>
      </c>
      <c r="AC459" s="105" t="s">
        <v>1225</v>
      </c>
      <c r="AD459" s="115" t="s">
        <v>107</v>
      </c>
    </row>
    <row r="460" spans="1:30" x14ac:dyDescent="0.2">
      <c r="A460" s="104" t="s">
        <v>1226</v>
      </c>
      <c r="B460" s="105" t="s">
        <v>805</v>
      </c>
      <c r="C460" s="105" t="s">
        <v>145</v>
      </c>
      <c r="D460" s="106"/>
      <c r="E460" s="107"/>
      <c r="F460" s="108" t="s">
        <v>47</v>
      </c>
      <c r="G460" s="113"/>
      <c r="H460" s="108" t="s">
        <v>47</v>
      </c>
      <c r="I460" s="114"/>
      <c r="J460" s="113"/>
      <c r="K460" s="108" t="s">
        <v>47</v>
      </c>
      <c r="L460" s="114"/>
      <c r="M460" s="113"/>
      <c r="N460" s="108" t="s">
        <v>47</v>
      </c>
      <c r="O460" s="114"/>
      <c r="P460" s="113"/>
      <c r="Q460" s="108" t="s">
        <v>47</v>
      </c>
      <c r="R460" s="114"/>
      <c r="S460" s="113"/>
      <c r="T460" s="108" t="s">
        <v>47</v>
      </c>
      <c r="U460" s="114"/>
      <c r="V460" s="113"/>
      <c r="W460" s="108" t="s">
        <v>47</v>
      </c>
      <c r="X460" s="114"/>
      <c r="Y460" s="113"/>
      <c r="Z460" s="108" t="s">
        <v>47</v>
      </c>
      <c r="AA460" s="114"/>
      <c r="AB460" s="113"/>
      <c r="AC460" s="105" t="s">
        <v>1227</v>
      </c>
      <c r="AD460" s="115" t="s">
        <v>107</v>
      </c>
    </row>
    <row r="461" spans="1:30" x14ac:dyDescent="0.2">
      <c r="A461" s="104" t="s">
        <v>1228</v>
      </c>
      <c r="B461" s="105" t="s">
        <v>805</v>
      </c>
      <c r="C461" s="105" t="s">
        <v>1201</v>
      </c>
      <c r="D461" s="106" t="s">
        <v>125</v>
      </c>
      <c r="E461" s="107"/>
      <c r="F461" s="108" t="s">
        <v>9734</v>
      </c>
      <c r="G461" s="118">
        <v>3</v>
      </c>
      <c r="H461" s="108" t="s">
        <v>9735</v>
      </c>
      <c r="I461" s="112">
        <v>4</v>
      </c>
      <c r="J461" s="111" t="s">
        <v>46</v>
      </c>
      <c r="K461" s="108" t="s">
        <v>9736</v>
      </c>
      <c r="L461" s="110">
        <v>3</v>
      </c>
      <c r="M461" s="111" t="s">
        <v>46</v>
      </c>
      <c r="N461" s="108" t="s">
        <v>9734</v>
      </c>
      <c r="O461" s="110">
        <v>3</v>
      </c>
      <c r="P461" s="111" t="s">
        <v>46</v>
      </c>
      <c r="Q461" s="108" t="s">
        <v>9737</v>
      </c>
      <c r="R461" s="110">
        <v>3</v>
      </c>
      <c r="S461" s="111" t="s">
        <v>46</v>
      </c>
      <c r="T461" s="108" t="s">
        <v>9738</v>
      </c>
      <c r="U461" s="117">
        <v>2</v>
      </c>
      <c r="V461" s="113"/>
      <c r="W461" s="108" t="s">
        <v>9739</v>
      </c>
      <c r="X461" s="117">
        <v>2</v>
      </c>
      <c r="Y461" s="113"/>
      <c r="Z461" s="108" t="s">
        <v>9740</v>
      </c>
      <c r="AA461" s="116">
        <v>1</v>
      </c>
      <c r="AB461" s="113"/>
      <c r="AC461" s="105" t="s">
        <v>1229</v>
      </c>
      <c r="AD461" s="115" t="s">
        <v>107</v>
      </c>
    </row>
    <row r="462" spans="1:30" x14ac:dyDescent="0.2">
      <c r="A462" s="104" t="s">
        <v>1230</v>
      </c>
      <c r="B462" s="105" t="s">
        <v>805</v>
      </c>
      <c r="C462" s="105" t="s">
        <v>1201</v>
      </c>
      <c r="D462" s="106" t="s">
        <v>94</v>
      </c>
      <c r="E462" s="107"/>
      <c r="F462" s="108" t="s">
        <v>1231</v>
      </c>
      <c r="G462" s="120">
        <v>2</v>
      </c>
      <c r="H462" s="108" t="s">
        <v>9741</v>
      </c>
      <c r="I462" s="112">
        <v>4</v>
      </c>
      <c r="J462" s="111" t="s">
        <v>46</v>
      </c>
      <c r="K462" s="108" t="s">
        <v>9742</v>
      </c>
      <c r="L462" s="117">
        <v>2</v>
      </c>
      <c r="M462" s="111" t="s">
        <v>46</v>
      </c>
      <c r="N462" s="108" t="s">
        <v>1231</v>
      </c>
      <c r="O462" s="117">
        <v>2</v>
      </c>
      <c r="P462" s="111" t="s">
        <v>46</v>
      </c>
      <c r="Q462" s="108" t="s">
        <v>9743</v>
      </c>
      <c r="R462" s="117">
        <v>2</v>
      </c>
      <c r="S462" s="111" t="s">
        <v>46</v>
      </c>
      <c r="T462" s="108" t="s">
        <v>9744</v>
      </c>
      <c r="U462" s="116">
        <v>1</v>
      </c>
      <c r="V462" s="113"/>
      <c r="W462" s="108" t="s">
        <v>9745</v>
      </c>
      <c r="X462" s="116">
        <v>1</v>
      </c>
      <c r="Y462" s="113"/>
      <c r="Z462" s="108" t="s">
        <v>9746</v>
      </c>
      <c r="AA462" s="116">
        <v>1</v>
      </c>
      <c r="AB462" s="113"/>
      <c r="AC462" s="105" t="s">
        <v>1232</v>
      </c>
      <c r="AD462" s="115" t="s">
        <v>107</v>
      </c>
    </row>
    <row r="463" spans="1:30" x14ac:dyDescent="0.2">
      <c r="A463" s="104" t="s">
        <v>1233</v>
      </c>
      <c r="B463" s="105" t="s">
        <v>805</v>
      </c>
      <c r="C463" s="105" t="s">
        <v>1201</v>
      </c>
      <c r="D463" s="106"/>
      <c r="E463" s="107"/>
      <c r="F463" s="108" t="s">
        <v>47</v>
      </c>
      <c r="G463" s="113"/>
      <c r="H463" s="108" t="s">
        <v>47</v>
      </c>
      <c r="I463" s="114"/>
      <c r="J463" s="113"/>
      <c r="K463" s="108" t="s">
        <v>47</v>
      </c>
      <c r="L463" s="114"/>
      <c r="M463" s="113"/>
      <c r="N463" s="108" t="s">
        <v>47</v>
      </c>
      <c r="O463" s="114"/>
      <c r="P463" s="113"/>
      <c r="Q463" s="108" t="s">
        <v>47</v>
      </c>
      <c r="R463" s="114"/>
      <c r="S463" s="113"/>
      <c r="T463" s="108" t="s">
        <v>47</v>
      </c>
      <c r="U463" s="114"/>
      <c r="V463" s="113"/>
      <c r="W463" s="108" t="s">
        <v>47</v>
      </c>
      <c r="X463" s="114"/>
      <c r="Y463" s="113"/>
      <c r="Z463" s="108" t="s">
        <v>47</v>
      </c>
      <c r="AA463" s="114"/>
      <c r="AB463" s="113"/>
      <c r="AC463" s="105" t="s">
        <v>1234</v>
      </c>
      <c r="AD463" s="115" t="s">
        <v>107</v>
      </c>
    </row>
    <row r="464" spans="1:30" x14ac:dyDescent="0.2">
      <c r="A464" s="104" t="s">
        <v>1235</v>
      </c>
      <c r="B464" s="105" t="s">
        <v>805</v>
      </c>
      <c r="C464" s="105" t="s">
        <v>145</v>
      </c>
      <c r="D464" s="106"/>
      <c r="E464" s="107"/>
      <c r="F464" s="108" t="s">
        <v>9747</v>
      </c>
      <c r="G464" s="119">
        <v>1</v>
      </c>
      <c r="H464" s="108" t="s">
        <v>9748</v>
      </c>
      <c r="I464" s="117">
        <v>2</v>
      </c>
      <c r="J464" s="111" t="s">
        <v>46</v>
      </c>
      <c r="K464" s="108" t="s">
        <v>9749</v>
      </c>
      <c r="L464" s="116">
        <v>1</v>
      </c>
      <c r="M464" s="113"/>
      <c r="N464" s="108" t="s">
        <v>9747</v>
      </c>
      <c r="O464" s="116">
        <v>1</v>
      </c>
      <c r="P464" s="113"/>
      <c r="Q464" s="108" t="s">
        <v>9750</v>
      </c>
      <c r="R464" s="117">
        <v>2</v>
      </c>
      <c r="S464" s="111" t="s">
        <v>46</v>
      </c>
      <c r="T464" s="108" t="s">
        <v>9751</v>
      </c>
      <c r="U464" s="112">
        <v>4</v>
      </c>
      <c r="V464" s="113"/>
      <c r="W464" s="108" t="s">
        <v>9752</v>
      </c>
      <c r="X464" s="112">
        <v>4</v>
      </c>
      <c r="Y464" s="113"/>
      <c r="Z464" s="108" t="s">
        <v>47</v>
      </c>
      <c r="AA464" s="114"/>
      <c r="AB464" s="113"/>
      <c r="AC464" s="105" t="s">
        <v>1236</v>
      </c>
      <c r="AD464" s="115" t="s">
        <v>107</v>
      </c>
    </row>
    <row r="465" spans="1:30" x14ac:dyDescent="0.2">
      <c r="A465" s="104" t="s">
        <v>9753</v>
      </c>
      <c r="B465" s="105" t="s">
        <v>805</v>
      </c>
      <c r="C465" s="105" t="s">
        <v>145</v>
      </c>
      <c r="D465" s="106"/>
      <c r="E465" s="107"/>
      <c r="F465" s="108" t="s">
        <v>9754</v>
      </c>
      <c r="G465" s="119">
        <v>1</v>
      </c>
      <c r="H465" s="108" t="s">
        <v>9755</v>
      </c>
      <c r="I465" s="117">
        <v>2</v>
      </c>
      <c r="J465" s="111" t="s">
        <v>46</v>
      </c>
      <c r="K465" s="108" t="s">
        <v>9756</v>
      </c>
      <c r="L465" s="116">
        <v>1</v>
      </c>
      <c r="M465" s="113"/>
      <c r="N465" s="108" t="s">
        <v>9754</v>
      </c>
      <c r="O465" s="116">
        <v>1</v>
      </c>
      <c r="P465" s="113"/>
      <c r="Q465" s="108" t="s">
        <v>9757</v>
      </c>
      <c r="R465" s="117">
        <v>2</v>
      </c>
      <c r="S465" s="111" t="s">
        <v>46</v>
      </c>
      <c r="T465" s="108" t="s">
        <v>9758</v>
      </c>
      <c r="U465" s="112">
        <v>4</v>
      </c>
      <c r="V465" s="113"/>
      <c r="W465" s="108" t="s">
        <v>9759</v>
      </c>
      <c r="X465" s="112">
        <v>4</v>
      </c>
      <c r="Y465" s="113"/>
      <c r="Z465" s="108" t="s">
        <v>47</v>
      </c>
      <c r="AA465" s="114"/>
      <c r="AB465" s="113"/>
      <c r="AC465" s="105" t="s">
        <v>1237</v>
      </c>
      <c r="AD465" s="115" t="s">
        <v>107</v>
      </c>
    </row>
    <row r="466" spans="1:30" x14ac:dyDescent="0.2">
      <c r="A466" s="104" t="s">
        <v>1238</v>
      </c>
      <c r="B466" s="105" t="s">
        <v>805</v>
      </c>
      <c r="C466" s="105" t="s">
        <v>1201</v>
      </c>
      <c r="D466" s="106" t="s">
        <v>105</v>
      </c>
      <c r="E466" s="107"/>
      <c r="F466" s="108" t="s">
        <v>9760</v>
      </c>
      <c r="G466" s="118">
        <v>3</v>
      </c>
      <c r="H466" s="108" t="s">
        <v>9761</v>
      </c>
      <c r="I466" s="112">
        <v>4</v>
      </c>
      <c r="J466" s="113"/>
      <c r="K466" s="108" t="s">
        <v>9762</v>
      </c>
      <c r="L466" s="112">
        <v>4</v>
      </c>
      <c r="M466" s="111" t="s">
        <v>55</v>
      </c>
      <c r="N466" s="108" t="s">
        <v>9760</v>
      </c>
      <c r="O466" s="110">
        <v>3</v>
      </c>
      <c r="P466" s="113"/>
      <c r="Q466" s="108" t="s">
        <v>9763</v>
      </c>
      <c r="R466" s="112">
        <v>4</v>
      </c>
      <c r="S466" s="111" t="s">
        <v>46</v>
      </c>
      <c r="T466" s="108" t="s">
        <v>9764</v>
      </c>
      <c r="U466" s="110">
        <v>3</v>
      </c>
      <c r="V466" s="113"/>
      <c r="W466" s="108" t="s">
        <v>9765</v>
      </c>
      <c r="X466" s="110">
        <v>3</v>
      </c>
      <c r="Y466" s="113"/>
      <c r="Z466" s="108" t="s">
        <v>9766</v>
      </c>
      <c r="AA466" s="117">
        <v>2</v>
      </c>
      <c r="AB466" s="111" t="s">
        <v>40</v>
      </c>
      <c r="AC466" s="105" t="s">
        <v>1239</v>
      </c>
      <c r="AD466" s="115" t="s">
        <v>107</v>
      </c>
    </row>
    <row r="467" spans="1:30" x14ac:dyDescent="0.2">
      <c r="A467" s="104" t="s">
        <v>1240</v>
      </c>
      <c r="B467" s="105" t="s">
        <v>805</v>
      </c>
      <c r="C467" s="105" t="s">
        <v>1241</v>
      </c>
      <c r="D467" s="106" t="s">
        <v>514</v>
      </c>
      <c r="E467" s="107"/>
      <c r="F467" s="108" t="s">
        <v>9767</v>
      </c>
      <c r="G467" s="119">
        <v>1</v>
      </c>
      <c r="H467" s="108" t="s">
        <v>9768</v>
      </c>
      <c r="I467" s="116">
        <v>1</v>
      </c>
      <c r="J467" s="111" t="s">
        <v>40</v>
      </c>
      <c r="K467" s="108" t="s">
        <v>9769</v>
      </c>
      <c r="L467" s="116">
        <v>1</v>
      </c>
      <c r="M467" s="113"/>
      <c r="N467" s="108" t="s">
        <v>9767</v>
      </c>
      <c r="O467" s="116">
        <v>1</v>
      </c>
      <c r="P467" s="113"/>
      <c r="Q467" s="108" t="s">
        <v>9770</v>
      </c>
      <c r="R467" s="117">
        <v>2</v>
      </c>
      <c r="S467" s="113"/>
      <c r="T467" s="108" t="s">
        <v>9771</v>
      </c>
      <c r="U467" s="116">
        <v>1</v>
      </c>
      <c r="V467" s="111" t="s">
        <v>40</v>
      </c>
      <c r="W467" s="108" t="s">
        <v>9772</v>
      </c>
      <c r="X467" s="116">
        <v>1</v>
      </c>
      <c r="Y467" s="113"/>
      <c r="Z467" s="108" t="s">
        <v>9773</v>
      </c>
      <c r="AA467" s="116">
        <v>1</v>
      </c>
      <c r="AB467" s="113"/>
      <c r="AC467" s="105" t="s">
        <v>1242</v>
      </c>
      <c r="AD467" s="115" t="s">
        <v>107</v>
      </c>
    </row>
    <row r="468" spans="1:30" x14ac:dyDescent="0.2">
      <c r="A468" s="104" t="s">
        <v>1243</v>
      </c>
      <c r="B468" s="105" t="s">
        <v>805</v>
      </c>
      <c r="C468" s="105" t="s">
        <v>1241</v>
      </c>
      <c r="D468" s="106" t="s">
        <v>94</v>
      </c>
      <c r="E468" s="107"/>
      <c r="F468" s="108" t="s">
        <v>9774</v>
      </c>
      <c r="G468" s="119">
        <v>1</v>
      </c>
      <c r="H468" s="108" t="s">
        <v>9775</v>
      </c>
      <c r="I468" s="116">
        <v>1</v>
      </c>
      <c r="J468" s="111" t="s">
        <v>40</v>
      </c>
      <c r="K468" s="108" t="s">
        <v>9776</v>
      </c>
      <c r="L468" s="116">
        <v>1</v>
      </c>
      <c r="M468" s="113"/>
      <c r="N468" s="108" t="s">
        <v>9774</v>
      </c>
      <c r="O468" s="116">
        <v>1</v>
      </c>
      <c r="P468" s="113"/>
      <c r="Q468" s="108" t="s">
        <v>9777</v>
      </c>
      <c r="R468" s="117">
        <v>2</v>
      </c>
      <c r="S468" s="113"/>
      <c r="T468" s="108" t="s">
        <v>9778</v>
      </c>
      <c r="U468" s="117">
        <v>2</v>
      </c>
      <c r="V468" s="113"/>
      <c r="W468" s="108" t="s">
        <v>47</v>
      </c>
      <c r="X468" s="114"/>
      <c r="Y468" s="113"/>
      <c r="Z468" s="108" t="s">
        <v>47</v>
      </c>
      <c r="AA468" s="114"/>
      <c r="AB468" s="113"/>
      <c r="AC468" s="105" t="s">
        <v>1244</v>
      </c>
      <c r="AD468" s="115" t="s">
        <v>107</v>
      </c>
    </row>
    <row r="469" spans="1:30" x14ac:dyDescent="0.2">
      <c r="A469" s="104" t="s">
        <v>1245</v>
      </c>
      <c r="B469" s="105" t="s">
        <v>805</v>
      </c>
      <c r="C469" s="105" t="s">
        <v>1241</v>
      </c>
      <c r="D469" s="106" t="s">
        <v>514</v>
      </c>
      <c r="E469" s="107"/>
      <c r="F469" s="108" t="s">
        <v>9779</v>
      </c>
      <c r="G469" s="119">
        <v>1</v>
      </c>
      <c r="H469" s="108" t="s">
        <v>8466</v>
      </c>
      <c r="I469" s="116">
        <v>1</v>
      </c>
      <c r="J469" s="111" t="s">
        <v>40</v>
      </c>
      <c r="K469" s="108" t="s">
        <v>9780</v>
      </c>
      <c r="L469" s="116">
        <v>1</v>
      </c>
      <c r="M469" s="113"/>
      <c r="N469" s="108" t="s">
        <v>9779</v>
      </c>
      <c r="O469" s="116">
        <v>1</v>
      </c>
      <c r="P469" s="113"/>
      <c r="Q469" s="108" t="s">
        <v>9781</v>
      </c>
      <c r="R469" s="117">
        <v>2</v>
      </c>
      <c r="S469" s="113"/>
      <c r="T469" s="108" t="s">
        <v>9782</v>
      </c>
      <c r="U469" s="117">
        <v>2</v>
      </c>
      <c r="V469" s="113"/>
      <c r="W469" s="108" t="s">
        <v>9783</v>
      </c>
      <c r="X469" s="116">
        <v>1</v>
      </c>
      <c r="Y469" s="113"/>
      <c r="Z469" s="108" t="s">
        <v>47</v>
      </c>
      <c r="AA469" s="114"/>
      <c r="AB469" s="113"/>
      <c r="AC469" s="105" t="s">
        <v>1246</v>
      </c>
      <c r="AD469" s="115" t="s">
        <v>107</v>
      </c>
    </row>
    <row r="470" spans="1:30" x14ac:dyDescent="0.2">
      <c r="A470" s="104" t="s">
        <v>1247</v>
      </c>
      <c r="B470" s="105" t="s">
        <v>805</v>
      </c>
      <c r="C470" s="105" t="s">
        <v>1241</v>
      </c>
      <c r="D470" s="106" t="s">
        <v>514</v>
      </c>
      <c r="E470" s="107"/>
      <c r="F470" s="108" t="s">
        <v>9784</v>
      </c>
      <c r="G470" s="119">
        <v>1</v>
      </c>
      <c r="H470" s="108" t="s">
        <v>9785</v>
      </c>
      <c r="I470" s="116">
        <v>1</v>
      </c>
      <c r="J470" s="111" t="s">
        <v>40</v>
      </c>
      <c r="K470" s="108" t="s">
        <v>9786</v>
      </c>
      <c r="L470" s="116">
        <v>1</v>
      </c>
      <c r="M470" s="113"/>
      <c r="N470" s="108" t="s">
        <v>9784</v>
      </c>
      <c r="O470" s="116">
        <v>1</v>
      </c>
      <c r="P470" s="113"/>
      <c r="Q470" s="108" t="s">
        <v>9787</v>
      </c>
      <c r="R470" s="117">
        <v>2</v>
      </c>
      <c r="S470" s="113"/>
      <c r="T470" s="108" t="s">
        <v>9788</v>
      </c>
      <c r="U470" s="117">
        <v>2</v>
      </c>
      <c r="V470" s="113"/>
      <c r="W470" s="108" t="s">
        <v>9789</v>
      </c>
      <c r="X470" s="116">
        <v>1</v>
      </c>
      <c r="Y470" s="113"/>
      <c r="Z470" s="108" t="s">
        <v>47</v>
      </c>
      <c r="AA470" s="114"/>
      <c r="AB470" s="113"/>
      <c r="AC470" s="105" t="s">
        <v>1248</v>
      </c>
      <c r="AD470" s="115" t="s">
        <v>107</v>
      </c>
    </row>
    <row r="471" spans="1:30" x14ac:dyDescent="0.2">
      <c r="A471" s="104" t="s">
        <v>1249</v>
      </c>
      <c r="B471" s="105" t="s">
        <v>805</v>
      </c>
      <c r="C471" s="105" t="s">
        <v>145</v>
      </c>
      <c r="D471" s="106"/>
      <c r="E471" s="107"/>
      <c r="F471" s="108" t="s">
        <v>9790</v>
      </c>
      <c r="G471" s="118">
        <v>3</v>
      </c>
      <c r="H471" s="108" t="s">
        <v>9791</v>
      </c>
      <c r="I471" s="117">
        <v>2</v>
      </c>
      <c r="J471" s="111" t="s">
        <v>40</v>
      </c>
      <c r="K471" s="108" t="s">
        <v>9792</v>
      </c>
      <c r="L471" s="110">
        <v>3</v>
      </c>
      <c r="M471" s="113"/>
      <c r="N471" s="108" t="s">
        <v>9790</v>
      </c>
      <c r="O471" s="110">
        <v>3</v>
      </c>
      <c r="P471" s="113"/>
      <c r="Q471" s="108" t="s">
        <v>9793</v>
      </c>
      <c r="R471" s="112">
        <v>4</v>
      </c>
      <c r="S471" s="111" t="s">
        <v>46</v>
      </c>
      <c r="T471" s="108" t="s">
        <v>47</v>
      </c>
      <c r="U471" s="114"/>
      <c r="V471" s="113"/>
      <c r="W471" s="108" t="s">
        <v>47</v>
      </c>
      <c r="X471" s="114"/>
      <c r="Y471" s="113"/>
      <c r="Z471" s="108" t="s">
        <v>47</v>
      </c>
      <c r="AA471" s="114"/>
      <c r="AB471" s="113"/>
      <c r="AC471" s="105" t="s">
        <v>1250</v>
      </c>
      <c r="AD471" s="115" t="s">
        <v>107</v>
      </c>
    </row>
    <row r="472" spans="1:30" x14ac:dyDescent="0.2">
      <c r="A472" s="104" t="s">
        <v>9794</v>
      </c>
      <c r="B472" s="105" t="s">
        <v>805</v>
      </c>
      <c r="C472" s="105" t="s">
        <v>145</v>
      </c>
      <c r="D472" s="106"/>
      <c r="E472" s="107"/>
      <c r="F472" s="108" t="s">
        <v>9795</v>
      </c>
      <c r="G472" s="118">
        <v>3</v>
      </c>
      <c r="H472" s="108" t="s">
        <v>9796</v>
      </c>
      <c r="I472" s="117">
        <v>2</v>
      </c>
      <c r="J472" s="111" t="s">
        <v>40</v>
      </c>
      <c r="K472" s="108" t="s">
        <v>9797</v>
      </c>
      <c r="L472" s="110">
        <v>3</v>
      </c>
      <c r="M472" s="113"/>
      <c r="N472" s="108" t="s">
        <v>9795</v>
      </c>
      <c r="O472" s="110">
        <v>3</v>
      </c>
      <c r="P472" s="113"/>
      <c r="Q472" s="108" t="s">
        <v>9798</v>
      </c>
      <c r="R472" s="112">
        <v>4</v>
      </c>
      <c r="S472" s="111" t="s">
        <v>46</v>
      </c>
      <c r="T472" s="108" t="s">
        <v>47</v>
      </c>
      <c r="U472" s="114"/>
      <c r="V472" s="113"/>
      <c r="W472" s="108" t="s">
        <v>47</v>
      </c>
      <c r="X472" s="114"/>
      <c r="Y472" s="113"/>
      <c r="Z472" s="108" t="s">
        <v>47</v>
      </c>
      <c r="AA472" s="114"/>
      <c r="AB472" s="113"/>
      <c r="AC472" s="105" t="s">
        <v>1251</v>
      </c>
      <c r="AD472" s="115" t="s">
        <v>107</v>
      </c>
    </row>
    <row r="473" spans="1:30" x14ac:dyDescent="0.2">
      <c r="A473" s="104" t="s">
        <v>1252</v>
      </c>
      <c r="B473" s="105" t="s">
        <v>805</v>
      </c>
      <c r="C473" s="105" t="s">
        <v>1253</v>
      </c>
      <c r="D473" s="106"/>
      <c r="E473" s="107"/>
      <c r="F473" s="108" t="s">
        <v>9799</v>
      </c>
      <c r="G473" s="120">
        <v>2</v>
      </c>
      <c r="H473" s="108" t="s">
        <v>9800</v>
      </c>
      <c r="I473" s="116">
        <v>1</v>
      </c>
      <c r="J473" s="111" t="s">
        <v>53</v>
      </c>
      <c r="K473" s="108" t="s">
        <v>9801</v>
      </c>
      <c r="L473" s="116">
        <v>1</v>
      </c>
      <c r="M473" s="111" t="s">
        <v>40</v>
      </c>
      <c r="N473" s="108" t="s">
        <v>9799</v>
      </c>
      <c r="O473" s="117">
        <v>2</v>
      </c>
      <c r="P473" s="111" t="s">
        <v>40</v>
      </c>
      <c r="Q473" s="108" t="s">
        <v>9802</v>
      </c>
      <c r="R473" s="112">
        <v>4</v>
      </c>
      <c r="S473" s="113"/>
      <c r="T473" s="108" t="s">
        <v>47</v>
      </c>
      <c r="U473" s="114"/>
      <c r="V473" s="113"/>
      <c r="W473" s="108" t="s">
        <v>47</v>
      </c>
      <c r="X473" s="114"/>
      <c r="Y473" s="113"/>
      <c r="Z473" s="108" t="s">
        <v>47</v>
      </c>
      <c r="AA473" s="114"/>
      <c r="AB473" s="113"/>
      <c r="AC473" s="105" t="s">
        <v>1254</v>
      </c>
      <c r="AD473" s="115" t="s">
        <v>107</v>
      </c>
    </row>
    <row r="474" spans="1:30" x14ac:dyDescent="0.2">
      <c r="A474" s="104" t="s">
        <v>9803</v>
      </c>
      <c r="B474" s="105" t="s">
        <v>805</v>
      </c>
      <c r="C474" s="105" t="s">
        <v>1253</v>
      </c>
      <c r="D474" s="106"/>
      <c r="E474" s="107"/>
      <c r="F474" s="108" t="s">
        <v>9804</v>
      </c>
      <c r="G474" s="120">
        <v>2</v>
      </c>
      <c r="H474" s="108" t="s">
        <v>9805</v>
      </c>
      <c r="I474" s="116">
        <v>1</v>
      </c>
      <c r="J474" s="111" t="s">
        <v>53</v>
      </c>
      <c r="K474" s="108" t="s">
        <v>9806</v>
      </c>
      <c r="L474" s="116">
        <v>1</v>
      </c>
      <c r="M474" s="111" t="s">
        <v>40</v>
      </c>
      <c r="N474" s="108" t="s">
        <v>9804</v>
      </c>
      <c r="O474" s="117">
        <v>2</v>
      </c>
      <c r="P474" s="111" t="s">
        <v>40</v>
      </c>
      <c r="Q474" s="108" t="s">
        <v>9807</v>
      </c>
      <c r="R474" s="112">
        <v>4</v>
      </c>
      <c r="S474" s="113"/>
      <c r="T474" s="108" t="s">
        <v>47</v>
      </c>
      <c r="U474" s="114"/>
      <c r="V474" s="113"/>
      <c r="W474" s="108" t="s">
        <v>47</v>
      </c>
      <c r="X474" s="114"/>
      <c r="Y474" s="113"/>
      <c r="Z474" s="108" t="s">
        <v>47</v>
      </c>
      <c r="AA474" s="114"/>
      <c r="AB474" s="113"/>
      <c r="AC474" s="105" t="s">
        <v>1255</v>
      </c>
      <c r="AD474" s="115" t="s">
        <v>107</v>
      </c>
    </row>
    <row r="475" spans="1:30" x14ac:dyDescent="0.2">
      <c r="A475" s="104" t="s">
        <v>1256</v>
      </c>
      <c r="B475" s="105" t="s">
        <v>805</v>
      </c>
      <c r="C475" s="105" t="s">
        <v>1253</v>
      </c>
      <c r="D475" s="106" t="s">
        <v>94</v>
      </c>
      <c r="E475" s="107"/>
      <c r="F475" s="108" t="s">
        <v>9808</v>
      </c>
      <c r="G475" s="118">
        <v>3</v>
      </c>
      <c r="H475" s="108" t="s">
        <v>9809</v>
      </c>
      <c r="I475" s="116">
        <v>1</v>
      </c>
      <c r="J475" s="111" t="s">
        <v>53</v>
      </c>
      <c r="K475" s="108" t="s">
        <v>9810</v>
      </c>
      <c r="L475" s="117">
        <v>2</v>
      </c>
      <c r="M475" s="113"/>
      <c r="N475" s="108" t="s">
        <v>9808</v>
      </c>
      <c r="O475" s="110">
        <v>3</v>
      </c>
      <c r="P475" s="113"/>
      <c r="Q475" s="108" t="s">
        <v>9811</v>
      </c>
      <c r="R475" s="112">
        <v>4</v>
      </c>
      <c r="S475" s="113"/>
      <c r="T475" s="108" t="s">
        <v>9812</v>
      </c>
      <c r="U475" s="117">
        <v>2</v>
      </c>
      <c r="V475" s="113"/>
      <c r="W475" s="108" t="s">
        <v>9813</v>
      </c>
      <c r="X475" s="116">
        <v>1</v>
      </c>
      <c r="Y475" s="111" t="s">
        <v>40</v>
      </c>
      <c r="Z475" s="108" t="s">
        <v>47</v>
      </c>
      <c r="AA475" s="114"/>
      <c r="AB475" s="113"/>
      <c r="AC475" s="105" t="s">
        <v>1257</v>
      </c>
      <c r="AD475" s="115" t="s">
        <v>107</v>
      </c>
    </row>
    <row r="476" spans="1:30" x14ac:dyDescent="0.2">
      <c r="A476" s="104" t="s">
        <v>1258</v>
      </c>
      <c r="B476" s="105" t="s">
        <v>805</v>
      </c>
      <c r="C476" s="105" t="s">
        <v>1253</v>
      </c>
      <c r="D476" s="106" t="s">
        <v>94</v>
      </c>
      <c r="E476" s="107"/>
      <c r="F476" s="108" t="s">
        <v>9814</v>
      </c>
      <c r="G476" s="118">
        <v>3</v>
      </c>
      <c r="H476" s="108" t="s">
        <v>9815</v>
      </c>
      <c r="I476" s="116">
        <v>1</v>
      </c>
      <c r="J476" s="111" t="s">
        <v>53</v>
      </c>
      <c r="K476" s="108" t="s">
        <v>9816</v>
      </c>
      <c r="L476" s="117">
        <v>2</v>
      </c>
      <c r="M476" s="113"/>
      <c r="N476" s="108" t="s">
        <v>9814</v>
      </c>
      <c r="O476" s="110">
        <v>3</v>
      </c>
      <c r="P476" s="113"/>
      <c r="Q476" s="108" t="s">
        <v>9817</v>
      </c>
      <c r="R476" s="112">
        <v>4</v>
      </c>
      <c r="S476" s="113"/>
      <c r="T476" s="108" t="s">
        <v>9818</v>
      </c>
      <c r="U476" s="117">
        <v>2</v>
      </c>
      <c r="V476" s="113"/>
      <c r="W476" s="108" t="s">
        <v>9819</v>
      </c>
      <c r="X476" s="116">
        <v>1</v>
      </c>
      <c r="Y476" s="111" t="s">
        <v>40</v>
      </c>
      <c r="Z476" s="108" t="s">
        <v>47</v>
      </c>
      <c r="AA476" s="114"/>
      <c r="AB476" s="113"/>
      <c r="AC476" s="105" t="s">
        <v>1259</v>
      </c>
      <c r="AD476" s="115" t="s">
        <v>107</v>
      </c>
    </row>
    <row r="477" spans="1:30" x14ac:dyDescent="0.2">
      <c r="A477" s="104" t="s">
        <v>9820</v>
      </c>
      <c r="B477" s="105" t="s">
        <v>805</v>
      </c>
      <c r="C477" s="105" t="s">
        <v>1253</v>
      </c>
      <c r="D477" s="106"/>
      <c r="E477" s="107"/>
      <c r="F477" s="108" t="s">
        <v>9821</v>
      </c>
      <c r="G477" s="118">
        <v>3</v>
      </c>
      <c r="H477" s="108" t="s">
        <v>9822</v>
      </c>
      <c r="I477" s="116">
        <v>1</v>
      </c>
      <c r="J477" s="111" t="s">
        <v>53</v>
      </c>
      <c r="K477" s="108" t="s">
        <v>9823</v>
      </c>
      <c r="L477" s="117">
        <v>2</v>
      </c>
      <c r="M477" s="113"/>
      <c r="N477" s="108" t="s">
        <v>9821</v>
      </c>
      <c r="O477" s="110">
        <v>3</v>
      </c>
      <c r="P477" s="113"/>
      <c r="Q477" s="108" t="s">
        <v>9824</v>
      </c>
      <c r="R477" s="112">
        <v>4</v>
      </c>
      <c r="S477" s="113"/>
      <c r="T477" s="108" t="s">
        <v>47</v>
      </c>
      <c r="U477" s="114"/>
      <c r="V477" s="113"/>
      <c r="W477" s="108" t="s">
        <v>47</v>
      </c>
      <c r="X477" s="114"/>
      <c r="Y477" s="113"/>
      <c r="Z477" s="108" t="s">
        <v>47</v>
      </c>
      <c r="AA477" s="114"/>
      <c r="AB477" s="113"/>
      <c r="AC477" s="105" t="s">
        <v>1260</v>
      </c>
      <c r="AD477" s="115" t="s">
        <v>107</v>
      </c>
    </row>
    <row r="478" spans="1:30" x14ac:dyDescent="0.2">
      <c r="A478" s="104" t="s">
        <v>1261</v>
      </c>
      <c r="B478" s="105" t="s">
        <v>805</v>
      </c>
      <c r="C478" s="105" t="s">
        <v>1262</v>
      </c>
      <c r="D478" s="106" t="s">
        <v>125</v>
      </c>
      <c r="E478" s="107"/>
      <c r="F478" s="108" t="s">
        <v>9825</v>
      </c>
      <c r="G478" s="120">
        <v>2</v>
      </c>
      <c r="H478" s="108" t="s">
        <v>9826</v>
      </c>
      <c r="I478" s="116">
        <v>1</v>
      </c>
      <c r="J478" s="111" t="s">
        <v>53</v>
      </c>
      <c r="K478" s="108" t="s">
        <v>9827</v>
      </c>
      <c r="L478" s="116">
        <v>1</v>
      </c>
      <c r="M478" s="111" t="s">
        <v>40</v>
      </c>
      <c r="N478" s="108" t="s">
        <v>9825</v>
      </c>
      <c r="O478" s="117">
        <v>2</v>
      </c>
      <c r="P478" s="111" t="s">
        <v>40</v>
      </c>
      <c r="Q478" s="108" t="s">
        <v>9828</v>
      </c>
      <c r="R478" s="112">
        <v>4</v>
      </c>
      <c r="S478" s="113"/>
      <c r="T478" s="108" t="s">
        <v>9829</v>
      </c>
      <c r="U478" s="117">
        <v>2</v>
      </c>
      <c r="V478" s="113"/>
      <c r="W478" s="108" t="s">
        <v>47</v>
      </c>
      <c r="X478" s="114"/>
      <c r="Y478" s="113"/>
      <c r="Z478" s="108" t="s">
        <v>47</v>
      </c>
      <c r="AA478" s="114"/>
      <c r="AB478" s="113"/>
      <c r="AC478" s="105" t="s">
        <v>1263</v>
      </c>
      <c r="AD478" s="115" t="s">
        <v>107</v>
      </c>
    </row>
    <row r="479" spans="1:30" x14ac:dyDescent="0.2">
      <c r="A479" s="104" t="s">
        <v>1264</v>
      </c>
      <c r="B479" s="105" t="s">
        <v>805</v>
      </c>
      <c r="C479" s="105" t="s">
        <v>1265</v>
      </c>
      <c r="D479" s="106" t="s">
        <v>125</v>
      </c>
      <c r="E479" s="107"/>
      <c r="F479" s="108" t="s">
        <v>9830</v>
      </c>
      <c r="G479" s="118">
        <v>3</v>
      </c>
      <c r="H479" s="108" t="s">
        <v>9831</v>
      </c>
      <c r="I479" s="116">
        <v>1</v>
      </c>
      <c r="J479" s="111" t="s">
        <v>53</v>
      </c>
      <c r="K479" s="108" t="s">
        <v>9832</v>
      </c>
      <c r="L479" s="117">
        <v>2</v>
      </c>
      <c r="M479" s="113"/>
      <c r="N479" s="108" t="s">
        <v>9830</v>
      </c>
      <c r="O479" s="110">
        <v>3</v>
      </c>
      <c r="P479" s="113"/>
      <c r="Q479" s="108" t="s">
        <v>9833</v>
      </c>
      <c r="R479" s="112">
        <v>4</v>
      </c>
      <c r="S479" s="113"/>
      <c r="T479" s="108" t="s">
        <v>9834</v>
      </c>
      <c r="U479" s="117">
        <v>2</v>
      </c>
      <c r="V479" s="113"/>
      <c r="W479" s="108" t="s">
        <v>47</v>
      </c>
      <c r="X479" s="114"/>
      <c r="Y479" s="113"/>
      <c r="Z479" s="108" t="s">
        <v>47</v>
      </c>
      <c r="AA479" s="114"/>
      <c r="AB479" s="113"/>
      <c r="AC479" s="105" t="s">
        <v>1266</v>
      </c>
      <c r="AD479" s="115" t="s">
        <v>107</v>
      </c>
    </row>
    <row r="480" spans="1:30" x14ac:dyDescent="0.2">
      <c r="A480" s="104" t="s">
        <v>1267</v>
      </c>
      <c r="B480" s="105" t="s">
        <v>805</v>
      </c>
      <c r="C480" s="105" t="s">
        <v>1265</v>
      </c>
      <c r="D480" s="106" t="s">
        <v>125</v>
      </c>
      <c r="E480" s="107"/>
      <c r="F480" s="108" t="s">
        <v>9835</v>
      </c>
      <c r="G480" s="118">
        <v>3</v>
      </c>
      <c r="H480" s="108" t="s">
        <v>9836</v>
      </c>
      <c r="I480" s="116">
        <v>1</v>
      </c>
      <c r="J480" s="111" t="s">
        <v>53</v>
      </c>
      <c r="K480" s="108" t="s">
        <v>9837</v>
      </c>
      <c r="L480" s="117">
        <v>2</v>
      </c>
      <c r="M480" s="113"/>
      <c r="N480" s="108" t="s">
        <v>9835</v>
      </c>
      <c r="O480" s="110">
        <v>3</v>
      </c>
      <c r="P480" s="113"/>
      <c r="Q480" s="108" t="s">
        <v>9838</v>
      </c>
      <c r="R480" s="112">
        <v>4</v>
      </c>
      <c r="S480" s="113"/>
      <c r="T480" s="108" t="s">
        <v>9839</v>
      </c>
      <c r="U480" s="117">
        <v>2</v>
      </c>
      <c r="V480" s="113"/>
      <c r="W480" s="108" t="s">
        <v>47</v>
      </c>
      <c r="X480" s="114"/>
      <c r="Y480" s="113"/>
      <c r="Z480" s="108" t="s">
        <v>47</v>
      </c>
      <c r="AA480" s="114"/>
      <c r="AB480" s="113"/>
      <c r="AC480" s="105" t="s">
        <v>1268</v>
      </c>
      <c r="AD480" s="115" t="s">
        <v>107</v>
      </c>
    </row>
    <row r="481" spans="1:30" x14ac:dyDescent="0.2">
      <c r="A481" s="104" t="s">
        <v>1269</v>
      </c>
      <c r="B481" s="105" t="s">
        <v>805</v>
      </c>
      <c r="C481" s="105" t="s">
        <v>145</v>
      </c>
      <c r="D481" s="106"/>
      <c r="E481" s="107"/>
      <c r="F481" s="108" t="s">
        <v>9840</v>
      </c>
      <c r="G481" s="119">
        <v>1</v>
      </c>
      <c r="H481" s="108" t="s">
        <v>9841</v>
      </c>
      <c r="I481" s="116">
        <v>1</v>
      </c>
      <c r="J481" s="113"/>
      <c r="K481" s="108" t="s">
        <v>9842</v>
      </c>
      <c r="L481" s="116">
        <v>1</v>
      </c>
      <c r="M481" s="113"/>
      <c r="N481" s="108" t="s">
        <v>9840</v>
      </c>
      <c r="O481" s="116">
        <v>1</v>
      </c>
      <c r="P481" s="111" t="s">
        <v>40</v>
      </c>
      <c r="Q481" s="108" t="s">
        <v>9843</v>
      </c>
      <c r="R481" s="117">
        <v>2</v>
      </c>
      <c r="S481" s="111" t="s">
        <v>40</v>
      </c>
      <c r="T481" s="108" t="s">
        <v>9844</v>
      </c>
      <c r="U481" s="110">
        <v>3</v>
      </c>
      <c r="V481" s="113"/>
      <c r="W481" s="108" t="s">
        <v>47</v>
      </c>
      <c r="X481" s="114"/>
      <c r="Y481" s="113"/>
      <c r="Z481" s="108" t="s">
        <v>47</v>
      </c>
      <c r="AA481" s="114"/>
      <c r="AB481" s="113"/>
      <c r="AC481" s="105" t="s">
        <v>1270</v>
      </c>
      <c r="AD481" s="115" t="s">
        <v>107</v>
      </c>
    </row>
    <row r="482" spans="1:30" x14ac:dyDescent="0.2">
      <c r="A482" s="104" t="s">
        <v>1271</v>
      </c>
      <c r="B482" s="105" t="s">
        <v>805</v>
      </c>
      <c r="C482" s="105" t="s">
        <v>1253</v>
      </c>
      <c r="D482" s="106" t="s">
        <v>94</v>
      </c>
      <c r="E482" s="107"/>
      <c r="F482" s="108" t="s">
        <v>9845</v>
      </c>
      <c r="G482" s="118">
        <v>3</v>
      </c>
      <c r="H482" s="108" t="s">
        <v>9846</v>
      </c>
      <c r="I482" s="116">
        <v>1</v>
      </c>
      <c r="J482" s="111" t="s">
        <v>53</v>
      </c>
      <c r="K482" s="108" t="s">
        <v>9847</v>
      </c>
      <c r="L482" s="117">
        <v>2</v>
      </c>
      <c r="M482" s="113"/>
      <c r="N482" s="108" t="s">
        <v>9845</v>
      </c>
      <c r="O482" s="110">
        <v>3</v>
      </c>
      <c r="P482" s="113"/>
      <c r="Q482" s="108" t="s">
        <v>9848</v>
      </c>
      <c r="R482" s="112">
        <v>4</v>
      </c>
      <c r="S482" s="113"/>
      <c r="T482" s="108" t="s">
        <v>9849</v>
      </c>
      <c r="U482" s="117">
        <v>2</v>
      </c>
      <c r="V482" s="113"/>
      <c r="W482" s="108" t="s">
        <v>1272</v>
      </c>
      <c r="X482" s="117">
        <v>2</v>
      </c>
      <c r="Y482" s="113"/>
      <c r="Z482" s="108" t="s">
        <v>9850</v>
      </c>
      <c r="AA482" s="116">
        <v>1</v>
      </c>
      <c r="AB482" s="113"/>
      <c r="AC482" s="105" t="s">
        <v>1273</v>
      </c>
      <c r="AD482" s="115" t="s">
        <v>107</v>
      </c>
    </row>
    <row r="483" spans="1:30" x14ac:dyDescent="0.2">
      <c r="A483" s="104" t="s">
        <v>1274</v>
      </c>
      <c r="B483" s="105" t="s">
        <v>805</v>
      </c>
      <c r="C483" s="105" t="s">
        <v>1253</v>
      </c>
      <c r="D483" s="106" t="s">
        <v>94</v>
      </c>
      <c r="E483" s="107"/>
      <c r="F483" s="108" t="s">
        <v>9851</v>
      </c>
      <c r="G483" s="118">
        <v>3</v>
      </c>
      <c r="H483" s="108" t="s">
        <v>9852</v>
      </c>
      <c r="I483" s="116">
        <v>1</v>
      </c>
      <c r="J483" s="111" t="s">
        <v>53</v>
      </c>
      <c r="K483" s="108" t="s">
        <v>9853</v>
      </c>
      <c r="L483" s="117">
        <v>2</v>
      </c>
      <c r="M483" s="113"/>
      <c r="N483" s="108" t="s">
        <v>9851</v>
      </c>
      <c r="O483" s="110">
        <v>3</v>
      </c>
      <c r="P483" s="113"/>
      <c r="Q483" s="108" t="s">
        <v>9854</v>
      </c>
      <c r="R483" s="112">
        <v>4</v>
      </c>
      <c r="S483" s="113"/>
      <c r="T483" s="108" t="s">
        <v>9855</v>
      </c>
      <c r="U483" s="117">
        <v>2</v>
      </c>
      <c r="V483" s="113"/>
      <c r="W483" s="108" t="s">
        <v>9856</v>
      </c>
      <c r="X483" s="117">
        <v>2</v>
      </c>
      <c r="Y483" s="113"/>
      <c r="Z483" s="108" t="s">
        <v>47</v>
      </c>
      <c r="AA483" s="114"/>
      <c r="AB483" s="113"/>
      <c r="AC483" s="105" t="s">
        <v>1275</v>
      </c>
      <c r="AD483" s="115" t="s">
        <v>107</v>
      </c>
    </row>
    <row r="484" spans="1:30" x14ac:dyDescent="0.2">
      <c r="A484" s="104" t="s">
        <v>9857</v>
      </c>
      <c r="B484" s="105" t="s">
        <v>805</v>
      </c>
      <c r="C484" s="105" t="s">
        <v>1253</v>
      </c>
      <c r="D484" s="106"/>
      <c r="E484" s="107"/>
      <c r="F484" s="108" t="s">
        <v>9858</v>
      </c>
      <c r="G484" s="120">
        <v>2</v>
      </c>
      <c r="H484" s="108" t="s">
        <v>9859</v>
      </c>
      <c r="I484" s="116">
        <v>1</v>
      </c>
      <c r="J484" s="111" t="s">
        <v>53</v>
      </c>
      <c r="K484" s="108" t="s">
        <v>9860</v>
      </c>
      <c r="L484" s="116">
        <v>1</v>
      </c>
      <c r="M484" s="111" t="s">
        <v>40</v>
      </c>
      <c r="N484" s="108" t="s">
        <v>9858</v>
      </c>
      <c r="O484" s="117">
        <v>2</v>
      </c>
      <c r="P484" s="111" t="s">
        <v>40</v>
      </c>
      <c r="Q484" s="108" t="s">
        <v>9861</v>
      </c>
      <c r="R484" s="112">
        <v>4</v>
      </c>
      <c r="S484" s="113"/>
      <c r="T484" s="108" t="s">
        <v>47</v>
      </c>
      <c r="U484" s="114"/>
      <c r="V484" s="113"/>
      <c r="W484" s="108" t="s">
        <v>47</v>
      </c>
      <c r="X484" s="114"/>
      <c r="Y484" s="113"/>
      <c r="Z484" s="108" t="s">
        <v>47</v>
      </c>
      <c r="AA484" s="114"/>
      <c r="AB484" s="113"/>
      <c r="AC484" s="105" t="s">
        <v>1276</v>
      </c>
      <c r="AD484" s="115" t="s">
        <v>107</v>
      </c>
    </row>
    <row r="485" spans="1:30" x14ac:dyDescent="0.2">
      <c r="A485" s="104" t="s">
        <v>1277</v>
      </c>
      <c r="B485" s="105" t="s">
        <v>805</v>
      </c>
      <c r="C485" s="105" t="s">
        <v>1265</v>
      </c>
      <c r="D485" s="106" t="s">
        <v>125</v>
      </c>
      <c r="E485" s="107"/>
      <c r="F485" s="108" t="s">
        <v>9862</v>
      </c>
      <c r="G485" s="118">
        <v>3</v>
      </c>
      <c r="H485" s="108" t="s">
        <v>9863</v>
      </c>
      <c r="I485" s="116">
        <v>1</v>
      </c>
      <c r="J485" s="111" t="s">
        <v>53</v>
      </c>
      <c r="K485" s="108" t="s">
        <v>9864</v>
      </c>
      <c r="L485" s="117">
        <v>2</v>
      </c>
      <c r="M485" s="113"/>
      <c r="N485" s="108" t="s">
        <v>9862</v>
      </c>
      <c r="O485" s="110">
        <v>3</v>
      </c>
      <c r="P485" s="111" t="s">
        <v>40</v>
      </c>
      <c r="Q485" s="108" t="s">
        <v>9865</v>
      </c>
      <c r="R485" s="112">
        <v>4</v>
      </c>
      <c r="S485" s="113"/>
      <c r="T485" s="108" t="s">
        <v>9866</v>
      </c>
      <c r="U485" s="110">
        <v>3</v>
      </c>
      <c r="V485" s="113"/>
      <c r="W485" s="108" t="s">
        <v>1278</v>
      </c>
      <c r="X485" s="117">
        <v>2</v>
      </c>
      <c r="Y485" s="113"/>
      <c r="Z485" s="108" t="s">
        <v>47</v>
      </c>
      <c r="AA485" s="114"/>
      <c r="AB485" s="113"/>
      <c r="AC485" s="105" t="s">
        <v>1279</v>
      </c>
      <c r="AD485" s="115" t="s">
        <v>107</v>
      </c>
    </row>
    <row r="486" spans="1:30" x14ac:dyDescent="0.2">
      <c r="A486" s="104" t="s">
        <v>9867</v>
      </c>
      <c r="B486" s="105" t="s">
        <v>805</v>
      </c>
      <c r="C486" s="105" t="s">
        <v>1265</v>
      </c>
      <c r="D486" s="106" t="s">
        <v>125</v>
      </c>
      <c r="E486" s="107"/>
      <c r="F486" s="108" t="s">
        <v>9868</v>
      </c>
      <c r="G486" s="118">
        <v>3</v>
      </c>
      <c r="H486" s="108" t="s">
        <v>9869</v>
      </c>
      <c r="I486" s="116">
        <v>1</v>
      </c>
      <c r="J486" s="111" t="s">
        <v>53</v>
      </c>
      <c r="K486" s="108" t="s">
        <v>9870</v>
      </c>
      <c r="L486" s="117">
        <v>2</v>
      </c>
      <c r="M486" s="113"/>
      <c r="N486" s="108" t="s">
        <v>9868</v>
      </c>
      <c r="O486" s="110">
        <v>3</v>
      </c>
      <c r="P486" s="111" t="s">
        <v>40</v>
      </c>
      <c r="Q486" s="108" t="s">
        <v>1280</v>
      </c>
      <c r="R486" s="112">
        <v>4</v>
      </c>
      <c r="S486" s="113"/>
      <c r="T486" s="108" t="s">
        <v>9871</v>
      </c>
      <c r="U486" s="110">
        <v>3</v>
      </c>
      <c r="V486" s="113"/>
      <c r="W486" s="108" t="s">
        <v>1281</v>
      </c>
      <c r="X486" s="117">
        <v>2</v>
      </c>
      <c r="Y486" s="113"/>
      <c r="Z486" s="108" t="s">
        <v>47</v>
      </c>
      <c r="AA486" s="114"/>
      <c r="AB486" s="113"/>
      <c r="AC486" s="105" t="s">
        <v>1282</v>
      </c>
      <c r="AD486" s="115" t="s">
        <v>107</v>
      </c>
    </row>
    <row r="487" spans="1:30" x14ac:dyDescent="0.2">
      <c r="A487" s="104" t="s">
        <v>1283</v>
      </c>
      <c r="B487" s="105" t="s">
        <v>805</v>
      </c>
      <c r="C487" s="105" t="s">
        <v>1253</v>
      </c>
      <c r="D487" s="106" t="s">
        <v>125</v>
      </c>
      <c r="E487" s="107"/>
      <c r="F487" s="108" t="s">
        <v>9872</v>
      </c>
      <c r="G487" s="118">
        <v>3</v>
      </c>
      <c r="H487" s="108" t="s">
        <v>9873</v>
      </c>
      <c r="I487" s="116">
        <v>1</v>
      </c>
      <c r="J487" s="111" t="s">
        <v>157</v>
      </c>
      <c r="K487" s="108" t="s">
        <v>9874</v>
      </c>
      <c r="L487" s="117">
        <v>2</v>
      </c>
      <c r="M487" s="113"/>
      <c r="N487" s="108" t="s">
        <v>9872</v>
      </c>
      <c r="O487" s="110">
        <v>3</v>
      </c>
      <c r="P487" s="111" t="s">
        <v>40</v>
      </c>
      <c r="Q487" s="108" t="s">
        <v>9875</v>
      </c>
      <c r="R487" s="112">
        <v>4</v>
      </c>
      <c r="S487" s="113"/>
      <c r="T487" s="108" t="s">
        <v>9876</v>
      </c>
      <c r="U487" s="110">
        <v>3</v>
      </c>
      <c r="V487" s="113"/>
      <c r="W487" s="108" t="s">
        <v>9877</v>
      </c>
      <c r="X487" s="117">
        <v>2</v>
      </c>
      <c r="Y487" s="113"/>
      <c r="Z487" s="108" t="s">
        <v>47</v>
      </c>
      <c r="AA487" s="114"/>
      <c r="AB487" s="113"/>
      <c r="AC487" s="105" t="s">
        <v>1284</v>
      </c>
      <c r="AD487" s="115" t="s">
        <v>107</v>
      </c>
    </row>
    <row r="488" spans="1:30" x14ac:dyDescent="0.2">
      <c r="A488" s="104" t="s">
        <v>1285</v>
      </c>
      <c r="B488" s="105" t="s">
        <v>805</v>
      </c>
      <c r="C488" s="105" t="s">
        <v>1253</v>
      </c>
      <c r="D488" s="106"/>
      <c r="E488" s="107"/>
      <c r="F488" s="108" t="s">
        <v>9878</v>
      </c>
      <c r="G488" s="118">
        <v>3</v>
      </c>
      <c r="H488" s="108" t="s">
        <v>9879</v>
      </c>
      <c r="I488" s="116">
        <v>1</v>
      </c>
      <c r="J488" s="111" t="s">
        <v>157</v>
      </c>
      <c r="K488" s="108" t="s">
        <v>9880</v>
      </c>
      <c r="L488" s="117">
        <v>2</v>
      </c>
      <c r="M488" s="111" t="s">
        <v>40</v>
      </c>
      <c r="N488" s="108" t="s">
        <v>9878</v>
      </c>
      <c r="O488" s="110">
        <v>3</v>
      </c>
      <c r="P488" s="113"/>
      <c r="Q488" s="108" t="s">
        <v>47</v>
      </c>
      <c r="R488" s="114"/>
      <c r="S488" s="113"/>
      <c r="T488" s="108" t="s">
        <v>47</v>
      </c>
      <c r="U488" s="114"/>
      <c r="V488" s="113"/>
      <c r="W488" s="108" t="s">
        <v>47</v>
      </c>
      <c r="X488" s="114"/>
      <c r="Y488" s="113"/>
      <c r="Z488" s="108" t="s">
        <v>47</v>
      </c>
      <c r="AA488" s="114"/>
      <c r="AB488" s="113"/>
      <c r="AC488" s="105" t="s">
        <v>1286</v>
      </c>
      <c r="AD488" s="115" t="s">
        <v>107</v>
      </c>
    </row>
    <row r="489" spans="1:30" x14ac:dyDescent="0.2">
      <c r="A489" s="104" t="s">
        <v>1287</v>
      </c>
      <c r="B489" s="105" t="s">
        <v>805</v>
      </c>
      <c r="C489" s="105" t="s">
        <v>1253</v>
      </c>
      <c r="D489" s="106" t="s">
        <v>94</v>
      </c>
      <c r="E489" s="107"/>
      <c r="F489" s="108" t="s">
        <v>9881</v>
      </c>
      <c r="G489" s="120">
        <v>2</v>
      </c>
      <c r="H489" s="108" t="s">
        <v>9882</v>
      </c>
      <c r="I489" s="116">
        <v>1</v>
      </c>
      <c r="J489" s="111" t="s">
        <v>53</v>
      </c>
      <c r="K489" s="108" t="s">
        <v>9883</v>
      </c>
      <c r="L489" s="116">
        <v>1</v>
      </c>
      <c r="M489" s="111" t="s">
        <v>40</v>
      </c>
      <c r="N489" s="108" t="s">
        <v>9881</v>
      </c>
      <c r="O489" s="117">
        <v>2</v>
      </c>
      <c r="P489" s="111" t="s">
        <v>40</v>
      </c>
      <c r="Q489" s="108" t="s">
        <v>9884</v>
      </c>
      <c r="R489" s="112">
        <v>4</v>
      </c>
      <c r="S489" s="113"/>
      <c r="T489" s="108" t="s">
        <v>9885</v>
      </c>
      <c r="U489" s="117">
        <v>2</v>
      </c>
      <c r="V489" s="113"/>
      <c r="W489" s="108" t="s">
        <v>47</v>
      </c>
      <c r="X489" s="114"/>
      <c r="Y489" s="113"/>
      <c r="Z489" s="108" t="s">
        <v>47</v>
      </c>
      <c r="AA489" s="114"/>
      <c r="AB489" s="113"/>
      <c r="AC489" s="105" t="s">
        <v>1288</v>
      </c>
      <c r="AD489" s="115" t="s">
        <v>107</v>
      </c>
    </row>
    <row r="490" spans="1:30" x14ac:dyDescent="0.2">
      <c r="A490" s="104" t="s">
        <v>1289</v>
      </c>
      <c r="B490" s="105" t="s">
        <v>805</v>
      </c>
      <c r="C490" s="105" t="s">
        <v>1262</v>
      </c>
      <c r="D490" s="106" t="s">
        <v>94</v>
      </c>
      <c r="E490" s="107"/>
      <c r="F490" s="108" t="s">
        <v>9886</v>
      </c>
      <c r="G490" s="120">
        <v>2</v>
      </c>
      <c r="H490" s="108" t="s">
        <v>9887</v>
      </c>
      <c r="I490" s="116">
        <v>1</v>
      </c>
      <c r="J490" s="111" t="s">
        <v>53</v>
      </c>
      <c r="K490" s="108" t="s">
        <v>9888</v>
      </c>
      <c r="L490" s="116">
        <v>1</v>
      </c>
      <c r="M490" s="111" t="s">
        <v>40</v>
      </c>
      <c r="N490" s="108" t="s">
        <v>9886</v>
      </c>
      <c r="O490" s="117">
        <v>2</v>
      </c>
      <c r="P490" s="111" t="s">
        <v>40</v>
      </c>
      <c r="Q490" s="108" t="s">
        <v>9889</v>
      </c>
      <c r="R490" s="112">
        <v>4</v>
      </c>
      <c r="S490" s="113"/>
      <c r="T490" s="108" t="s">
        <v>9890</v>
      </c>
      <c r="U490" s="116">
        <v>1</v>
      </c>
      <c r="V490" s="111" t="s">
        <v>40</v>
      </c>
      <c r="W490" s="108" t="s">
        <v>47</v>
      </c>
      <c r="X490" s="114"/>
      <c r="Y490" s="113"/>
      <c r="Z490" s="108" t="s">
        <v>47</v>
      </c>
      <c r="AA490" s="114"/>
      <c r="AB490" s="113"/>
      <c r="AC490" s="105" t="s">
        <v>1290</v>
      </c>
      <c r="AD490" s="115" t="s">
        <v>107</v>
      </c>
    </row>
    <row r="491" spans="1:30" x14ac:dyDescent="0.2">
      <c r="A491" s="104" t="s">
        <v>1291</v>
      </c>
      <c r="B491" s="105" t="s">
        <v>805</v>
      </c>
      <c r="C491" s="105" t="s">
        <v>145</v>
      </c>
      <c r="D491" s="106"/>
      <c r="E491" s="107"/>
      <c r="F491" s="108" t="s">
        <v>9891</v>
      </c>
      <c r="G491" s="109">
        <v>4</v>
      </c>
      <c r="H491" s="108" t="s">
        <v>9892</v>
      </c>
      <c r="I491" s="116">
        <v>1</v>
      </c>
      <c r="J491" s="111" t="s">
        <v>53</v>
      </c>
      <c r="K491" s="108" t="s">
        <v>9893</v>
      </c>
      <c r="L491" s="110">
        <v>3</v>
      </c>
      <c r="M491" s="111" t="s">
        <v>40</v>
      </c>
      <c r="N491" s="108" t="s">
        <v>9891</v>
      </c>
      <c r="O491" s="112">
        <v>4</v>
      </c>
      <c r="P491" s="113"/>
      <c r="Q491" s="108" t="s">
        <v>9894</v>
      </c>
      <c r="R491" s="110">
        <v>3</v>
      </c>
      <c r="S491" s="111" t="s">
        <v>40</v>
      </c>
      <c r="T491" s="108" t="s">
        <v>9895</v>
      </c>
      <c r="U491" s="110">
        <v>3</v>
      </c>
      <c r="V491" s="113"/>
      <c r="W491" s="108" t="s">
        <v>47</v>
      </c>
      <c r="X491" s="114"/>
      <c r="Y491" s="113"/>
      <c r="Z491" s="108" t="s">
        <v>47</v>
      </c>
      <c r="AA491" s="114"/>
      <c r="AB491" s="113"/>
      <c r="AC491" s="105" t="s">
        <v>1292</v>
      </c>
      <c r="AD491" s="115" t="s">
        <v>107</v>
      </c>
    </row>
    <row r="492" spans="1:30" x14ac:dyDescent="0.2">
      <c r="A492" s="104" t="s">
        <v>1293</v>
      </c>
      <c r="B492" s="105" t="s">
        <v>805</v>
      </c>
      <c r="C492" s="105" t="s">
        <v>1265</v>
      </c>
      <c r="D492" s="106" t="s">
        <v>94</v>
      </c>
      <c r="E492" s="107"/>
      <c r="F492" s="108" t="s">
        <v>9896</v>
      </c>
      <c r="G492" s="118">
        <v>3</v>
      </c>
      <c r="H492" s="108" t="s">
        <v>9897</v>
      </c>
      <c r="I492" s="116">
        <v>1</v>
      </c>
      <c r="J492" s="111" t="s">
        <v>53</v>
      </c>
      <c r="K492" s="108" t="s">
        <v>9898</v>
      </c>
      <c r="L492" s="117">
        <v>2</v>
      </c>
      <c r="M492" s="113"/>
      <c r="N492" s="108" t="s">
        <v>9896</v>
      </c>
      <c r="O492" s="110">
        <v>3</v>
      </c>
      <c r="P492" s="113"/>
      <c r="Q492" s="108" t="s">
        <v>9899</v>
      </c>
      <c r="R492" s="112">
        <v>4</v>
      </c>
      <c r="S492" s="113"/>
      <c r="T492" s="108" t="s">
        <v>9900</v>
      </c>
      <c r="U492" s="116">
        <v>1</v>
      </c>
      <c r="V492" s="111" t="s">
        <v>40</v>
      </c>
      <c r="W492" s="108" t="s">
        <v>47</v>
      </c>
      <c r="X492" s="114"/>
      <c r="Y492" s="113"/>
      <c r="Z492" s="108" t="s">
        <v>47</v>
      </c>
      <c r="AA492" s="114"/>
      <c r="AB492" s="113"/>
      <c r="AC492" s="105" t="s">
        <v>1294</v>
      </c>
      <c r="AD492" s="115" t="s">
        <v>107</v>
      </c>
    </row>
    <row r="493" spans="1:30" x14ac:dyDescent="0.2">
      <c r="A493" s="104" t="s">
        <v>1295</v>
      </c>
      <c r="B493" s="105" t="s">
        <v>805</v>
      </c>
      <c r="C493" s="105" t="s">
        <v>1265</v>
      </c>
      <c r="D493" s="106"/>
      <c r="E493" s="107"/>
      <c r="F493" s="108" t="s">
        <v>9901</v>
      </c>
      <c r="G493" s="120">
        <v>2</v>
      </c>
      <c r="H493" s="108" t="s">
        <v>9902</v>
      </c>
      <c r="I493" s="116">
        <v>1</v>
      </c>
      <c r="J493" s="111" t="s">
        <v>53</v>
      </c>
      <c r="K493" s="108" t="s">
        <v>9903</v>
      </c>
      <c r="L493" s="116">
        <v>1</v>
      </c>
      <c r="M493" s="111" t="s">
        <v>40</v>
      </c>
      <c r="N493" s="108" t="s">
        <v>9901</v>
      </c>
      <c r="O493" s="117">
        <v>2</v>
      </c>
      <c r="P493" s="111" t="s">
        <v>40</v>
      </c>
      <c r="Q493" s="108" t="s">
        <v>9904</v>
      </c>
      <c r="R493" s="112">
        <v>4</v>
      </c>
      <c r="S493" s="113"/>
      <c r="T493" s="108" t="s">
        <v>47</v>
      </c>
      <c r="U493" s="114"/>
      <c r="V493" s="113"/>
      <c r="W493" s="108" t="s">
        <v>47</v>
      </c>
      <c r="X493" s="114"/>
      <c r="Y493" s="113"/>
      <c r="Z493" s="108" t="s">
        <v>47</v>
      </c>
      <c r="AA493" s="114"/>
      <c r="AB493" s="113"/>
      <c r="AC493" s="105" t="s">
        <v>1296</v>
      </c>
      <c r="AD493" s="115" t="s">
        <v>107</v>
      </c>
    </row>
    <row r="494" spans="1:30" x14ac:dyDescent="0.2">
      <c r="A494" s="104" t="s">
        <v>1297</v>
      </c>
      <c r="B494" s="105" t="s">
        <v>805</v>
      </c>
      <c r="C494" s="105" t="s">
        <v>1265</v>
      </c>
      <c r="D494" s="106"/>
      <c r="E494" s="107"/>
      <c r="F494" s="108" t="s">
        <v>9905</v>
      </c>
      <c r="G494" s="120">
        <v>2</v>
      </c>
      <c r="H494" s="108" t="s">
        <v>9906</v>
      </c>
      <c r="I494" s="116">
        <v>1</v>
      </c>
      <c r="J494" s="111" t="s">
        <v>53</v>
      </c>
      <c r="K494" s="108" t="s">
        <v>1298</v>
      </c>
      <c r="L494" s="116">
        <v>1</v>
      </c>
      <c r="M494" s="113"/>
      <c r="N494" s="108" t="s">
        <v>9905</v>
      </c>
      <c r="O494" s="117">
        <v>2</v>
      </c>
      <c r="P494" s="111" t="s">
        <v>40</v>
      </c>
      <c r="Q494" s="108" t="s">
        <v>9907</v>
      </c>
      <c r="R494" s="112">
        <v>4</v>
      </c>
      <c r="S494" s="113"/>
      <c r="T494" s="108" t="s">
        <v>47</v>
      </c>
      <c r="U494" s="114"/>
      <c r="V494" s="113"/>
      <c r="W494" s="108" t="s">
        <v>47</v>
      </c>
      <c r="X494" s="114"/>
      <c r="Y494" s="113"/>
      <c r="Z494" s="108" t="s">
        <v>47</v>
      </c>
      <c r="AA494" s="114"/>
      <c r="AB494" s="113"/>
      <c r="AC494" s="105" t="s">
        <v>1299</v>
      </c>
      <c r="AD494" s="115" t="s">
        <v>107</v>
      </c>
    </row>
    <row r="495" spans="1:30" x14ac:dyDescent="0.2">
      <c r="A495" s="104" t="s">
        <v>1300</v>
      </c>
      <c r="B495" s="105" t="s">
        <v>805</v>
      </c>
      <c r="C495" s="105" t="s">
        <v>1301</v>
      </c>
      <c r="D495" s="106"/>
      <c r="E495" s="107"/>
      <c r="F495" s="108" t="s">
        <v>1302</v>
      </c>
      <c r="G495" s="118">
        <v>3</v>
      </c>
      <c r="H495" s="108" t="s">
        <v>9908</v>
      </c>
      <c r="I495" s="116">
        <v>1</v>
      </c>
      <c r="J495" s="111" t="s">
        <v>157</v>
      </c>
      <c r="K495" s="108" t="s">
        <v>9909</v>
      </c>
      <c r="L495" s="117">
        <v>2</v>
      </c>
      <c r="M495" s="113"/>
      <c r="N495" s="108" t="s">
        <v>1302</v>
      </c>
      <c r="O495" s="110">
        <v>3</v>
      </c>
      <c r="P495" s="111" t="s">
        <v>40</v>
      </c>
      <c r="Q495" s="108" t="s">
        <v>9910</v>
      </c>
      <c r="R495" s="112">
        <v>4</v>
      </c>
      <c r="S495" s="113"/>
      <c r="T495" s="108" t="s">
        <v>47</v>
      </c>
      <c r="U495" s="114"/>
      <c r="V495" s="113"/>
      <c r="W495" s="108" t="s">
        <v>47</v>
      </c>
      <c r="X495" s="114"/>
      <c r="Y495" s="113"/>
      <c r="Z495" s="108" t="s">
        <v>47</v>
      </c>
      <c r="AA495" s="114"/>
      <c r="AB495" s="113"/>
      <c r="AC495" s="105" t="s">
        <v>1303</v>
      </c>
      <c r="AD495" s="115" t="s">
        <v>107</v>
      </c>
    </row>
    <row r="496" spans="1:30" x14ac:dyDescent="0.2">
      <c r="A496" s="104" t="s">
        <v>1304</v>
      </c>
      <c r="B496" s="105" t="s">
        <v>805</v>
      </c>
      <c r="C496" s="105" t="s">
        <v>1301</v>
      </c>
      <c r="D496" s="106"/>
      <c r="E496" s="107"/>
      <c r="F496" s="108" t="s">
        <v>9911</v>
      </c>
      <c r="G496" s="118">
        <v>3</v>
      </c>
      <c r="H496" s="108" t="s">
        <v>9912</v>
      </c>
      <c r="I496" s="116">
        <v>1</v>
      </c>
      <c r="J496" s="111" t="s">
        <v>157</v>
      </c>
      <c r="K496" s="108" t="s">
        <v>9913</v>
      </c>
      <c r="L496" s="117">
        <v>2</v>
      </c>
      <c r="M496" s="111" t="s">
        <v>40</v>
      </c>
      <c r="N496" s="108" t="s">
        <v>9911</v>
      </c>
      <c r="O496" s="110">
        <v>3</v>
      </c>
      <c r="P496" s="111" t="s">
        <v>40</v>
      </c>
      <c r="Q496" s="108" t="s">
        <v>9914</v>
      </c>
      <c r="R496" s="112">
        <v>4</v>
      </c>
      <c r="S496" s="113"/>
      <c r="T496" s="108" t="s">
        <v>47</v>
      </c>
      <c r="U496" s="114"/>
      <c r="V496" s="113"/>
      <c r="W496" s="108" t="s">
        <v>47</v>
      </c>
      <c r="X496" s="114"/>
      <c r="Y496" s="113"/>
      <c r="Z496" s="108" t="s">
        <v>47</v>
      </c>
      <c r="AA496" s="114"/>
      <c r="AB496" s="113"/>
      <c r="AC496" s="105" t="s">
        <v>1305</v>
      </c>
      <c r="AD496" s="115" t="s">
        <v>107</v>
      </c>
    </row>
    <row r="497" spans="1:30" x14ac:dyDescent="0.2">
      <c r="A497" s="104" t="s">
        <v>1306</v>
      </c>
      <c r="B497" s="105" t="s">
        <v>805</v>
      </c>
      <c r="C497" s="105" t="s">
        <v>1301</v>
      </c>
      <c r="D497" s="106"/>
      <c r="E497" s="107"/>
      <c r="F497" s="108" t="s">
        <v>9915</v>
      </c>
      <c r="G497" s="118">
        <v>3</v>
      </c>
      <c r="H497" s="108" t="s">
        <v>9916</v>
      </c>
      <c r="I497" s="116">
        <v>1</v>
      </c>
      <c r="J497" s="111" t="s">
        <v>157</v>
      </c>
      <c r="K497" s="108" t="s">
        <v>9917</v>
      </c>
      <c r="L497" s="116">
        <v>1</v>
      </c>
      <c r="M497" s="111" t="s">
        <v>40</v>
      </c>
      <c r="N497" s="108" t="s">
        <v>9915</v>
      </c>
      <c r="O497" s="110">
        <v>3</v>
      </c>
      <c r="P497" s="113"/>
      <c r="Q497" s="108" t="s">
        <v>9918</v>
      </c>
      <c r="R497" s="112">
        <v>4</v>
      </c>
      <c r="S497" s="113"/>
      <c r="T497" s="108" t="s">
        <v>47</v>
      </c>
      <c r="U497" s="114"/>
      <c r="V497" s="113"/>
      <c r="W497" s="108" t="s">
        <v>47</v>
      </c>
      <c r="X497" s="114"/>
      <c r="Y497" s="113"/>
      <c r="Z497" s="108" t="s">
        <v>47</v>
      </c>
      <c r="AA497" s="114"/>
      <c r="AB497" s="113"/>
      <c r="AC497" s="105" t="s">
        <v>1307</v>
      </c>
      <c r="AD497" s="115" t="s">
        <v>107</v>
      </c>
    </row>
    <row r="498" spans="1:30" x14ac:dyDescent="0.2">
      <c r="A498" s="104" t="s">
        <v>1308</v>
      </c>
      <c r="B498" s="105" t="s">
        <v>805</v>
      </c>
      <c r="C498" s="105" t="s">
        <v>1253</v>
      </c>
      <c r="D498" s="106" t="s">
        <v>94</v>
      </c>
      <c r="E498" s="107"/>
      <c r="F498" s="108" t="s">
        <v>9919</v>
      </c>
      <c r="G498" s="120">
        <v>2</v>
      </c>
      <c r="H498" s="108" t="s">
        <v>9920</v>
      </c>
      <c r="I498" s="116">
        <v>1</v>
      </c>
      <c r="J498" s="111" t="s">
        <v>53</v>
      </c>
      <c r="K498" s="108" t="s">
        <v>9921</v>
      </c>
      <c r="L498" s="116">
        <v>1</v>
      </c>
      <c r="M498" s="111" t="s">
        <v>40</v>
      </c>
      <c r="N498" s="108" t="s">
        <v>9919</v>
      </c>
      <c r="O498" s="117">
        <v>2</v>
      </c>
      <c r="P498" s="111" t="s">
        <v>40</v>
      </c>
      <c r="Q498" s="108" t="s">
        <v>9922</v>
      </c>
      <c r="R498" s="112">
        <v>4</v>
      </c>
      <c r="S498" s="113"/>
      <c r="T498" s="108" t="s">
        <v>9923</v>
      </c>
      <c r="U498" s="117">
        <v>2</v>
      </c>
      <c r="V498" s="113"/>
      <c r="W498" s="108" t="s">
        <v>1309</v>
      </c>
      <c r="X498" s="116">
        <v>1</v>
      </c>
      <c r="Y498" s="113"/>
      <c r="Z498" s="108" t="s">
        <v>9924</v>
      </c>
      <c r="AA498" s="117">
        <v>2</v>
      </c>
      <c r="AB498" s="113"/>
      <c r="AC498" s="105" t="s">
        <v>1310</v>
      </c>
      <c r="AD498" s="115" t="s">
        <v>107</v>
      </c>
    </row>
    <row r="499" spans="1:30" x14ac:dyDescent="0.2">
      <c r="A499" s="104" t="s">
        <v>1311</v>
      </c>
      <c r="B499" s="105" t="s">
        <v>805</v>
      </c>
      <c r="C499" s="105" t="s">
        <v>1253</v>
      </c>
      <c r="D499" s="106" t="s">
        <v>94</v>
      </c>
      <c r="E499" s="107"/>
      <c r="F499" s="108" t="s">
        <v>9925</v>
      </c>
      <c r="G499" s="120">
        <v>2</v>
      </c>
      <c r="H499" s="108" t="s">
        <v>9926</v>
      </c>
      <c r="I499" s="116">
        <v>1</v>
      </c>
      <c r="J499" s="111" t="s">
        <v>53</v>
      </c>
      <c r="K499" s="108" t="s">
        <v>9927</v>
      </c>
      <c r="L499" s="116">
        <v>1</v>
      </c>
      <c r="M499" s="111" t="s">
        <v>40</v>
      </c>
      <c r="N499" s="108" t="s">
        <v>9925</v>
      </c>
      <c r="O499" s="117">
        <v>2</v>
      </c>
      <c r="P499" s="111" t="s">
        <v>40</v>
      </c>
      <c r="Q499" s="108" t="s">
        <v>9928</v>
      </c>
      <c r="R499" s="112">
        <v>4</v>
      </c>
      <c r="S499" s="111" t="s">
        <v>46</v>
      </c>
      <c r="T499" s="108" t="s">
        <v>9929</v>
      </c>
      <c r="U499" s="116">
        <v>1</v>
      </c>
      <c r="V499" s="111" t="s">
        <v>40</v>
      </c>
      <c r="W499" s="108" t="s">
        <v>47</v>
      </c>
      <c r="X499" s="114"/>
      <c r="Y499" s="113"/>
      <c r="Z499" s="108" t="s">
        <v>47</v>
      </c>
      <c r="AA499" s="114"/>
      <c r="AB499" s="113"/>
      <c r="AC499" s="105" t="s">
        <v>1312</v>
      </c>
      <c r="AD499" s="115" t="s">
        <v>107</v>
      </c>
    </row>
    <row r="500" spans="1:30" x14ac:dyDescent="0.2">
      <c r="A500" s="104" t="s">
        <v>9930</v>
      </c>
      <c r="B500" s="105" t="s">
        <v>805</v>
      </c>
      <c r="C500" s="105" t="s">
        <v>1253</v>
      </c>
      <c r="D500" s="106"/>
      <c r="E500" s="107"/>
      <c r="F500" s="108" t="s">
        <v>9931</v>
      </c>
      <c r="G500" s="120">
        <v>2</v>
      </c>
      <c r="H500" s="108" t="s">
        <v>9932</v>
      </c>
      <c r="I500" s="116">
        <v>1</v>
      </c>
      <c r="J500" s="111" t="s">
        <v>53</v>
      </c>
      <c r="K500" s="108" t="s">
        <v>9933</v>
      </c>
      <c r="L500" s="116">
        <v>1</v>
      </c>
      <c r="M500" s="111" t="s">
        <v>40</v>
      </c>
      <c r="N500" s="108" t="s">
        <v>9931</v>
      </c>
      <c r="O500" s="117">
        <v>2</v>
      </c>
      <c r="P500" s="111" t="s">
        <v>40</v>
      </c>
      <c r="Q500" s="108" t="s">
        <v>9934</v>
      </c>
      <c r="R500" s="112">
        <v>4</v>
      </c>
      <c r="S500" s="113"/>
      <c r="T500" s="108" t="s">
        <v>47</v>
      </c>
      <c r="U500" s="114"/>
      <c r="V500" s="113"/>
      <c r="W500" s="108" t="s">
        <v>47</v>
      </c>
      <c r="X500" s="114"/>
      <c r="Y500" s="113"/>
      <c r="Z500" s="108" t="s">
        <v>47</v>
      </c>
      <c r="AA500" s="114"/>
      <c r="AB500" s="113"/>
      <c r="AC500" s="105" t="s">
        <v>1313</v>
      </c>
      <c r="AD500" s="115" t="s">
        <v>107</v>
      </c>
    </row>
    <row r="501" spans="1:30" x14ac:dyDescent="0.2">
      <c r="A501" s="104" t="s">
        <v>1314</v>
      </c>
      <c r="B501" s="105" t="s">
        <v>805</v>
      </c>
      <c r="C501" s="105" t="s">
        <v>1253</v>
      </c>
      <c r="D501" s="106"/>
      <c r="E501" s="107"/>
      <c r="F501" s="108" t="s">
        <v>9935</v>
      </c>
      <c r="G501" s="120">
        <v>2</v>
      </c>
      <c r="H501" s="108" t="s">
        <v>9936</v>
      </c>
      <c r="I501" s="116">
        <v>1</v>
      </c>
      <c r="J501" s="111" t="s">
        <v>53</v>
      </c>
      <c r="K501" s="108" t="s">
        <v>9937</v>
      </c>
      <c r="L501" s="117">
        <v>2</v>
      </c>
      <c r="M501" s="113"/>
      <c r="N501" s="108" t="s">
        <v>9935</v>
      </c>
      <c r="O501" s="117">
        <v>2</v>
      </c>
      <c r="P501" s="113"/>
      <c r="Q501" s="108" t="s">
        <v>47</v>
      </c>
      <c r="R501" s="114"/>
      <c r="S501" s="113"/>
      <c r="T501" s="108" t="s">
        <v>47</v>
      </c>
      <c r="U501" s="114"/>
      <c r="V501" s="113"/>
      <c r="W501" s="108" t="s">
        <v>47</v>
      </c>
      <c r="X501" s="114"/>
      <c r="Y501" s="113"/>
      <c r="Z501" s="108" t="s">
        <v>47</v>
      </c>
      <c r="AA501" s="114"/>
      <c r="AB501" s="113"/>
      <c r="AC501" s="105" t="s">
        <v>1315</v>
      </c>
      <c r="AD501" s="115" t="s">
        <v>107</v>
      </c>
    </row>
    <row r="502" spans="1:30" x14ac:dyDescent="0.2">
      <c r="A502" s="104" t="s">
        <v>1316</v>
      </c>
      <c r="B502" s="105" t="s">
        <v>805</v>
      </c>
      <c r="C502" s="105" t="s">
        <v>1265</v>
      </c>
      <c r="D502" s="106" t="s">
        <v>94</v>
      </c>
      <c r="E502" s="107"/>
      <c r="F502" s="108" t="s">
        <v>9938</v>
      </c>
      <c r="G502" s="118">
        <v>3</v>
      </c>
      <c r="H502" s="108" t="s">
        <v>9939</v>
      </c>
      <c r="I502" s="116">
        <v>1</v>
      </c>
      <c r="J502" s="111" t="s">
        <v>53</v>
      </c>
      <c r="K502" s="108" t="s">
        <v>9940</v>
      </c>
      <c r="L502" s="116">
        <v>1</v>
      </c>
      <c r="M502" s="111" t="s">
        <v>40</v>
      </c>
      <c r="N502" s="108" t="s">
        <v>9938</v>
      </c>
      <c r="O502" s="110">
        <v>3</v>
      </c>
      <c r="P502" s="113"/>
      <c r="Q502" s="108" t="s">
        <v>9941</v>
      </c>
      <c r="R502" s="112">
        <v>4</v>
      </c>
      <c r="S502" s="113"/>
      <c r="T502" s="108" t="s">
        <v>9942</v>
      </c>
      <c r="U502" s="116">
        <v>1</v>
      </c>
      <c r="V502" s="111" t="s">
        <v>40</v>
      </c>
      <c r="W502" s="108" t="s">
        <v>9943</v>
      </c>
      <c r="X502" s="116">
        <v>1</v>
      </c>
      <c r="Y502" s="113"/>
      <c r="Z502" s="108" t="s">
        <v>47</v>
      </c>
      <c r="AA502" s="114"/>
      <c r="AB502" s="113"/>
      <c r="AC502" s="105" t="s">
        <v>1317</v>
      </c>
      <c r="AD502" s="115" t="s">
        <v>107</v>
      </c>
    </row>
    <row r="503" spans="1:30" x14ac:dyDescent="0.2">
      <c r="A503" s="104" t="s">
        <v>1318</v>
      </c>
      <c r="B503" s="105" t="s">
        <v>805</v>
      </c>
      <c r="C503" s="105" t="s">
        <v>1253</v>
      </c>
      <c r="D503" s="106" t="s">
        <v>94</v>
      </c>
      <c r="E503" s="107"/>
      <c r="F503" s="108" t="s">
        <v>9944</v>
      </c>
      <c r="G503" s="120">
        <v>2</v>
      </c>
      <c r="H503" s="108" t="s">
        <v>9945</v>
      </c>
      <c r="I503" s="116">
        <v>1</v>
      </c>
      <c r="J503" s="111" t="s">
        <v>53</v>
      </c>
      <c r="K503" s="108" t="s">
        <v>9946</v>
      </c>
      <c r="L503" s="117">
        <v>2</v>
      </c>
      <c r="M503" s="113"/>
      <c r="N503" s="108" t="s">
        <v>9944</v>
      </c>
      <c r="O503" s="117">
        <v>2</v>
      </c>
      <c r="P503" s="111" t="s">
        <v>40</v>
      </c>
      <c r="Q503" s="108" t="s">
        <v>9947</v>
      </c>
      <c r="R503" s="112">
        <v>4</v>
      </c>
      <c r="S503" s="113"/>
      <c r="T503" s="108" t="s">
        <v>9948</v>
      </c>
      <c r="U503" s="117">
        <v>2</v>
      </c>
      <c r="V503" s="113"/>
      <c r="W503" s="108" t="s">
        <v>1319</v>
      </c>
      <c r="X503" s="116">
        <v>1</v>
      </c>
      <c r="Y503" s="113"/>
      <c r="Z503" s="108" t="s">
        <v>47</v>
      </c>
      <c r="AA503" s="114"/>
      <c r="AB503" s="113"/>
      <c r="AC503" s="105" t="s">
        <v>1320</v>
      </c>
      <c r="AD503" s="115" t="s">
        <v>107</v>
      </c>
    </row>
    <row r="504" spans="1:30" x14ac:dyDescent="0.2">
      <c r="A504" s="104" t="s">
        <v>1321</v>
      </c>
      <c r="B504" s="105" t="s">
        <v>805</v>
      </c>
      <c r="C504" s="105" t="s">
        <v>1265</v>
      </c>
      <c r="D504" s="106"/>
      <c r="E504" s="107"/>
      <c r="F504" s="108" t="s">
        <v>9949</v>
      </c>
      <c r="G504" s="118">
        <v>3</v>
      </c>
      <c r="H504" s="108" t="s">
        <v>9950</v>
      </c>
      <c r="I504" s="116">
        <v>1</v>
      </c>
      <c r="J504" s="111" t="s">
        <v>53</v>
      </c>
      <c r="K504" s="108" t="s">
        <v>9951</v>
      </c>
      <c r="L504" s="117">
        <v>2</v>
      </c>
      <c r="M504" s="113"/>
      <c r="N504" s="108" t="s">
        <v>9949</v>
      </c>
      <c r="O504" s="110">
        <v>3</v>
      </c>
      <c r="P504" s="113"/>
      <c r="Q504" s="108" t="s">
        <v>47</v>
      </c>
      <c r="R504" s="114"/>
      <c r="S504" s="113"/>
      <c r="T504" s="108" t="s">
        <v>47</v>
      </c>
      <c r="U504" s="114"/>
      <c r="V504" s="113"/>
      <c r="W504" s="108" t="s">
        <v>47</v>
      </c>
      <c r="X504" s="114"/>
      <c r="Y504" s="113"/>
      <c r="Z504" s="108" t="s">
        <v>47</v>
      </c>
      <c r="AA504" s="114"/>
      <c r="AB504" s="113"/>
      <c r="AC504" s="105" t="s">
        <v>1322</v>
      </c>
      <c r="AD504" s="115" t="s">
        <v>107</v>
      </c>
    </row>
    <row r="505" spans="1:30" x14ac:dyDescent="0.2">
      <c r="A505" s="104" t="s">
        <v>1323</v>
      </c>
      <c r="B505" s="105" t="s">
        <v>805</v>
      </c>
      <c r="C505" s="105" t="s">
        <v>1253</v>
      </c>
      <c r="D505" s="106"/>
      <c r="E505" s="107"/>
      <c r="F505" s="108" t="s">
        <v>47</v>
      </c>
      <c r="G505" s="113"/>
      <c r="H505" s="108" t="s">
        <v>47</v>
      </c>
      <c r="I505" s="114"/>
      <c r="J505" s="113"/>
      <c r="K505" s="108" t="s">
        <v>47</v>
      </c>
      <c r="L505" s="114"/>
      <c r="M505" s="113"/>
      <c r="N505" s="108" t="s">
        <v>47</v>
      </c>
      <c r="O505" s="114"/>
      <c r="P505" s="113"/>
      <c r="Q505" s="108" t="s">
        <v>47</v>
      </c>
      <c r="R505" s="114"/>
      <c r="S505" s="113"/>
      <c r="T505" s="108" t="s">
        <v>47</v>
      </c>
      <c r="U505" s="114"/>
      <c r="V505" s="113"/>
      <c r="W505" s="108" t="s">
        <v>47</v>
      </c>
      <c r="X505" s="114"/>
      <c r="Y505" s="113"/>
      <c r="Z505" s="108" t="s">
        <v>47</v>
      </c>
      <c r="AA505" s="114"/>
      <c r="AB505" s="113"/>
      <c r="AC505" s="105" t="s">
        <v>1324</v>
      </c>
      <c r="AD505" s="115" t="s">
        <v>107</v>
      </c>
    </row>
    <row r="506" spans="1:30" x14ac:dyDescent="0.2">
      <c r="A506" s="104" t="s">
        <v>1325</v>
      </c>
      <c r="B506" s="105" t="s">
        <v>805</v>
      </c>
      <c r="C506" s="105" t="s">
        <v>1253</v>
      </c>
      <c r="D506" s="106"/>
      <c r="E506" s="107"/>
      <c r="F506" s="108" t="s">
        <v>47</v>
      </c>
      <c r="G506" s="113"/>
      <c r="H506" s="108" t="s">
        <v>47</v>
      </c>
      <c r="I506" s="114"/>
      <c r="J506" s="113"/>
      <c r="K506" s="108" t="s">
        <v>47</v>
      </c>
      <c r="L506" s="114"/>
      <c r="M506" s="113"/>
      <c r="N506" s="108" t="s">
        <v>47</v>
      </c>
      <c r="O506" s="114"/>
      <c r="P506" s="113"/>
      <c r="Q506" s="108" t="s">
        <v>47</v>
      </c>
      <c r="R506" s="114"/>
      <c r="S506" s="113"/>
      <c r="T506" s="108" t="s">
        <v>47</v>
      </c>
      <c r="U506" s="114"/>
      <c r="V506" s="113"/>
      <c r="W506" s="108" t="s">
        <v>47</v>
      </c>
      <c r="X506" s="114"/>
      <c r="Y506" s="113"/>
      <c r="Z506" s="108" t="s">
        <v>47</v>
      </c>
      <c r="AA506" s="114"/>
      <c r="AB506" s="113"/>
      <c r="AC506" s="105" t="s">
        <v>1326</v>
      </c>
      <c r="AD506" s="115" t="s">
        <v>107</v>
      </c>
    </row>
    <row r="507" spans="1:30" x14ac:dyDescent="0.2">
      <c r="A507" s="104" t="s">
        <v>1327</v>
      </c>
      <c r="B507" s="105" t="s">
        <v>805</v>
      </c>
      <c r="C507" s="105" t="s">
        <v>1253</v>
      </c>
      <c r="D507" s="106" t="s">
        <v>94</v>
      </c>
      <c r="E507" s="107"/>
      <c r="F507" s="108" t="s">
        <v>9952</v>
      </c>
      <c r="G507" s="120">
        <v>2</v>
      </c>
      <c r="H507" s="108" t="s">
        <v>9953</v>
      </c>
      <c r="I507" s="116">
        <v>1</v>
      </c>
      <c r="J507" s="111" t="s">
        <v>53</v>
      </c>
      <c r="K507" s="108" t="s">
        <v>9954</v>
      </c>
      <c r="L507" s="116">
        <v>1</v>
      </c>
      <c r="M507" s="111" t="s">
        <v>40</v>
      </c>
      <c r="N507" s="108" t="s">
        <v>9952</v>
      </c>
      <c r="O507" s="117">
        <v>2</v>
      </c>
      <c r="P507" s="111" t="s">
        <v>40</v>
      </c>
      <c r="Q507" s="108" t="s">
        <v>9955</v>
      </c>
      <c r="R507" s="112">
        <v>4</v>
      </c>
      <c r="S507" s="113"/>
      <c r="T507" s="108" t="s">
        <v>9956</v>
      </c>
      <c r="U507" s="116">
        <v>1</v>
      </c>
      <c r="V507" s="111" t="s">
        <v>40</v>
      </c>
      <c r="W507" s="108" t="s">
        <v>47</v>
      </c>
      <c r="X507" s="114"/>
      <c r="Y507" s="113"/>
      <c r="Z507" s="108" t="s">
        <v>47</v>
      </c>
      <c r="AA507" s="114"/>
      <c r="AB507" s="113"/>
      <c r="AC507" s="105" t="s">
        <v>1328</v>
      </c>
      <c r="AD507" s="115" t="s">
        <v>107</v>
      </c>
    </row>
    <row r="508" spans="1:30" x14ac:dyDescent="0.2">
      <c r="A508" s="104" t="s">
        <v>1329</v>
      </c>
      <c r="B508" s="105" t="s">
        <v>805</v>
      </c>
      <c r="C508" s="105" t="s">
        <v>1262</v>
      </c>
      <c r="D508" s="106"/>
      <c r="E508" s="107"/>
      <c r="F508" s="108" t="s">
        <v>9957</v>
      </c>
      <c r="G508" s="118">
        <v>3</v>
      </c>
      <c r="H508" s="108" t="s">
        <v>1330</v>
      </c>
      <c r="I508" s="116">
        <v>1</v>
      </c>
      <c r="J508" s="111" t="s">
        <v>157</v>
      </c>
      <c r="K508" s="108" t="s">
        <v>1331</v>
      </c>
      <c r="L508" s="117">
        <v>2</v>
      </c>
      <c r="M508" s="113"/>
      <c r="N508" s="108" t="s">
        <v>9957</v>
      </c>
      <c r="O508" s="110">
        <v>3</v>
      </c>
      <c r="P508" s="111" t="s">
        <v>40</v>
      </c>
      <c r="Q508" s="108" t="s">
        <v>47</v>
      </c>
      <c r="R508" s="114"/>
      <c r="S508" s="113"/>
      <c r="T508" s="108" t="s">
        <v>47</v>
      </c>
      <c r="U508" s="114"/>
      <c r="V508" s="113"/>
      <c r="W508" s="108" t="s">
        <v>47</v>
      </c>
      <c r="X508" s="114"/>
      <c r="Y508" s="113"/>
      <c r="Z508" s="108" t="s">
        <v>47</v>
      </c>
      <c r="AA508" s="114"/>
      <c r="AB508" s="113"/>
      <c r="AC508" s="105" t="s">
        <v>1332</v>
      </c>
      <c r="AD508" s="115" t="s">
        <v>107</v>
      </c>
    </row>
    <row r="509" spans="1:30" x14ac:dyDescent="0.2">
      <c r="A509" s="104" t="s">
        <v>1333</v>
      </c>
      <c r="B509" s="105" t="s">
        <v>805</v>
      </c>
      <c r="C509" s="105" t="s">
        <v>1265</v>
      </c>
      <c r="D509" s="106" t="s">
        <v>94</v>
      </c>
      <c r="E509" s="107"/>
      <c r="F509" s="108" t="s">
        <v>9958</v>
      </c>
      <c r="G509" s="120">
        <v>2</v>
      </c>
      <c r="H509" s="108" t="s">
        <v>9959</v>
      </c>
      <c r="I509" s="116">
        <v>1</v>
      </c>
      <c r="J509" s="111" t="s">
        <v>53</v>
      </c>
      <c r="K509" s="108" t="s">
        <v>9960</v>
      </c>
      <c r="L509" s="116">
        <v>1</v>
      </c>
      <c r="M509" s="111" t="s">
        <v>40</v>
      </c>
      <c r="N509" s="108" t="s">
        <v>9958</v>
      </c>
      <c r="O509" s="117">
        <v>2</v>
      </c>
      <c r="P509" s="111" t="s">
        <v>40</v>
      </c>
      <c r="Q509" s="108" t="s">
        <v>1334</v>
      </c>
      <c r="R509" s="112">
        <v>4</v>
      </c>
      <c r="S509" s="113"/>
      <c r="T509" s="108" t="s">
        <v>9961</v>
      </c>
      <c r="U509" s="117">
        <v>2</v>
      </c>
      <c r="V509" s="113"/>
      <c r="W509" s="108" t="s">
        <v>9962</v>
      </c>
      <c r="X509" s="116">
        <v>1</v>
      </c>
      <c r="Y509" s="111" t="s">
        <v>40</v>
      </c>
      <c r="Z509" s="108" t="s">
        <v>47</v>
      </c>
      <c r="AA509" s="114"/>
      <c r="AB509" s="113"/>
      <c r="AC509" s="105" t="s">
        <v>1335</v>
      </c>
      <c r="AD509" s="115" t="s">
        <v>107</v>
      </c>
    </row>
    <row r="510" spans="1:30" x14ac:dyDescent="0.2">
      <c r="A510" s="104" t="s">
        <v>1336</v>
      </c>
      <c r="B510" s="105" t="s">
        <v>805</v>
      </c>
      <c r="C510" s="105" t="s">
        <v>1265</v>
      </c>
      <c r="D510" s="106" t="s">
        <v>94</v>
      </c>
      <c r="E510" s="107"/>
      <c r="F510" s="108" t="s">
        <v>9963</v>
      </c>
      <c r="G510" s="118">
        <v>3</v>
      </c>
      <c r="H510" s="108" t="s">
        <v>9964</v>
      </c>
      <c r="I510" s="116">
        <v>1</v>
      </c>
      <c r="J510" s="111" t="s">
        <v>53</v>
      </c>
      <c r="K510" s="108" t="s">
        <v>9965</v>
      </c>
      <c r="L510" s="117">
        <v>2</v>
      </c>
      <c r="M510" s="113"/>
      <c r="N510" s="108" t="s">
        <v>9963</v>
      </c>
      <c r="O510" s="110">
        <v>3</v>
      </c>
      <c r="P510" s="113"/>
      <c r="Q510" s="108" t="s">
        <v>9966</v>
      </c>
      <c r="R510" s="112">
        <v>4</v>
      </c>
      <c r="S510" s="113"/>
      <c r="T510" s="108" t="s">
        <v>9967</v>
      </c>
      <c r="U510" s="117">
        <v>2</v>
      </c>
      <c r="V510" s="113"/>
      <c r="W510" s="108" t="s">
        <v>9968</v>
      </c>
      <c r="X510" s="116">
        <v>1</v>
      </c>
      <c r="Y510" s="113"/>
      <c r="Z510" s="108" t="s">
        <v>47</v>
      </c>
      <c r="AA510" s="114"/>
      <c r="AB510" s="113"/>
      <c r="AC510" s="105" t="s">
        <v>1337</v>
      </c>
      <c r="AD510" s="115" t="s">
        <v>107</v>
      </c>
    </row>
    <row r="511" spans="1:30" x14ac:dyDescent="0.2">
      <c r="A511" s="104" t="s">
        <v>1338</v>
      </c>
      <c r="B511" s="105" t="s">
        <v>805</v>
      </c>
      <c r="C511" s="105" t="s">
        <v>1301</v>
      </c>
      <c r="D511" s="106" t="s">
        <v>125</v>
      </c>
      <c r="E511" s="107"/>
      <c r="F511" s="108" t="s">
        <v>9969</v>
      </c>
      <c r="G511" s="118">
        <v>3</v>
      </c>
      <c r="H511" s="108" t="s">
        <v>9970</v>
      </c>
      <c r="I511" s="116">
        <v>1</v>
      </c>
      <c r="J511" s="111" t="s">
        <v>157</v>
      </c>
      <c r="K511" s="108" t="s">
        <v>9971</v>
      </c>
      <c r="L511" s="116">
        <v>1</v>
      </c>
      <c r="M511" s="111" t="s">
        <v>40</v>
      </c>
      <c r="N511" s="108" t="s">
        <v>9969</v>
      </c>
      <c r="O511" s="110">
        <v>3</v>
      </c>
      <c r="P511" s="111" t="s">
        <v>40</v>
      </c>
      <c r="Q511" s="108" t="s">
        <v>9972</v>
      </c>
      <c r="R511" s="112">
        <v>4</v>
      </c>
      <c r="S511" s="113"/>
      <c r="T511" s="108" t="s">
        <v>9973</v>
      </c>
      <c r="U511" s="117">
        <v>2</v>
      </c>
      <c r="V511" s="111" t="s">
        <v>40</v>
      </c>
      <c r="W511" s="108" t="s">
        <v>47</v>
      </c>
      <c r="X511" s="114"/>
      <c r="Y511" s="113"/>
      <c r="Z511" s="108" t="s">
        <v>47</v>
      </c>
      <c r="AA511" s="114"/>
      <c r="AB511" s="113"/>
      <c r="AC511" s="105" t="s">
        <v>1339</v>
      </c>
      <c r="AD511" s="115" t="s">
        <v>107</v>
      </c>
    </row>
    <row r="512" spans="1:30" x14ac:dyDescent="0.2">
      <c r="A512" s="104" t="s">
        <v>1340</v>
      </c>
      <c r="B512" s="105" t="s">
        <v>805</v>
      </c>
      <c r="C512" s="105" t="s">
        <v>1301</v>
      </c>
      <c r="D512" s="106" t="s">
        <v>125</v>
      </c>
      <c r="E512" s="107"/>
      <c r="F512" s="108" t="s">
        <v>9974</v>
      </c>
      <c r="G512" s="118">
        <v>3</v>
      </c>
      <c r="H512" s="108" t="s">
        <v>9975</v>
      </c>
      <c r="I512" s="116">
        <v>1</v>
      </c>
      <c r="J512" s="111" t="s">
        <v>157</v>
      </c>
      <c r="K512" s="108" t="s">
        <v>9976</v>
      </c>
      <c r="L512" s="116">
        <v>1</v>
      </c>
      <c r="M512" s="111" t="s">
        <v>40</v>
      </c>
      <c r="N512" s="108" t="s">
        <v>9974</v>
      </c>
      <c r="O512" s="110">
        <v>3</v>
      </c>
      <c r="P512" s="113"/>
      <c r="Q512" s="108" t="s">
        <v>1341</v>
      </c>
      <c r="R512" s="112">
        <v>4</v>
      </c>
      <c r="S512" s="113"/>
      <c r="T512" s="108" t="s">
        <v>9977</v>
      </c>
      <c r="U512" s="117">
        <v>2</v>
      </c>
      <c r="V512" s="111" t="s">
        <v>40</v>
      </c>
      <c r="W512" s="108" t="s">
        <v>47</v>
      </c>
      <c r="X512" s="114"/>
      <c r="Y512" s="113"/>
      <c r="Z512" s="108" t="s">
        <v>47</v>
      </c>
      <c r="AA512" s="114"/>
      <c r="AB512" s="113"/>
      <c r="AC512" s="105" t="s">
        <v>1342</v>
      </c>
      <c r="AD512" s="115" t="s">
        <v>107</v>
      </c>
    </row>
    <row r="513" spans="1:30" x14ac:dyDescent="0.2">
      <c r="A513" s="104" t="s">
        <v>1343</v>
      </c>
      <c r="B513" s="105" t="s">
        <v>805</v>
      </c>
      <c r="C513" s="105" t="s">
        <v>1253</v>
      </c>
      <c r="D513" s="106" t="s">
        <v>94</v>
      </c>
      <c r="E513" s="107"/>
      <c r="F513" s="108" t="s">
        <v>9978</v>
      </c>
      <c r="G513" s="120">
        <v>2</v>
      </c>
      <c r="H513" s="108" t="s">
        <v>9979</v>
      </c>
      <c r="I513" s="116">
        <v>1</v>
      </c>
      <c r="J513" s="111" t="s">
        <v>53</v>
      </c>
      <c r="K513" s="108" t="s">
        <v>9980</v>
      </c>
      <c r="L513" s="116">
        <v>1</v>
      </c>
      <c r="M513" s="111" t="s">
        <v>40</v>
      </c>
      <c r="N513" s="108" t="s">
        <v>9978</v>
      </c>
      <c r="O513" s="117">
        <v>2</v>
      </c>
      <c r="P513" s="111" t="s">
        <v>40</v>
      </c>
      <c r="Q513" s="108" t="s">
        <v>9981</v>
      </c>
      <c r="R513" s="112">
        <v>4</v>
      </c>
      <c r="S513" s="113"/>
      <c r="T513" s="108" t="s">
        <v>9982</v>
      </c>
      <c r="U513" s="117">
        <v>2</v>
      </c>
      <c r="V513" s="113"/>
      <c r="W513" s="108" t="s">
        <v>9983</v>
      </c>
      <c r="X513" s="116">
        <v>1</v>
      </c>
      <c r="Y513" s="113"/>
      <c r="Z513" s="108" t="s">
        <v>9984</v>
      </c>
      <c r="AA513" s="116">
        <v>1</v>
      </c>
      <c r="AB513" s="113"/>
      <c r="AC513" s="105" t="s">
        <v>1344</v>
      </c>
      <c r="AD513" s="115" t="s">
        <v>107</v>
      </c>
    </row>
    <row r="514" spans="1:30" x14ac:dyDescent="0.2">
      <c r="A514" s="104" t="s">
        <v>1345</v>
      </c>
      <c r="B514" s="105" t="s">
        <v>805</v>
      </c>
      <c r="C514" s="105" t="s">
        <v>1253</v>
      </c>
      <c r="D514" s="106" t="s">
        <v>94</v>
      </c>
      <c r="E514" s="107"/>
      <c r="F514" s="108" t="s">
        <v>9985</v>
      </c>
      <c r="G514" s="120">
        <v>2</v>
      </c>
      <c r="H514" s="108" t="s">
        <v>9986</v>
      </c>
      <c r="I514" s="116">
        <v>1</v>
      </c>
      <c r="J514" s="111" t="s">
        <v>53</v>
      </c>
      <c r="K514" s="108" t="s">
        <v>9987</v>
      </c>
      <c r="L514" s="116">
        <v>1</v>
      </c>
      <c r="M514" s="111" t="s">
        <v>40</v>
      </c>
      <c r="N514" s="108" t="s">
        <v>9985</v>
      </c>
      <c r="O514" s="117">
        <v>2</v>
      </c>
      <c r="P514" s="111" t="s">
        <v>40</v>
      </c>
      <c r="Q514" s="108" t="s">
        <v>9988</v>
      </c>
      <c r="R514" s="112">
        <v>4</v>
      </c>
      <c r="S514" s="113"/>
      <c r="T514" s="108" t="s">
        <v>9989</v>
      </c>
      <c r="U514" s="117">
        <v>2</v>
      </c>
      <c r="V514" s="113"/>
      <c r="W514" s="108" t="s">
        <v>9990</v>
      </c>
      <c r="X514" s="116">
        <v>1</v>
      </c>
      <c r="Y514" s="113"/>
      <c r="Z514" s="108" t="s">
        <v>47</v>
      </c>
      <c r="AA514" s="114"/>
      <c r="AB514" s="113"/>
      <c r="AC514" s="105" t="s">
        <v>1346</v>
      </c>
      <c r="AD514" s="115" t="s">
        <v>107</v>
      </c>
    </row>
    <row r="515" spans="1:30" x14ac:dyDescent="0.2">
      <c r="A515" s="104" t="s">
        <v>1347</v>
      </c>
      <c r="B515" s="105" t="s">
        <v>805</v>
      </c>
      <c r="C515" s="105" t="s">
        <v>1265</v>
      </c>
      <c r="D515" s="106" t="s">
        <v>125</v>
      </c>
      <c r="E515" s="107"/>
      <c r="F515" s="108" t="s">
        <v>9991</v>
      </c>
      <c r="G515" s="118">
        <v>3</v>
      </c>
      <c r="H515" s="108" t="s">
        <v>9992</v>
      </c>
      <c r="I515" s="116">
        <v>1</v>
      </c>
      <c r="J515" s="111" t="s">
        <v>53</v>
      </c>
      <c r="K515" s="108" t="s">
        <v>9993</v>
      </c>
      <c r="L515" s="117">
        <v>2</v>
      </c>
      <c r="M515" s="113"/>
      <c r="N515" s="108" t="s">
        <v>9991</v>
      </c>
      <c r="O515" s="110">
        <v>3</v>
      </c>
      <c r="P515" s="113"/>
      <c r="Q515" s="108" t="s">
        <v>9994</v>
      </c>
      <c r="R515" s="112">
        <v>4</v>
      </c>
      <c r="S515" s="113"/>
      <c r="T515" s="108" t="s">
        <v>9995</v>
      </c>
      <c r="U515" s="117">
        <v>2</v>
      </c>
      <c r="V515" s="113"/>
      <c r="W515" s="108" t="s">
        <v>9996</v>
      </c>
      <c r="X515" s="117">
        <v>2</v>
      </c>
      <c r="Y515" s="113"/>
      <c r="Z515" s="108" t="s">
        <v>47</v>
      </c>
      <c r="AA515" s="114"/>
      <c r="AB515" s="113"/>
      <c r="AC515" s="105" t="s">
        <v>1348</v>
      </c>
      <c r="AD515" s="115" t="s">
        <v>107</v>
      </c>
    </row>
    <row r="516" spans="1:30" x14ac:dyDescent="0.2">
      <c r="A516" s="104" t="s">
        <v>9997</v>
      </c>
      <c r="B516" s="105" t="s">
        <v>805</v>
      </c>
      <c r="C516" s="105" t="s">
        <v>1265</v>
      </c>
      <c r="D516" s="106" t="s">
        <v>125</v>
      </c>
      <c r="E516" s="107"/>
      <c r="F516" s="108" t="s">
        <v>9998</v>
      </c>
      <c r="G516" s="118">
        <v>3</v>
      </c>
      <c r="H516" s="108" t="s">
        <v>9999</v>
      </c>
      <c r="I516" s="116">
        <v>1</v>
      </c>
      <c r="J516" s="111" t="s">
        <v>53</v>
      </c>
      <c r="K516" s="108" t="s">
        <v>10000</v>
      </c>
      <c r="L516" s="117">
        <v>2</v>
      </c>
      <c r="M516" s="113"/>
      <c r="N516" s="108" t="s">
        <v>9998</v>
      </c>
      <c r="O516" s="110">
        <v>3</v>
      </c>
      <c r="P516" s="113"/>
      <c r="Q516" s="108" t="s">
        <v>10001</v>
      </c>
      <c r="R516" s="112">
        <v>4</v>
      </c>
      <c r="S516" s="113"/>
      <c r="T516" s="108" t="s">
        <v>10002</v>
      </c>
      <c r="U516" s="117">
        <v>2</v>
      </c>
      <c r="V516" s="113"/>
      <c r="W516" s="108" t="s">
        <v>10003</v>
      </c>
      <c r="X516" s="117">
        <v>2</v>
      </c>
      <c r="Y516" s="113"/>
      <c r="Z516" s="108" t="s">
        <v>47</v>
      </c>
      <c r="AA516" s="114"/>
      <c r="AB516" s="113"/>
      <c r="AC516" s="105" t="s">
        <v>1349</v>
      </c>
      <c r="AD516" s="115" t="s">
        <v>107</v>
      </c>
    </row>
    <row r="517" spans="1:30" x14ac:dyDescent="0.2">
      <c r="A517" s="104" t="s">
        <v>1350</v>
      </c>
      <c r="B517" s="105" t="s">
        <v>805</v>
      </c>
      <c r="C517" s="105" t="s">
        <v>1301</v>
      </c>
      <c r="D517" s="106" t="s">
        <v>105</v>
      </c>
      <c r="E517" s="107"/>
      <c r="F517" s="108" t="s">
        <v>10004</v>
      </c>
      <c r="G517" s="118">
        <v>3</v>
      </c>
      <c r="H517" s="108" t="s">
        <v>10005</v>
      </c>
      <c r="I517" s="116">
        <v>1</v>
      </c>
      <c r="J517" s="111" t="s">
        <v>157</v>
      </c>
      <c r="K517" s="108" t="s">
        <v>10006</v>
      </c>
      <c r="L517" s="117">
        <v>2</v>
      </c>
      <c r="M517" s="111" t="s">
        <v>40</v>
      </c>
      <c r="N517" s="108" t="s">
        <v>10004</v>
      </c>
      <c r="O517" s="110">
        <v>3</v>
      </c>
      <c r="P517" s="111" t="s">
        <v>40</v>
      </c>
      <c r="Q517" s="108" t="s">
        <v>10007</v>
      </c>
      <c r="R517" s="112">
        <v>4</v>
      </c>
      <c r="S517" s="113"/>
      <c r="T517" s="108" t="s">
        <v>1351</v>
      </c>
      <c r="U517" s="110">
        <v>3</v>
      </c>
      <c r="V517" s="113"/>
      <c r="W517" s="108" t="s">
        <v>47</v>
      </c>
      <c r="X517" s="114"/>
      <c r="Y517" s="113"/>
      <c r="Z517" s="108" t="s">
        <v>47</v>
      </c>
      <c r="AA517" s="114"/>
      <c r="AB517" s="113"/>
      <c r="AC517" s="105" t="s">
        <v>1352</v>
      </c>
      <c r="AD517" s="115" t="s">
        <v>107</v>
      </c>
    </row>
    <row r="518" spans="1:30" x14ac:dyDescent="0.2">
      <c r="A518" s="104" t="s">
        <v>1353</v>
      </c>
      <c r="B518" s="105" t="s">
        <v>805</v>
      </c>
      <c r="C518" s="105" t="s">
        <v>1253</v>
      </c>
      <c r="D518" s="106" t="s">
        <v>125</v>
      </c>
      <c r="E518" s="107"/>
      <c r="F518" s="108" t="s">
        <v>10008</v>
      </c>
      <c r="G518" s="118">
        <v>3</v>
      </c>
      <c r="H518" s="108" t="s">
        <v>10009</v>
      </c>
      <c r="I518" s="116">
        <v>1</v>
      </c>
      <c r="J518" s="111" t="s">
        <v>53</v>
      </c>
      <c r="K518" s="108" t="s">
        <v>10010</v>
      </c>
      <c r="L518" s="117">
        <v>2</v>
      </c>
      <c r="M518" s="113"/>
      <c r="N518" s="108" t="s">
        <v>10008</v>
      </c>
      <c r="O518" s="110">
        <v>3</v>
      </c>
      <c r="P518" s="113"/>
      <c r="Q518" s="108" t="s">
        <v>10011</v>
      </c>
      <c r="R518" s="112">
        <v>4</v>
      </c>
      <c r="S518" s="113"/>
      <c r="T518" s="108" t="s">
        <v>10012</v>
      </c>
      <c r="U518" s="117">
        <v>2</v>
      </c>
      <c r="V518" s="113"/>
      <c r="W518" s="108" t="s">
        <v>10013</v>
      </c>
      <c r="X518" s="117">
        <v>2</v>
      </c>
      <c r="Y518" s="113"/>
      <c r="Z518" s="108" t="s">
        <v>1354</v>
      </c>
      <c r="AA518" s="116">
        <v>1</v>
      </c>
      <c r="AB518" s="113"/>
      <c r="AC518" s="105" t="s">
        <v>1355</v>
      </c>
      <c r="AD518" s="115" t="s">
        <v>107</v>
      </c>
    </row>
    <row r="519" spans="1:30" x14ac:dyDescent="0.2">
      <c r="A519" s="104" t="s">
        <v>10014</v>
      </c>
      <c r="B519" s="105" t="s">
        <v>805</v>
      </c>
      <c r="C519" s="105" t="s">
        <v>1253</v>
      </c>
      <c r="D519" s="106"/>
      <c r="E519" s="107"/>
      <c r="F519" s="108" t="s">
        <v>10015</v>
      </c>
      <c r="G519" s="118">
        <v>3</v>
      </c>
      <c r="H519" s="108" t="s">
        <v>10016</v>
      </c>
      <c r="I519" s="116">
        <v>1</v>
      </c>
      <c r="J519" s="111" t="s">
        <v>53</v>
      </c>
      <c r="K519" s="108" t="s">
        <v>10017</v>
      </c>
      <c r="L519" s="117">
        <v>2</v>
      </c>
      <c r="M519" s="113"/>
      <c r="N519" s="108" t="s">
        <v>10015</v>
      </c>
      <c r="O519" s="110">
        <v>3</v>
      </c>
      <c r="P519" s="113"/>
      <c r="Q519" s="108" t="s">
        <v>47</v>
      </c>
      <c r="R519" s="114"/>
      <c r="S519" s="113"/>
      <c r="T519" s="108" t="s">
        <v>47</v>
      </c>
      <c r="U519" s="114"/>
      <c r="V519" s="113"/>
      <c r="W519" s="108" t="s">
        <v>47</v>
      </c>
      <c r="X519" s="114"/>
      <c r="Y519" s="113"/>
      <c r="Z519" s="108" t="s">
        <v>47</v>
      </c>
      <c r="AA519" s="114"/>
      <c r="AB519" s="113"/>
      <c r="AC519" s="105" t="s">
        <v>1356</v>
      </c>
      <c r="AD519" s="115" t="s">
        <v>107</v>
      </c>
    </row>
    <row r="520" spans="1:30" x14ac:dyDescent="0.2">
      <c r="A520" s="104" t="s">
        <v>1357</v>
      </c>
      <c r="B520" s="105" t="s">
        <v>805</v>
      </c>
      <c r="C520" s="105" t="s">
        <v>1241</v>
      </c>
      <c r="D520" s="106" t="s">
        <v>514</v>
      </c>
      <c r="E520" s="107"/>
      <c r="F520" s="108" t="s">
        <v>10018</v>
      </c>
      <c r="G520" s="119">
        <v>1</v>
      </c>
      <c r="H520" s="108" t="s">
        <v>10019</v>
      </c>
      <c r="I520" s="116">
        <v>1</v>
      </c>
      <c r="J520" s="111" t="s">
        <v>40</v>
      </c>
      <c r="K520" s="108" t="s">
        <v>10020</v>
      </c>
      <c r="L520" s="116">
        <v>1</v>
      </c>
      <c r="M520" s="113"/>
      <c r="N520" s="108" t="s">
        <v>10018</v>
      </c>
      <c r="O520" s="116">
        <v>1</v>
      </c>
      <c r="P520" s="113"/>
      <c r="Q520" s="108" t="s">
        <v>10021</v>
      </c>
      <c r="R520" s="117">
        <v>2</v>
      </c>
      <c r="S520" s="113"/>
      <c r="T520" s="108" t="s">
        <v>10022</v>
      </c>
      <c r="U520" s="117">
        <v>2</v>
      </c>
      <c r="V520" s="113"/>
      <c r="W520" s="108" t="s">
        <v>10023</v>
      </c>
      <c r="X520" s="116">
        <v>1</v>
      </c>
      <c r="Y520" s="113"/>
      <c r="Z520" s="108" t="s">
        <v>10024</v>
      </c>
      <c r="AA520" s="116">
        <v>1</v>
      </c>
      <c r="AB520" s="113"/>
      <c r="AC520" s="105" t="s">
        <v>1358</v>
      </c>
      <c r="AD520" s="115" t="s">
        <v>107</v>
      </c>
    </row>
    <row r="521" spans="1:30" x14ac:dyDescent="0.2">
      <c r="A521" s="104" t="s">
        <v>1359</v>
      </c>
      <c r="B521" s="105" t="s">
        <v>805</v>
      </c>
      <c r="C521" s="105" t="s">
        <v>1241</v>
      </c>
      <c r="D521" s="106" t="s">
        <v>514</v>
      </c>
      <c r="E521" s="107"/>
      <c r="F521" s="108" t="s">
        <v>10025</v>
      </c>
      <c r="G521" s="119">
        <v>1</v>
      </c>
      <c r="H521" s="108" t="s">
        <v>10026</v>
      </c>
      <c r="I521" s="116">
        <v>1</v>
      </c>
      <c r="J521" s="111" t="s">
        <v>40</v>
      </c>
      <c r="K521" s="108" t="s">
        <v>10027</v>
      </c>
      <c r="L521" s="116">
        <v>1</v>
      </c>
      <c r="M521" s="113"/>
      <c r="N521" s="108" t="s">
        <v>10025</v>
      </c>
      <c r="O521" s="116">
        <v>1</v>
      </c>
      <c r="P521" s="113"/>
      <c r="Q521" s="108" t="s">
        <v>10028</v>
      </c>
      <c r="R521" s="117">
        <v>2</v>
      </c>
      <c r="S521" s="113"/>
      <c r="T521" s="108" t="s">
        <v>10029</v>
      </c>
      <c r="U521" s="116">
        <v>1</v>
      </c>
      <c r="V521" s="111" t="s">
        <v>40</v>
      </c>
      <c r="W521" s="108" t="s">
        <v>10030</v>
      </c>
      <c r="X521" s="116">
        <v>1</v>
      </c>
      <c r="Y521" s="113"/>
      <c r="Z521" s="108" t="s">
        <v>10031</v>
      </c>
      <c r="AA521" s="116">
        <v>1</v>
      </c>
      <c r="AB521" s="113"/>
      <c r="AC521" s="105" t="s">
        <v>1360</v>
      </c>
      <c r="AD521" s="115" t="s">
        <v>107</v>
      </c>
    </row>
    <row r="522" spans="1:30" x14ac:dyDescent="0.2">
      <c r="A522" s="104" t="s">
        <v>1361</v>
      </c>
      <c r="B522" s="105" t="s">
        <v>805</v>
      </c>
      <c r="C522" s="105" t="s">
        <v>1362</v>
      </c>
      <c r="D522" s="106" t="s">
        <v>125</v>
      </c>
      <c r="E522" s="107" t="s">
        <v>182</v>
      </c>
      <c r="F522" s="108" t="s">
        <v>10032</v>
      </c>
      <c r="G522" s="120">
        <v>2</v>
      </c>
      <c r="H522" s="108" t="s">
        <v>10033</v>
      </c>
      <c r="I522" s="117">
        <v>2</v>
      </c>
      <c r="J522" s="113"/>
      <c r="K522" s="108" t="s">
        <v>10034</v>
      </c>
      <c r="L522" s="117">
        <v>2</v>
      </c>
      <c r="M522" s="113"/>
      <c r="N522" s="108" t="s">
        <v>10032</v>
      </c>
      <c r="O522" s="117">
        <v>2</v>
      </c>
      <c r="P522" s="111" t="s">
        <v>40</v>
      </c>
      <c r="Q522" s="108" t="s">
        <v>10035</v>
      </c>
      <c r="R522" s="110">
        <v>3</v>
      </c>
      <c r="S522" s="111" t="s">
        <v>40</v>
      </c>
      <c r="T522" s="108" t="s">
        <v>10036</v>
      </c>
      <c r="U522" s="117">
        <v>2</v>
      </c>
      <c r="V522" s="111" t="s">
        <v>40</v>
      </c>
      <c r="W522" s="108" t="s">
        <v>10037</v>
      </c>
      <c r="X522" s="116">
        <v>1</v>
      </c>
      <c r="Y522" s="113"/>
      <c r="Z522" s="108" t="s">
        <v>47</v>
      </c>
      <c r="AA522" s="114"/>
      <c r="AB522" s="113"/>
      <c r="AC522" s="105" t="s">
        <v>1363</v>
      </c>
      <c r="AD522" s="115" t="s">
        <v>107</v>
      </c>
    </row>
    <row r="523" spans="1:30" x14ac:dyDescent="0.2">
      <c r="A523" s="104" t="s">
        <v>1364</v>
      </c>
      <c r="B523" s="105" t="s">
        <v>805</v>
      </c>
      <c r="C523" s="105" t="s">
        <v>1362</v>
      </c>
      <c r="D523" s="106" t="s">
        <v>94</v>
      </c>
      <c r="E523" s="107" t="s">
        <v>182</v>
      </c>
      <c r="F523" s="108" t="s">
        <v>10038</v>
      </c>
      <c r="G523" s="120">
        <v>2</v>
      </c>
      <c r="H523" s="108" t="s">
        <v>10039</v>
      </c>
      <c r="I523" s="116">
        <v>1</v>
      </c>
      <c r="J523" s="111" t="s">
        <v>40</v>
      </c>
      <c r="K523" s="108" t="s">
        <v>10040</v>
      </c>
      <c r="L523" s="116">
        <v>1</v>
      </c>
      <c r="M523" s="111" t="s">
        <v>40</v>
      </c>
      <c r="N523" s="108" t="s">
        <v>10038</v>
      </c>
      <c r="O523" s="117">
        <v>2</v>
      </c>
      <c r="P523" s="113"/>
      <c r="Q523" s="108" t="s">
        <v>10041</v>
      </c>
      <c r="R523" s="110">
        <v>3</v>
      </c>
      <c r="S523" s="111" t="s">
        <v>40</v>
      </c>
      <c r="T523" s="108" t="s">
        <v>10042</v>
      </c>
      <c r="U523" s="117">
        <v>2</v>
      </c>
      <c r="V523" s="111" t="s">
        <v>40</v>
      </c>
      <c r="W523" s="108" t="s">
        <v>10043</v>
      </c>
      <c r="X523" s="116">
        <v>1</v>
      </c>
      <c r="Y523" s="113"/>
      <c r="Z523" s="108" t="s">
        <v>47</v>
      </c>
      <c r="AA523" s="114"/>
      <c r="AB523" s="113"/>
      <c r="AC523" s="105" t="s">
        <v>1365</v>
      </c>
      <c r="AD523" s="115" t="s">
        <v>107</v>
      </c>
    </row>
    <row r="524" spans="1:30" x14ac:dyDescent="0.2">
      <c r="A524" s="104" t="s">
        <v>1366</v>
      </c>
      <c r="B524" s="105" t="s">
        <v>805</v>
      </c>
      <c r="C524" s="105" t="s">
        <v>1367</v>
      </c>
      <c r="D524" s="106" t="s">
        <v>125</v>
      </c>
      <c r="E524" s="107" t="s">
        <v>182</v>
      </c>
      <c r="F524" s="108" t="s">
        <v>10044</v>
      </c>
      <c r="G524" s="120">
        <v>2</v>
      </c>
      <c r="H524" s="108" t="s">
        <v>10045</v>
      </c>
      <c r="I524" s="116">
        <v>1</v>
      </c>
      <c r="J524" s="113"/>
      <c r="K524" s="108" t="s">
        <v>10046</v>
      </c>
      <c r="L524" s="116">
        <v>1</v>
      </c>
      <c r="M524" s="113"/>
      <c r="N524" s="108" t="s">
        <v>10044</v>
      </c>
      <c r="O524" s="117">
        <v>2</v>
      </c>
      <c r="P524" s="113"/>
      <c r="Q524" s="108" t="s">
        <v>10047</v>
      </c>
      <c r="R524" s="110">
        <v>3</v>
      </c>
      <c r="S524" s="111" t="s">
        <v>40</v>
      </c>
      <c r="T524" s="108" t="s">
        <v>10048</v>
      </c>
      <c r="U524" s="110">
        <v>3</v>
      </c>
      <c r="V524" s="113"/>
      <c r="W524" s="108" t="s">
        <v>47</v>
      </c>
      <c r="X524" s="114"/>
      <c r="Y524" s="113"/>
      <c r="Z524" s="108" t="s">
        <v>47</v>
      </c>
      <c r="AA524" s="114"/>
      <c r="AB524" s="113"/>
      <c r="AC524" s="105" t="s">
        <v>1368</v>
      </c>
      <c r="AD524" s="115" t="s">
        <v>107</v>
      </c>
    </row>
    <row r="525" spans="1:30" x14ac:dyDescent="0.2">
      <c r="A525" s="104" t="s">
        <v>10049</v>
      </c>
      <c r="B525" s="105" t="s">
        <v>805</v>
      </c>
      <c r="C525" s="105" t="s">
        <v>1367</v>
      </c>
      <c r="D525" s="106"/>
      <c r="E525" s="107" t="s">
        <v>182</v>
      </c>
      <c r="F525" s="108" t="s">
        <v>10050</v>
      </c>
      <c r="G525" s="120">
        <v>2</v>
      </c>
      <c r="H525" s="108" t="s">
        <v>10051</v>
      </c>
      <c r="I525" s="117">
        <v>2</v>
      </c>
      <c r="J525" s="113"/>
      <c r="K525" s="108" t="s">
        <v>10052</v>
      </c>
      <c r="L525" s="116">
        <v>1</v>
      </c>
      <c r="M525" s="113"/>
      <c r="N525" s="108" t="s">
        <v>10050</v>
      </c>
      <c r="O525" s="117">
        <v>2</v>
      </c>
      <c r="P525" s="113"/>
      <c r="Q525" s="108" t="s">
        <v>10053</v>
      </c>
      <c r="R525" s="110">
        <v>3</v>
      </c>
      <c r="S525" s="111" t="s">
        <v>40</v>
      </c>
      <c r="T525" s="108" t="s">
        <v>47</v>
      </c>
      <c r="U525" s="114"/>
      <c r="V525" s="113"/>
      <c r="W525" s="108" t="s">
        <v>47</v>
      </c>
      <c r="X525" s="114"/>
      <c r="Y525" s="113"/>
      <c r="Z525" s="108" t="s">
        <v>47</v>
      </c>
      <c r="AA525" s="114"/>
      <c r="AB525" s="113"/>
      <c r="AC525" s="105" t="s">
        <v>1369</v>
      </c>
      <c r="AD525" s="115" t="s">
        <v>107</v>
      </c>
    </row>
    <row r="526" spans="1:30" x14ac:dyDescent="0.2">
      <c r="A526" s="104" t="s">
        <v>1370</v>
      </c>
      <c r="B526" s="105" t="s">
        <v>805</v>
      </c>
      <c r="C526" s="105" t="s">
        <v>1362</v>
      </c>
      <c r="D526" s="106" t="s">
        <v>94</v>
      </c>
      <c r="E526" s="107" t="s">
        <v>182</v>
      </c>
      <c r="F526" s="108" t="s">
        <v>10054</v>
      </c>
      <c r="G526" s="120">
        <v>2</v>
      </c>
      <c r="H526" s="108" t="s">
        <v>10055</v>
      </c>
      <c r="I526" s="117">
        <v>2</v>
      </c>
      <c r="J526" s="113"/>
      <c r="K526" s="108" t="s">
        <v>10056</v>
      </c>
      <c r="L526" s="117">
        <v>2</v>
      </c>
      <c r="M526" s="113"/>
      <c r="N526" s="108" t="s">
        <v>10054</v>
      </c>
      <c r="O526" s="117">
        <v>2</v>
      </c>
      <c r="P526" s="111" t="s">
        <v>40</v>
      </c>
      <c r="Q526" s="108" t="s">
        <v>10057</v>
      </c>
      <c r="R526" s="110">
        <v>3</v>
      </c>
      <c r="S526" s="111" t="s">
        <v>40</v>
      </c>
      <c r="T526" s="108" t="s">
        <v>10058</v>
      </c>
      <c r="U526" s="110">
        <v>3</v>
      </c>
      <c r="V526" s="113"/>
      <c r="W526" s="108" t="s">
        <v>10059</v>
      </c>
      <c r="X526" s="116">
        <v>1</v>
      </c>
      <c r="Y526" s="113"/>
      <c r="Z526" s="108" t="s">
        <v>1371</v>
      </c>
      <c r="AA526" s="116">
        <v>1</v>
      </c>
      <c r="AB526" s="113"/>
      <c r="AC526" s="105" t="s">
        <v>1372</v>
      </c>
      <c r="AD526" s="115" t="s">
        <v>107</v>
      </c>
    </row>
    <row r="527" spans="1:30" x14ac:dyDescent="0.2">
      <c r="A527" s="104" t="s">
        <v>1373</v>
      </c>
      <c r="B527" s="105" t="s">
        <v>805</v>
      </c>
      <c r="C527" s="105" t="s">
        <v>1362</v>
      </c>
      <c r="D527" s="106" t="s">
        <v>94</v>
      </c>
      <c r="E527" s="107" t="s">
        <v>182</v>
      </c>
      <c r="F527" s="108" t="s">
        <v>10060</v>
      </c>
      <c r="G527" s="120">
        <v>2</v>
      </c>
      <c r="H527" s="108" t="s">
        <v>10061</v>
      </c>
      <c r="I527" s="117">
        <v>2</v>
      </c>
      <c r="J527" s="113"/>
      <c r="K527" s="108" t="s">
        <v>10062</v>
      </c>
      <c r="L527" s="117">
        <v>2</v>
      </c>
      <c r="M527" s="113"/>
      <c r="N527" s="108" t="s">
        <v>10060</v>
      </c>
      <c r="O527" s="117">
        <v>2</v>
      </c>
      <c r="P527" s="113"/>
      <c r="Q527" s="108" t="s">
        <v>10063</v>
      </c>
      <c r="R527" s="110">
        <v>3</v>
      </c>
      <c r="S527" s="111" t="s">
        <v>40</v>
      </c>
      <c r="T527" s="108" t="s">
        <v>10064</v>
      </c>
      <c r="U527" s="117">
        <v>2</v>
      </c>
      <c r="V527" s="111" t="s">
        <v>40</v>
      </c>
      <c r="W527" s="108" t="s">
        <v>1374</v>
      </c>
      <c r="X527" s="116">
        <v>1</v>
      </c>
      <c r="Y527" s="113"/>
      <c r="Z527" s="108" t="s">
        <v>47</v>
      </c>
      <c r="AA527" s="114"/>
      <c r="AB527" s="113"/>
      <c r="AC527" s="105" t="s">
        <v>1375</v>
      </c>
      <c r="AD527" s="115" t="s">
        <v>107</v>
      </c>
    </row>
    <row r="528" spans="1:30" x14ac:dyDescent="0.2">
      <c r="A528" s="104" t="s">
        <v>10065</v>
      </c>
      <c r="B528" s="105" t="s">
        <v>805</v>
      </c>
      <c r="C528" s="105" t="s">
        <v>1362</v>
      </c>
      <c r="D528" s="106"/>
      <c r="E528" s="107" t="s">
        <v>182</v>
      </c>
      <c r="F528" s="108" t="s">
        <v>10066</v>
      </c>
      <c r="G528" s="120">
        <v>2</v>
      </c>
      <c r="H528" s="108" t="s">
        <v>10067</v>
      </c>
      <c r="I528" s="116">
        <v>1</v>
      </c>
      <c r="J528" s="111" t="s">
        <v>40</v>
      </c>
      <c r="K528" s="108" t="s">
        <v>10068</v>
      </c>
      <c r="L528" s="116">
        <v>1</v>
      </c>
      <c r="M528" s="111" t="s">
        <v>40</v>
      </c>
      <c r="N528" s="108" t="s">
        <v>10066</v>
      </c>
      <c r="O528" s="117">
        <v>2</v>
      </c>
      <c r="P528" s="113"/>
      <c r="Q528" s="108" t="s">
        <v>10069</v>
      </c>
      <c r="R528" s="110">
        <v>3</v>
      </c>
      <c r="S528" s="111" t="s">
        <v>40</v>
      </c>
      <c r="T528" s="108" t="s">
        <v>47</v>
      </c>
      <c r="U528" s="114"/>
      <c r="V528" s="113"/>
      <c r="W528" s="108" t="s">
        <v>47</v>
      </c>
      <c r="X528" s="114"/>
      <c r="Y528" s="113"/>
      <c r="Z528" s="108" t="s">
        <v>47</v>
      </c>
      <c r="AA528" s="114"/>
      <c r="AB528" s="113"/>
      <c r="AC528" s="105" t="s">
        <v>1376</v>
      </c>
      <c r="AD528" s="115" t="s">
        <v>107</v>
      </c>
    </row>
    <row r="529" spans="1:30" x14ac:dyDescent="0.2">
      <c r="A529" s="104" t="s">
        <v>10070</v>
      </c>
      <c r="B529" s="105" t="s">
        <v>805</v>
      </c>
      <c r="C529" s="105" t="s">
        <v>1367</v>
      </c>
      <c r="D529" s="106"/>
      <c r="E529" s="107" t="s">
        <v>182</v>
      </c>
      <c r="F529" s="108" t="s">
        <v>10071</v>
      </c>
      <c r="G529" s="120">
        <v>2</v>
      </c>
      <c r="H529" s="108" t="s">
        <v>10072</v>
      </c>
      <c r="I529" s="117">
        <v>2</v>
      </c>
      <c r="J529" s="113"/>
      <c r="K529" s="108" t="s">
        <v>1377</v>
      </c>
      <c r="L529" s="116">
        <v>1</v>
      </c>
      <c r="M529" s="111" t="s">
        <v>40</v>
      </c>
      <c r="N529" s="108" t="s">
        <v>10071</v>
      </c>
      <c r="O529" s="117">
        <v>2</v>
      </c>
      <c r="P529" s="111" t="s">
        <v>40</v>
      </c>
      <c r="Q529" s="108" t="s">
        <v>1378</v>
      </c>
      <c r="R529" s="112">
        <v>4</v>
      </c>
      <c r="S529" s="113"/>
      <c r="T529" s="108" t="s">
        <v>47</v>
      </c>
      <c r="U529" s="114"/>
      <c r="V529" s="113"/>
      <c r="W529" s="108" t="s">
        <v>47</v>
      </c>
      <c r="X529" s="114"/>
      <c r="Y529" s="113"/>
      <c r="Z529" s="108" t="s">
        <v>47</v>
      </c>
      <c r="AA529" s="114"/>
      <c r="AB529" s="113"/>
      <c r="AC529" s="105" t="s">
        <v>1379</v>
      </c>
      <c r="AD529" s="115" t="s">
        <v>107</v>
      </c>
    </row>
    <row r="530" spans="1:30" x14ac:dyDescent="0.2">
      <c r="A530" s="104" t="s">
        <v>1380</v>
      </c>
      <c r="B530" s="105" t="s">
        <v>805</v>
      </c>
      <c r="C530" s="105" t="s">
        <v>1362</v>
      </c>
      <c r="D530" s="106" t="s">
        <v>125</v>
      </c>
      <c r="E530" s="107" t="s">
        <v>182</v>
      </c>
      <c r="F530" s="108" t="s">
        <v>10073</v>
      </c>
      <c r="G530" s="118">
        <v>3</v>
      </c>
      <c r="H530" s="108" t="s">
        <v>10074</v>
      </c>
      <c r="I530" s="117">
        <v>2</v>
      </c>
      <c r="J530" s="113"/>
      <c r="K530" s="108" t="s">
        <v>10075</v>
      </c>
      <c r="L530" s="117">
        <v>2</v>
      </c>
      <c r="M530" s="113"/>
      <c r="N530" s="108" t="s">
        <v>10073</v>
      </c>
      <c r="O530" s="110">
        <v>3</v>
      </c>
      <c r="P530" s="113"/>
      <c r="Q530" s="108" t="s">
        <v>10076</v>
      </c>
      <c r="R530" s="112">
        <v>4</v>
      </c>
      <c r="S530" s="113"/>
      <c r="T530" s="108" t="s">
        <v>10077</v>
      </c>
      <c r="U530" s="110">
        <v>3</v>
      </c>
      <c r="V530" s="111" t="s">
        <v>40</v>
      </c>
      <c r="W530" s="108" t="s">
        <v>10078</v>
      </c>
      <c r="X530" s="117">
        <v>2</v>
      </c>
      <c r="Y530" s="113"/>
      <c r="Z530" s="108" t="s">
        <v>47</v>
      </c>
      <c r="AA530" s="114"/>
      <c r="AB530" s="113"/>
      <c r="AC530" s="105" t="s">
        <v>1381</v>
      </c>
      <c r="AD530" s="115" t="s">
        <v>107</v>
      </c>
    </row>
    <row r="531" spans="1:30" x14ac:dyDescent="0.2">
      <c r="A531" s="104" t="s">
        <v>1382</v>
      </c>
      <c r="B531" s="105" t="s">
        <v>805</v>
      </c>
      <c r="C531" s="105" t="s">
        <v>1367</v>
      </c>
      <c r="D531" s="106" t="s">
        <v>125</v>
      </c>
      <c r="E531" s="107" t="s">
        <v>182</v>
      </c>
      <c r="F531" s="108" t="s">
        <v>10079</v>
      </c>
      <c r="G531" s="119">
        <v>1</v>
      </c>
      <c r="H531" s="108" t="s">
        <v>10080</v>
      </c>
      <c r="I531" s="116">
        <v>1</v>
      </c>
      <c r="J531" s="113"/>
      <c r="K531" s="108" t="s">
        <v>1383</v>
      </c>
      <c r="L531" s="116">
        <v>1</v>
      </c>
      <c r="M531" s="113"/>
      <c r="N531" s="108" t="s">
        <v>10079</v>
      </c>
      <c r="O531" s="116">
        <v>1</v>
      </c>
      <c r="P531" s="111" t="s">
        <v>40</v>
      </c>
      <c r="Q531" s="108" t="s">
        <v>10081</v>
      </c>
      <c r="R531" s="117">
        <v>2</v>
      </c>
      <c r="S531" s="111" t="s">
        <v>53</v>
      </c>
      <c r="T531" s="108" t="s">
        <v>10082</v>
      </c>
      <c r="U531" s="117">
        <v>2</v>
      </c>
      <c r="V531" s="113"/>
      <c r="W531" s="108" t="s">
        <v>47</v>
      </c>
      <c r="X531" s="114"/>
      <c r="Y531" s="113"/>
      <c r="Z531" s="108" t="s">
        <v>47</v>
      </c>
      <c r="AA531" s="114"/>
      <c r="AB531" s="113"/>
      <c r="AC531" s="105" t="s">
        <v>1384</v>
      </c>
      <c r="AD531" s="115" t="s">
        <v>107</v>
      </c>
    </row>
    <row r="532" spans="1:30" x14ac:dyDescent="0.2">
      <c r="A532" s="104" t="s">
        <v>1385</v>
      </c>
      <c r="B532" s="105" t="s">
        <v>805</v>
      </c>
      <c r="C532" s="105" t="s">
        <v>1362</v>
      </c>
      <c r="D532" s="106" t="s">
        <v>94</v>
      </c>
      <c r="E532" s="107" t="s">
        <v>182</v>
      </c>
      <c r="F532" s="108" t="s">
        <v>10083</v>
      </c>
      <c r="G532" s="120">
        <v>2</v>
      </c>
      <c r="H532" s="108" t="s">
        <v>10084</v>
      </c>
      <c r="I532" s="116">
        <v>1</v>
      </c>
      <c r="J532" s="111" t="s">
        <v>40</v>
      </c>
      <c r="K532" s="108" t="s">
        <v>10085</v>
      </c>
      <c r="L532" s="116">
        <v>1</v>
      </c>
      <c r="M532" s="113"/>
      <c r="N532" s="108" t="s">
        <v>10083</v>
      </c>
      <c r="O532" s="117">
        <v>2</v>
      </c>
      <c r="P532" s="113"/>
      <c r="Q532" s="108" t="s">
        <v>10086</v>
      </c>
      <c r="R532" s="117">
        <v>2</v>
      </c>
      <c r="S532" s="111" t="s">
        <v>40</v>
      </c>
      <c r="T532" s="108" t="s">
        <v>10087</v>
      </c>
      <c r="U532" s="117">
        <v>2</v>
      </c>
      <c r="V532" s="113"/>
      <c r="W532" s="108" t="s">
        <v>10088</v>
      </c>
      <c r="X532" s="116">
        <v>1</v>
      </c>
      <c r="Y532" s="113"/>
      <c r="Z532" s="108" t="s">
        <v>10089</v>
      </c>
      <c r="AA532" s="116">
        <v>1</v>
      </c>
      <c r="AB532" s="113"/>
      <c r="AC532" s="105" t="s">
        <v>1386</v>
      </c>
      <c r="AD532" s="115" t="s">
        <v>107</v>
      </c>
    </row>
    <row r="533" spans="1:30" x14ac:dyDescent="0.2">
      <c r="A533" s="104" t="s">
        <v>1387</v>
      </c>
      <c r="B533" s="105" t="s">
        <v>805</v>
      </c>
      <c r="C533" s="105" t="s">
        <v>1362</v>
      </c>
      <c r="D533" s="106" t="s">
        <v>125</v>
      </c>
      <c r="E533" s="107" t="s">
        <v>182</v>
      </c>
      <c r="F533" s="108" t="s">
        <v>10090</v>
      </c>
      <c r="G533" s="120">
        <v>2</v>
      </c>
      <c r="H533" s="108" t="s">
        <v>10091</v>
      </c>
      <c r="I533" s="117">
        <v>2</v>
      </c>
      <c r="J533" s="113"/>
      <c r="K533" s="108" t="s">
        <v>10092</v>
      </c>
      <c r="L533" s="116">
        <v>1</v>
      </c>
      <c r="M533" s="113"/>
      <c r="N533" s="108" t="s">
        <v>10090</v>
      </c>
      <c r="O533" s="117">
        <v>2</v>
      </c>
      <c r="P533" s="113"/>
      <c r="Q533" s="108" t="s">
        <v>10093</v>
      </c>
      <c r="R533" s="117">
        <v>2</v>
      </c>
      <c r="S533" s="111" t="s">
        <v>40</v>
      </c>
      <c r="T533" s="108" t="s">
        <v>10094</v>
      </c>
      <c r="U533" s="117">
        <v>2</v>
      </c>
      <c r="V533" s="113"/>
      <c r="W533" s="108" t="s">
        <v>47</v>
      </c>
      <c r="X533" s="114"/>
      <c r="Y533" s="113"/>
      <c r="Z533" s="108" t="s">
        <v>47</v>
      </c>
      <c r="AA533" s="114"/>
      <c r="AB533" s="113"/>
      <c r="AC533" s="105" t="s">
        <v>1388</v>
      </c>
      <c r="AD533" s="115" t="s">
        <v>107</v>
      </c>
    </row>
    <row r="534" spans="1:30" x14ac:dyDescent="0.2">
      <c r="A534" s="104" t="s">
        <v>1389</v>
      </c>
      <c r="B534" s="105" t="s">
        <v>805</v>
      </c>
      <c r="C534" s="105" t="s">
        <v>1390</v>
      </c>
      <c r="D534" s="106"/>
      <c r="E534" s="107" t="s">
        <v>182</v>
      </c>
      <c r="F534" s="108" t="s">
        <v>1391</v>
      </c>
      <c r="G534" s="120">
        <v>2</v>
      </c>
      <c r="H534" s="108" t="s">
        <v>10095</v>
      </c>
      <c r="I534" s="116">
        <v>1</v>
      </c>
      <c r="J534" s="111" t="s">
        <v>40</v>
      </c>
      <c r="K534" s="108" t="s">
        <v>8430</v>
      </c>
      <c r="L534" s="116">
        <v>1</v>
      </c>
      <c r="M534" s="113"/>
      <c r="N534" s="108" t="s">
        <v>1391</v>
      </c>
      <c r="O534" s="117">
        <v>2</v>
      </c>
      <c r="P534" s="113"/>
      <c r="Q534" s="108" t="s">
        <v>10096</v>
      </c>
      <c r="R534" s="110">
        <v>3</v>
      </c>
      <c r="S534" s="111" t="s">
        <v>40</v>
      </c>
      <c r="T534" s="108" t="s">
        <v>47</v>
      </c>
      <c r="U534" s="114"/>
      <c r="V534" s="113"/>
      <c r="W534" s="108" t="s">
        <v>47</v>
      </c>
      <c r="X534" s="114"/>
      <c r="Y534" s="113"/>
      <c r="Z534" s="108" t="s">
        <v>47</v>
      </c>
      <c r="AA534" s="114"/>
      <c r="AB534" s="113"/>
      <c r="AC534" s="105" t="s">
        <v>1392</v>
      </c>
      <c r="AD534" s="115" t="s">
        <v>107</v>
      </c>
    </row>
    <row r="535" spans="1:30" x14ac:dyDescent="0.2">
      <c r="A535" s="104" t="s">
        <v>10097</v>
      </c>
      <c r="B535" s="105" t="s">
        <v>805</v>
      </c>
      <c r="C535" s="105" t="s">
        <v>1367</v>
      </c>
      <c r="D535" s="106"/>
      <c r="E535" s="107" t="s">
        <v>182</v>
      </c>
      <c r="F535" s="108" t="s">
        <v>10098</v>
      </c>
      <c r="G535" s="120">
        <v>2</v>
      </c>
      <c r="H535" s="108" t="s">
        <v>10099</v>
      </c>
      <c r="I535" s="117">
        <v>2</v>
      </c>
      <c r="J535" s="113"/>
      <c r="K535" s="108" t="s">
        <v>10100</v>
      </c>
      <c r="L535" s="116">
        <v>1</v>
      </c>
      <c r="M535" s="111" t="s">
        <v>40</v>
      </c>
      <c r="N535" s="108" t="s">
        <v>10098</v>
      </c>
      <c r="O535" s="117">
        <v>2</v>
      </c>
      <c r="P535" s="111" t="s">
        <v>40</v>
      </c>
      <c r="Q535" s="108" t="s">
        <v>10101</v>
      </c>
      <c r="R535" s="110">
        <v>3</v>
      </c>
      <c r="S535" s="111" t="s">
        <v>40</v>
      </c>
      <c r="T535" s="108" t="s">
        <v>47</v>
      </c>
      <c r="U535" s="114"/>
      <c r="V535" s="113"/>
      <c r="W535" s="108" t="s">
        <v>47</v>
      </c>
      <c r="X535" s="114"/>
      <c r="Y535" s="113"/>
      <c r="Z535" s="108" t="s">
        <v>47</v>
      </c>
      <c r="AA535" s="114"/>
      <c r="AB535" s="113"/>
      <c r="AC535" s="105" t="s">
        <v>1393</v>
      </c>
      <c r="AD535" s="115" t="s">
        <v>107</v>
      </c>
    </row>
    <row r="536" spans="1:30" x14ac:dyDescent="0.2">
      <c r="A536" s="104" t="s">
        <v>1394</v>
      </c>
      <c r="B536" s="105" t="s">
        <v>805</v>
      </c>
      <c r="C536" s="105" t="s">
        <v>1362</v>
      </c>
      <c r="D536" s="106" t="s">
        <v>125</v>
      </c>
      <c r="E536" s="107" t="s">
        <v>182</v>
      </c>
      <c r="F536" s="108" t="s">
        <v>10102</v>
      </c>
      <c r="G536" s="120">
        <v>2</v>
      </c>
      <c r="H536" s="108" t="s">
        <v>10103</v>
      </c>
      <c r="I536" s="117">
        <v>2</v>
      </c>
      <c r="J536" s="113"/>
      <c r="K536" s="108" t="s">
        <v>10104</v>
      </c>
      <c r="L536" s="117">
        <v>2</v>
      </c>
      <c r="M536" s="113"/>
      <c r="N536" s="108" t="s">
        <v>10102</v>
      </c>
      <c r="O536" s="117">
        <v>2</v>
      </c>
      <c r="P536" s="111" t="s">
        <v>40</v>
      </c>
      <c r="Q536" s="108" t="s">
        <v>10105</v>
      </c>
      <c r="R536" s="110">
        <v>3</v>
      </c>
      <c r="S536" s="111" t="s">
        <v>40</v>
      </c>
      <c r="T536" s="108" t="s">
        <v>10106</v>
      </c>
      <c r="U536" s="110">
        <v>3</v>
      </c>
      <c r="V536" s="113"/>
      <c r="W536" s="108" t="s">
        <v>10107</v>
      </c>
      <c r="X536" s="117">
        <v>2</v>
      </c>
      <c r="Y536" s="113"/>
      <c r="Z536" s="108" t="s">
        <v>10108</v>
      </c>
      <c r="AA536" s="117">
        <v>2</v>
      </c>
      <c r="AB536" s="113"/>
      <c r="AC536" s="105" t="s">
        <v>1395</v>
      </c>
      <c r="AD536" s="115" t="s">
        <v>107</v>
      </c>
    </row>
    <row r="537" spans="1:30" x14ac:dyDescent="0.2">
      <c r="A537" s="104" t="s">
        <v>10109</v>
      </c>
      <c r="B537" s="105" t="s">
        <v>805</v>
      </c>
      <c r="C537" s="105" t="s">
        <v>1180</v>
      </c>
      <c r="D537" s="106" t="s">
        <v>94</v>
      </c>
      <c r="E537" s="107"/>
      <c r="F537" s="108" t="s">
        <v>10110</v>
      </c>
      <c r="G537" s="109">
        <v>4</v>
      </c>
      <c r="H537" s="108" t="s">
        <v>10111</v>
      </c>
      <c r="I537" s="112">
        <v>4</v>
      </c>
      <c r="J537" s="113"/>
      <c r="K537" s="108" t="s">
        <v>10112</v>
      </c>
      <c r="L537" s="112">
        <v>4</v>
      </c>
      <c r="M537" s="113"/>
      <c r="N537" s="108" t="s">
        <v>10110</v>
      </c>
      <c r="O537" s="112">
        <v>4</v>
      </c>
      <c r="P537" s="111" t="s">
        <v>46</v>
      </c>
      <c r="Q537" s="108" t="s">
        <v>10113</v>
      </c>
      <c r="R537" s="117">
        <v>2</v>
      </c>
      <c r="S537" s="111" t="s">
        <v>46</v>
      </c>
      <c r="T537" s="108" t="s">
        <v>10114</v>
      </c>
      <c r="U537" s="116">
        <v>1</v>
      </c>
      <c r="V537" s="113"/>
      <c r="W537" s="108" t="s">
        <v>10115</v>
      </c>
      <c r="X537" s="116">
        <v>1</v>
      </c>
      <c r="Y537" s="113"/>
      <c r="Z537" s="108" t="s">
        <v>10116</v>
      </c>
      <c r="AA537" s="116">
        <v>1</v>
      </c>
      <c r="AB537" s="113"/>
      <c r="AC537" s="105" t="s">
        <v>1396</v>
      </c>
      <c r="AD537" s="115" t="s">
        <v>107</v>
      </c>
    </row>
    <row r="538" spans="1:30" x14ac:dyDescent="0.2">
      <c r="A538" s="104" t="s">
        <v>10117</v>
      </c>
      <c r="B538" s="105" t="s">
        <v>805</v>
      </c>
      <c r="C538" s="105" t="s">
        <v>1180</v>
      </c>
      <c r="D538" s="106"/>
      <c r="E538" s="107"/>
      <c r="F538" s="108" t="s">
        <v>10118</v>
      </c>
      <c r="G538" s="109">
        <v>4</v>
      </c>
      <c r="H538" s="108" t="s">
        <v>10119</v>
      </c>
      <c r="I538" s="112">
        <v>4</v>
      </c>
      <c r="J538" s="113"/>
      <c r="K538" s="108" t="s">
        <v>10120</v>
      </c>
      <c r="L538" s="112">
        <v>4</v>
      </c>
      <c r="M538" s="113"/>
      <c r="N538" s="108" t="s">
        <v>10118</v>
      </c>
      <c r="O538" s="112">
        <v>4</v>
      </c>
      <c r="P538" s="113"/>
      <c r="Q538" s="108" t="s">
        <v>47</v>
      </c>
      <c r="R538" s="114"/>
      <c r="S538" s="113"/>
      <c r="T538" s="108" t="s">
        <v>47</v>
      </c>
      <c r="U538" s="114"/>
      <c r="V538" s="113"/>
      <c r="W538" s="108" t="s">
        <v>47</v>
      </c>
      <c r="X538" s="114"/>
      <c r="Y538" s="113"/>
      <c r="Z538" s="108" t="s">
        <v>47</v>
      </c>
      <c r="AA538" s="114"/>
      <c r="AB538" s="113"/>
      <c r="AC538" s="105" t="s">
        <v>1397</v>
      </c>
      <c r="AD538" s="115" t="s">
        <v>107</v>
      </c>
    </row>
    <row r="539" spans="1:30" x14ac:dyDescent="0.2">
      <c r="A539" s="104" t="s">
        <v>10121</v>
      </c>
      <c r="B539" s="105" t="s">
        <v>805</v>
      </c>
      <c r="C539" s="105" t="s">
        <v>1180</v>
      </c>
      <c r="D539" s="106"/>
      <c r="E539" s="107"/>
      <c r="F539" s="108" t="s">
        <v>47</v>
      </c>
      <c r="G539" s="113"/>
      <c r="H539" s="108" t="s">
        <v>10122</v>
      </c>
      <c r="I539" s="112">
        <v>4</v>
      </c>
      <c r="J539" s="113"/>
      <c r="K539" s="108" t="s">
        <v>10123</v>
      </c>
      <c r="L539" s="112">
        <v>4</v>
      </c>
      <c r="M539" s="113"/>
      <c r="N539" s="108" t="s">
        <v>47</v>
      </c>
      <c r="O539" s="114"/>
      <c r="P539" s="113"/>
      <c r="Q539" s="108" t="s">
        <v>47</v>
      </c>
      <c r="R539" s="114"/>
      <c r="S539" s="113"/>
      <c r="T539" s="108" t="s">
        <v>47</v>
      </c>
      <c r="U539" s="114"/>
      <c r="V539" s="113"/>
      <c r="W539" s="108" t="s">
        <v>47</v>
      </c>
      <c r="X539" s="114"/>
      <c r="Y539" s="113"/>
      <c r="Z539" s="108" t="s">
        <v>47</v>
      </c>
      <c r="AA539" s="114"/>
      <c r="AB539" s="113"/>
      <c r="AC539" s="105" t="s">
        <v>1398</v>
      </c>
      <c r="AD539" s="115" t="s">
        <v>107</v>
      </c>
    </row>
    <row r="540" spans="1:30" x14ac:dyDescent="0.2">
      <c r="A540" s="104" t="s">
        <v>10124</v>
      </c>
      <c r="B540" s="105" t="s">
        <v>805</v>
      </c>
      <c r="C540" s="105" t="s">
        <v>1180</v>
      </c>
      <c r="D540" s="106"/>
      <c r="E540" s="107"/>
      <c r="F540" s="108" t="s">
        <v>47</v>
      </c>
      <c r="G540" s="113"/>
      <c r="H540" s="108" t="s">
        <v>10125</v>
      </c>
      <c r="I540" s="112">
        <v>4</v>
      </c>
      <c r="J540" s="113"/>
      <c r="K540" s="108" t="s">
        <v>47</v>
      </c>
      <c r="L540" s="114"/>
      <c r="M540" s="113"/>
      <c r="N540" s="108" t="s">
        <v>47</v>
      </c>
      <c r="O540" s="114"/>
      <c r="P540" s="113"/>
      <c r="Q540" s="108" t="s">
        <v>47</v>
      </c>
      <c r="R540" s="114"/>
      <c r="S540" s="113"/>
      <c r="T540" s="108" t="s">
        <v>47</v>
      </c>
      <c r="U540" s="114"/>
      <c r="V540" s="113"/>
      <c r="W540" s="108" t="s">
        <v>47</v>
      </c>
      <c r="X540" s="114"/>
      <c r="Y540" s="113"/>
      <c r="Z540" s="108" t="s">
        <v>47</v>
      </c>
      <c r="AA540" s="114"/>
      <c r="AB540" s="113"/>
      <c r="AC540" s="105" t="s">
        <v>10126</v>
      </c>
      <c r="AD540" s="115" t="s">
        <v>107</v>
      </c>
    </row>
    <row r="541" spans="1:30" x14ac:dyDescent="0.2">
      <c r="A541" s="104" t="s">
        <v>10127</v>
      </c>
      <c r="B541" s="105" t="s">
        <v>805</v>
      </c>
      <c r="C541" s="105" t="s">
        <v>1180</v>
      </c>
      <c r="D541" s="106" t="s">
        <v>94</v>
      </c>
      <c r="E541" s="107"/>
      <c r="F541" s="108" t="s">
        <v>10128</v>
      </c>
      <c r="G541" s="109">
        <v>4</v>
      </c>
      <c r="H541" s="108" t="s">
        <v>10129</v>
      </c>
      <c r="I541" s="112">
        <v>4</v>
      </c>
      <c r="J541" s="113"/>
      <c r="K541" s="108" t="s">
        <v>10130</v>
      </c>
      <c r="L541" s="112">
        <v>4</v>
      </c>
      <c r="M541" s="113"/>
      <c r="N541" s="108" t="s">
        <v>10128</v>
      </c>
      <c r="O541" s="112">
        <v>4</v>
      </c>
      <c r="P541" s="111" t="s">
        <v>55</v>
      </c>
      <c r="Q541" s="108" t="s">
        <v>10131</v>
      </c>
      <c r="R541" s="116">
        <v>1</v>
      </c>
      <c r="S541" s="113"/>
      <c r="T541" s="108" t="s">
        <v>10132</v>
      </c>
      <c r="U541" s="116">
        <v>1</v>
      </c>
      <c r="V541" s="113"/>
      <c r="W541" s="108" t="s">
        <v>10133</v>
      </c>
      <c r="X541" s="116">
        <v>1</v>
      </c>
      <c r="Y541" s="113"/>
      <c r="Z541" s="108" t="s">
        <v>10134</v>
      </c>
      <c r="AA541" s="116">
        <v>1</v>
      </c>
      <c r="AB541" s="113"/>
      <c r="AC541" s="105" t="s">
        <v>1399</v>
      </c>
      <c r="AD541" s="115" t="s">
        <v>107</v>
      </c>
    </row>
    <row r="542" spans="1:30" x14ac:dyDescent="0.2">
      <c r="A542" s="104" t="s">
        <v>10135</v>
      </c>
      <c r="B542" s="105" t="s">
        <v>805</v>
      </c>
      <c r="C542" s="105" t="s">
        <v>1180</v>
      </c>
      <c r="D542" s="106"/>
      <c r="E542" s="107"/>
      <c r="F542" s="108" t="s">
        <v>47</v>
      </c>
      <c r="G542" s="113"/>
      <c r="H542" s="108" t="s">
        <v>10136</v>
      </c>
      <c r="I542" s="112">
        <v>4</v>
      </c>
      <c r="J542" s="113"/>
      <c r="K542" s="108" t="s">
        <v>10137</v>
      </c>
      <c r="L542" s="112">
        <v>4</v>
      </c>
      <c r="M542" s="113"/>
      <c r="N542" s="108" t="s">
        <v>47</v>
      </c>
      <c r="O542" s="114"/>
      <c r="P542" s="113"/>
      <c r="Q542" s="108" t="s">
        <v>47</v>
      </c>
      <c r="R542" s="114"/>
      <c r="S542" s="113"/>
      <c r="T542" s="108" t="s">
        <v>47</v>
      </c>
      <c r="U542" s="114"/>
      <c r="V542" s="113"/>
      <c r="W542" s="108" t="s">
        <v>47</v>
      </c>
      <c r="X542" s="114"/>
      <c r="Y542" s="113"/>
      <c r="Z542" s="108" t="s">
        <v>47</v>
      </c>
      <c r="AA542" s="114"/>
      <c r="AB542" s="113"/>
      <c r="AC542" s="105" t="s">
        <v>10138</v>
      </c>
      <c r="AD542" s="115" t="s">
        <v>107</v>
      </c>
    </row>
    <row r="543" spans="1:30" x14ac:dyDescent="0.2">
      <c r="A543" s="104" t="s">
        <v>10139</v>
      </c>
      <c r="B543" s="105" t="s">
        <v>805</v>
      </c>
      <c r="C543" s="105" t="s">
        <v>1180</v>
      </c>
      <c r="D543" s="106"/>
      <c r="E543" s="107"/>
      <c r="F543" s="108" t="s">
        <v>47</v>
      </c>
      <c r="G543" s="113"/>
      <c r="H543" s="108" t="s">
        <v>10140</v>
      </c>
      <c r="I543" s="112">
        <v>4</v>
      </c>
      <c r="J543" s="113"/>
      <c r="K543" s="108" t="s">
        <v>10141</v>
      </c>
      <c r="L543" s="112">
        <v>4</v>
      </c>
      <c r="M543" s="113"/>
      <c r="N543" s="108" t="s">
        <v>47</v>
      </c>
      <c r="O543" s="114"/>
      <c r="P543" s="113"/>
      <c r="Q543" s="108" t="s">
        <v>47</v>
      </c>
      <c r="R543" s="114"/>
      <c r="S543" s="113"/>
      <c r="T543" s="108" t="s">
        <v>47</v>
      </c>
      <c r="U543" s="114"/>
      <c r="V543" s="113"/>
      <c r="W543" s="108" t="s">
        <v>47</v>
      </c>
      <c r="X543" s="114"/>
      <c r="Y543" s="113"/>
      <c r="Z543" s="108" t="s">
        <v>47</v>
      </c>
      <c r="AA543" s="114"/>
      <c r="AB543" s="113"/>
      <c r="AC543" s="105" t="s">
        <v>1400</v>
      </c>
      <c r="AD543" s="115" t="s">
        <v>107</v>
      </c>
    </row>
    <row r="544" spans="1:30" x14ac:dyDescent="0.2">
      <c r="A544" s="104" t="s">
        <v>10142</v>
      </c>
      <c r="B544" s="105" t="s">
        <v>805</v>
      </c>
      <c r="C544" s="105" t="s">
        <v>1180</v>
      </c>
      <c r="D544" s="106"/>
      <c r="E544" s="107"/>
      <c r="F544" s="108" t="s">
        <v>10143</v>
      </c>
      <c r="G544" s="109">
        <v>4</v>
      </c>
      <c r="H544" s="108" t="s">
        <v>10144</v>
      </c>
      <c r="I544" s="112">
        <v>4</v>
      </c>
      <c r="J544" s="113"/>
      <c r="K544" s="108" t="s">
        <v>10145</v>
      </c>
      <c r="L544" s="112">
        <v>4</v>
      </c>
      <c r="M544" s="113"/>
      <c r="N544" s="108" t="s">
        <v>10143</v>
      </c>
      <c r="O544" s="112">
        <v>4</v>
      </c>
      <c r="P544" s="111" t="s">
        <v>46</v>
      </c>
      <c r="Q544" s="108" t="s">
        <v>10146</v>
      </c>
      <c r="R544" s="117">
        <v>2</v>
      </c>
      <c r="S544" s="111" t="s">
        <v>46</v>
      </c>
      <c r="T544" s="108" t="s">
        <v>47</v>
      </c>
      <c r="U544" s="114"/>
      <c r="V544" s="113"/>
      <c r="W544" s="108" t="s">
        <v>47</v>
      </c>
      <c r="X544" s="114"/>
      <c r="Y544" s="113"/>
      <c r="Z544" s="108" t="s">
        <v>47</v>
      </c>
      <c r="AA544" s="114"/>
      <c r="AB544" s="113"/>
      <c r="AC544" s="105" t="s">
        <v>1401</v>
      </c>
      <c r="AD544" s="115" t="s">
        <v>107</v>
      </c>
    </row>
    <row r="545" spans="1:30" x14ac:dyDescent="0.2">
      <c r="A545" s="104" t="s">
        <v>10147</v>
      </c>
      <c r="B545" s="105" t="s">
        <v>805</v>
      </c>
      <c r="C545" s="105" t="s">
        <v>1180</v>
      </c>
      <c r="D545" s="106"/>
      <c r="E545" s="107"/>
      <c r="F545" s="108" t="s">
        <v>47</v>
      </c>
      <c r="G545" s="113"/>
      <c r="H545" s="108" t="s">
        <v>10148</v>
      </c>
      <c r="I545" s="112">
        <v>4</v>
      </c>
      <c r="J545" s="113"/>
      <c r="K545" s="108" t="s">
        <v>47</v>
      </c>
      <c r="L545" s="114"/>
      <c r="M545" s="113"/>
      <c r="N545" s="108" t="s">
        <v>47</v>
      </c>
      <c r="O545" s="114"/>
      <c r="P545" s="113"/>
      <c r="Q545" s="108" t="s">
        <v>47</v>
      </c>
      <c r="R545" s="114"/>
      <c r="S545" s="113"/>
      <c r="T545" s="108" t="s">
        <v>47</v>
      </c>
      <c r="U545" s="114"/>
      <c r="V545" s="113"/>
      <c r="W545" s="108" t="s">
        <v>47</v>
      </c>
      <c r="X545" s="114"/>
      <c r="Y545" s="113"/>
      <c r="Z545" s="108" t="s">
        <v>47</v>
      </c>
      <c r="AA545" s="114"/>
      <c r="AB545" s="113"/>
      <c r="AC545" s="105" t="s">
        <v>10149</v>
      </c>
      <c r="AD545" s="115" t="s">
        <v>107</v>
      </c>
    </row>
    <row r="546" spans="1:30" x14ac:dyDescent="0.2">
      <c r="A546" s="104" t="s">
        <v>1402</v>
      </c>
      <c r="B546" s="105" t="s">
        <v>805</v>
      </c>
      <c r="C546" s="105" t="s">
        <v>1403</v>
      </c>
      <c r="D546" s="106" t="s">
        <v>125</v>
      </c>
      <c r="E546" s="107"/>
      <c r="F546" s="108" t="s">
        <v>10150</v>
      </c>
      <c r="G546" s="118">
        <v>3</v>
      </c>
      <c r="H546" s="108" t="s">
        <v>10151</v>
      </c>
      <c r="I546" s="110">
        <v>3</v>
      </c>
      <c r="J546" s="111" t="s">
        <v>46</v>
      </c>
      <c r="K546" s="108" t="s">
        <v>10152</v>
      </c>
      <c r="L546" s="117">
        <v>2</v>
      </c>
      <c r="M546" s="113"/>
      <c r="N546" s="108" t="s">
        <v>10150</v>
      </c>
      <c r="O546" s="110">
        <v>3</v>
      </c>
      <c r="P546" s="113"/>
      <c r="Q546" s="108" t="s">
        <v>10153</v>
      </c>
      <c r="R546" s="110">
        <v>3</v>
      </c>
      <c r="S546" s="113"/>
      <c r="T546" s="108" t="s">
        <v>10154</v>
      </c>
      <c r="U546" s="110">
        <v>3</v>
      </c>
      <c r="V546" s="113"/>
      <c r="W546" s="108" t="s">
        <v>47</v>
      </c>
      <c r="X546" s="114"/>
      <c r="Y546" s="113"/>
      <c r="Z546" s="108" t="s">
        <v>47</v>
      </c>
      <c r="AA546" s="114"/>
      <c r="AB546" s="113"/>
      <c r="AC546" s="105" t="s">
        <v>1404</v>
      </c>
      <c r="AD546" s="115" t="s">
        <v>107</v>
      </c>
    </row>
    <row r="547" spans="1:30" x14ac:dyDescent="0.2">
      <c r="A547" s="104" t="s">
        <v>1405</v>
      </c>
      <c r="B547" s="105" t="s">
        <v>805</v>
      </c>
      <c r="C547" s="105" t="s">
        <v>1403</v>
      </c>
      <c r="D547" s="106" t="s">
        <v>125</v>
      </c>
      <c r="E547" s="107"/>
      <c r="F547" s="108" t="s">
        <v>10155</v>
      </c>
      <c r="G547" s="118">
        <v>3</v>
      </c>
      <c r="H547" s="108" t="s">
        <v>10156</v>
      </c>
      <c r="I547" s="110">
        <v>3</v>
      </c>
      <c r="J547" s="111" t="s">
        <v>46</v>
      </c>
      <c r="K547" s="108" t="s">
        <v>10157</v>
      </c>
      <c r="L547" s="117">
        <v>2</v>
      </c>
      <c r="M547" s="113"/>
      <c r="N547" s="108" t="s">
        <v>10155</v>
      </c>
      <c r="O547" s="110">
        <v>3</v>
      </c>
      <c r="P547" s="113"/>
      <c r="Q547" s="108" t="s">
        <v>10158</v>
      </c>
      <c r="R547" s="110">
        <v>3</v>
      </c>
      <c r="S547" s="113"/>
      <c r="T547" s="108" t="s">
        <v>10159</v>
      </c>
      <c r="U547" s="110">
        <v>3</v>
      </c>
      <c r="V547" s="113"/>
      <c r="W547" s="108" t="s">
        <v>47</v>
      </c>
      <c r="X547" s="114"/>
      <c r="Y547" s="113"/>
      <c r="Z547" s="108" t="s">
        <v>47</v>
      </c>
      <c r="AA547" s="114"/>
      <c r="AB547" s="113"/>
      <c r="AC547" s="105" t="s">
        <v>1406</v>
      </c>
      <c r="AD547" s="115" t="s">
        <v>107</v>
      </c>
    </row>
    <row r="548" spans="1:30" x14ac:dyDescent="0.2">
      <c r="A548" s="104" t="s">
        <v>1407</v>
      </c>
      <c r="B548" s="105" t="s">
        <v>805</v>
      </c>
      <c r="C548" s="105" t="s">
        <v>1408</v>
      </c>
      <c r="D548" s="106" t="s">
        <v>125</v>
      </c>
      <c r="E548" s="107"/>
      <c r="F548" s="108" t="s">
        <v>10160</v>
      </c>
      <c r="G548" s="120">
        <v>2</v>
      </c>
      <c r="H548" s="108" t="s">
        <v>10161</v>
      </c>
      <c r="I548" s="110">
        <v>3</v>
      </c>
      <c r="J548" s="111" t="s">
        <v>55</v>
      </c>
      <c r="K548" s="108" t="s">
        <v>10162</v>
      </c>
      <c r="L548" s="117">
        <v>2</v>
      </c>
      <c r="M548" s="111" t="s">
        <v>46</v>
      </c>
      <c r="N548" s="108" t="s">
        <v>10160</v>
      </c>
      <c r="O548" s="117">
        <v>2</v>
      </c>
      <c r="P548" s="113"/>
      <c r="Q548" s="108" t="s">
        <v>10163</v>
      </c>
      <c r="R548" s="110">
        <v>3</v>
      </c>
      <c r="S548" s="111" t="s">
        <v>46</v>
      </c>
      <c r="T548" s="108" t="s">
        <v>10164</v>
      </c>
      <c r="U548" s="110">
        <v>3</v>
      </c>
      <c r="V548" s="113"/>
      <c r="W548" s="108" t="s">
        <v>47</v>
      </c>
      <c r="X548" s="114"/>
      <c r="Y548" s="113"/>
      <c r="Z548" s="108" t="s">
        <v>47</v>
      </c>
      <c r="AA548" s="114"/>
      <c r="AB548" s="113"/>
      <c r="AC548" s="105" t="s">
        <v>1409</v>
      </c>
      <c r="AD548" s="115" t="s">
        <v>107</v>
      </c>
    </row>
    <row r="549" spans="1:30" x14ac:dyDescent="0.2">
      <c r="A549" s="104" t="s">
        <v>1410</v>
      </c>
      <c r="B549" s="105" t="s">
        <v>805</v>
      </c>
      <c r="C549" s="105" t="s">
        <v>1403</v>
      </c>
      <c r="D549" s="106" t="s">
        <v>125</v>
      </c>
      <c r="E549" s="107"/>
      <c r="F549" s="108" t="s">
        <v>10165</v>
      </c>
      <c r="G549" s="118">
        <v>3</v>
      </c>
      <c r="H549" s="108" t="s">
        <v>10166</v>
      </c>
      <c r="I549" s="110">
        <v>3</v>
      </c>
      <c r="J549" s="111" t="s">
        <v>46</v>
      </c>
      <c r="K549" s="108" t="s">
        <v>10167</v>
      </c>
      <c r="L549" s="117">
        <v>2</v>
      </c>
      <c r="M549" s="113"/>
      <c r="N549" s="108" t="s">
        <v>10165</v>
      </c>
      <c r="O549" s="110">
        <v>3</v>
      </c>
      <c r="P549" s="113"/>
      <c r="Q549" s="108" t="s">
        <v>10168</v>
      </c>
      <c r="R549" s="110">
        <v>3</v>
      </c>
      <c r="S549" s="113"/>
      <c r="T549" s="108" t="s">
        <v>10169</v>
      </c>
      <c r="U549" s="110">
        <v>3</v>
      </c>
      <c r="V549" s="113"/>
      <c r="W549" s="108" t="s">
        <v>47</v>
      </c>
      <c r="X549" s="114"/>
      <c r="Y549" s="113"/>
      <c r="Z549" s="108" t="s">
        <v>47</v>
      </c>
      <c r="AA549" s="114"/>
      <c r="AB549" s="113"/>
      <c r="AC549" s="105" t="s">
        <v>1411</v>
      </c>
      <c r="AD549" s="115" t="s">
        <v>107</v>
      </c>
    </row>
    <row r="550" spans="1:30" x14ac:dyDescent="0.2">
      <c r="A550" s="104" t="s">
        <v>1412</v>
      </c>
      <c r="B550" s="105" t="s">
        <v>805</v>
      </c>
      <c r="C550" s="105" t="s">
        <v>1403</v>
      </c>
      <c r="D550" s="106" t="s">
        <v>125</v>
      </c>
      <c r="E550" s="107"/>
      <c r="F550" s="108" t="s">
        <v>10170</v>
      </c>
      <c r="G550" s="118">
        <v>3</v>
      </c>
      <c r="H550" s="108" t="s">
        <v>10171</v>
      </c>
      <c r="I550" s="110">
        <v>3</v>
      </c>
      <c r="J550" s="111" t="s">
        <v>46</v>
      </c>
      <c r="K550" s="108" t="s">
        <v>10172</v>
      </c>
      <c r="L550" s="117">
        <v>2</v>
      </c>
      <c r="M550" s="113"/>
      <c r="N550" s="108" t="s">
        <v>10170</v>
      </c>
      <c r="O550" s="110">
        <v>3</v>
      </c>
      <c r="P550" s="113"/>
      <c r="Q550" s="108" t="s">
        <v>10173</v>
      </c>
      <c r="R550" s="110">
        <v>3</v>
      </c>
      <c r="S550" s="113"/>
      <c r="T550" s="108" t="s">
        <v>10174</v>
      </c>
      <c r="U550" s="110">
        <v>3</v>
      </c>
      <c r="V550" s="113"/>
      <c r="W550" s="108" t="s">
        <v>47</v>
      </c>
      <c r="X550" s="114"/>
      <c r="Y550" s="113"/>
      <c r="Z550" s="108" t="s">
        <v>47</v>
      </c>
      <c r="AA550" s="114"/>
      <c r="AB550" s="113"/>
      <c r="AC550" s="105" t="s">
        <v>1413</v>
      </c>
      <c r="AD550" s="115" t="s">
        <v>107</v>
      </c>
    </row>
    <row r="551" spans="1:30" x14ac:dyDescent="0.2">
      <c r="A551" s="104" t="s">
        <v>1414</v>
      </c>
      <c r="B551" s="105" t="s">
        <v>805</v>
      </c>
      <c r="C551" s="105" t="s">
        <v>1408</v>
      </c>
      <c r="D551" s="106" t="s">
        <v>105</v>
      </c>
      <c r="E551" s="107"/>
      <c r="F551" s="108" t="s">
        <v>10175</v>
      </c>
      <c r="G551" s="118">
        <v>3</v>
      </c>
      <c r="H551" s="108" t="s">
        <v>10176</v>
      </c>
      <c r="I551" s="112">
        <v>4</v>
      </c>
      <c r="J551" s="111" t="s">
        <v>55</v>
      </c>
      <c r="K551" s="108" t="s">
        <v>1415</v>
      </c>
      <c r="L551" s="117">
        <v>2</v>
      </c>
      <c r="M551" s="113"/>
      <c r="N551" s="108" t="s">
        <v>10175</v>
      </c>
      <c r="O551" s="110">
        <v>3</v>
      </c>
      <c r="P551" s="113"/>
      <c r="Q551" s="108" t="s">
        <v>10177</v>
      </c>
      <c r="R551" s="110">
        <v>3</v>
      </c>
      <c r="S551" s="113"/>
      <c r="T551" s="108" t="s">
        <v>10178</v>
      </c>
      <c r="U551" s="112">
        <v>4</v>
      </c>
      <c r="V551" s="113"/>
      <c r="W551" s="108" t="s">
        <v>47</v>
      </c>
      <c r="X551" s="114"/>
      <c r="Y551" s="113"/>
      <c r="Z551" s="108" t="s">
        <v>47</v>
      </c>
      <c r="AA551" s="114"/>
      <c r="AB551" s="113"/>
      <c r="AC551" s="105" t="s">
        <v>1416</v>
      </c>
      <c r="AD551" s="115" t="s">
        <v>107</v>
      </c>
    </row>
    <row r="552" spans="1:30" x14ac:dyDescent="0.2">
      <c r="A552" s="104" t="s">
        <v>10179</v>
      </c>
      <c r="B552" s="105" t="s">
        <v>805</v>
      </c>
      <c r="C552" s="105" t="s">
        <v>1408</v>
      </c>
      <c r="D552" s="106" t="s">
        <v>105</v>
      </c>
      <c r="E552" s="107"/>
      <c r="F552" s="108" t="s">
        <v>10180</v>
      </c>
      <c r="G552" s="118">
        <v>3</v>
      </c>
      <c r="H552" s="108" t="s">
        <v>10181</v>
      </c>
      <c r="I552" s="112">
        <v>4</v>
      </c>
      <c r="J552" s="111" t="s">
        <v>44</v>
      </c>
      <c r="K552" s="108" t="s">
        <v>1417</v>
      </c>
      <c r="L552" s="117">
        <v>2</v>
      </c>
      <c r="M552" s="113"/>
      <c r="N552" s="108" t="s">
        <v>10180</v>
      </c>
      <c r="O552" s="110">
        <v>3</v>
      </c>
      <c r="P552" s="113"/>
      <c r="Q552" s="108" t="s">
        <v>10182</v>
      </c>
      <c r="R552" s="110">
        <v>3</v>
      </c>
      <c r="S552" s="113"/>
      <c r="T552" s="108" t="s">
        <v>1418</v>
      </c>
      <c r="U552" s="112">
        <v>4</v>
      </c>
      <c r="V552" s="113"/>
      <c r="W552" s="108" t="s">
        <v>47</v>
      </c>
      <c r="X552" s="114"/>
      <c r="Y552" s="113"/>
      <c r="Z552" s="108" t="s">
        <v>47</v>
      </c>
      <c r="AA552" s="114"/>
      <c r="AB552" s="113"/>
      <c r="AC552" s="105" t="s">
        <v>1419</v>
      </c>
      <c r="AD552" s="115" t="s">
        <v>107</v>
      </c>
    </row>
    <row r="553" spans="1:30" x14ac:dyDescent="0.2">
      <c r="A553" s="104" t="s">
        <v>1420</v>
      </c>
      <c r="B553" s="105" t="s">
        <v>805</v>
      </c>
      <c r="C553" s="105" t="s">
        <v>1403</v>
      </c>
      <c r="D553" s="106" t="s">
        <v>125</v>
      </c>
      <c r="E553" s="107"/>
      <c r="F553" s="108" t="s">
        <v>1421</v>
      </c>
      <c r="G553" s="118">
        <v>3</v>
      </c>
      <c r="H553" s="108" t="s">
        <v>10183</v>
      </c>
      <c r="I553" s="110">
        <v>3</v>
      </c>
      <c r="J553" s="111" t="s">
        <v>46</v>
      </c>
      <c r="K553" s="108" t="s">
        <v>10184</v>
      </c>
      <c r="L553" s="110">
        <v>3</v>
      </c>
      <c r="M553" s="113"/>
      <c r="N553" s="108" t="s">
        <v>1421</v>
      </c>
      <c r="O553" s="110">
        <v>3</v>
      </c>
      <c r="P553" s="113"/>
      <c r="Q553" s="108" t="s">
        <v>10185</v>
      </c>
      <c r="R553" s="112">
        <v>4</v>
      </c>
      <c r="S553" s="111" t="s">
        <v>46</v>
      </c>
      <c r="T553" s="108" t="s">
        <v>10186</v>
      </c>
      <c r="U553" s="112">
        <v>4</v>
      </c>
      <c r="V553" s="111" t="s">
        <v>46</v>
      </c>
      <c r="W553" s="108" t="s">
        <v>47</v>
      </c>
      <c r="X553" s="114"/>
      <c r="Y553" s="113"/>
      <c r="Z553" s="108" t="s">
        <v>47</v>
      </c>
      <c r="AA553" s="114"/>
      <c r="AB553" s="113"/>
      <c r="AC553" s="105" t="s">
        <v>1422</v>
      </c>
      <c r="AD553" s="115" t="s">
        <v>107</v>
      </c>
    </row>
    <row r="554" spans="1:30" x14ac:dyDescent="0.2">
      <c r="A554" s="104" t="s">
        <v>1423</v>
      </c>
      <c r="B554" s="105" t="s">
        <v>805</v>
      </c>
      <c r="C554" s="105" t="s">
        <v>1403</v>
      </c>
      <c r="D554" s="106"/>
      <c r="E554" s="107"/>
      <c r="F554" s="108" t="s">
        <v>47</v>
      </c>
      <c r="G554" s="113"/>
      <c r="H554" s="108" t="s">
        <v>47</v>
      </c>
      <c r="I554" s="114"/>
      <c r="J554" s="113"/>
      <c r="K554" s="108" t="s">
        <v>47</v>
      </c>
      <c r="L554" s="114"/>
      <c r="M554" s="113"/>
      <c r="N554" s="108" t="s">
        <v>47</v>
      </c>
      <c r="O554" s="114"/>
      <c r="P554" s="113"/>
      <c r="Q554" s="108" t="s">
        <v>47</v>
      </c>
      <c r="R554" s="114"/>
      <c r="S554" s="113"/>
      <c r="T554" s="108" t="s">
        <v>47</v>
      </c>
      <c r="U554" s="114"/>
      <c r="V554" s="113"/>
      <c r="W554" s="108" t="s">
        <v>47</v>
      </c>
      <c r="X554" s="114"/>
      <c r="Y554" s="113"/>
      <c r="Z554" s="108" t="s">
        <v>47</v>
      </c>
      <c r="AA554" s="114"/>
      <c r="AB554" s="113"/>
      <c r="AC554" s="105" t="s">
        <v>1424</v>
      </c>
      <c r="AD554" s="115" t="s">
        <v>107</v>
      </c>
    </row>
    <row r="555" spans="1:30" x14ac:dyDescent="0.2">
      <c r="A555" s="104" t="s">
        <v>1425</v>
      </c>
      <c r="B555" s="105" t="s">
        <v>805</v>
      </c>
      <c r="C555" s="105" t="s">
        <v>1403</v>
      </c>
      <c r="D555" s="106"/>
      <c r="E555" s="107"/>
      <c r="F555" s="108" t="s">
        <v>10187</v>
      </c>
      <c r="G555" s="120">
        <v>2</v>
      </c>
      <c r="H555" s="108" t="s">
        <v>1426</v>
      </c>
      <c r="I555" s="117">
        <v>2</v>
      </c>
      <c r="J555" s="113"/>
      <c r="K555" s="108" t="s">
        <v>10188</v>
      </c>
      <c r="L555" s="117">
        <v>2</v>
      </c>
      <c r="M555" s="113"/>
      <c r="N555" s="108" t="s">
        <v>10187</v>
      </c>
      <c r="O555" s="117">
        <v>2</v>
      </c>
      <c r="P555" s="113"/>
      <c r="Q555" s="108" t="s">
        <v>10189</v>
      </c>
      <c r="R555" s="117">
        <v>2</v>
      </c>
      <c r="S555" s="113"/>
      <c r="T555" s="108" t="s">
        <v>47</v>
      </c>
      <c r="U555" s="114"/>
      <c r="V555" s="113"/>
      <c r="W555" s="108" t="s">
        <v>47</v>
      </c>
      <c r="X555" s="114"/>
      <c r="Y555" s="113"/>
      <c r="Z555" s="108" t="s">
        <v>47</v>
      </c>
      <c r="AA555" s="114"/>
      <c r="AB555" s="113"/>
      <c r="AC555" s="105" t="s">
        <v>1427</v>
      </c>
      <c r="AD555" s="115" t="s">
        <v>107</v>
      </c>
    </row>
    <row r="556" spans="1:30" x14ac:dyDescent="0.2">
      <c r="A556" s="104" t="s">
        <v>1428</v>
      </c>
      <c r="B556" s="105" t="s">
        <v>805</v>
      </c>
      <c r="C556" s="105" t="s">
        <v>1408</v>
      </c>
      <c r="D556" s="106" t="s">
        <v>94</v>
      </c>
      <c r="E556" s="107"/>
      <c r="F556" s="108" t="s">
        <v>10190</v>
      </c>
      <c r="G556" s="119">
        <v>1</v>
      </c>
      <c r="H556" s="108" t="s">
        <v>1429</v>
      </c>
      <c r="I556" s="110">
        <v>3</v>
      </c>
      <c r="J556" s="111" t="s">
        <v>55</v>
      </c>
      <c r="K556" s="108" t="s">
        <v>10191</v>
      </c>
      <c r="L556" s="116">
        <v>1</v>
      </c>
      <c r="M556" s="113"/>
      <c r="N556" s="108" t="s">
        <v>10190</v>
      </c>
      <c r="O556" s="116">
        <v>1</v>
      </c>
      <c r="P556" s="113"/>
      <c r="Q556" s="108" t="s">
        <v>10192</v>
      </c>
      <c r="R556" s="117">
        <v>2</v>
      </c>
      <c r="S556" s="113"/>
      <c r="T556" s="108" t="s">
        <v>10193</v>
      </c>
      <c r="U556" s="116">
        <v>1</v>
      </c>
      <c r="V556" s="113"/>
      <c r="W556" s="108" t="s">
        <v>47</v>
      </c>
      <c r="X556" s="114"/>
      <c r="Y556" s="113"/>
      <c r="Z556" s="108" t="s">
        <v>47</v>
      </c>
      <c r="AA556" s="114"/>
      <c r="AB556" s="113"/>
      <c r="AC556" s="105" t="s">
        <v>1430</v>
      </c>
      <c r="AD556" s="115" t="s">
        <v>107</v>
      </c>
    </row>
    <row r="557" spans="1:30" x14ac:dyDescent="0.2">
      <c r="A557" s="104" t="s">
        <v>1431</v>
      </c>
      <c r="B557" s="105" t="s">
        <v>805</v>
      </c>
      <c r="C557" s="105" t="s">
        <v>1403</v>
      </c>
      <c r="D557" s="106" t="s">
        <v>94</v>
      </c>
      <c r="E557" s="107"/>
      <c r="F557" s="108" t="s">
        <v>10194</v>
      </c>
      <c r="G557" s="120">
        <v>2</v>
      </c>
      <c r="H557" s="108" t="s">
        <v>1432</v>
      </c>
      <c r="I557" s="117">
        <v>2</v>
      </c>
      <c r="J557" s="113"/>
      <c r="K557" s="108" t="s">
        <v>10195</v>
      </c>
      <c r="L557" s="117">
        <v>2</v>
      </c>
      <c r="M557" s="113"/>
      <c r="N557" s="108" t="s">
        <v>10194</v>
      </c>
      <c r="O557" s="117">
        <v>2</v>
      </c>
      <c r="P557" s="113"/>
      <c r="Q557" s="108" t="s">
        <v>10196</v>
      </c>
      <c r="R557" s="117">
        <v>2</v>
      </c>
      <c r="S557" s="113"/>
      <c r="T557" s="108" t="s">
        <v>1433</v>
      </c>
      <c r="U557" s="116">
        <v>1</v>
      </c>
      <c r="V557" s="113"/>
      <c r="W557" s="108" t="s">
        <v>1434</v>
      </c>
      <c r="X557" s="116">
        <v>1</v>
      </c>
      <c r="Y557" s="113"/>
      <c r="Z557" s="108" t="s">
        <v>47</v>
      </c>
      <c r="AA557" s="114"/>
      <c r="AB557" s="113"/>
      <c r="AC557" s="105" t="s">
        <v>1435</v>
      </c>
      <c r="AD557" s="115" t="s">
        <v>107</v>
      </c>
    </row>
    <row r="558" spans="1:30" x14ac:dyDescent="0.2">
      <c r="A558" s="104" t="s">
        <v>1436</v>
      </c>
      <c r="B558" s="105" t="s">
        <v>805</v>
      </c>
      <c r="C558" s="105" t="s">
        <v>1403</v>
      </c>
      <c r="D558" s="106"/>
      <c r="E558" s="107"/>
      <c r="F558" s="108" t="s">
        <v>10197</v>
      </c>
      <c r="G558" s="120">
        <v>2</v>
      </c>
      <c r="H558" s="108" t="s">
        <v>10198</v>
      </c>
      <c r="I558" s="117">
        <v>2</v>
      </c>
      <c r="J558" s="113"/>
      <c r="K558" s="108" t="s">
        <v>10199</v>
      </c>
      <c r="L558" s="117">
        <v>2</v>
      </c>
      <c r="M558" s="113"/>
      <c r="N558" s="108" t="s">
        <v>10197</v>
      </c>
      <c r="O558" s="117">
        <v>2</v>
      </c>
      <c r="P558" s="113"/>
      <c r="Q558" s="108" t="s">
        <v>47</v>
      </c>
      <c r="R558" s="114"/>
      <c r="S558" s="113"/>
      <c r="T558" s="108" t="s">
        <v>47</v>
      </c>
      <c r="U558" s="114"/>
      <c r="V558" s="113"/>
      <c r="W558" s="108" t="s">
        <v>47</v>
      </c>
      <c r="X558" s="114"/>
      <c r="Y558" s="113"/>
      <c r="Z558" s="108" t="s">
        <v>47</v>
      </c>
      <c r="AA558" s="114"/>
      <c r="AB558" s="113"/>
      <c r="AC558" s="105" t="s">
        <v>1437</v>
      </c>
      <c r="AD558" s="115" t="s">
        <v>107</v>
      </c>
    </row>
    <row r="559" spans="1:30" x14ac:dyDescent="0.2">
      <c r="A559" s="104" t="s">
        <v>1438</v>
      </c>
      <c r="B559" s="105" t="s">
        <v>805</v>
      </c>
      <c r="C559" s="105" t="s">
        <v>1408</v>
      </c>
      <c r="D559" s="106"/>
      <c r="E559" s="107"/>
      <c r="F559" s="108" t="s">
        <v>10200</v>
      </c>
      <c r="G559" s="119">
        <v>1</v>
      </c>
      <c r="H559" s="108" t="s">
        <v>10201</v>
      </c>
      <c r="I559" s="110">
        <v>3</v>
      </c>
      <c r="J559" s="111" t="s">
        <v>55</v>
      </c>
      <c r="K559" s="108" t="s">
        <v>10202</v>
      </c>
      <c r="L559" s="116">
        <v>1</v>
      </c>
      <c r="M559" s="113"/>
      <c r="N559" s="108" t="s">
        <v>10200</v>
      </c>
      <c r="O559" s="116">
        <v>1</v>
      </c>
      <c r="P559" s="113"/>
      <c r="Q559" s="108" t="s">
        <v>10203</v>
      </c>
      <c r="R559" s="117">
        <v>2</v>
      </c>
      <c r="S559" s="113"/>
      <c r="T559" s="108" t="s">
        <v>47</v>
      </c>
      <c r="U559" s="114"/>
      <c r="V559" s="113"/>
      <c r="W559" s="108" t="s">
        <v>47</v>
      </c>
      <c r="X559" s="114"/>
      <c r="Y559" s="113"/>
      <c r="Z559" s="108" t="s">
        <v>47</v>
      </c>
      <c r="AA559" s="114"/>
      <c r="AB559" s="113"/>
      <c r="AC559" s="105" t="s">
        <v>1439</v>
      </c>
      <c r="AD559" s="115" t="s">
        <v>107</v>
      </c>
    </row>
    <row r="560" spans="1:30" x14ac:dyDescent="0.2">
      <c r="A560" s="104" t="s">
        <v>1440</v>
      </c>
      <c r="B560" s="105" t="s">
        <v>805</v>
      </c>
      <c r="C560" s="105" t="s">
        <v>1403</v>
      </c>
      <c r="D560" s="106"/>
      <c r="E560" s="107"/>
      <c r="F560" s="108" t="s">
        <v>10204</v>
      </c>
      <c r="G560" s="120">
        <v>2</v>
      </c>
      <c r="H560" s="108" t="s">
        <v>10205</v>
      </c>
      <c r="I560" s="117">
        <v>2</v>
      </c>
      <c r="J560" s="113"/>
      <c r="K560" s="108" t="s">
        <v>10206</v>
      </c>
      <c r="L560" s="117">
        <v>2</v>
      </c>
      <c r="M560" s="113"/>
      <c r="N560" s="108" t="s">
        <v>10204</v>
      </c>
      <c r="O560" s="117">
        <v>2</v>
      </c>
      <c r="P560" s="113"/>
      <c r="Q560" s="108" t="s">
        <v>10207</v>
      </c>
      <c r="R560" s="117">
        <v>2</v>
      </c>
      <c r="S560" s="113"/>
      <c r="T560" s="108" t="s">
        <v>47</v>
      </c>
      <c r="U560" s="114"/>
      <c r="V560" s="113"/>
      <c r="W560" s="108" t="s">
        <v>47</v>
      </c>
      <c r="X560" s="114"/>
      <c r="Y560" s="113"/>
      <c r="Z560" s="108" t="s">
        <v>47</v>
      </c>
      <c r="AA560" s="114"/>
      <c r="AB560" s="113"/>
      <c r="AC560" s="105" t="s">
        <v>1441</v>
      </c>
      <c r="AD560" s="115" t="s">
        <v>107</v>
      </c>
    </row>
    <row r="561" spans="1:30" x14ac:dyDescent="0.2">
      <c r="A561" s="104" t="s">
        <v>1442</v>
      </c>
      <c r="B561" s="105" t="s">
        <v>805</v>
      </c>
      <c r="C561" s="105" t="s">
        <v>1408</v>
      </c>
      <c r="D561" s="106" t="s">
        <v>105</v>
      </c>
      <c r="E561" s="107"/>
      <c r="F561" s="108" t="s">
        <v>10208</v>
      </c>
      <c r="G561" s="118">
        <v>3</v>
      </c>
      <c r="H561" s="108" t="s">
        <v>1443</v>
      </c>
      <c r="I561" s="110">
        <v>3</v>
      </c>
      <c r="J561" s="111" t="s">
        <v>46</v>
      </c>
      <c r="K561" s="108" t="s">
        <v>10209</v>
      </c>
      <c r="L561" s="117">
        <v>2</v>
      </c>
      <c r="M561" s="113"/>
      <c r="N561" s="108" t="s">
        <v>10208</v>
      </c>
      <c r="O561" s="110">
        <v>3</v>
      </c>
      <c r="P561" s="111" t="s">
        <v>46</v>
      </c>
      <c r="Q561" s="108" t="s">
        <v>10210</v>
      </c>
      <c r="R561" s="110">
        <v>3</v>
      </c>
      <c r="S561" s="111" t="s">
        <v>46</v>
      </c>
      <c r="T561" s="108" t="s">
        <v>10211</v>
      </c>
      <c r="U561" s="112">
        <v>4</v>
      </c>
      <c r="V561" s="111" t="s">
        <v>46</v>
      </c>
      <c r="W561" s="108" t="s">
        <v>47</v>
      </c>
      <c r="X561" s="114"/>
      <c r="Y561" s="113"/>
      <c r="Z561" s="108" t="s">
        <v>47</v>
      </c>
      <c r="AA561" s="114"/>
      <c r="AB561" s="113"/>
      <c r="AC561" s="105" t="s">
        <v>1444</v>
      </c>
      <c r="AD561" s="115" t="s">
        <v>107</v>
      </c>
    </row>
    <row r="562" spans="1:30" x14ac:dyDescent="0.2">
      <c r="A562" s="104" t="s">
        <v>10212</v>
      </c>
      <c r="B562" s="105" t="s">
        <v>805</v>
      </c>
      <c r="C562" s="105" t="s">
        <v>1408</v>
      </c>
      <c r="D562" s="106" t="s">
        <v>105</v>
      </c>
      <c r="E562" s="107"/>
      <c r="F562" s="108" t="s">
        <v>10213</v>
      </c>
      <c r="G562" s="118">
        <v>3</v>
      </c>
      <c r="H562" s="108" t="s">
        <v>10214</v>
      </c>
      <c r="I562" s="110">
        <v>3</v>
      </c>
      <c r="J562" s="111" t="s">
        <v>55</v>
      </c>
      <c r="K562" s="108" t="s">
        <v>10215</v>
      </c>
      <c r="L562" s="117">
        <v>2</v>
      </c>
      <c r="M562" s="113"/>
      <c r="N562" s="108" t="s">
        <v>10213</v>
      </c>
      <c r="O562" s="110">
        <v>3</v>
      </c>
      <c r="P562" s="111" t="s">
        <v>46</v>
      </c>
      <c r="Q562" s="108" t="s">
        <v>10216</v>
      </c>
      <c r="R562" s="110">
        <v>3</v>
      </c>
      <c r="S562" s="111" t="s">
        <v>46</v>
      </c>
      <c r="T562" s="108" t="s">
        <v>10217</v>
      </c>
      <c r="U562" s="110">
        <v>3</v>
      </c>
      <c r="V562" s="113"/>
      <c r="W562" s="108" t="s">
        <v>47</v>
      </c>
      <c r="X562" s="114"/>
      <c r="Y562" s="113"/>
      <c r="Z562" s="108" t="s">
        <v>47</v>
      </c>
      <c r="AA562" s="114"/>
      <c r="AB562" s="113"/>
      <c r="AC562" s="105" t="s">
        <v>1445</v>
      </c>
      <c r="AD562" s="115" t="s">
        <v>107</v>
      </c>
    </row>
    <row r="563" spans="1:30" x14ac:dyDescent="0.2">
      <c r="A563" s="104" t="s">
        <v>1446</v>
      </c>
      <c r="B563" s="105" t="s">
        <v>805</v>
      </c>
      <c r="C563" s="105" t="s">
        <v>1403</v>
      </c>
      <c r="D563" s="106" t="s">
        <v>125</v>
      </c>
      <c r="E563" s="107"/>
      <c r="F563" s="108" t="s">
        <v>10218</v>
      </c>
      <c r="G563" s="118">
        <v>3</v>
      </c>
      <c r="H563" s="108" t="s">
        <v>10219</v>
      </c>
      <c r="I563" s="110">
        <v>3</v>
      </c>
      <c r="J563" s="111" t="s">
        <v>46</v>
      </c>
      <c r="K563" s="108" t="s">
        <v>10220</v>
      </c>
      <c r="L563" s="110">
        <v>3</v>
      </c>
      <c r="M563" s="111" t="s">
        <v>46</v>
      </c>
      <c r="N563" s="108" t="s">
        <v>10218</v>
      </c>
      <c r="O563" s="110">
        <v>3</v>
      </c>
      <c r="P563" s="113"/>
      <c r="Q563" s="108" t="s">
        <v>10221</v>
      </c>
      <c r="R563" s="110">
        <v>3</v>
      </c>
      <c r="S563" s="113"/>
      <c r="T563" s="108" t="s">
        <v>10222</v>
      </c>
      <c r="U563" s="110">
        <v>3</v>
      </c>
      <c r="V563" s="113"/>
      <c r="W563" s="108" t="s">
        <v>47</v>
      </c>
      <c r="X563" s="114"/>
      <c r="Y563" s="113"/>
      <c r="Z563" s="108" t="s">
        <v>47</v>
      </c>
      <c r="AA563" s="114"/>
      <c r="AB563" s="113"/>
      <c r="AC563" s="105" t="s">
        <v>1447</v>
      </c>
      <c r="AD563" s="115" t="s">
        <v>107</v>
      </c>
    </row>
    <row r="564" spans="1:30" x14ac:dyDescent="0.2">
      <c r="A564" s="104" t="s">
        <v>1448</v>
      </c>
      <c r="B564" s="105" t="s">
        <v>805</v>
      </c>
      <c r="C564" s="105" t="s">
        <v>1449</v>
      </c>
      <c r="D564" s="106" t="s">
        <v>105</v>
      </c>
      <c r="E564" s="107"/>
      <c r="F564" s="108" t="s">
        <v>10223</v>
      </c>
      <c r="G564" s="119">
        <v>1</v>
      </c>
      <c r="H564" s="108" t="s">
        <v>10224</v>
      </c>
      <c r="I564" s="116">
        <v>1</v>
      </c>
      <c r="J564" s="113"/>
      <c r="K564" s="108" t="s">
        <v>10225</v>
      </c>
      <c r="L564" s="116">
        <v>1</v>
      </c>
      <c r="M564" s="113"/>
      <c r="N564" s="108" t="s">
        <v>10223</v>
      </c>
      <c r="O564" s="116">
        <v>1</v>
      </c>
      <c r="P564" s="113"/>
      <c r="Q564" s="108" t="s">
        <v>10226</v>
      </c>
      <c r="R564" s="110">
        <v>3</v>
      </c>
      <c r="S564" s="113"/>
      <c r="T564" s="108" t="s">
        <v>10227</v>
      </c>
      <c r="U564" s="112">
        <v>4</v>
      </c>
      <c r="V564" s="113"/>
      <c r="W564" s="108" t="s">
        <v>10228</v>
      </c>
      <c r="X564" s="110">
        <v>3</v>
      </c>
      <c r="Y564" s="113"/>
      <c r="Z564" s="108" t="s">
        <v>47</v>
      </c>
      <c r="AA564" s="114"/>
      <c r="AB564" s="113"/>
      <c r="AC564" s="105" t="s">
        <v>1450</v>
      </c>
      <c r="AD564" s="115" t="s">
        <v>107</v>
      </c>
    </row>
    <row r="565" spans="1:30" x14ac:dyDescent="0.2">
      <c r="A565" s="104" t="s">
        <v>10229</v>
      </c>
      <c r="B565" s="105" t="s">
        <v>805</v>
      </c>
      <c r="C565" s="105" t="s">
        <v>1449</v>
      </c>
      <c r="D565" s="106" t="s">
        <v>105</v>
      </c>
      <c r="E565" s="107"/>
      <c r="F565" s="108" t="s">
        <v>10230</v>
      </c>
      <c r="G565" s="119">
        <v>1</v>
      </c>
      <c r="H565" s="108" t="s">
        <v>10231</v>
      </c>
      <c r="I565" s="116">
        <v>1</v>
      </c>
      <c r="J565" s="113"/>
      <c r="K565" s="108" t="s">
        <v>10232</v>
      </c>
      <c r="L565" s="116">
        <v>1</v>
      </c>
      <c r="M565" s="113"/>
      <c r="N565" s="108" t="s">
        <v>10230</v>
      </c>
      <c r="O565" s="116">
        <v>1</v>
      </c>
      <c r="P565" s="113"/>
      <c r="Q565" s="108" t="s">
        <v>10233</v>
      </c>
      <c r="R565" s="110">
        <v>3</v>
      </c>
      <c r="S565" s="113"/>
      <c r="T565" s="108" t="s">
        <v>10234</v>
      </c>
      <c r="U565" s="112">
        <v>4</v>
      </c>
      <c r="V565" s="113"/>
      <c r="W565" s="108" t="s">
        <v>10235</v>
      </c>
      <c r="X565" s="110">
        <v>3</v>
      </c>
      <c r="Y565" s="113"/>
      <c r="Z565" s="108" t="s">
        <v>47</v>
      </c>
      <c r="AA565" s="114"/>
      <c r="AB565" s="113"/>
      <c r="AC565" s="105" t="s">
        <v>1451</v>
      </c>
      <c r="AD565" s="115" t="s">
        <v>107</v>
      </c>
    </row>
    <row r="566" spans="1:30" x14ac:dyDescent="0.2">
      <c r="A566" s="104" t="s">
        <v>1452</v>
      </c>
      <c r="B566" s="105" t="s">
        <v>805</v>
      </c>
      <c r="C566" s="105" t="s">
        <v>1241</v>
      </c>
      <c r="D566" s="106" t="s">
        <v>94</v>
      </c>
      <c r="E566" s="107"/>
      <c r="F566" s="108" t="s">
        <v>10236</v>
      </c>
      <c r="G566" s="119">
        <v>1</v>
      </c>
      <c r="H566" s="108" t="s">
        <v>10237</v>
      </c>
      <c r="I566" s="116">
        <v>1</v>
      </c>
      <c r="J566" s="111" t="s">
        <v>40</v>
      </c>
      <c r="K566" s="108" t="s">
        <v>10238</v>
      </c>
      <c r="L566" s="116">
        <v>1</v>
      </c>
      <c r="M566" s="113"/>
      <c r="N566" s="108" t="s">
        <v>10236</v>
      </c>
      <c r="O566" s="116">
        <v>1</v>
      </c>
      <c r="P566" s="113"/>
      <c r="Q566" s="108" t="s">
        <v>10239</v>
      </c>
      <c r="R566" s="117">
        <v>2</v>
      </c>
      <c r="S566" s="113"/>
      <c r="T566" s="108" t="s">
        <v>10240</v>
      </c>
      <c r="U566" s="117">
        <v>2</v>
      </c>
      <c r="V566" s="111" t="s">
        <v>40</v>
      </c>
      <c r="W566" s="108" t="s">
        <v>10241</v>
      </c>
      <c r="X566" s="116">
        <v>1</v>
      </c>
      <c r="Y566" s="113"/>
      <c r="Z566" s="108" t="s">
        <v>47</v>
      </c>
      <c r="AA566" s="114"/>
      <c r="AB566" s="113"/>
      <c r="AC566" s="105" t="s">
        <v>1453</v>
      </c>
      <c r="AD566" s="115" t="s">
        <v>107</v>
      </c>
    </row>
    <row r="567" spans="1:30" x14ac:dyDescent="0.2">
      <c r="A567" s="104" t="s">
        <v>10242</v>
      </c>
      <c r="B567" s="105" t="s">
        <v>805</v>
      </c>
      <c r="C567" s="105" t="s">
        <v>1454</v>
      </c>
      <c r="D567" s="106"/>
      <c r="E567" s="107"/>
      <c r="F567" s="108" t="s">
        <v>47</v>
      </c>
      <c r="G567" s="113"/>
      <c r="H567" s="108" t="s">
        <v>10243</v>
      </c>
      <c r="I567" s="116">
        <v>1</v>
      </c>
      <c r="J567" s="113"/>
      <c r="K567" s="108" t="s">
        <v>47</v>
      </c>
      <c r="L567" s="114"/>
      <c r="M567" s="113"/>
      <c r="N567" s="108" t="s">
        <v>47</v>
      </c>
      <c r="O567" s="114"/>
      <c r="P567" s="113"/>
      <c r="Q567" s="108" t="s">
        <v>47</v>
      </c>
      <c r="R567" s="114"/>
      <c r="S567" s="113"/>
      <c r="T567" s="108" t="s">
        <v>47</v>
      </c>
      <c r="U567" s="114"/>
      <c r="V567" s="113"/>
      <c r="W567" s="108" t="s">
        <v>47</v>
      </c>
      <c r="X567" s="114"/>
      <c r="Y567" s="113"/>
      <c r="Z567" s="108" t="s">
        <v>47</v>
      </c>
      <c r="AA567" s="114"/>
      <c r="AB567" s="113"/>
      <c r="AC567" s="105" t="s">
        <v>10244</v>
      </c>
      <c r="AD567" s="115" t="s">
        <v>107</v>
      </c>
    </row>
    <row r="568" spans="1:30" x14ac:dyDescent="0.2">
      <c r="A568" s="104" t="s">
        <v>1455</v>
      </c>
      <c r="B568" s="105" t="s">
        <v>805</v>
      </c>
      <c r="C568" s="105" t="s">
        <v>1454</v>
      </c>
      <c r="D568" s="106"/>
      <c r="E568" s="107"/>
      <c r="F568" s="108" t="s">
        <v>10245</v>
      </c>
      <c r="G568" s="118">
        <v>3</v>
      </c>
      <c r="H568" s="108" t="s">
        <v>10246</v>
      </c>
      <c r="I568" s="110">
        <v>3</v>
      </c>
      <c r="J568" s="111" t="s">
        <v>40</v>
      </c>
      <c r="K568" s="108" t="s">
        <v>10247</v>
      </c>
      <c r="L568" s="110">
        <v>3</v>
      </c>
      <c r="M568" s="113"/>
      <c r="N568" s="108" t="s">
        <v>10245</v>
      </c>
      <c r="O568" s="110">
        <v>3</v>
      </c>
      <c r="P568" s="113"/>
      <c r="Q568" s="108" t="s">
        <v>10248</v>
      </c>
      <c r="R568" s="117">
        <v>2</v>
      </c>
      <c r="S568" s="113"/>
      <c r="T568" s="108" t="s">
        <v>47</v>
      </c>
      <c r="U568" s="114"/>
      <c r="V568" s="113"/>
      <c r="W568" s="108" t="s">
        <v>47</v>
      </c>
      <c r="X568" s="114"/>
      <c r="Y568" s="113"/>
      <c r="Z568" s="108" t="s">
        <v>47</v>
      </c>
      <c r="AA568" s="114"/>
      <c r="AB568" s="113"/>
      <c r="AC568" s="105" t="s">
        <v>1456</v>
      </c>
      <c r="AD568" s="115" t="s">
        <v>107</v>
      </c>
    </row>
    <row r="569" spans="1:30" x14ac:dyDescent="0.2">
      <c r="A569" s="104" t="s">
        <v>1457</v>
      </c>
      <c r="B569" s="105" t="s">
        <v>805</v>
      </c>
      <c r="C569" s="105" t="s">
        <v>1458</v>
      </c>
      <c r="D569" s="106"/>
      <c r="E569" s="107"/>
      <c r="F569" s="108" t="s">
        <v>10249</v>
      </c>
      <c r="G569" s="118">
        <v>3</v>
      </c>
      <c r="H569" s="108" t="s">
        <v>10250</v>
      </c>
      <c r="I569" s="110">
        <v>3</v>
      </c>
      <c r="J569" s="111" t="s">
        <v>40</v>
      </c>
      <c r="K569" s="108" t="s">
        <v>10251</v>
      </c>
      <c r="L569" s="110">
        <v>3</v>
      </c>
      <c r="M569" s="113"/>
      <c r="N569" s="108" t="s">
        <v>10249</v>
      </c>
      <c r="O569" s="110">
        <v>3</v>
      </c>
      <c r="P569" s="113"/>
      <c r="Q569" s="108" t="s">
        <v>10252</v>
      </c>
      <c r="R569" s="117">
        <v>2</v>
      </c>
      <c r="S569" s="113"/>
      <c r="T569" s="108" t="s">
        <v>47</v>
      </c>
      <c r="U569" s="114"/>
      <c r="V569" s="113"/>
      <c r="W569" s="108" t="s">
        <v>47</v>
      </c>
      <c r="X569" s="114"/>
      <c r="Y569" s="113"/>
      <c r="Z569" s="108" t="s">
        <v>47</v>
      </c>
      <c r="AA569" s="114"/>
      <c r="AB569" s="113"/>
      <c r="AC569" s="105" t="s">
        <v>1459</v>
      </c>
      <c r="AD569" s="115" t="s">
        <v>107</v>
      </c>
    </row>
    <row r="570" spans="1:30" x14ac:dyDescent="0.2">
      <c r="A570" s="104" t="s">
        <v>10253</v>
      </c>
      <c r="B570" s="105" t="s">
        <v>805</v>
      </c>
      <c r="C570" s="105" t="s">
        <v>1458</v>
      </c>
      <c r="D570" s="106"/>
      <c r="E570" s="107"/>
      <c r="F570" s="108" t="s">
        <v>10254</v>
      </c>
      <c r="G570" s="118">
        <v>3</v>
      </c>
      <c r="H570" s="108" t="s">
        <v>10255</v>
      </c>
      <c r="I570" s="112">
        <v>4</v>
      </c>
      <c r="J570" s="113"/>
      <c r="K570" s="108" t="s">
        <v>10256</v>
      </c>
      <c r="L570" s="110">
        <v>3</v>
      </c>
      <c r="M570" s="113"/>
      <c r="N570" s="108" t="s">
        <v>10254</v>
      </c>
      <c r="O570" s="110">
        <v>3</v>
      </c>
      <c r="P570" s="113"/>
      <c r="Q570" s="108" t="s">
        <v>10257</v>
      </c>
      <c r="R570" s="117">
        <v>2</v>
      </c>
      <c r="S570" s="113"/>
      <c r="T570" s="108" t="s">
        <v>47</v>
      </c>
      <c r="U570" s="114"/>
      <c r="V570" s="113"/>
      <c r="W570" s="108" t="s">
        <v>47</v>
      </c>
      <c r="X570" s="114"/>
      <c r="Y570" s="113"/>
      <c r="Z570" s="108" t="s">
        <v>47</v>
      </c>
      <c r="AA570" s="114"/>
      <c r="AB570" s="113"/>
      <c r="AC570" s="105" t="s">
        <v>1460</v>
      </c>
      <c r="AD570" s="115" t="s">
        <v>107</v>
      </c>
    </row>
    <row r="571" spans="1:30" x14ac:dyDescent="0.2">
      <c r="A571" s="104" t="s">
        <v>1461</v>
      </c>
      <c r="B571" s="105" t="s">
        <v>805</v>
      </c>
      <c r="C571" s="105" t="s">
        <v>1454</v>
      </c>
      <c r="D571" s="106"/>
      <c r="E571" s="107"/>
      <c r="F571" s="108" t="s">
        <v>10258</v>
      </c>
      <c r="G571" s="109">
        <v>4</v>
      </c>
      <c r="H571" s="108" t="s">
        <v>10259</v>
      </c>
      <c r="I571" s="110">
        <v>3</v>
      </c>
      <c r="J571" s="111" t="s">
        <v>40</v>
      </c>
      <c r="K571" s="108" t="s">
        <v>10260</v>
      </c>
      <c r="L571" s="110">
        <v>3</v>
      </c>
      <c r="M571" s="111" t="s">
        <v>40</v>
      </c>
      <c r="N571" s="108" t="s">
        <v>10258</v>
      </c>
      <c r="O571" s="112">
        <v>4</v>
      </c>
      <c r="P571" s="111" t="s">
        <v>46</v>
      </c>
      <c r="Q571" s="108" t="s">
        <v>1462</v>
      </c>
      <c r="R571" s="110">
        <v>3</v>
      </c>
      <c r="S571" s="113"/>
      <c r="T571" s="108" t="s">
        <v>47</v>
      </c>
      <c r="U571" s="114"/>
      <c r="V571" s="113"/>
      <c r="W571" s="108" t="s">
        <v>47</v>
      </c>
      <c r="X571" s="114"/>
      <c r="Y571" s="113"/>
      <c r="Z571" s="108" t="s">
        <v>47</v>
      </c>
      <c r="AA571" s="114"/>
      <c r="AB571" s="113"/>
      <c r="AC571" s="105" t="s">
        <v>1463</v>
      </c>
      <c r="AD571" s="115" t="s">
        <v>107</v>
      </c>
    </row>
    <row r="572" spans="1:30" x14ac:dyDescent="0.2">
      <c r="A572" s="104" t="s">
        <v>1464</v>
      </c>
      <c r="B572" s="105" t="s">
        <v>805</v>
      </c>
      <c r="C572" s="105" t="s">
        <v>1458</v>
      </c>
      <c r="D572" s="106"/>
      <c r="E572" s="107"/>
      <c r="F572" s="108" t="s">
        <v>10261</v>
      </c>
      <c r="G572" s="120">
        <v>2</v>
      </c>
      <c r="H572" s="108" t="s">
        <v>10262</v>
      </c>
      <c r="I572" s="117">
        <v>2</v>
      </c>
      <c r="J572" s="111" t="s">
        <v>40</v>
      </c>
      <c r="K572" s="108" t="s">
        <v>10263</v>
      </c>
      <c r="L572" s="117">
        <v>2</v>
      </c>
      <c r="M572" s="113"/>
      <c r="N572" s="108" t="s">
        <v>10261</v>
      </c>
      <c r="O572" s="117">
        <v>2</v>
      </c>
      <c r="P572" s="113"/>
      <c r="Q572" s="108" t="s">
        <v>10264</v>
      </c>
      <c r="R572" s="116">
        <v>1</v>
      </c>
      <c r="S572" s="113"/>
      <c r="T572" s="108" t="s">
        <v>47</v>
      </c>
      <c r="U572" s="114"/>
      <c r="V572" s="113"/>
      <c r="W572" s="108" t="s">
        <v>47</v>
      </c>
      <c r="X572" s="114"/>
      <c r="Y572" s="113"/>
      <c r="Z572" s="108" t="s">
        <v>47</v>
      </c>
      <c r="AA572" s="114"/>
      <c r="AB572" s="113"/>
      <c r="AC572" s="105" t="s">
        <v>1465</v>
      </c>
      <c r="AD572" s="115" t="s">
        <v>107</v>
      </c>
    </row>
    <row r="573" spans="1:30" x14ac:dyDescent="0.2">
      <c r="A573" s="104" t="s">
        <v>1466</v>
      </c>
      <c r="B573" s="105" t="s">
        <v>805</v>
      </c>
      <c r="C573" s="105" t="s">
        <v>1454</v>
      </c>
      <c r="D573" s="106"/>
      <c r="E573" s="107"/>
      <c r="F573" s="108" t="s">
        <v>10265</v>
      </c>
      <c r="G573" s="118">
        <v>3</v>
      </c>
      <c r="H573" s="108" t="s">
        <v>10266</v>
      </c>
      <c r="I573" s="117">
        <v>2</v>
      </c>
      <c r="J573" s="111" t="s">
        <v>40</v>
      </c>
      <c r="K573" s="108" t="s">
        <v>10267</v>
      </c>
      <c r="L573" s="117">
        <v>2</v>
      </c>
      <c r="M573" s="111" t="s">
        <v>40</v>
      </c>
      <c r="N573" s="108" t="s">
        <v>10265</v>
      </c>
      <c r="O573" s="110">
        <v>3</v>
      </c>
      <c r="P573" s="111" t="s">
        <v>46</v>
      </c>
      <c r="Q573" s="108" t="s">
        <v>1467</v>
      </c>
      <c r="R573" s="116">
        <v>1</v>
      </c>
      <c r="S573" s="113"/>
      <c r="T573" s="108" t="s">
        <v>47</v>
      </c>
      <c r="U573" s="114"/>
      <c r="V573" s="113"/>
      <c r="W573" s="108" t="s">
        <v>47</v>
      </c>
      <c r="X573" s="114"/>
      <c r="Y573" s="113"/>
      <c r="Z573" s="108" t="s">
        <v>47</v>
      </c>
      <c r="AA573" s="114"/>
      <c r="AB573" s="113"/>
      <c r="AC573" s="105" t="s">
        <v>1468</v>
      </c>
      <c r="AD573" s="115" t="s">
        <v>107</v>
      </c>
    </row>
    <row r="574" spans="1:30" x14ac:dyDescent="0.2">
      <c r="A574" s="104" t="s">
        <v>1469</v>
      </c>
      <c r="B574" s="105" t="s">
        <v>805</v>
      </c>
      <c r="C574" s="105" t="s">
        <v>1458</v>
      </c>
      <c r="D574" s="106"/>
      <c r="E574" s="107"/>
      <c r="F574" s="108" t="s">
        <v>10268</v>
      </c>
      <c r="G574" s="118">
        <v>3</v>
      </c>
      <c r="H574" s="108" t="s">
        <v>10269</v>
      </c>
      <c r="I574" s="110">
        <v>3</v>
      </c>
      <c r="J574" s="111" t="s">
        <v>40</v>
      </c>
      <c r="K574" s="108" t="s">
        <v>10270</v>
      </c>
      <c r="L574" s="110">
        <v>3</v>
      </c>
      <c r="M574" s="113"/>
      <c r="N574" s="108" t="s">
        <v>10268</v>
      </c>
      <c r="O574" s="110">
        <v>3</v>
      </c>
      <c r="P574" s="113"/>
      <c r="Q574" s="108" t="s">
        <v>10271</v>
      </c>
      <c r="R574" s="117">
        <v>2</v>
      </c>
      <c r="S574" s="113"/>
      <c r="T574" s="108" t="s">
        <v>47</v>
      </c>
      <c r="U574" s="114"/>
      <c r="V574" s="113"/>
      <c r="W574" s="108" t="s">
        <v>47</v>
      </c>
      <c r="X574" s="114"/>
      <c r="Y574" s="113"/>
      <c r="Z574" s="108" t="s">
        <v>47</v>
      </c>
      <c r="AA574" s="114"/>
      <c r="AB574" s="113"/>
      <c r="AC574" s="105" t="s">
        <v>1470</v>
      </c>
      <c r="AD574" s="115" t="s">
        <v>107</v>
      </c>
    </row>
    <row r="575" spans="1:30" x14ac:dyDescent="0.2">
      <c r="A575" s="104" t="s">
        <v>10272</v>
      </c>
      <c r="B575" s="105" t="s">
        <v>805</v>
      </c>
      <c r="C575" s="105" t="s">
        <v>1458</v>
      </c>
      <c r="D575" s="106"/>
      <c r="E575" s="107"/>
      <c r="F575" s="108" t="s">
        <v>10273</v>
      </c>
      <c r="G575" s="118">
        <v>3</v>
      </c>
      <c r="H575" s="108" t="s">
        <v>10274</v>
      </c>
      <c r="I575" s="110">
        <v>3</v>
      </c>
      <c r="J575" s="111" t="s">
        <v>40</v>
      </c>
      <c r="K575" s="108" t="s">
        <v>10275</v>
      </c>
      <c r="L575" s="110">
        <v>3</v>
      </c>
      <c r="M575" s="113"/>
      <c r="N575" s="108" t="s">
        <v>10273</v>
      </c>
      <c r="O575" s="110">
        <v>3</v>
      </c>
      <c r="P575" s="111" t="s">
        <v>46</v>
      </c>
      <c r="Q575" s="108" t="s">
        <v>10276</v>
      </c>
      <c r="R575" s="117">
        <v>2</v>
      </c>
      <c r="S575" s="113"/>
      <c r="T575" s="108" t="s">
        <v>47</v>
      </c>
      <c r="U575" s="114"/>
      <c r="V575" s="113"/>
      <c r="W575" s="108" t="s">
        <v>47</v>
      </c>
      <c r="X575" s="114"/>
      <c r="Y575" s="113"/>
      <c r="Z575" s="108" t="s">
        <v>47</v>
      </c>
      <c r="AA575" s="114"/>
      <c r="AB575" s="113"/>
      <c r="AC575" s="105" t="s">
        <v>1471</v>
      </c>
      <c r="AD575" s="115" t="s">
        <v>107</v>
      </c>
    </row>
    <row r="576" spans="1:30" x14ac:dyDescent="0.2">
      <c r="A576" s="104" t="s">
        <v>1472</v>
      </c>
      <c r="B576" s="105" t="s">
        <v>805</v>
      </c>
      <c r="C576" s="105" t="s">
        <v>1454</v>
      </c>
      <c r="D576" s="106"/>
      <c r="E576" s="107"/>
      <c r="F576" s="108" t="s">
        <v>10277</v>
      </c>
      <c r="G576" s="118">
        <v>3</v>
      </c>
      <c r="H576" s="108" t="s">
        <v>10278</v>
      </c>
      <c r="I576" s="110">
        <v>3</v>
      </c>
      <c r="J576" s="111" t="s">
        <v>40</v>
      </c>
      <c r="K576" s="108" t="s">
        <v>10279</v>
      </c>
      <c r="L576" s="110">
        <v>3</v>
      </c>
      <c r="M576" s="113"/>
      <c r="N576" s="108" t="s">
        <v>10277</v>
      </c>
      <c r="O576" s="110">
        <v>3</v>
      </c>
      <c r="P576" s="113"/>
      <c r="Q576" s="108" t="s">
        <v>1473</v>
      </c>
      <c r="R576" s="117">
        <v>2</v>
      </c>
      <c r="S576" s="113"/>
      <c r="T576" s="108" t="s">
        <v>47</v>
      </c>
      <c r="U576" s="114"/>
      <c r="V576" s="113"/>
      <c r="W576" s="108" t="s">
        <v>47</v>
      </c>
      <c r="X576" s="114"/>
      <c r="Y576" s="113"/>
      <c r="Z576" s="108" t="s">
        <v>47</v>
      </c>
      <c r="AA576" s="114"/>
      <c r="AB576" s="113"/>
      <c r="AC576" s="105" t="s">
        <v>1474</v>
      </c>
      <c r="AD576" s="115" t="s">
        <v>107</v>
      </c>
    </row>
    <row r="577" spans="1:30" x14ac:dyDescent="0.2">
      <c r="A577" s="104" t="s">
        <v>1475</v>
      </c>
      <c r="B577" s="105" t="s">
        <v>805</v>
      </c>
      <c r="C577" s="105" t="s">
        <v>145</v>
      </c>
      <c r="D577" s="106"/>
      <c r="E577" s="107" t="s">
        <v>376</v>
      </c>
      <c r="F577" s="108" t="s">
        <v>10280</v>
      </c>
      <c r="G577" s="119">
        <v>1</v>
      </c>
      <c r="H577" s="108" t="s">
        <v>10281</v>
      </c>
      <c r="I577" s="116">
        <v>1</v>
      </c>
      <c r="J577" s="113"/>
      <c r="K577" s="108" t="s">
        <v>10282</v>
      </c>
      <c r="L577" s="116">
        <v>1</v>
      </c>
      <c r="M577" s="113"/>
      <c r="N577" s="108" t="s">
        <v>10280</v>
      </c>
      <c r="O577" s="116">
        <v>1</v>
      </c>
      <c r="P577" s="113"/>
      <c r="Q577" s="108" t="s">
        <v>10283</v>
      </c>
      <c r="R577" s="116">
        <v>1</v>
      </c>
      <c r="S577" s="113"/>
      <c r="T577" s="108" t="s">
        <v>47</v>
      </c>
      <c r="U577" s="114"/>
      <c r="V577" s="113"/>
      <c r="W577" s="108" t="s">
        <v>47</v>
      </c>
      <c r="X577" s="114"/>
      <c r="Y577" s="113"/>
      <c r="Z577" s="108" t="s">
        <v>47</v>
      </c>
      <c r="AA577" s="114"/>
      <c r="AB577" s="113"/>
      <c r="AC577" s="105" t="s">
        <v>1476</v>
      </c>
      <c r="AD577" s="115" t="s">
        <v>107</v>
      </c>
    </row>
    <row r="578" spans="1:30" x14ac:dyDescent="0.2">
      <c r="A578" s="104" t="s">
        <v>1477</v>
      </c>
      <c r="B578" s="105" t="s">
        <v>805</v>
      </c>
      <c r="C578" s="105" t="s">
        <v>145</v>
      </c>
      <c r="D578" s="106"/>
      <c r="E578" s="107" t="s">
        <v>376</v>
      </c>
      <c r="F578" s="108" t="s">
        <v>10284</v>
      </c>
      <c r="G578" s="119">
        <v>1</v>
      </c>
      <c r="H578" s="108" t="s">
        <v>10285</v>
      </c>
      <c r="I578" s="116">
        <v>1</v>
      </c>
      <c r="J578" s="113"/>
      <c r="K578" s="108" t="s">
        <v>10286</v>
      </c>
      <c r="L578" s="116">
        <v>1</v>
      </c>
      <c r="M578" s="113"/>
      <c r="N578" s="108" t="s">
        <v>10284</v>
      </c>
      <c r="O578" s="116">
        <v>1</v>
      </c>
      <c r="P578" s="113"/>
      <c r="Q578" s="108" t="s">
        <v>10287</v>
      </c>
      <c r="R578" s="116">
        <v>1</v>
      </c>
      <c r="S578" s="113"/>
      <c r="T578" s="108" t="s">
        <v>47</v>
      </c>
      <c r="U578" s="114"/>
      <c r="V578" s="113"/>
      <c r="W578" s="108" t="s">
        <v>47</v>
      </c>
      <c r="X578" s="114"/>
      <c r="Y578" s="113"/>
      <c r="Z578" s="108" t="s">
        <v>47</v>
      </c>
      <c r="AA578" s="114"/>
      <c r="AB578" s="113"/>
      <c r="AC578" s="105" t="s">
        <v>1478</v>
      </c>
      <c r="AD578" s="115" t="s">
        <v>107</v>
      </c>
    </row>
    <row r="579" spans="1:30" x14ac:dyDescent="0.2">
      <c r="A579" s="104" t="s">
        <v>1479</v>
      </c>
      <c r="B579" s="105" t="s">
        <v>805</v>
      </c>
      <c r="C579" s="105" t="s">
        <v>145</v>
      </c>
      <c r="D579" s="106"/>
      <c r="E579" s="107" t="s">
        <v>376</v>
      </c>
      <c r="F579" s="108" t="s">
        <v>10288</v>
      </c>
      <c r="G579" s="119">
        <v>1</v>
      </c>
      <c r="H579" s="108" t="s">
        <v>10289</v>
      </c>
      <c r="I579" s="116">
        <v>1</v>
      </c>
      <c r="J579" s="113"/>
      <c r="K579" s="108" t="s">
        <v>10290</v>
      </c>
      <c r="L579" s="116">
        <v>1</v>
      </c>
      <c r="M579" s="113"/>
      <c r="N579" s="108" t="s">
        <v>10288</v>
      </c>
      <c r="O579" s="116">
        <v>1</v>
      </c>
      <c r="P579" s="113"/>
      <c r="Q579" s="108" t="s">
        <v>10291</v>
      </c>
      <c r="R579" s="116">
        <v>1</v>
      </c>
      <c r="S579" s="113"/>
      <c r="T579" s="108" t="s">
        <v>47</v>
      </c>
      <c r="U579" s="114"/>
      <c r="V579" s="113"/>
      <c r="W579" s="108" t="s">
        <v>47</v>
      </c>
      <c r="X579" s="114"/>
      <c r="Y579" s="113"/>
      <c r="Z579" s="108" t="s">
        <v>47</v>
      </c>
      <c r="AA579" s="114"/>
      <c r="AB579" s="113"/>
      <c r="AC579" s="105" t="s">
        <v>1480</v>
      </c>
      <c r="AD579" s="115" t="s">
        <v>107</v>
      </c>
    </row>
    <row r="580" spans="1:30" x14ac:dyDescent="0.2">
      <c r="A580" s="104" t="s">
        <v>1481</v>
      </c>
      <c r="B580" s="105" t="s">
        <v>805</v>
      </c>
      <c r="C580" s="105" t="s">
        <v>145</v>
      </c>
      <c r="D580" s="106"/>
      <c r="E580" s="107" t="s">
        <v>376</v>
      </c>
      <c r="F580" s="108" t="s">
        <v>10292</v>
      </c>
      <c r="G580" s="119">
        <v>1</v>
      </c>
      <c r="H580" s="108" t="s">
        <v>10293</v>
      </c>
      <c r="I580" s="116">
        <v>1</v>
      </c>
      <c r="J580" s="113"/>
      <c r="K580" s="108" t="s">
        <v>10294</v>
      </c>
      <c r="L580" s="116">
        <v>1</v>
      </c>
      <c r="M580" s="113"/>
      <c r="N580" s="108" t="s">
        <v>10292</v>
      </c>
      <c r="O580" s="116">
        <v>1</v>
      </c>
      <c r="P580" s="113"/>
      <c r="Q580" s="108" t="s">
        <v>10295</v>
      </c>
      <c r="R580" s="116">
        <v>1</v>
      </c>
      <c r="S580" s="113"/>
      <c r="T580" s="108" t="s">
        <v>47</v>
      </c>
      <c r="U580" s="114"/>
      <c r="V580" s="113"/>
      <c r="W580" s="108" t="s">
        <v>47</v>
      </c>
      <c r="X580" s="114"/>
      <c r="Y580" s="113"/>
      <c r="Z580" s="108" t="s">
        <v>47</v>
      </c>
      <c r="AA580" s="114"/>
      <c r="AB580" s="113"/>
      <c r="AC580" s="105" t="s">
        <v>1482</v>
      </c>
      <c r="AD580" s="115" t="s">
        <v>107</v>
      </c>
    </row>
    <row r="581" spans="1:30" x14ac:dyDescent="0.2">
      <c r="A581" s="104" t="s">
        <v>1483</v>
      </c>
      <c r="B581" s="105" t="s">
        <v>805</v>
      </c>
      <c r="C581" s="105" t="s">
        <v>145</v>
      </c>
      <c r="D581" s="106"/>
      <c r="E581" s="107" t="s">
        <v>376</v>
      </c>
      <c r="F581" s="108" t="s">
        <v>10296</v>
      </c>
      <c r="G581" s="119">
        <v>1</v>
      </c>
      <c r="H581" s="108" t="s">
        <v>10297</v>
      </c>
      <c r="I581" s="116">
        <v>1</v>
      </c>
      <c r="J581" s="113"/>
      <c r="K581" s="108" t="s">
        <v>10298</v>
      </c>
      <c r="L581" s="116">
        <v>1</v>
      </c>
      <c r="M581" s="113"/>
      <c r="N581" s="108" t="s">
        <v>10296</v>
      </c>
      <c r="O581" s="116">
        <v>1</v>
      </c>
      <c r="P581" s="113"/>
      <c r="Q581" s="108" t="s">
        <v>10299</v>
      </c>
      <c r="R581" s="116">
        <v>1</v>
      </c>
      <c r="S581" s="113"/>
      <c r="T581" s="108" t="s">
        <v>47</v>
      </c>
      <c r="U581" s="114"/>
      <c r="V581" s="113"/>
      <c r="W581" s="108" t="s">
        <v>47</v>
      </c>
      <c r="X581" s="114"/>
      <c r="Y581" s="113"/>
      <c r="Z581" s="108" t="s">
        <v>47</v>
      </c>
      <c r="AA581" s="114"/>
      <c r="AB581" s="113"/>
      <c r="AC581" s="105" t="s">
        <v>1484</v>
      </c>
      <c r="AD581" s="115" t="s">
        <v>107</v>
      </c>
    </row>
    <row r="582" spans="1:30" x14ac:dyDescent="0.2">
      <c r="A582" s="104" t="s">
        <v>1485</v>
      </c>
      <c r="B582" s="105" t="s">
        <v>805</v>
      </c>
      <c r="C582" s="105" t="s">
        <v>145</v>
      </c>
      <c r="D582" s="106"/>
      <c r="E582" s="107" t="s">
        <v>376</v>
      </c>
      <c r="F582" s="108" t="s">
        <v>10300</v>
      </c>
      <c r="G582" s="119">
        <v>1</v>
      </c>
      <c r="H582" s="108" t="s">
        <v>10301</v>
      </c>
      <c r="I582" s="116">
        <v>1</v>
      </c>
      <c r="J582" s="113"/>
      <c r="K582" s="108" t="s">
        <v>10302</v>
      </c>
      <c r="L582" s="116">
        <v>1</v>
      </c>
      <c r="M582" s="113"/>
      <c r="N582" s="108" t="s">
        <v>10300</v>
      </c>
      <c r="O582" s="116">
        <v>1</v>
      </c>
      <c r="P582" s="113"/>
      <c r="Q582" s="108" t="s">
        <v>10303</v>
      </c>
      <c r="R582" s="116">
        <v>1</v>
      </c>
      <c r="S582" s="113"/>
      <c r="T582" s="108" t="s">
        <v>47</v>
      </c>
      <c r="U582" s="114"/>
      <c r="V582" s="113"/>
      <c r="W582" s="108" t="s">
        <v>47</v>
      </c>
      <c r="X582" s="114"/>
      <c r="Y582" s="113"/>
      <c r="Z582" s="108" t="s">
        <v>47</v>
      </c>
      <c r="AA582" s="114"/>
      <c r="AB582" s="113"/>
      <c r="AC582" s="105" t="s">
        <v>1486</v>
      </c>
      <c r="AD582" s="115" t="s">
        <v>107</v>
      </c>
    </row>
    <row r="583" spans="1:30" x14ac:dyDescent="0.2">
      <c r="A583" s="104" t="s">
        <v>1487</v>
      </c>
      <c r="B583" s="105" t="s">
        <v>805</v>
      </c>
      <c r="C583" s="105" t="s">
        <v>145</v>
      </c>
      <c r="D583" s="106"/>
      <c r="E583" s="107" t="s">
        <v>376</v>
      </c>
      <c r="F583" s="108" t="s">
        <v>10304</v>
      </c>
      <c r="G583" s="119">
        <v>1</v>
      </c>
      <c r="H583" s="108" t="s">
        <v>10305</v>
      </c>
      <c r="I583" s="116">
        <v>1</v>
      </c>
      <c r="J583" s="113"/>
      <c r="K583" s="108" t="s">
        <v>10306</v>
      </c>
      <c r="L583" s="116">
        <v>1</v>
      </c>
      <c r="M583" s="113"/>
      <c r="N583" s="108" t="s">
        <v>10304</v>
      </c>
      <c r="O583" s="116">
        <v>1</v>
      </c>
      <c r="P583" s="113"/>
      <c r="Q583" s="108" t="s">
        <v>10307</v>
      </c>
      <c r="R583" s="116">
        <v>1</v>
      </c>
      <c r="S583" s="113"/>
      <c r="T583" s="108" t="s">
        <v>47</v>
      </c>
      <c r="U583" s="114"/>
      <c r="V583" s="113"/>
      <c r="W583" s="108" t="s">
        <v>47</v>
      </c>
      <c r="X583" s="114"/>
      <c r="Y583" s="113"/>
      <c r="Z583" s="108" t="s">
        <v>47</v>
      </c>
      <c r="AA583" s="114"/>
      <c r="AB583" s="113"/>
      <c r="AC583" s="105" t="s">
        <v>1488</v>
      </c>
      <c r="AD583" s="115" t="s">
        <v>107</v>
      </c>
    </row>
    <row r="584" spans="1:30" x14ac:dyDescent="0.2">
      <c r="A584" s="104" t="s">
        <v>1489</v>
      </c>
      <c r="B584" s="105" t="s">
        <v>805</v>
      </c>
      <c r="C584" s="105" t="s">
        <v>1241</v>
      </c>
      <c r="D584" s="106" t="s">
        <v>94</v>
      </c>
      <c r="E584" s="107"/>
      <c r="F584" s="108" t="s">
        <v>10308</v>
      </c>
      <c r="G584" s="119">
        <v>1</v>
      </c>
      <c r="H584" s="108" t="s">
        <v>10309</v>
      </c>
      <c r="I584" s="116">
        <v>1</v>
      </c>
      <c r="J584" s="111" t="s">
        <v>40</v>
      </c>
      <c r="K584" s="108" t="s">
        <v>10310</v>
      </c>
      <c r="L584" s="116">
        <v>1</v>
      </c>
      <c r="M584" s="113"/>
      <c r="N584" s="108" t="s">
        <v>10308</v>
      </c>
      <c r="O584" s="116">
        <v>1</v>
      </c>
      <c r="P584" s="113"/>
      <c r="Q584" s="108" t="s">
        <v>10311</v>
      </c>
      <c r="R584" s="117">
        <v>2</v>
      </c>
      <c r="S584" s="111" t="s">
        <v>46</v>
      </c>
      <c r="T584" s="108" t="s">
        <v>10312</v>
      </c>
      <c r="U584" s="116">
        <v>1</v>
      </c>
      <c r="V584" s="113"/>
      <c r="W584" s="108" t="s">
        <v>10313</v>
      </c>
      <c r="X584" s="116">
        <v>1</v>
      </c>
      <c r="Y584" s="113"/>
      <c r="Z584" s="108" t="s">
        <v>10314</v>
      </c>
      <c r="AA584" s="116">
        <v>1</v>
      </c>
      <c r="AB584" s="113"/>
      <c r="AC584" s="105" t="s">
        <v>1490</v>
      </c>
      <c r="AD584" s="115" t="s">
        <v>107</v>
      </c>
    </row>
    <row r="585" spans="1:30" x14ac:dyDescent="0.2">
      <c r="A585" s="104" t="s">
        <v>1491</v>
      </c>
      <c r="B585" s="105" t="s">
        <v>805</v>
      </c>
      <c r="C585" s="105" t="s">
        <v>1492</v>
      </c>
      <c r="D585" s="106" t="s">
        <v>125</v>
      </c>
      <c r="E585" s="107"/>
      <c r="F585" s="108" t="s">
        <v>10315</v>
      </c>
      <c r="G585" s="109">
        <v>4</v>
      </c>
      <c r="H585" s="108" t="s">
        <v>10316</v>
      </c>
      <c r="I585" s="117">
        <v>2</v>
      </c>
      <c r="J585" s="111" t="s">
        <v>53</v>
      </c>
      <c r="K585" s="108" t="s">
        <v>10317</v>
      </c>
      <c r="L585" s="112">
        <v>4</v>
      </c>
      <c r="M585" s="113"/>
      <c r="N585" s="108" t="s">
        <v>10315</v>
      </c>
      <c r="O585" s="112">
        <v>4</v>
      </c>
      <c r="P585" s="113"/>
      <c r="Q585" s="108" t="s">
        <v>10318</v>
      </c>
      <c r="R585" s="110">
        <v>3</v>
      </c>
      <c r="S585" s="113"/>
      <c r="T585" s="108" t="s">
        <v>10319</v>
      </c>
      <c r="U585" s="110">
        <v>3</v>
      </c>
      <c r="V585" s="113"/>
      <c r="W585" s="108" t="s">
        <v>10320</v>
      </c>
      <c r="X585" s="110">
        <v>3</v>
      </c>
      <c r="Y585" s="111" t="s">
        <v>40</v>
      </c>
      <c r="Z585" s="108" t="s">
        <v>47</v>
      </c>
      <c r="AA585" s="114"/>
      <c r="AB585" s="113"/>
      <c r="AC585" s="105" t="s">
        <v>1493</v>
      </c>
      <c r="AD585" s="115" t="s">
        <v>107</v>
      </c>
    </row>
    <row r="586" spans="1:30" x14ac:dyDescent="0.2">
      <c r="A586" s="104" t="s">
        <v>1494</v>
      </c>
      <c r="B586" s="105" t="s">
        <v>805</v>
      </c>
      <c r="C586" s="105" t="s">
        <v>1492</v>
      </c>
      <c r="D586" s="106" t="s">
        <v>125</v>
      </c>
      <c r="E586" s="107"/>
      <c r="F586" s="108" t="s">
        <v>10321</v>
      </c>
      <c r="G586" s="109">
        <v>4</v>
      </c>
      <c r="H586" s="108" t="s">
        <v>10322</v>
      </c>
      <c r="I586" s="110">
        <v>3</v>
      </c>
      <c r="J586" s="111" t="s">
        <v>40</v>
      </c>
      <c r="K586" s="108" t="s">
        <v>10323</v>
      </c>
      <c r="L586" s="112">
        <v>4</v>
      </c>
      <c r="M586" s="113"/>
      <c r="N586" s="108" t="s">
        <v>10321</v>
      </c>
      <c r="O586" s="112">
        <v>4</v>
      </c>
      <c r="P586" s="113"/>
      <c r="Q586" s="108" t="s">
        <v>10324</v>
      </c>
      <c r="R586" s="110">
        <v>3</v>
      </c>
      <c r="S586" s="113"/>
      <c r="T586" s="108" t="s">
        <v>10325</v>
      </c>
      <c r="U586" s="110">
        <v>3</v>
      </c>
      <c r="V586" s="113"/>
      <c r="W586" s="108" t="s">
        <v>10326</v>
      </c>
      <c r="X586" s="110">
        <v>3</v>
      </c>
      <c r="Y586" s="111" t="s">
        <v>40</v>
      </c>
      <c r="Z586" s="108" t="s">
        <v>47</v>
      </c>
      <c r="AA586" s="114"/>
      <c r="AB586" s="113"/>
      <c r="AC586" s="105" t="s">
        <v>1495</v>
      </c>
      <c r="AD586" s="115" t="s">
        <v>107</v>
      </c>
    </row>
    <row r="587" spans="1:30" x14ac:dyDescent="0.2">
      <c r="A587" s="104" t="s">
        <v>1496</v>
      </c>
      <c r="B587" s="105" t="s">
        <v>805</v>
      </c>
      <c r="C587" s="105" t="s">
        <v>1492</v>
      </c>
      <c r="D587" s="106"/>
      <c r="E587" s="107"/>
      <c r="F587" s="108" t="s">
        <v>10327</v>
      </c>
      <c r="G587" s="109">
        <v>4</v>
      </c>
      <c r="H587" s="108" t="s">
        <v>10328</v>
      </c>
      <c r="I587" s="116">
        <v>1</v>
      </c>
      <c r="J587" s="111" t="s">
        <v>157</v>
      </c>
      <c r="K587" s="108" t="s">
        <v>10329</v>
      </c>
      <c r="L587" s="112">
        <v>4</v>
      </c>
      <c r="M587" s="113"/>
      <c r="N587" s="108" t="s">
        <v>10327</v>
      </c>
      <c r="O587" s="112">
        <v>4</v>
      </c>
      <c r="P587" s="113"/>
      <c r="Q587" s="108" t="s">
        <v>47</v>
      </c>
      <c r="R587" s="114"/>
      <c r="S587" s="113"/>
      <c r="T587" s="108" t="s">
        <v>47</v>
      </c>
      <c r="U587" s="114"/>
      <c r="V587" s="113"/>
      <c r="W587" s="108" t="s">
        <v>47</v>
      </c>
      <c r="X587" s="114"/>
      <c r="Y587" s="113"/>
      <c r="Z587" s="108" t="s">
        <v>47</v>
      </c>
      <c r="AA587" s="114"/>
      <c r="AB587" s="113"/>
      <c r="AC587" s="105" t="s">
        <v>1497</v>
      </c>
      <c r="AD587" s="115" t="s">
        <v>107</v>
      </c>
    </row>
    <row r="588" spans="1:30" x14ac:dyDescent="0.2">
      <c r="A588" s="104" t="s">
        <v>10330</v>
      </c>
      <c r="B588" s="105" t="s">
        <v>805</v>
      </c>
      <c r="C588" s="105" t="s">
        <v>1492</v>
      </c>
      <c r="D588" s="106"/>
      <c r="E588" s="107"/>
      <c r="F588" s="108" t="s">
        <v>10331</v>
      </c>
      <c r="G588" s="109">
        <v>4</v>
      </c>
      <c r="H588" s="108" t="s">
        <v>10332</v>
      </c>
      <c r="I588" s="117">
        <v>2</v>
      </c>
      <c r="J588" s="111" t="s">
        <v>53</v>
      </c>
      <c r="K588" s="108" t="s">
        <v>10333</v>
      </c>
      <c r="L588" s="112">
        <v>4</v>
      </c>
      <c r="M588" s="113"/>
      <c r="N588" s="108" t="s">
        <v>10331</v>
      </c>
      <c r="O588" s="112">
        <v>4</v>
      </c>
      <c r="P588" s="113"/>
      <c r="Q588" s="108" t="s">
        <v>47</v>
      </c>
      <c r="R588" s="114"/>
      <c r="S588" s="113"/>
      <c r="T588" s="108" t="s">
        <v>47</v>
      </c>
      <c r="U588" s="114"/>
      <c r="V588" s="113"/>
      <c r="W588" s="108" t="s">
        <v>47</v>
      </c>
      <c r="X588" s="114"/>
      <c r="Y588" s="113"/>
      <c r="Z588" s="108" t="s">
        <v>47</v>
      </c>
      <c r="AA588" s="114"/>
      <c r="AB588" s="113"/>
      <c r="AC588" s="105" t="s">
        <v>1498</v>
      </c>
      <c r="AD588" s="115" t="s">
        <v>107</v>
      </c>
    </row>
    <row r="589" spans="1:30" x14ac:dyDescent="0.2">
      <c r="A589" s="104" t="s">
        <v>1499</v>
      </c>
      <c r="B589" s="105" t="s">
        <v>805</v>
      </c>
      <c r="C589" s="105" t="s">
        <v>1500</v>
      </c>
      <c r="D589" s="106"/>
      <c r="E589" s="107"/>
      <c r="F589" s="108" t="s">
        <v>1501</v>
      </c>
      <c r="G589" s="109">
        <v>4</v>
      </c>
      <c r="H589" s="108" t="s">
        <v>1502</v>
      </c>
      <c r="I589" s="117">
        <v>2</v>
      </c>
      <c r="J589" s="111" t="s">
        <v>53</v>
      </c>
      <c r="K589" s="108" t="s">
        <v>10334</v>
      </c>
      <c r="L589" s="112">
        <v>4</v>
      </c>
      <c r="M589" s="113"/>
      <c r="N589" s="108" t="s">
        <v>1501</v>
      </c>
      <c r="O589" s="112">
        <v>4</v>
      </c>
      <c r="P589" s="113"/>
      <c r="Q589" s="108" t="s">
        <v>1503</v>
      </c>
      <c r="R589" s="110">
        <v>3</v>
      </c>
      <c r="S589" s="113"/>
      <c r="T589" s="108" t="s">
        <v>47</v>
      </c>
      <c r="U589" s="114"/>
      <c r="V589" s="113"/>
      <c r="W589" s="108" t="s">
        <v>47</v>
      </c>
      <c r="X589" s="114"/>
      <c r="Y589" s="113"/>
      <c r="Z589" s="108" t="s">
        <v>47</v>
      </c>
      <c r="AA589" s="114"/>
      <c r="AB589" s="113"/>
      <c r="AC589" s="105" t="s">
        <v>1504</v>
      </c>
      <c r="AD589" s="115" t="s">
        <v>107</v>
      </c>
    </row>
    <row r="590" spans="1:30" x14ac:dyDescent="0.2">
      <c r="A590" s="104" t="s">
        <v>1505</v>
      </c>
      <c r="B590" s="105" t="s">
        <v>805</v>
      </c>
      <c r="C590" s="105" t="s">
        <v>1492</v>
      </c>
      <c r="D590" s="106" t="s">
        <v>105</v>
      </c>
      <c r="E590" s="107"/>
      <c r="F590" s="108" t="s">
        <v>10335</v>
      </c>
      <c r="G590" s="109">
        <v>4</v>
      </c>
      <c r="H590" s="108" t="s">
        <v>10336</v>
      </c>
      <c r="I590" s="110">
        <v>3</v>
      </c>
      <c r="J590" s="111" t="s">
        <v>40</v>
      </c>
      <c r="K590" s="108" t="s">
        <v>10337</v>
      </c>
      <c r="L590" s="112">
        <v>4</v>
      </c>
      <c r="M590" s="113"/>
      <c r="N590" s="108" t="s">
        <v>10335</v>
      </c>
      <c r="O590" s="112">
        <v>4</v>
      </c>
      <c r="P590" s="113"/>
      <c r="Q590" s="108" t="s">
        <v>1506</v>
      </c>
      <c r="R590" s="110">
        <v>3</v>
      </c>
      <c r="S590" s="113"/>
      <c r="T590" s="108" t="s">
        <v>1507</v>
      </c>
      <c r="U590" s="110">
        <v>3</v>
      </c>
      <c r="V590" s="113"/>
      <c r="W590" s="108" t="s">
        <v>10338</v>
      </c>
      <c r="X590" s="112">
        <v>4</v>
      </c>
      <c r="Y590" s="113"/>
      <c r="Z590" s="108" t="s">
        <v>47</v>
      </c>
      <c r="AA590" s="114"/>
      <c r="AB590" s="113"/>
      <c r="AC590" s="105" t="s">
        <v>1508</v>
      </c>
      <c r="AD590" s="115" t="s">
        <v>107</v>
      </c>
    </row>
    <row r="591" spans="1:30" x14ac:dyDescent="0.2">
      <c r="A591" s="104" t="s">
        <v>10339</v>
      </c>
      <c r="B591" s="105" t="s">
        <v>805</v>
      </c>
      <c r="C591" s="105" t="s">
        <v>1492</v>
      </c>
      <c r="D591" s="106"/>
      <c r="E591" s="107"/>
      <c r="F591" s="108" t="s">
        <v>10340</v>
      </c>
      <c r="G591" s="109">
        <v>4</v>
      </c>
      <c r="H591" s="108" t="s">
        <v>10341</v>
      </c>
      <c r="I591" s="117">
        <v>2</v>
      </c>
      <c r="J591" s="111" t="s">
        <v>53</v>
      </c>
      <c r="K591" s="108" t="s">
        <v>10342</v>
      </c>
      <c r="L591" s="112">
        <v>4</v>
      </c>
      <c r="M591" s="113"/>
      <c r="N591" s="108" t="s">
        <v>10340</v>
      </c>
      <c r="O591" s="112">
        <v>4</v>
      </c>
      <c r="P591" s="113"/>
      <c r="Q591" s="108" t="s">
        <v>1509</v>
      </c>
      <c r="R591" s="116">
        <v>1</v>
      </c>
      <c r="S591" s="111" t="s">
        <v>40</v>
      </c>
      <c r="T591" s="108" t="s">
        <v>47</v>
      </c>
      <c r="U591" s="114"/>
      <c r="V591" s="113"/>
      <c r="W591" s="108" t="s">
        <v>47</v>
      </c>
      <c r="X591" s="114"/>
      <c r="Y591" s="113"/>
      <c r="Z591" s="108" t="s">
        <v>47</v>
      </c>
      <c r="AA591" s="114"/>
      <c r="AB591" s="113"/>
      <c r="AC591" s="105" t="s">
        <v>10343</v>
      </c>
      <c r="AD591" s="115" t="s">
        <v>107</v>
      </c>
    </row>
    <row r="592" spans="1:30" x14ac:dyDescent="0.2">
      <c r="A592" s="104" t="s">
        <v>10344</v>
      </c>
      <c r="B592" s="105" t="s">
        <v>805</v>
      </c>
      <c r="C592" s="105" t="s">
        <v>10345</v>
      </c>
      <c r="D592" s="106"/>
      <c r="E592" s="107"/>
      <c r="F592" s="108" t="s">
        <v>10346</v>
      </c>
      <c r="G592" s="109">
        <v>4</v>
      </c>
      <c r="H592" s="108" t="s">
        <v>10347</v>
      </c>
      <c r="I592" s="117">
        <v>2</v>
      </c>
      <c r="J592" s="111" t="s">
        <v>53</v>
      </c>
      <c r="K592" s="108" t="s">
        <v>10348</v>
      </c>
      <c r="L592" s="112">
        <v>4</v>
      </c>
      <c r="M592" s="113"/>
      <c r="N592" s="108" t="s">
        <v>10346</v>
      </c>
      <c r="O592" s="112">
        <v>4</v>
      </c>
      <c r="P592" s="113"/>
      <c r="Q592" s="108" t="s">
        <v>1510</v>
      </c>
      <c r="R592" s="116">
        <v>1</v>
      </c>
      <c r="S592" s="111" t="s">
        <v>53</v>
      </c>
      <c r="T592" s="108" t="s">
        <v>47</v>
      </c>
      <c r="U592" s="114"/>
      <c r="V592" s="113"/>
      <c r="W592" s="108" t="s">
        <v>47</v>
      </c>
      <c r="X592" s="114"/>
      <c r="Y592" s="113"/>
      <c r="Z592" s="108" t="s">
        <v>47</v>
      </c>
      <c r="AA592" s="114"/>
      <c r="AB592" s="113"/>
      <c r="AC592" s="105" t="s">
        <v>10349</v>
      </c>
      <c r="AD592" s="115" t="s">
        <v>107</v>
      </c>
    </row>
    <row r="593" spans="1:30" x14ac:dyDescent="0.2">
      <c r="A593" s="104" t="s">
        <v>10350</v>
      </c>
      <c r="B593" s="105" t="s">
        <v>805</v>
      </c>
      <c r="C593" s="105" t="s">
        <v>1500</v>
      </c>
      <c r="D593" s="106"/>
      <c r="E593" s="107"/>
      <c r="F593" s="108" t="s">
        <v>10351</v>
      </c>
      <c r="G593" s="109">
        <v>4</v>
      </c>
      <c r="H593" s="108" t="s">
        <v>10352</v>
      </c>
      <c r="I593" s="117">
        <v>2</v>
      </c>
      <c r="J593" s="111" t="s">
        <v>53</v>
      </c>
      <c r="K593" s="108" t="s">
        <v>10353</v>
      </c>
      <c r="L593" s="112">
        <v>4</v>
      </c>
      <c r="M593" s="113"/>
      <c r="N593" s="108" t="s">
        <v>10351</v>
      </c>
      <c r="O593" s="112">
        <v>4</v>
      </c>
      <c r="P593" s="113"/>
      <c r="Q593" s="108" t="s">
        <v>1511</v>
      </c>
      <c r="R593" s="116">
        <v>1</v>
      </c>
      <c r="S593" s="111" t="s">
        <v>53</v>
      </c>
      <c r="T593" s="108" t="s">
        <v>47</v>
      </c>
      <c r="U593" s="114"/>
      <c r="V593" s="113"/>
      <c r="W593" s="108" t="s">
        <v>47</v>
      </c>
      <c r="X593" s="114"/>
      <c r="Y593" s="113"/>
      <c r="Z593" s="108" t="s">
        <v>47</v>
      </c>
      <c r="AA593" s="114"/>
      <c r="AB593" s="113"/>
      <c r="AC593" s="105" t="s">
        <v>10354</v>
      </c>
      <c r="AD593" s="115" t="s">
        <v>107</v>
      </c>
    </row>
    <row r="594" spans="1:30" x14ac:dyDescent="0.2">
      <c r="A594" s="104" t="s">
        <v>1512</v>
      </c>
      <c r="B594" s="105" t="s">
        <v>805</v>
      </c>
      <c r="C594" s="105" t="s">
        <v>1492</v>
      </c>
      <c r="D594" s="106" t="s">
        <v>125</v>
      </c>
      <c r="E594" s="107"/>
      <c r="F594" s="108" t="s">
        <v>10355</v>
      </c>
      <c r="G594" s="109">
        <v>4</v>
      </c>
      <c r="H594" s="108" t="s">
        <v>10356</v>
      </c>
      <c r="I594" s="117">
        <v>2</v>
      </c>
      <c r="J594" s="111" t="s">
        <v>53</v>
      </c>
      <c r="K594" s="108" t="s">
        <v>10357</v>
      </c>
      <c r="L594" s="112">
        <v>4</v>
      </c>
      <c r="M594" s="113"/>
      <c r="N594" s="108" t="s">
        <v>10355</v>
      </c>
      <c r="O594" s="112">
        <v>4</v>
      </c>
      <c r="P594" s="113"/>
      <c r="Q594" s="108" t="s">
        <v>1513</v>
      </c>
      <c r="R594" s="117">
        <v>2</v>
      </c>
      <c r="S594" s="111" t="s">
        <v>40</v>
      </c>
      <c r="T594" s="108" t="s">
        <v>10358</v>
      </c>
      <c r="U594" s="110">
        <v>3</v>
      </c>
      <c r="V594" s="113"/>
      <c r="W594" s="108" t="s">
        <v>10359</v>
      </c>
      <c r="X594" s="117">
        <v>2</v>
      </c>
      <c r="Y594" s="111" t="s">
        <v>40</v>
      </c>
      <c r="Z594" s="108" t="s">
        <v>47</v>
      </c>
      <c r="AA594" s="114"/>
      <c r="AB594" s="113"/>
      <c r="AC594" s="105" t="s">
        <v>1514</v>
      </c>
      <c r="AD594" s="115" t="s">
        <v>107</v>
      </c>
    </row>
    <row r="595" spans="1:30" x14ac:dyDescent="0.2">
      <c r="A595" s="104" t="s">
        <v>1515</v>
      </c>
      <c r="B595" s="105" t="s">
        <v>805</v>
      </c>
      <c r="C595" s="105" t="s">
        <v>1492</v>
      </c>
      <c r="D595" s="106"/>
      <c r="E595" s="107"/>
      <c r="F595" s="108" t="s">
        <v>10360</v>
      </c>
      <c r="G595" s="109">
        <v>4</v>
      </c>
      <c r="H595" s="108" t="s">
        <v>10361</v>
      </c>
      <c r="I595" s="117">
        <v>2</v>
      </c>
      <c r="J595" s="111" t="s">
        <v>53</v>
      </c>
      <c r="K595" s="108" t="s">
        <v>1516</v>
      </c>
      <c r="L595" s="112">
        <v>4</v>
      </c>
      <c r="M595" s="113"/>
      <c r="N595" s="108" t="s">
        <v>10360</v>
      </c>
      <c r="O595" s="112">
        <v>4</v>
      </c>
      <c r="P595" s="113"/>
      <c r="Q595" s="108" t="s">
        <v>47</v>
      </c>
      <c r="R595" s="114"/>
      <c r="S595" s="113"/>
      <c r="T595" s="108" t="s">
        <v>47</v>
      </c>
      <c r="U595" s="114"/>
      <c r="V595" s="113"/>
      <c r="W595" s="108" t="s">
        <v>47</v>
      </c>
      <c r="X595" s="114"/>
      <c r="Y595" s="113"/>
      <c r="Z595" s="108" t="s">
        <v>47</v>
      </c>
      <c r="AA595" s="114"/>
      <c r="AB595" s="113"/>
      <c r="AC595" s="105" t="s">
        <v>1517</v>
      </c>
      <c r="AD595" s="115" t="s">
        <v>107</v>
      </c>
    </row>
    <row r="596" spans="1:30" x14ac:dyDescent="0.2">
      <c r="A596" s="104" t="s">
        <v>1518</v>
      </c>
      <c r="B596" s="105" t="s">
        <v>805</v>
      </c>
      <c r="C596" s="105" t="s">
        <v>1500</v>
      </c>
      <c r="D596" s="106"/>
      <c r="E596" s="107"/>
      <c r="F596" s="108" t="s">
        <v>10362</v>
      </c>
      <c r="G596" s="109">
        <v>4</v>
      </c>
      <c r="H596" s="108" t="s">
        <v>10363</v>
      </c>
      <c r="I596" s="117">
        <v>2</v>
      </c>
      <c r="J596" s="111" t="s">
        <v>53</v>
      </c>
      <c r="K596" s="108" t="s">
        <v>10364</v>
      </c>
      <c r="L596" s="112">
        <v>4</v>
      </c>
      <c r="M596" s="113"/>
      <c r="N596" s="108" t="s">
        <v>10362</v>
      </c>
      <c r="O596" s="112">
        <v>4</v>
      </c>
      <c r="P596" s="113"/>
      <c r="Q596" s="108" t="s">
        <v>10365</v>
      </c>
      <c r="R596" s="110">
        <v>3</v>
      </c>
      <c r="S596" s="113"/>
      <c r="T596" s="108" t="s">
        <v>47</v>
      </c>
      <c r="U596" s="114"/>
      <c r="V596" s="113"/>
      <c r="W596" s="108" t="s">
        <v>47</v>
      </c>
      <c r="X596" s="114"/>
      <c r="Y596" s="113"/>
      <c r="Z596" s="108" t="s">
        <v>47</v>
      </c>
      <c r="AA596" s="114"/>
      <c r="AB596" s="113"/>
      <c r="AC596" s="105" t="s">
        <v>1519</v>
      </c>
      <c r="AD596" s="115" t="s">
        <v>107</v>
      </c>
    </row>
    <row r="597" spans="1:30" x14ac:dyDescent="0.2">
      <c r="A597" s="104" t="s">
        <v>1520</v>
      </c>
      <c r="B597" s="105" t="s">
        <v>805</v>
      </c>
      <c r="C597" s="105" t="s">
        <v>1492</v>
      </c>
      <c r="D597" s="106" t="s">
        <v>125</v>
      </c>
      <c r="E597" s="107"/>
      <c r="F597" s="108" t="s">
        <v>10366</v>
      </c>
      <c r="G597" s="109">
        <v>4</v>
      </c>
      <c r="H597" s="108" t="s">
        <v>10367</v>
      </c>
      <c r="I597" s="117">
        <v>2</v>
      </c>
      <c r="J597" s="111" t="s">
        <v>53</v>
      </c>
      <c r="K597" s="108" t="s">
        <v>10368</v>
      </c>
      <c r="L597" s="112">
        <v>4</v>
      </c>
      <c r="M597" s="113"/>
      <c r="N597" s="108" t="s">
        <v>10366</v>
      </c>
      <c r="O597" s="112">
        <v>4</v>
      </c>
      <c r="P597" s="113"/>
      <c r="Q597" s="108" t="s">
        <v>10369</v>
      </c>
      <c r="R597" s="117">
        <v>2</v>
      </c>
      <c r="S597" s="111" t="s">
        <v>40</v>
      </c>
      <c r="T597" s="108" t="s">
        <v>1521</v>
      </c>
      <c r="U597" s="110">
        <v>3</v>
      </c>
      <c r="V597" s="113"/>
      <c r="W597" s="108" t="s">
        <v>1522</v>
      </c>
      <c r="X597" s="110">
        <v>3</v>
      </c>
      <c r="Y597" s="113"/>
      <c r="Z597" s="108" t="s">
        <v>47</v>
      </c>
      <c r="AA597" s="114"/>
      <c r="AB597" s="113"/>
      <c r="AC597" s="105" t="s">
        <v>1523</v>
      </c>
      <c r="AD597" s="115" t="s">
        <v>107</v>
      </c>
    </row>
    <row r="598" spans="1:30" x14ac:dyDescent="0.2">
      <c r="A598" s="104" t="s">
        <v>10370</v>
      </c>
      <c r="B598" s="105" t="s">
        <v>805</v>
      </c>
      <c r="C598" s="105" t="s">
        <v>1492</v>
      </c>
      <c r="D598" s="106" t="s">
        <v>125</v>
      </c>
      <c r="E598" s="107"/>
      <c r="F598" s="108" t="s">
        <v>10371</v>
      </c>
      <c r="G598" s="109">
        <v>4</v>
      </c>
      <c r="H598" s="108" t="s">
        <v>10372</v>
      </c>
      <c r="I598" s="117">
        <v>2</v>
      </c>
      <c r="J598" s="111" t="s">
        <v>53</v>
      </c>
      <c r="K598" s="108" t="s">
        <v>10373</v>
      </c>
      <c r="L598" s="112">
        <v>4</v>
      </c>
      <c r="M598" s="113"/>
      <c r="N598" s="108" t="s">
        <v>10371</v>
      </c>
      <c r="O598" s="112">
        <v>4</v>
      </c>
      <c r="P598" s="113"/>
      <c r="Q598" s="108" t="s">
        <v>1524</v>
      </c>
      <c r="R598" s="116">
        <v>1</v>
      </c>
      <c r="S598" s="111" t="s">
        <v>40</v>
      </c>
      <c r="T598" s="108" t="s">
        <v>10374</v>
      </c>
      <c r="U598" s="117">
        <v>2</v>
      </c>
      <c r="V598" s="113"/>
      <c r="W598" s="108" t="s">
        <v>47</v>
      </c>
      <c r="X598" s="114"/>
      <c r="Y598" s="113"/>
      <c r="Z598" s="108" t="s">
        <v>47</v>
      </c>
      <c r="AA598" s="114"/>
      <c r="AB598" s="113"/>
      <c r="AC598" s="105" t="s">
        <v>10375</v>
      </c>
      <c r="AD598" s="115" t="s">
        <v>107</v>
      </c>
    </row>
    <row r="599" spans="1:30" x14ac:dyDescent="0.2">
      <c r="A599" s="104" t="s">
        <v>10376</v>
      </c>
      <c r="B599" s="105" t="s">
        <v>805</v>
      </c>
      <c r="C599" s="105" t="s">
        <v>1492</v>
      </c>
      <c r="D599" s="106"/>
      <c r="E599" s="107"/>
      <c r="F599" s="108" t="s">
        <v>10377</v>
      </c>
      <c r="G599" s="109">
        <v>4</v>
      </c>
      <c r="H599" s="108" t="s">
        <v>10378</v>
      </c>
      <c r="I599" s="116">
        <v>1</v>
      </c>
      <c r="J599" s="111" t="s">
        <v>157</v>
      </c>
      <c r="K599" s="108" t="s">
        <v>10379</v>
      </c>
      <c r="L599" s="112">
        <v>4</v>
      </c>
      <c r="M599" s="113"/>
      <c r="N599" s="108" t="s">
        <v>10377</v>
      </c>
      <c r="O599" s="112">
        <v>4</v>
      </c>
      <c r="P599" s="113"/>
      <c r="Q599" s="108" t="s">
        <v>10380</v>
      </c>
      <c r="R599" s="116">
        <v>1</v>
      </c>
      <c r="S599" s="111" t="s">
        <v>157</v>
      </c>
      <c r="T599" s="108" t="s">
        <v>47</v>
      </c>
      <c r="U599" s="114"/>
      <c r="V599" s="113"/>
      <c r="W599" s="108" t="s">
        <v>47</v>
      </c>
      <c r="X599" s="114"/>
      <c r="Y599" s="113"/>
      <c r="Z599" s="108" t="s">
        <v>47</v>
      </c>
      <c r="AA599" s="114"/>
      <c r="AB599" s="113"/>
      <c r="AC599" s="105" t="s">
        <v>10381</v>
      </c>
      <c r="AD599" s="115" t="s">
        <v>107</v>
      </c>
    </row>
    <row r="600" spans="1:30" x14ac:dyDescent="0.2">
      <c r="A600" s="104" t="s">
        <v>1525</v>
      </c>
      <c r="B600" s="105" t="s">
        <v>805</v>
      </c>
      <c r="C600" s="105" t="s">
        <v>1492</v>
      </c>
      <c r="D600" s="106" t="s">
        <v>125</v>
      </c>
      <c r="E600" s="107"/>
      <c r="F600" s="108" t="s">
        <v>10382</v>
      </c>
      <c r="G600" s="109">
        <v>4</v>
      </c>
      <c r="H600" s="108" t="s">
        <v>10383</v>
      </c>
      <c r="I600" s="117">
        <v>2</v>
      </c>
      <c r="J600" s="111" t="s">
        <v>53</v>
      </c>
      <c r="K600" s="108" t="s">
        <v>1526</v>
      </c>
      <c r="L600" s="112">
        <v>4</v>
      </c>
      <c r="M600" s="113"/>
      <c r="N600" s="108" t="s">
        <v>10382</v>
      </c>
      <c r="O600" s="112">
        <v>4</v>
      </c>
      <c r="P600" s="113"/>
      <c r="Q600" s="108" t="s">
        <v>10384</v>
      </c>
      <c r="R600" s="117">
        <v>2</v>
      </c>
      <c r="S600" s="111" t="s">
        <v>40</v>
      </c>
      <c r="T600" s="108" t="s">
        <v>10385</v>
      </c>
      <c r="U600" s="110">
        <v>3</v>
      </c>
      <c r="V600" s="113"/>
      <c r="W600" s="108" t="s">
        <v>1527</v>
      </c>
      <c r="X600" s="110">
        <v>3</v>
      </c>
      <c r="Y600" s="113"/>
      <c r="Z600" s="108" t="s">
        <v>47</v>
      </c>
      <c r="AA600" s="114"/>
      <c r="AB600" s="113"/>
      <c r="AC600" s="105" t="s">
        <v>1528</v>
      </c>
      <c r="AD600" s="115" t="s">
        <v>107</v>
      </c>
    </row>
    <row r="601" spans="1:30" x14ac:dyDescent="0.2">
      <c r="A601" s="104" t="s">
        <v>1529</v>
      </c>
      <c r="B601" s="105" t="s">
        <v>805</v>
      </c>
      <c r="C601" s="105" t="s">
        <v>1492</v>
      </c>
      <c r="D601" s="106" t="s">
        <v>125</v>
      </c>
      <c r="E601" s="107"/>
      <c r="F601" s="108" t="s">
        <v>10386</v>
      </c>
      <c r="G601" s="109">
        <v>4</v>
      </c>
      <c r="H601" s="108" t="s">
        <v>10387</v>
      </c>
      <c r="I601" s="117">
        <v>2</v>
      </c>
      <c r="J601" s="111" t="s">
        <v>53</v>
      </c>
      <c r="K601" s="108" t="s">
        <v>1530</v>
      </c>
      <c r="L601" s="112">
        <v>4</v>
      </c>
      <c r="M601" s="113"/>
      <c r="N601" s="108" t="s">
        <v>10386</v>
      </c>
      <c r="O601" s="112">
        <v>4</v>
      </c>
      <c r="P601" s="113"/>
      <c r="Q601" s="108" t="s">
        <v>10388</v>
      </c>
      <c r="R601" s="117">
        <v>2</v>
      </c>
      <c r="S601" s="111" t="s">
        <v>40</v>
      </c>
      <c r="T601" s="108" t="s">
        <v>10389</v>
      </c>
      <c r="U601" s="110">
        <v>3</v>
      </c>
      <c r="V601" s="113"/>
      <c r="W601" s="108" t="s">
        <v>10390</v>
      </c>
      <c r="X601" s="110">
        <v>3</v>
      </c>
      <c r="Y601" s="113"/>
      <c r="Z601" s="108" t="s">
        <v>47</v>
      </c>
      <c r="AA601" s="114"/>
      <c r="AB601" s="113"/>
      <c r="AC601" s="105" t="s">
        <v>1531</v>
      </c>
      <c r="AD601" s="115" t="s">
        <v>107</v>
      </c>
    </row>
    <row r="602" spans="1:30" x14ac:dyDescent="0.2">
      <c r="A602" s="104" t="s">
        <v>1532</v>
      </c>
      <c r="B602" s="105" t="s">
        <v>805</v>
      </c>
      <c r="C602" s="105" t="s">
        <v>1492</v>
      </c>
      <c r="D602" s="106" t="s">
        <v>105</v>
      </c>
      <c r="E602" s="107"/>
      <c r="F602" s="108" t="s">
        <v>10391</v>
      </c>
      <c r="G602" s="109">
        <v>4</v>
      </c>
      <c r="H602" s="108" t="s">
        <v>10392</v>
      </c>
      <c r="I602" s="110">
        <v>3</v>
      </c>
      <c r="J602" s="111" t="s">
        <v>40</v>
      </c>
      <c r="K602" s="108" t="s">
        <v>10393</v>
      </c>
      <c r="L602" s="112">
        <v>4</v>
      </c>
      <c r="M602" s="113"/>
      <c r="N602" s="108" t="s">
        <v>10391</v>
      </c>
      <c r="O602" s="112">
        <v>4</v>
      </c>
      <c r="P602" s="113"/>
      <c r="Q602" s="108" t="s">
        <v>10394</v>
      </c>
      <c r="R602" s="110">
        <v>3</v>
      </c>
      <c r="S602" s="113"/>
      <c r="T602" s="108" t="s">
        <v>10395</v>
      </c>
      <c r="U602" s="110">
        <v>3</v>
      </c>
      <c r="V602" s="113"/>
      <c r="W602" s="108" t="s">
        <v>10396</v>
      </c>
      <c r="X602" s="112">
        <v>4</v>
      </c>
      <c r="Y602" s="113"/>
      <c r="Z602" s="108" t="s">
        <v>47</v>
      </c>
      <c r="AA602" s="114"/>
      <c r="AB602" s="113"/>
      <c r="AC602" s="105" t="s">
        <v>1533</v>
      </c>
      <c r="AD602" s="115" t="s">
        <v>107</v>
      </c>
    </row>
    <row r="603" spans="1:30" x14ac:dyDescent="0.2">
      <c r="A603" s="104" t="s">
        <v>1534</v>
      </c>
      <c r="B603" s="105" t="s">
        <v>805</v>
      </c>
      <c r="C603" s="105" t="s">
        <v>1500</v>
      </c>
      <c r="D603" s="106" t="s">
        <v>105</v>
      </c>
      <c r="E603" s="107"/>
      <c r="F603" s="108" t="s">
        <v>10397</v>
      </c>
      <c r="G603" s="109">
        <v>4</v>
      </c>
      <c r="H603" s="108" t="s">
        <v>10398</v>
      </c>
      <c r="I603" s="117">
        <v>2</v>
      </c>
      <c r="J603" s="111" t="s">
        <v>53</v>
      </c>
      <c r="K603" s="108" t="s">
        <v>10399</v>
      </c>
      <c r="L603" s="112">
        <v>4</v>
      </c>
      <c r="M603" s="113"/>
      <c r="N603" s="108" t="s">
        <v>10397</v>
      </c>
      <c r="O603" s="112">
        <v>4</v>
      </c>
      <c r="P603" s="113"/>
      <c r="Q603" s="108" t="s">
        <v>1535</v>
      </c>
      <c r="R603" s="112">
        <v>4</v>
      </c>
      <c r="S603" s="111" t="s">
        <v>46</v>
      </c>
      <c r="T603" s="108" t="s">
        <v>1536</v>
      </c>
      <c r="U603" s="110">
        <v>3</v>
      </c>
      <c r="V603" s="113"/>
      <c r="W603" s="108" t="s">
        <v>47</v>
      </c>
      <c r="X603" s="114"/>
      <c r="Y603" s="113"/>
      <c r="Z603" s="108" t="s">
        <v>47</v>
      </c>
      <c r="AA603" s="114"/>
      <c r="AB603" s="113"/>
      <c r="AC603" s="105" t="s">
        <v>1537</v>
      </c>
      <c r="AD603" s="115" t="s">
        <v>107</v>
      </c>
    </row>
    <row r="604" spans="1:30" x14ac:dyDescent="0.2">
      <c r="A604" s="104" t="s">
        <v>1538</v>
      </c>
      <c r="B604" s="105" t="s">
        <v>805</v>
      </c>
      <c r="C604" s="105" t="s">
        <v>1241</v>
      </c>
      <c r="D604" s="106" t="s">
        <v>514</v>
      </c>
      <c r="E604" s="107"/>
      <c r="F604" s="108" t="s">
        <v>10400</v>
      </c>
      <c r="G604" s="119">
        <v>1</v>
      </c>
      <c r="H604" s="108" t="s">
        <v>10401</v>
      </c>
      <c r="I604" s="116">
        <v>1</v>
      </c>
      <c r="J604" s="111" t="s">
        <v>40</v>
      </c>
      <c r="K604" s="108" t="s">
        <v>10402</v>
      </c>
      <c r="L604" s="116">
        <v>1</v>
      </c>
      <c r="M604" s="113"/>
      <c r="N604" s="108" t="s">
        <v>10400</v>
      </c>
      <c r="O604" s="116">
        <v>1</v>
      </c>
      <c r="P604" s="113"/>
      <c r="Q604" s="108" t="s">
        <v>10403</v>
      </c>
      <c r="R604" s="117">
        <v>2</v>
      </c>
      <c r="S604" s="113"/>
      <c r="T604" s="108" t="s">
        <v>10404</v>
      </c>
      <c r="U604" s="116">
        <v>1</v>
      </c>
      <c r="V604" s="113"/>
      <c r="W604" s="108" t="s">
        <v>10405</v>
      </c>
      <c r="X604" s="116">
        <v>1</v>
      </c>
      <c r="Y604" s="113"/>
      <c r="Z604" s="108" t="s">
        <v>10406</v>
      </c>
      <c r="AA604" s="116">
        <v>1</v>
      </c>
      <c r="AB604" s="113"/>
      <c r="AC604" s="105" t="s">
        <v>1539</v>
      </c>
      <c r="AD604" s="115" t="s">
        <v>107</v>
      </c>
    </row>
    <row r="605" spans="1:30" x14ac:dyDescent="0.2">
      <c r="A605" s="104" t="s">
        <v>1540</v>
      </c>
      <c r="B605" s="105" t="s">
        <v>805</v>
      </c>
      <c r="C605" s="105" t="s">
        <v>1241</v>
      </c>
      <c r="D605" s="106"/>
      <c r="E605" s="107"/>
      <c r="F605" s="108" t="s">
        <v>47</v>
      </c>
      <c r="G605" s="113"/>
      <c r="H605" s="108" t="s">
        <v>47</v>
      </c>
      <c r="I605" s="114"/>
      <c r="J605" s="113"/>
      <c r="K605" s="108" t="s">
        <v>47</v>
      </c>
      <c r="L605" s="114"/>
      <c r="M605" s="113"/>
      <c r="N605" s="108" t="s">
        <v>47</v>
      </c>
      <c r="O605" s="114"/>
      <c r="P605" s="113"/>
      <c r="Q605" s="108" t="s">
        <v>47</v>
      </c>
      <c r="R605" s="114"/>
      <c r="S605" s="113"/>
      <c r="T605" s="108" t="s">
        <v>47</v>
      </c>
      <c r="U605" s="114"/>
      <c r="V605" s="113"/>
      <c r="W605" s="108" t="s">
        <v>47</v>
      </c>
      <c r="X605" s="114"/>
      <c r="Y605" s="113"/>
      <c r="Z605" s="108" t="s">
        <v>47</v>
      </c>
      <c r="AA605" s="114"/>
      <c r="AB605" s="113"/>
      <c r="AC605" s="105" t="s">
        <v>1541</v>
      </c>
      <c r="AD605" s="115" t="s">
        <v>107</v>
      </c>
    </row>
    <row r="606" spans="1:30" x14ac:dyDescent="0.2">
      <c r="A606" s="104" t="s">
        <v>1542</v>
      </c>
      <c r="B606" s="105" t="s">
        <v>805</v>
      </c>
      <c r="C606" s="105" t="s">
        <v>1449</v>
      </c>
      <c r="D606" s="106"/>
      <c r="E606" s="107"/>
      <c r="F606" s="108" t="s">
        <v>10407</v>
      </c>
      <c r="G606" s="119">
        <v>1</v>
      </c>
      <c r="H606" s="108" t="s">
        <v>10408</v>
      </c>
      <c r="I606" s="116">
        <v>1</v>
      </c>
      <c r="J606" s="113"/>
      <c r="K606" s="108" t="s">
        <v>10409</v>
      </c>
      <c r="L606" s="116">
        <v>1</v>
      </c>
      <c r="M606" s="113"/>
      <c r="N606" s="108" t="s">
        <v>10407</v>
      </c>
      <c r="O606" s="116">
        <v>1</v>
      </c>
      <c r="P606" s="113"/>
      <c r="Q606" s="108" t="s">
        <v>10410</v>
      </c>
      <c r="R606" s="110">
        <v>3</v>
      </c>
      <c r="S606" s="111" t="s">
        <v>46</v>
      </c>
      <c r="T606" s="108" t="s">
        <v>47</v>
      </c>
      <c r="U606" s="114"/>
      <c r="V606" s="113"/>
      <c r="W606" s="108" t="s">
        <v>47</v>
      </c>
      <c r="X606" s="114"/>
      <c r="Y606" s="113"/>
      <c r="Z606" s="108" t="s">
        <v>47</v>
      </c>
      <c r="AA606" s="114"/>
      <c r="AB606" s="113"/>
      <c r="AC606" s="105" t="s">
        <v>1543</v>
      </c>
      <c r="AD606" s="115" t="s">
        <v>107</v>
      </c>
    </row>
    <row r="607" spans="1:30" x14ac:dyDescent="0.2">
      <c r="A607" s="104" t="s">
        <v>1544</v>
      </c>
      <c r="B607" s="105" t="s">
        <v>805</v>
      </c>
      <c r="C607" s="105" t="s">
        <v>1241</v>
      </c>
      <c r="D607" s="106" t="s">
        <v>514</v>
      </c>
      <c r="E607" s="107"/>
      <c r="F607" s="108" t="s">
        <v>10411</v>
      </c>
      <c r="G607" s="119">
        <v>1</v>
      </c>
      <c r="H607" s="108" t="s">
        <v>10412</v>
      </c>
      <c r="I607" s="116">
        <v>1</v>
      </c>
      <c r="J607" s="111" t="s">
        <v>40</v>
      </c>
      <c r="K607" s="108" t="s">
        <v>10413</v>
      </c>
      <c r="L607" s="116">
        <v>1</v>
      </c>
      <c r="M607" s="113"/>
      <c r="N607" s="108" t="s">
        <v>10411</v>
      </c>
      <c r="O607" s="116">
        <v>1</v>
      </c>
      <c r="P607" s="113"/>
      <c r="Q607" s="108" t="s">
        <v>10414</v>
      </c>
      <c r="R607" s="117">
        <v>2</v>
      </c>
      <c r="S607" s="113"/>
      <c r="T607" s="108" t="s">
        <v>10415</v>
      </c>
      <c r="U607" s="116">
        <v>1</v>
      </c>
      <c r="V607" s="113"/>
      <c r="W607" s="108" t="s">
        <v>10416</v>
      </c>
      <c r="X607" s="116">
        <v>1</v>
      </c>
      <c r="Y607" s="113"/>
      <c r="Z607" s="108" t="s">
        <v>10417</v>
      </c>
      <c r="AA607" s="116">
        <v>1</v>
      </c>
      <c r="AB607" s="113"/>
      <c r="AC607" s="105" t="s">
        <v>1545</v>
      </c>
      <c r="AD607" s="115" t="s">
        <v>107</v>
      </c>
    </row>
    <row r="608" spans="1:30" x14ac:dyDescent="0.2">
      <c r="A608" s="104" t="s">
        <v>1546</v>
      </c>
      <c r="B608" s="105" t="s">
        <v>805</v>
      </c>
      <c r="C608" s="105" t="s">
        <v>1449</v>
      </c>
      <c r="D608" s="106" t="s">
        <v>105</v>
      </c>
      <c r="E608" s="107"/>
      <c r="F608" s="108" t="s">
        <v>10418</v>
      </c>
      <c r="G608" s="119">
        <v>1</v>
      </c>
      <c r="H608" s="108" t="s">
        <v>1547</v>
      </c>
      <c r="I608" s="116">
        <v>1</v>
      </c>
      <c r="J608" s="113"/>
      <c r="K608" s="108" t="s">
        <v>10419</v>
      </c>
      <c r="L608" s="116">
        <v>1</v>
      </c>
      <c r="M608" s="113"/>
      <c r="N608" s="108" t="s">
        <v>10418</v>
      </c>
      <c r="O608" s="116">
        <v>1</v>
      </c>
      <c r="P608" s="113"/>
      <c r="Q608" s="108" t="s">
        <v>10420</v>
      </c>
      <c r="R608" s="110">
        <v>3</v>
      </c>
      <c r="S608" s="111" t="s">
        <v>46</v>
      </c>
      <c r="T608" s="108" t="s">
        <v>10421</v>
      </c>
      <c r="U608" s="112">
        <v>4</v>
      </c>
      <c r="V608" s="113"/>
      <c r="W608" s="108" t="s">
        <v>10422</v>
      </c>
      <c r="X608" s="117">
        <v>2</v>
      </c>
      <c r="Y608" s="113"/>
      <c r="Z608" s="108" t="s">
        <v>47</v>
      </c>
      <c r="AA608" s="114"/>
      <c r="AB608" s="113"/>
      <c r="AC608" s="105" t="s">
        <v>1548</v>
      </c>
      <c r="AD608" s="115" t="s">
        <v>107</v>
      </c>
    </row>
    <row r="609" spans="1:30" x14ac:dyDescent="0.2">
      <c r="A609" s="104" t="s">
        <v>10423</v>
      </c>
      <c r="B609" s="105" t="s">
        <v>805</v>
      </c>
      <c r="C609" s="105" t="s">
        <v>1449</v>
      </c>
      <c r="D609" s="106" t="s">
        <v>105</v>
      </c>
      <c r="E609" s="107"/>
      <c r="F609" s="108" t="s">
        <v>10424</v>
      </c>
      <c r="G609" s="119">
        <v>1</v>
      </c>
      <c r="H609" s="108" t="s">
        <v>10425</v>
      </c>
      <c r="I609" s="116">
        <v>1</v>
      </c>
      <c r="J609" s="113"/>
      <c r="K609" s="108" t="s">
        <v>10426</v>
      </c>
      <c r="L609" s="116">
        <v>1</v>
      </c>
      <c r="M609" s="113"/>
      <c r="N609" s="108" t="s">
        <v>10424</v>
      </c>
      <c r="O609" s="116">
        <v>1</v>
      </c>
      <c r="P609" s="113"/>
      <c r="Q609" s="108" t="s">
        <v>10427</v>
      </c>
      <c r="R609" s="110">
        <v>3</v>
      </c>
      <c r="S609" s="111" t="s">
        <v>46</v>
      </c>
      <c r="T609" s="108" t="s">
        <v>10428</v>
      </c>
      <c r="U609" s="112">
        <v>4</v>
      </c>
      <c r="V609" s="113"/>
      <c r="W609" s="108" t="s">
        <v>10429</v>
      </c>
      <c r="X609" s="117">
        <v>2</v>
      </c>
      <c r="Y609" s="113"/>
      <c r="Z609" s="108" t="s">
        <v>47</v>
      </c>
      <c r="AA609" s="114"/>
      <c r="AB609" s="113"/>
      <c r="AC609" s="105" t="s">
        <v>1549</v>
      </c>
      <c r="AD609" s="115" t="s">
        <v>107</v>
      </c>
    </row>
    <row r="610" spans="1:30" x14ac:dyDescent="0.2">
      <c r="A610" s="104" t="s">
        <v>1550</v>
      </c>
      <c r="B610" s="105" t="s">
        <v>805</v>
      </c>
      <c r="C610" s="105" t="s">
        <v>1241</v>
      </c>
      <c r="D610" s="106" t="s">
        <v>94</v>
      </c>
      <c r="E610" s="107"/>
      <c r="F610" s="108" t="s">
        <v>10430</v>
      </c>
      <c r="G610" s="119">
        <v>1</v>
      </c>
      <c r="H610" s="108" t="s">
        <v>8487</v>
      </c>
      <c r="I610" s="116">
        <v>1</v>
      </c>
      <c r="J610" s="111" t="s">
        <v>40</v>
      </c>
      <c r="K610" s="108" t="s">
        <v>10431</v>
      </c>
      <c r="L610" s="116">
        <v>1</v>
      </c>
      <c r="M610" s="113"/>
      <c r="N610" s="108" t="s">
        <v>10430</v>
      </c>
      <c r="O610" s="116">
        <v>1</v>
      </c>
      <c r="P610" s="113"/>
      <c r="Q610" s="108" t="s">
        <v>10432</v>
      </c>
      <c r="R610" s="117">
        <v>2</v>
      </c>
      <c r="S610" s="113"/>
      <c r="T610" s="108" t="s">
        <v>10433</v>
      </c>
      <c r="U610" s="117">
        <v>2</v>
      </c>
      <c r="V610" s="113"/>
      <c r="W610" s="108" t="s">
        <v>10434</v>
      </c>
      <c r="X610" s="116">
        <v>1</v>
      </c>
      <c r="Y610" s="113"/>
      <c r="Z610" s="108" t="s">
        <v>10435</v>
      </c>
      <c r="AA610" s="116">
        <v>1</v>
      </c>
      <c r="AB610" s="113"/>
      <c r="AC610" s="105" t="s">
        <v>1551</v>
      </c>
      <c r="AD610" s="115" t="s">
        <v>107</v>
      </c>
    </row>
    <row r="611" spans="1:30" x14ac:dyDescent="0.2">
      <c r="A611" s="104" t="s">
        <v>1552</v>
      </c>
      <c r="B611" s="105" t="s">
        <v>805</v>
      </c>
      <c r="C611" s="105" t="s">
        <v>1553</v>
      </c>
      <c r="D611" s="106" t="s">
        <v>94</v>
      </c>
      <c r="E611" s="107"/>
      <c r="F611" s="108" t="s">
        <v>10436</v>
      </c>
      <c r="G611" s="120">
        <v>2</v>
      </c>
      <c r="H611" s="108" t="s">
        <v>10437</v>
      </c>
      <c r="I611" s="110">
        <v>3</v>
      </c>
      <c r="J611" s="113"/>
      <c r="K611" s="108" t="s">
        <v>10438</v>
      </c>
      <c r="L611" s="117">
        <v>2</v>
      </c>
      <c r="M611" s="113"/>
      <c r="N611" s="108" t="s">
        <v>10436</v>
      </c>
      <c r="O611" s="117">
        <v>2</v>
      </c>
      <c r="P611" s="113"/>
      <c r="Q611" s="108" t="s">
        <v>10439</v>
      </c>
      <c r="R611" s="112">
        <v>4</v>
      </c>
      <c r="S611" s="113"/>
      <c r="T611" s="108" t="s">
        <v>10440</v>
      </c>
      <c r="U611" s="110">
        <v>3</v>
      </c>
      <c r="V611" s="113"/>
      <c r="W611" s="108" t="s">
        <v>10441</v>
      </c>
      <c r="X611" s="116">
        <v>1</v>
      </c>
      <c r="Y611" s="113"/>
      <c r="Z611" s="108" t="s">
        <v>10442</v>
      </c>
      <c r="AA611" s="110">
        <v>3</v>
      </c>
      <c r="AB611" s="111" t="s">
        <v>55</v>
      </c>
      <c r="AC611" s="105" t="s">
        <v>1554</v>
      </c>
      <c r="AD611" s="115" t="s">
        <v>107</v>
      </c>
    </row>
    <row r="612" spans="1:30" x14ac:dyDescent="0.2">
      <c r="A612" s="104" t="s">
        <v>1555</v>
      </c>
      <c r="B612" s="105" t="s">
        <v>805</v>
      </c>
      <c r="C612" s="105" t="s">
        <v>1553</v>
      </c>
      <c r="D612" s="106" t="s">
        <v>94</v>
      </c>
      <c r="E612" s="107"/>
      <c r="F612" s="108" t="s">
        <v>10443</v>
      </c>
      <c r="G612" s="120">
        <v>2</v>
      </c>
      <c r="H612" s="108" t="s">
        <v>10444</v>
      </c>
      <c r="I612" s="110">
        <v>3</v>
      </c>
      <c r="J612" s="111" t="s">
        <v>46</v>
      </c>
      <c r="K612" s="108" t="s">
        <v>10445</v>
      </c>
      <c r="L612" s="117">
        <v>2</v>
      </c>
      <c r="M612" s="113"/>
      <c r="N612" s="108" t="s">
        <v>10443</v>
      </c>
      <c r="O612" s="117">
        <v>2</v>
      </c>
      <c r="P612" s="111" t="s">
        <v>46</v>
      </c>
      <c r="Q612" s="108" t="s">
        <v>10446</v>
      </c>
      <c r="R612" s="112">
        <v>4</v>
      </c>
      <c r="S612" s="111" t="s">
        <v>46</v>
      </c>
      <c r="T612" s="108" t="s">
        <v>1556</v>
      </c>
      <c r="U612" s="110">
        <v>3</v>
      </c>
      <c r="V612" s="113"/>
      <c r="W612" s="108" t="s">
        <v>10447</v>
      </c>
      <c r="X612" s="116">
        <v>1</v>
      </c>
      <c r="Y612" s="113"/>
      <c r="Z612" s="108" t="s">
        <v>10448</v>
      </c>
      <c r="AA612" s="110">
        <v>3</v>
      </c>
      <c r="AB612" s="111" t="s">
        <v>55</v>
      </c>
      <c r="AC612" s="105" t="s">
        <v>1557</v>
      </c>
      <c r="AD612" s="115" t="s">
        <v>107</v>
      </c>
    </row>
    <row r="613" spans="1:30" x14ac:dyDescent="0.2">
      <c r="A613" s="104" t="s">
        <v>1558</v>
      </c>
      <c r="B613" s="105" t="s">
        <v>805</v>
      </c>
      <c r="C613" s="105" t="s">
        <v>1553</v>
      </c>
      <c r="D613" s="106" t="s">
        <v>94</v>
      </c>
      <c r="E613" s="107"/>
      <c r="F613" s="108" t="s">
        <v>10449</v>
      </c>
      <c r="G613" s="120">
        <v>2</v>
      </c>
      <c r="H613" s="108" t="s">
        <v>10450</v>
      </c>
      <c r="I613" s="110">
        <v>3</v>
      </c>
      <c r="J613" s="111" t="s">
        <v>46</v>
      </c>
      <c r="K613" s="108" t="s">
        <v>10451</v>
      </c>
      <c r="L613" s="117">
        <v>2</v>
      </c>
      <c r="M613" s="113"/>
      <c r="N613" s="108" t="s">
        <v>10449</v>
      </c>
      <c r="O613" s="117">
        <v>2</v>
      </c>
      <c r="P613" s="111" t="s">
        <v>46</v>
      </c>
      <c r="Q613" s="108" t="s">
        <v>10452</v>
      </c>
      <c r="R613" s="112">
        <v>4</v>
      </c>
      <c r="S613" s="111" t="s">
        <v>46</v>
      </c>
      <c r="T613" s="108" t="s">
        <v>10453</v>
      </c>
      <c r="U613" s="110">
        <v>3</v>
      </c>
      <c r="V613" s="113"/>
      <c r="W613" s="108" t="s">
        <v>10454</v>
      </c>
      <c r="X613" s="116">
        <v>1</v>
      </c>
      <c r="Y613" s="113"/>
      <c r="Z613" s="108" t="s">
        <v>1559</v>
      </c>
      <c r="AA613" s="110">
        <v>3</v>
      </c>
      <c r="AB613" s="111" t="s">
        <v>55</v>
      </c>
      <c r="AC613" s="105" t="s">
        <v>1560</v>
      </c>
      <c r="AD613" s="115" t="s">
        <v>107</v>
      </c>
    </row>
    <row r="614" spans="1:30" x14ac:dyDescent="0.2">
      <c r="A614" s="104" t="s">
        <v>1561</v>
      </c>
      <c r="B614" s="105" t="s">
        <v>805</v>
      </c>
      <c r="C614" s="105" t="s">
        <v>1553</v>
      </c>
      <c r="D614" s="106"/>
      <c r="E614" s="107"/>
      <c r="F614" s="108" t="s">
        <v>10455</v>
      </c>
      <c r="G614" s="120">
        <v>2</v>
      </c>
      <c r="H614" s="108" t="s">
        <v>10456</v>
      </c>
      <c r="I614" s="110">
        <v>3</v>
      </c>
      <c r="J614" s="111" t="s">
        <v>46</v>
      </c>
      <c r="K614" s="108" t="s">
        <v>10457</v>
      </c>
      <c r="L614" s="117">
        <v>2</v>
      </c>
      <c r="M614" s="113"/>
      <c r="N614" s="108" t="s">
        <v>10455</v>
      </c>
      <c r="O614" s="117">
        <v>2</v>
      </c>
      <c r="P614" s="113"/>
      <c r="Q614" s="108" t="s">
        <v>10458</v>
      </c>
      <c r="R614" s="112">
        <v>4</v>
      </c>
      <c r="S614" s="113"/>
      <c r="T614" s="108" t="s">
        <v>47</v>
      </c>
      <c r="U614" s="114"/>
      <c r="V614" s="113"/>
      <c r="W614" s="108" t="s">
        <v>47</v>
      </c>
      <c r="X614" s="114"/>
      <c r="Y614" s="113"/>
      <c r="Z614" s="108" t="s">
        <v>47</v>
      </c>
      <c r="AA614" s="114"/>
      <c r="AB614" s="113"/>
      <c r="AC614" s="105" t="s">
        <v>1562</v>
      </c>
      <c r="AD614" s="115" t="s">
        <v>107</v>
      </c>
    </row>
    <row r="615" spans="1:30" x14ac:dyDescent="0.2">
      <c r="A615" s="104" t="s">
        <v>1563</v>
      </c>
      <c r="B615" s="105" t="s">
        <v>805</v>
      </c>
      <c r="C615" s="105" t="s">
        <v>1553</v>
      </c>
      <c r="D615" s="106"/>
      <c r="E615" s="107"/>
      <c r="F615" s="108" t="s">
        <v>47</v>
      </c>
      <c r="G615" s="113"/>
      <c r="H615" s="108" t="s">
        <v>10459</v>
      </c>
      <c r="I615" s="110">
        <v>3</v>
      </c>
      <c r="J615" s="113"/>
      <c r="K615" s="108" t="s">
        <v>10460</v>
      </c>
      <c r="L615" s="117">
        <v>2</v>
      </c>
      <c r="M615" s="113"/>
      <c r="N615" s="108" t="s">
        <v>47</v>
      </c>
      <c r="O615" s="114"/>
      <c r="P615" s="113"/>
      <c r="Q615" s="108" t="s">
        <v>47</v>
      </c>
      <c r="R615" s="114"/>
      <c r="S615" s="113"/>
      <c r="T615" s="108" t="s">
        <v>47</v>
      </c>
      <c r="U615" s="114"/>
      <c r="V615" s="113"/>
      <c r="W615" s="108" t="s">
        <v>47</v>
      </c>
      <c r="X615" s="114"/>
      <c r="Y615" s="113"/>
      <c r="Z615" s="108" t="s">
        <v>47</v>
      </c>
      <c r="AA615" s="114"/>
      <c r="AB615" s="113"/>
      <c r="AC615" s="105" t="s">
        <v>1564</v>
      </c>
      <c r="AD615" s="115" t="s">
        <v>107</v>
      </c>
    </row>
    <row r="616" spans="1:30" x14ac:dyDescent="0.2">
      <c r="A616" s="104" t="s">
        <v>1565</v>
      </c>
      <c r="B616" s="105" t="s">
        <v>805</v>
      </c>
      <c r="C616" s="105" t="s">
        <v>1553</v>
      </c>
      <c r="D616" s="106" t="s">
        <v>514</v>
      </c>
      <c r="E616" s="107"/>
      <c r="F616" s="108" t="s">
        <v>10461</v>
      </c>
      <c r="G616" s="120">
        <v>2</v>
      </c>
      <c r="H616" s="108" t="s">
        <v>10462</v>
      </c>
      <c r="I616" s="110">
        <v>3</v>
      </c>
      <c r="J616" s="111" t="s">
        <v>46</v>
      </c>
      <c r="K616" s="108" t="s">
        <v>10463</v>
      </c>
      <c r="L616" s="117">
        <v>2</v>
      </c>
      <c r="M616" s="113"/>
      <c r="N616" s="108" t="s">
        <v>10461</v>
      </c>
      <c r="O616" s="117">
        <v>2</v>
      </c>
      <c r="P616" s="113"/>
      <c r="Q616" s="108" t="s">
        <v>10464</v>
      </c>
      <c r="R616" s="112">
        <v>4</v>
      </c>
      <c r="S616" s="113"/>
      <c r="T616" s="108" t="s">
        <v>10465</v>
      </c>
      <c r="U616" s="110">
        <v>3</v>
      </c>
      <c r="V616" s="113"/>
      <c r="W616" s="108" t="s">
        <v>10466</v>
      </c>
      <c r="X616" s="116">
        <v>1</v>
      </c>
      <c r="Y616" s="113"/>
      <c r="Z616" s="108" t="s">
        <v>10467</v>
      </c>
      <c r="AA616" s="110">
        <v>3</v>
      </c>
      <c r="AB616" s="111" t="s">
        <v>55</v>
      </c>
      <c r="AC616" s="105" t="s">
        <v>1566</v>
      </c>
      <c r="AD616" s="115" t="s">
        <v>107</v>
      </c>
    </row>
    <row r="617" spans="1:30" x14ac:dyDescent="0.2">
      <c r="A617" s="104" t="s">
        <v>1567</v>
      </c>
      <c r="B617" s="105" t="s">
        <v>805</v>
      </c>
      <c r="C617" s="105" t="s">
        <v>1553</v>
      </c>
      <c r="D617" s="106" t="s">
        <v>514</v>
      </c>
      <c r="E617" s="107"/>
      <c r="F617" s="108" t="s">
        <v>1568</v>
      </c>
      <c r="G617" s="120">
        <v>2</v>
      </c>
      <c r="H617" s="108" t="s">
        <v>10468</v>
      </c>
      <c r="I617" s="110">
        <v>3</v>
      </c>
      <c r="J617" s="111" t="s">
        <v>46</v>
      </c>
      <c r="K617" s="108" t="s">
        <v>10469</v>
      </c>
      <c r="L617" s="117">
        <v>2</v>
      </c>
      <c r="M617" s="113"/>
      <c r="N617" s="108" t="s">
        <v>1568</v>
      </c>
      <c r="O617" s="117">
        <v>2</v>
      </c>
      <c r="P617" s="111" t="s">
        <v>46</v>
      </c>
      <c r="Q617" s="108" t="s">
        <v>10470</v>
      </c>
      <c r="R617" s="112">
        <v>4</v>
      </c>
      <c r="S617" s="111" t="s">
        <v>46</v>
      </c>
      <c r="T617" s="108" t="s">
        <v>1569</v>
      </c>
      <c r="U617" s="110">
        <v>3</v>
      </c>
      <c r="V617" s="113"/>
      <c r="W617" s="108" t="s">
        <v>10471</v>
      </c>
      <c r="X617" s="116">
        <v>1</v>
      </c>
      <c r="Y617" s="113"/>
      <c r="Z617" s="108" t="s">
        <v>10472</v>
      </c>
      <c r="AA617" s="117">
        <v>2</v>
      </c>
      <c r="AB617" s="111" t="s">
        <v>46</v>
      </c>
      <c r="AC617" s="105" t="s">
        <v>1570</v>
      </c>
      <c r="AD617" s="115" t="s">
        <v>107</v>
      </c>
    </row>
    <row r="618" spans="1:30" x14ac:dyDescent="0.2">
      <c r="A618" s="104" t="s">
        <v>1571</v>
      </c>
      <c r="B618" s="105" t="s">
        <v>805</v>
      </c>
      <c r="C618" s="105" t="s">
        <v>1553</v>
      </c>
      <c r="D618" s="106"/>
      <c r="E618" s="107"/>
      <c r="F618" s="108" t="s">
        <v>10473</v>
      </c>
      <c r="G618" s="120">
        <v>2</v>
      </c>
      <c r="H618" s="108" t="s">
        <v>10474</v>
      </c>
      <c r="I618" s="110">
        <v>3</v>
      </c>
      <c r="J618" s="113"/>
      <c r="K618" s="108" t="s">
        <v>10475</v>
      </c>
      <c r="L618" s="117">
        <v>2</v>
      </c>
      <c r="M618" s="113"/>
      <c r="N618" s="108" t="s">
        <v>10473</v>
      </c>
      <c r="O618" s="117">
        <v>2</v>
      </c>
      <c r="P618" s="113"/>
      <c r="Q618" s="108" t="s">
        <v>10476</v>
      </c>
      <c r="R618" s="112">
        <v>4</v>
      </c>
      <c r="S618" s="113"/>
      <c r="T618" s="108" t="s">
        <v>47</v>
      </c>
      <c r="U618" s="114"/>
      <c r="V618" s="113"/>
      <c r="W618" s="108" t="s">
        <v>47</v>
      </c>
      <c r="X618" s="114"/>
      <c r="Y618" s="113"/>
      <c r="Z618" s="108" t="s">
        <v>47</v>
      </c>
      <c r="AA618" s="114"/>
      <c r="AB618" s="113"/>
      <c r="AC618" s="105" t="s">
        <v>1572</v>
      </c>
      <c r="AD618" s="115" t="s">
        <v>107</v>
      </c>
    </row>
    <row r="619" spans="1:30" x14ac:dyDescent="0.2">
      <c r="A619" s="104" t="s">
        <v>1573</v>
      </c>
      <c r="B619" s="105" t="s">
        <v>805</v>
      </c>
      <c r="C619" s="105" t="s">
        <v>1553</v>
      </c>
      <c r="D619" s="106"/>
      <c r="E619" s="107"/>
      <c r="F619" s="108" t="s">
        <v>47</v>
      </c>
      <c r="G619" s="113"/>
      <c r="H619" s="108" t="s">
        <v>10477</v>
      </c>
      <c r="I619" s="117">
        <v>2</v>
      </c>
      <c r="J619" s="111" t="s">
        <v>40</v>
      </c>
      <c r="K619" s="108" t="s">
        <v>10478</v>
      </c>
      <c r="L619" s="117">
        <v>2</v>
      </c>
      <c r="M619" s="113"/>
      <c r="N619" s="108" t="s">
        <v>47</v>
      </c>
      <c r="O619" s="114"/>
      <c r="P619" s="113"/>
      <c r="Q619" s="108" t="s">
        <v>47</v>
      </c>
      <c r="R619" s="114"/>
      <c r="S619" s="113"/>
      <c r="T619" s="108" t="s">
        <v>47</v>
      </c>
      <c r="U619" s="114"/>
      <c r="V619" s="113"/>
      <c r="W619" s="108" t="s">
        <v>47</v>
      </c>
      <c r="X619" s="114"/>
      <c r="Y619" s="113"/>
      <c r="Z619" s="108" t="s">
        <v>47</v>
      </c>
      <c r="AA619" s="114"/>
      <c r="AB619" s="113"/>
      <c r="AC619" s="105" t="s">
        <v>1574</v>
      </c>
      <c r="AD619" s="115" t="s">
        <v>107</v>
      </c>
    </row>
    <row r="620" spans="1:30" x14ac:dyDescent="0.2">
      <c r="A620" s="104" t="s">
        <v>1575</v>
      </c>
      <c r="B620" s="105" t="s">
        <v>805</v>
      </c>
      <c r="C620" s="105" t="s">
        <v>145</v>
      </c>
      <c r="D620" s="106"/>
      <c r="E620" s="107"/>
      <c r="F620" s="108" t="s">
        <v>10479</v>
      </c>
      <c r="G620" s="120">
        <v>2</v>
      </c>
      <c r="H620" s="108" t="s">
        <v>10480</v>
      </c>
      <c r="I620" s="117">
        <v>2</v>
      </c>
      <c r="J620" s="111" t="s">
        <v>46</v>
      </c>
      <c r="K620" s="108" t="s">
        <v>10481</v>
      </c>
      <c r="L620" s="116">
        <v>1</v>
      </c>
      <c r="M620" s="113"/>
      <c r="N620" s="108" t="s">
        <v>10479</v>
      </c>
      <c r="O620" s="117">
        <v>2</v>
      </c>
      <c r="P620" s="113"/>
      <c r="Q620" s="108" t="s">
        <v>10482</v>
      </c>
      <c r="R620" s="110">
        <v>3</v>
      </c>
      <c r="S620" s="113"/>
      <c r="T620" s="108" t="s">
        <v>47</v>
      </c>
      <c r="U620" s="114"/>
      <c r="V620" s="113"/>
      <c r="W620" s="108" t="s">
        <v>47</v>
      </c>
      <c r="X620" s="114"/>
      <c r="Y620" s="113"/>
      <c r="Z620" s="108" t="s">
        <v>47</v>
      </c>
      <c r="AA620" s="114"/>
      <c r="AB620" s="113"/>
      <c r="AC620" s="105" t="s">
        <v>1576</v>
      </c>
      <c r="AD620" s="115" t="s">
        <v>107</v>
      </c>
    </row>
    <row r="621" spans="1:30" x14ac:dyDescent="0.2">
      <c r="A621" s="104" t="s">
        <v>1577</v>
      </c>
      <c r="B621" s="105" t="s">
        <v>805</v>
      </c>
      <c r="C621" s="105" t="s">
        <v>1578</v>
      </c>
      <c r="D621" s="106"/>
      <c r="E621" s="107"/>
      <c r="F621" s="108" t="s">
        <v>10483</v>
      </c>
      <c r="G621" s="119">
        <v>1</v>
      </c>
      <c r="H621" s="108" t="s">
        <v>10484</v>
      </c>
      <c r="I621" s="117">
        <v>2</v>
      </c>
      <c r="J621" s="113"/>
      <c r="K621" s="108" t="s">
        <v>10485</v>
      </c>
      <c r="L621" s="116">
        <v>1</v>
      </c>
      <c r="M621" s="113"/>
      <c r="N621" s="108" t="s">
        <v>10483</v>
      </c>
      <c r="O621" s="116">
        <v>1</v>
      </c>
      <c r="P621" s="113"/>
      <c r="Q621" s="108" t="s">
        <v>10486</v>
      </c>
      <c r="R621" s="116">
        <v>1</v>
      </c>
      <c r="S621" s="113"/>
      <c r="T621" s="108" t="s">
        <v>47</v>
      </c>
      <c r="U621" s="114"/>
      <c r="V621" s="113"/>
      <c r="W621" s="108" t="s">
        <v>47</v>
      </c>
      <c r="X621" s="114"/>
      <c r="Y621" s="113"/>
      <c r="Z621" s="108" t="s">
        <v>47</v>
      </c>
      <c r="AA621" s="114"/>
      <c r="AB621" s="113"/>
      <c r="AC621" s="105" t="s">
        <v>1579</v>
      </c>
      <c r="AD621" s="115" t="s">
        <v>107</v>
      </c>
    </row>
    <row r="622" spans="1:30" x14ac:dyDescent="0.2">
      <c r="A622" s="104" t="s">
        <v>1580</v>
      </c>
      <c r="B622" s="105" t="s">
        <v>805</v>
      </c>
      <c r="C622" s="105" t="s">
        <v>145</v>
      </c>
      <c r="D622" s="106"/>
      <c r="E622" s="107"/>
      <c r="F622" s="108" t="s">
        <v>10487</v>
      </c>
      <c r="G622" s="120">
        <v>2</v>
      </c>
      <c r="H622" s="108" t="s">
        <v>10488</v>
      </c>
      <c r="I622" s="117">
        <v>2</v>
      </c>
      <c r="J622" s="111" t="s">
        <v>46</v>
      </c>
      <c r="K622" s="108" t="s">
        <v>10489</v>
      </c>
      <c r="L622" s="116">
        <v>1</v>
      </c>
      <c r="M622" s="113"/>
      <c r="N622" s="108" t="s">
        <v>10487</v>
      </c>
      <c r="O622" s="117">
        <v>2</v>
      </c>
      <c r="P622" s="113"/>
      <c r="Q622" s="108" t="s">
        <v>10490</v>
      </c>
      <c r="R622" s="112">
        <v>4</v>
      </c>
      <c r="S622" s="111" t="s">
        <v>46</v>
      </c>
      <c r="T622" s="108" t="s">
        <v>47</v>
      </c>
      <c r="U622" s="114"/>
      <c r="V622" s="113"/>
      <c r="W622" s="108" t="s">
        <v>47</v>
      </c>
      <c r="X622" s="114"/>
      <c r="Y622" s="113"/>
      <c r="Z622" s="108" t="s">
        <v>47</v>
      </c>
      <c r="AA622" s="114"/>
      <c r="AB622" s="113"/>
      <c r="AC622" s="105" t="s">
        <v>1581</v>
      </c>
      <c r="AD622" s="115" t="s">
        <v>107</v>
      </c>
    </row>
    <row r="623" spans="1:30" x14ac:dyDescent="0.2">
      <c r="A623" s="104" t="s">
        <v>1582</v>
      </c>
      <c r="B623" s="105" t="s">
        <v>805</v>
      </c>
      <c r="C623" s="105" t="s">
        <v>145</v>
      </c>
      <c r="D623" s="106"/>
      <c r="E623" s="107"/>
      <c r="F623" s="108" t="s">
        <v>10491</v>
      </c>
      <c r="G623" s="120">
        <v>2</v>
      </c>
      <c r="H623" s="108" t="s">
        <v>10492</v>
      </c>
      <c r="I623" s="117">
        <v>2</v>
      </c>
      <c r="J623" s="111" t="s">
        <v>46</v>
      </c>
      <c r="K623" s="108" t="s">
        <v>10493</v>
      </c>
      <c r="L623" s="116">
        <v>1</v>
      </c>
      <c r="M623" s="113"/>
      <c r="N623" s="108" t="s">
        <v>10491</v>
      </c>
      <c r="O623" s="117">
        <v>2</v>
      </c>
      <c r="P623" s="113"/>
      <c r="Q623" s="108" t="s">
        <v>10494</v>
      </c>
      <c r="R623" s="112">
        <v>4</v>
      </c>
      <c r="S623" s="111" t="s">
        <v>46</v>
      </c>
      <c r="T623" s="108" t="s">
        <v>47</v>
      </c>
      <c r="U623" s="114"/>
      <c r="V623" s="113"/>
      <c r="W623" s="108" t="s">
        <v>47</v>
      </c>
      <c r="X623" s="114"/>
      <c r="Y623" s="113"/>
      <c r="Z623" s="108" t="s">
        <v>47</v>
      </c>
      <c r="AA623" s="114"/>
      <c r="AB623" s="113"/>
      <c r="AC623" s="105" t="s">
        <v>1583</v>
      </c>
      <c r="AD623" s="115" t="s">
        <v>107</v>
      </c>
    </row>
    <row r="624" spans="1:30" x14ac:dyDescent="0.2">
      <c r="A624" s="104" t="s">
        <v>1584</v>
      </c>
      <c r="B624" s="105" t="s">
        <v>805</v>
      </c>
      <c r="C624" s="105" t="s">
        <v>1578</v>
      </c>
      <c r="D624" s="106"/>
      <c r="E624" s="107"/>
      <c r="F624" s="108" t="s">
        <v>10495</v>
      </c>
      <c r="G624" s="120">
        <v>2</v>
      </c>
      <c r="H624" s="108" t="s">
        <v>10496</v>
      </c>
      <c r="I624" s="117">
        <v>2</v>
      </c>
      <c r="J624" s="113"/>
      <c r="K624" s="108" t="s">
        <v>10497</v>
      </c>
      <c r="L624" s="117">
        <v>2</v>
      </c>
      <c r="M624" s="111" t="s">
        <v>46</v>
      </c>
      <c r="N624" s="108" t="s">
        <v>10495</v>
      </c>
      <c r="O624" s="117">
        <v>2</v>
      </c>
      <c r="P624" s="113"/>
      <c r="Q624" s="108" t="s">
        <v>10498</v>
      </c>
      <c r="R624" s="117">
        <v>2</v>
      </c>
      <c r="S624" s="113"/>
      <c r="T624" s="108" t="s">
        <v>47</v>
      </c>
      <c r="U624" s="114"/>
      <c r="V624" s="113"/>
      <c r="W624" s="108" t="s">
        <v>47</v>
      </c>
      <c r="X624" s="114"/>
      <c r="Y624" s="113"/>
      <c r="Z624" s="108" t="s">
        <v>47</v>
      </c>
      <c r="AA624" s="114"/>
      <c r="AB624" s="113"/>
      <c r="AC624" s="105" t="s">
        <v>1585</v>
      </c>
      <c r="AD624" s="115" t="s">
        <v>107</v>
      </c>
    </row>
    <row r="625" spans="1:30" x14ac:dyDescent="0.2">
      <c r="A625" s="104" t="s">
        <v>1586</v>
      </c>
      <c r="B625" s="105" t="s">
        <v>805</v>
      </c>
      <c r="C625" s="105" t="s">
        <v>145</v>
      </c>
      <c r="D625" s="106"/>
      <c r="E625" s="107" t="s">
        <v>182</v>
      </c>
      <c r="F625" s="108" t="s">
        <v>47</v>
      </c>
      <c r="G625" s="113"/>
      <c r="H625" s="108" t="s">
        <v>10499</v>
      </c>
      <c r="I625" s="116">
        <v>1</v>
      </c>
      <c r="J625" s="111" t="s">
        <v>40</v>
      </c>
      <c r="K625" s="108" t="s">
        <v>10500</v>
      </c>
      <c r="L625" s="116">
        <v>1</v>
      </c>
      <c r="M625" s="111" t="s">
        <v>40</v>
      </c>
      <c r="N625" s="108" t="s">
        <v>47</v>
      </c>
      <c r="O625" s="114"/>
      <c r="P625" s="113"/>
      <c r="Q625" s="108" t="s">
        <v>47</v>
      </c>
      <c r="R625" s="114"/>
      <c r="S625" s="113"/>
      <c r="T625" s="108" t="s">
        <v>47</v>
      </c>
      <c r="U625" s="114"/>
      <c r="V625" s="113"/>
      <c r="W625" s="108" t="s">
        <v>47</v>
      </c>
      <c r="X625" s="114"/>
      <c r="Y625" s="113"/>
      <c r="Z625" s="108" t="s">
        <v>47</v>
      </c>
      <c r="AA625" s="114"/>
      <c r="AB625" s="113"/>
      <c r="AC625" s="105" t="s">
        <v>1587</v>
      </c>
      <c r="AD625" s="115" t="s">
        <v>107</v>
      </c>
    </row>
    <row r="626" spans="1:30" x14ac:dyDescent="0.2">
      <c r="A626" s="104" t="s">
        <v>1588</v>
      </c>
      <c r="B626" s="105" t="s">
        <v>805</v>
      </c>
      <c r="C626" s="105" t="s">
        <v>145</v>
      </c>
      <c r="D626" s="106"/>
      <c r="E626" s="107" t="s">
        <v>182</v>
      </c>
      <c r="F626" s="108" t="s">
        <v>47</v>
      </c>
      <c r="G626" s="113"/>
      <c r="H626" s="108" t="s">
        <v>10501</v>
      </c>
      <c r="I626" s="116">
        <v>1</v>
      </c>
      <c r="J626" s="113"/>
      <c r="K626" s="108" t="s">
        <v>10502</v>
      </c>
      <c r="L626" s="116">
        <v>1</v>
      </c>
      <c r="M626" s="113"/>
      <c r="N626" s="108" t="s">
        <v>47</v>
      </c>
      <c r="O626" s="114"/>
      <c r="P626" s="113"/>
      <c r="Q626" s="108" t="s">
        <v>47</v>
      </c>
      <c r="R626" s="114"/>
      <c r="S626" s="113"/>
      <c r="T626" s="108" t="s">
        <v>47</v>
      </c>
      <c r="U626" s="114"/>
      <c r="V626" s="113"/>
      <c r="W626" s="108" t="s">
        <v>47</v>
      </c>
      <c r="X626" s="114"/>
      <c r="Y626" s="113"/>
      <c r="Z626" s="108" t="s">
        <v>47</v>
      </c>
      <c r="AA626" s="114"/>
      <c r="AB626" s="113"/>
      <c r="AC626" s="105" t="s">
        <v>1589</v>
      </c>
      <c r="AD626" s="115" t="s">
        <v>107</v>
      </c>
    </row>
    <row r="627" spans="1:30" x14ac:dyDescent="0.2">
      <c r="A627" s="104" t="s">
        <v>1590</v>
      </c>
      <c r="B627" s="105" t="s">
        <v>805</v>
      </c>
      <c r="C627" s="105" t="s">
        <v>1591</v>
      </c>
      <c r="D627" s="106"/>
      <c r="E627" s="107" t="s">
        <v>119</v>
      </c>
      <c r="F627" s="108" t="s">
        <v>10503</v>
      </c>
      <c r="G627" s="119">
        <v>1</v>
      </c>
      <c r="H627" s="108" t="s">
        <v>10504</v>
      </c>
      <c r="I627" s="116">
        <v>1</v>
      </c>
      <c r="J627" s="111" t="s">
        <v>40</v>
      </c>
      <c r="K627" s="108" t="s">
        <v>1592</v>
      </c>
      <c r="L627" s="116">
        <v>1</v>
      </c>
      <c r="M627" s="113"/>
      <c r="N627" s="108" t="s">
        <v>10503</v>
      </c>
      <c r="O627" s="116">
        <v>1</v>
      </c>
      <c r="P627" s="113"/>
      <c r="Q627" s="108" t="s">
        <v>10505</v>
      </c>
      <c r="R627" s="116">
        <v>1</v>
      </c>
      <c r="S627" s="113"/>
      <c r="T627" s="108" t="s">
        <v>47</v>
      </c>
      <c r="U627" s="114"/>
      <c r="V627" s="113"/>
      <c r="W627" s="108" t="s">
        <v>47</v>
      </c>
      <c r="X627" s="114"/>
      <c r="Y627" s="113"/>
      <c r="Z627" s="108" t="s">
        <v>47</v>
      </c>
      <c r="AA627" s="114"/>
      <c r="AB627" s="113"/>
      <c r="AC627" s="105" t="s">
        <v>1593</v>
      </c>
      <c r="AD627" s="115" t="s">
        <v>107</v>
      </c>
    </row>
    <row r="628" spans="1:30" x14ac:dyDescent="0.2">
      <c r="A628" s="104" t="s">
        <v>1594</v>
      </c>
      <c r="B628" s="105" t="s">
        <v>805</v>
      </c>
      <c r="C628" s="105" t="s">
        <v>145</v>
      </c>
      <c r="D628" s="106"/>
      <c r="E628" s="107" t="s">
        <v>182</v>
      </c>
      <c r="F628" s="108" t="s">
        <v>10506</v>
      </c>
      <c r="G628" s="119">
        <v>1</v>
      </c>
      <c r="H628" s="108" t="s">
        <v>10507</v>
      </c>
      <c r="I628" s="116">
        <v>1</v>
      </c>
      <c r="J628" s="113"/>
      <c r="K628" s="108" t="s">
        <v>10508</v>
      </c>
      <c r="L628" s="116">
        <v>1</v>
      </c>
      <c r="M628" s="113"/>
      <c r="N628" s="108" t="s">
        <v>10506</v>
      </c>
      <c r="O628" s="116">
        <v>1</v>
      </c>
      <c r="P628" s="111" t="s">
        <v>40</v>
      </c>
      <c r="Q628" s="108" t="s">
        <v>10509</v>
      </c>
      <c r="R628" s="110">
        <v>3</v>
      </c>
      <c r="S628" s="113"/>
      <c r="T628" s="108" t="s">
        <v>47</v>
      </c>
      <c r="U628" s="114"/>
      <c r="V628" s="113"/>
      <c r="W628" s="108" t="s">
        <v>47</v>
      </c>
      <c r="X628" s="114"/>
      <c r="Y628" s="113"/>
      <c r="Z628" s="108" t="s">
        <v>47</v>
      </c>
      <c r="AA628" s="114"/>
      <c r="AB628" s="113"/>
      <c r="AC628" s="105" t="s">
        <v>1595</v>
      </c>
      <c r="AD628" s="115" t="s">
        <v>107</v>
      </c>
    </row>
    <row r="629" spans="1:30" x14ac:dyDescent="0.2">
      <c r="A629" s="104" t="s">
        <v>1596</v>
      </c>
      <c r="B629" s="105" t="s">
        <v>805</v>
      </c>
      <c r="C629" s="105" t="s">
        <v>1591</v>
      </c>
      <c r="D629" s="106"/>
      <c r="E629" s="107" t="s">
        <v>119</v>
      </c>
      <c r="F629" s="108" t="s">
        <v>10510</v>
      </c>
      <c r="G629" s="120">
        <v>2</v>
      </c>
      <c r="H629" s="108" t="s">
        <v>10511</v>
      </c>
      <c r="I629" s="116">
        <v>1</v>
      </c>
      <c r="J629" s="111" t="s">
        <v>40</v>
      </c>
      <c r="K629" s="108" t="s">
        <v>10512</v>
      </c>
      <c r="L629" s="116">
        <v>1</v>
      </c>
      <c r="M629" s="113"/>
      <c r="N629" s="108" t="s">
        <v>10510</v>
      </c>
      <c r="O629" s="117">
        <v>2</v>
      </c>
      <c r="P629" s="113"/>
      <c r="Q629" s="108" t="s">
        <v>10513</v>
      </c>
      <c r="R629" s="116">
        <v>1</v>
      </c>
      <c r="S629" s="113"/>
      <c r="T629" s="108" t="s">
        <v>47</v>
      </c>
      <c r="U629" s="114"/>
      <c r="V629" s="113"/>
      <c r="W629" s="108" t="s">
        <v>47</v>
      </c>
      <c r="X629" s="114"/>
      <c r="Y629" s="113"/>
      <c r="Z629" s="108" t="s">
        <v>47</v>
      </c>
      <c r="AA629" s="114"/>
      <c r="AB629" s="113"/>
      <c r="AC629" s="105" t="s">
        <v>1597</v>
      </c>
      <c r="AD629" s="115" t="s">
        <v>107</v>
      </c>
    </row>
    <row r="630" spans="1:30" x14ac:dyDescent="0.2">
      <c r="A630" s="104" t="s">
        <v>1598</v>
      </c>
      <c r="B630" s="105" t="s">
        <v>805</v>
      </c>
      <c r="C630" s="105" t="s">
        <v>145</v>
      </c>
      <c r="D630" s="106"/>
      <c r="E630" s="107" t="s">
        <v>182</v>
      </c>
      <c r="F630" s="108" t="s">
        <v>10514</v>
      </c>
      <c r="G630" s="119">
        <v>1</v>
      </c>
      <c r="H630" s="108" t="s">
        <v>10515</v>
      </c>
      <c r="I630" s="116">
        <v>1</v>
      </c>
      <c r="J630" s="113"/>
      <c r="K630" s="108" t="s">
        <v>10516</v>
      </c>
      <c r="L630" s="116">
        <v>1</v>
      </c>
      <c r="M630" s="113"/>
      <c r="N630" s="108" t="s">
        <v>10514</v>
      </c>
      <c r="O630" s="116">
        <v>1</v>
      </c>
      <c r="P630" s="111" t="s">
        <v>40</v>
      </c>
      <c r="Q630" s="108" t="s">
        <v>10517</v>
      </c>
      <c r="R630" s="117">
        <v>2</v>
      </c>
      <c r="S630" s="113"/>
      <c r="T630" s="108" t="s">
        <v>47</v>
      </c>
      <c r="U630" s="114"/>
      <c r="V630" s="113"/>
      <c r="W630" s="108" t="s">
        <v>47</v>
      </c>
      <c r="X630" s="114"/>
      <c r="Y630" s="113"/>
      <c r="Z630" s="108" t="s">
        <v>47</v>
      </c>
      <c r="AA630" s="114"/>
      <c r="AB630" s="113"/>
      <c r="AC630" s="105" t="s">
        <v>1599</v>
      </c>
      <c r="AD630" s="115" t="s">
        <v>107</v>
      </c>
    </row>
    <row r="631" spans="1:30" x14ac:dyDescent="0.2">
      <c r="A631" s="104" t="s">
        <v>1600</v>
      </c>
      <c r="B631" s="105" t="s">
        <v>805</v>
      </c>
      <c r="C631" s="105" t="s">
        <v>1591</v>
      </c>
      <c r="D631" s="106"/>
      <c r="E631" s="107" t="s">
        <v>119</v>
      </c>
      <c r="F631" s="108" t="s">
        <v>10518</v>
      </c>
      <c r="G631" s="119">
        <v>1</v>
      </c>
      <c r="H631" s="108" t="s">
        <v>10519</v>
      </c>
      <c r="I631" s="116">
        <v>1</v>
      </c>
      <c r="J631" s="111" t="s">
        <v>40</v>
      </c>
      <c r="K631" s="108" t="s">
        <v>10520</v>
      </c>
      <c r="L631" s="116">
        <v>1</v>
      </c>
      <c r="M631" s="113"/>
      <c r="N631" s="108" t="s">
        <v>10518</v>
      </c>
      <c r="O631" s="116">
        <v>1</v>
      </c>
      <c r="P631" s="113"/>
      <c r="Q631" s="108" t="s">
        <v>10521</v>
      </c>
      <c r="R631" s="116">
        <v>1</v>
      </c>
      <c r="S631" s="113"/>
      <c r="T631" s="108" t="s">
        <v>47</v>
      </c>
      <c r="U631" s="114"/>
      <c r="V631" s="113"/>
      <c r="W631" s="108" t="s">
        <v>47</v>
      </c>
      <c r="X631" s="114"/>
      <c r="Y631" s="113"/>
      <c r="Z631" s="108" t="s">
        <v>47</v>
      </c>
      <c r="AA631" s="114"/>
      <c r="AB631" s="113"/>
      <c r="AC631" s="105" t="s">
        <v>1601</v>
      </c>
      <c r="AD631" s="115" t="s">
        <v>107</v>
      </c>
    </row>
    <row r="632" spans="1:30" x14ac:dyDescent="0.2">
      <c r="A632" s="104" t="s">
        <v>1602</v>
      </c>
      <c r="B632" s="105" t="s">
        <v>805</v>
      </c>
      <c r="C632" s="105" t="s">
        <v>1591</v>
      </c>
      <c r="D632" s="106"/>
      <c r="E632" s="107" t="s">
        <v>119</v>
      </c>
      <c r="F632" s="108" t="s">
        <v>47</v>
      </c>
      <c r="G632" s="113"/>
      <c r="H632" s="108" t="s">
        <v>10522</v>
      </c>
      <c r="I632" s="116">
        <v>1</v>
      </c>
      <c r="J632" s="111" t="s">
        <v>40</v>
      </c>
      <c r="K632" s="108" t="s">
        <v>10523</v>
      </c>
      <c r="L632" s="116">
        <v>1</v>
      </c>
      <c r="M632" s="113"/>
      <c r="N632" s="108" t="s">
        <v>47</v>
      </c>
      <c r="O632" s="114"/>
      <c r="P632" s="113"/>
      <c r="Q632" s="108" t="s">
        <v>47</v>
      </c>
      <c r="R632" s="114"/>
      <c r="S632" s="113"/>
      <c r="T632" s="108" t="s">
        <v>47</v>
      </c>
      <c r="U632" s="114"/>
      <c r="V632" s="113"/>
      <c r="W632" s="108" t="s">
        <v>47</v>
      </c>
      <c r="X632" s="114"/>
      <c r="Y632" s="113"/>
      <c r="Z632" s="108" t="s">
        <v>47</v>
      </c>
      <c r="AA632" s="114"/>
      <c r="AB632" s="113"/>
      <c r="AC632" s="105" t="s">
        <v>1603</v>
      </c>
      <c r="AD632" s="115" t="s">
        <v>107</v>
      </c>
    </row>
    <row r="633" spans="1:30" x14ac:dyDescent="0.2">
      <c r="A633" s="104" t="s">
        <v>1604</v>
      </c>
      <c r="B633" s="105" t="s">
        <v>805</v>
      </c>
      <c r="C633" s="105" t="s">
        <v>145</v>
      </c>
      <c r="D633" s="106"/>
      <c r="E633" s="107" t="s">
        <v>182</v>
      </c>
      <c r="F633" s="108" t="s">
        <v>10524</v>
      </c>
      <c r="G633" s="119">
        <v>1</v>
      </c>
      <c r="H633" s="108" t="s">
        <v>10525</v>
      </c>
      <c r="I633" s="116">
        <v>1</v>
      </c>
      <c r="J633" s="113"/>
      <c r="K633" s="108" t="s">
        <v>10526</v>
      </c>
      <c r="L633" s="116">
        <v>1</v>
      </c>
      <c r="M633" s="113"/>
      <c r="N633" s="108" t="s">
        <v>10524</v>
      </c>
      <c r="O633" s="116">
        <v>1</v>
      </c>
      <c r="P633" s="111" t="s">
        <v>40</v>
      </c>
      <c r="Q633" s="108" t="s">
        <v>10527</v>
      </c>
      <c r="R633" s="117">
        <v>2</v>
      </c>
      <c r="S633" s="113"/>
      <c r="T633" s="108" t="s">
        <v>47</v>
      </c>
      <c r="U633" s="114"/>
      <c r="V633" s="113"/>
      <c r="W633" s="108" t="s">
        <v>47</v>
      </c>
      <c r="X633" s="114"/>
      <c r="Y633" s="113"/>
      <c r="Z633" s="108" t="s">
        <v>47</v>
      </c>
      <c r="AA633" s="114"/>
      <c r="AB633" s="113"/>
      <c r="AC633" s="105" t="s">
        <v>1605</v>
      </c>
      <c r="AD633" s="115" t="s">
        <v>107</v>
      </c>
    </row>
    <row r="634" spans="1:30" x14ac:dyDescent="0.2">
      <c r="A634" s="104" t="s">
        <v>1606</v>
      </c>
      <c r="B634" s="105" t="s">
        <v>805</v>
      </c>
      <c r="C634" s="105" t="s">
        <v>145</v>
      </c>
      <c r="D634" s="106"/>
      <c r="E634" s="107" t="s">
        <v>182</v>
      </c>
      <c r="F634" s="108" t="s">
        <v>10528</v>
      </c>
      <c r="G634" s="119">
        <v>1</v>
      </c>
      <c r="H634" s="108" t="s">
        <v>10529</v>
      </c>
      <c r="I634" s="116">
        <v>1</v>
      </c>
      <c r="J634" s="113"/>
      <c r="K634" s="108" t="s">
        <v>10530</v>
      </c>
      <c r="L634" s="116">
        <v>1</v>
      </c>
      <c r="M634" s="113"/>
      <c r="N634" s="108" t="s">
        <v>10528</v>
      </c>
      <c r="O634" s="116">
        <v>1</v>
      </c>
      <c r="P634" s="111" t="s">
        <v>40</v>
      </c>
      <c r="Q634" s="108" t="s">
        <v>10531</v>
      </c>
      <c r="R634" s="110">
        <v>3</v>
      </c>
      <c r="S634" s="113"/>
      <c r="T634" s="108" t="s">
        <v>47</v>
      </c>
      <c r="U634" s="114"/>
      <c r="V634" s="113"/>
      <c r="W634" s="108" t="s">
        <v>47</v>
      </c>
      <c r="X634" s="114"/>
      <c r="Y634" s="113"/>
      <c r="Z634" s="108" t="s">
        <v>47</v>
      </c>
      <c r="AA634" s="114"/>
      <c r="AB634" s="113"/>
      <c r="AC634" s="105" t="s">
        <v>1607</v>
      </c>
      <c r="AD634" s="115" t="s">
        <v>107</v>
      </c>
    </row>
    <row r="635" spans="1:30" x14ac:dyDescent="0.2">
      <c r="A635" s="104" t="s">
        <v>1608</v>
      </c>
      <c r="B635" s="105" t="s">
        <v>805</v>
      </c>
      <c r="C635" s="105" t="s">
        <v>1591</v>
      </c>
      <c r="D635" s="106"/>
      <c r="E635" s="107" t="s">
        <v>119</v>
      </c>
      <c r="F635" s="108" t="s">
        <v>10532</v>
      </c>
      <c r="G635" s="119">
        <v>1</v>
      </c>
      <c r="H635" s="108" t="s">
        <v>10533</v>
      </c>
      <c r="I635" s="116">
        <v>1</v>
      </c>
      <c r="J635" s="111" t="s">
        <v>40</v>
      </c>
      <c r="K635" s="108" t="s">
        <v>10534</v>
      </c>
      <c r="L635" s="116">
        <v>1</v>
      </c>
      <c r="M635" s="113"/>
      <c r="N635" s="108" t="s">
        <v>10532</v>
      </c>
      <c r="O635" s="116">
        <v>1</v>
      </c>
      <c r="P635" s="113"/>
      <c r="Q635" s="108" t="s">
        <v>1609</v>
      </c>
      <c r="R635" s="116">
        <v>1</v>
      </c>
      <c r="S635" s="113"/>
      <c r="T635" s="108" t="s">
        <v>47</v>
      </c>
      <c r="U635" s="114"/>
      <c r="V635" s="113"/>
      <c r="W635" s="108" t="s">
        <v>47</v>
      </c>
      <c r="X635" s="114"/>
      <c r="Y635" s="113"/>
      <c r="Z635" s="108" t="s">
        <v>47</v>
      </c>
      <c r="AA635" s="114"/>
      <c r="AB635" s="113"/>
      <c r="AC635" s="105" t="s">
        <v>1610</v>
      </c>
      <c r="AD635" s="115" t="s">
        <v>107</v>
      </c>
    </row>
    <row r="636" spans="1:30" x14ac:dyDescent="0.2">
      <c r="A636" s="104" t="s">
        <v>1611</v>
      </c>
      <c r="B636" s="105" t="s">
        <v>805</v>
      </c>
      <c r="C636" s="105" t="s">
        <v>1578</v>
      </c>
      <c r="D636" s="106" t="s">
        <v>514</v>
      </c>
      <c r="E636" s="107"/>
      <c r="F636" s="108" t="s">
        <v>10535</v>
      </c>
      <c r="G636" s="120">
        <v>2</v>
      </c>
      <c r="H636" s="108" t="s">
        <v>10536</v>
      </c>
      <c r="I636" s="110">
        <v>3</v>
      </c>
      <c r="J636" s="111" t="s">
        <v>46</v>
      </c>
      <c r="K636" s="108" t="s">
        <v>10537</v>
      </c>
      <c r="L636" s="117">
        <v>2</v>
      </c>
      <c r="M636" s="111" t="s">
        <v>46</v>
      </c>
      <c r="N636" s="108" t="s">
        <v>10535</v>
      </c>
      <c r="O636" s="117">
        <v>2</v>
      </c>
      <c r="P636" s="113"/>
      <c r="Q636" s="108" t="s">
        <v>10538</v>
      </c>
      <c r="R636" s="117">
        <v>2</v>
      </c>
      <c r="S636" s="111" t="s">
        <v>46</v>
      </c>
      <c r="T636" s="108" t="s">
        <v>10539</v>
      </c>
      <c r="U636" s="117">
        <v>2</v>
      </c>
      <c r="V636" s="113"/>
      <c r="W636" s="108" t="s">
        <v>10540</v>
      </c>
      <c r="X636" s="116">
        <v>1</v>
      </c>
      <c r="Y636" s="113"/>
      <c r="Z636" s="108" t="s">
        <v>10541</v>
      </c>
      <c r="AA636" s="116">
        <v>1</v>
      </c>
      <c r="AB636" s="113"/>
      <c r="AC636" s="105" t="s">
        <v>1612</v>
      </c>
      <c r="AD636" s="115" t="s">
        <v>107</v>
      </c>
    </row>
    <row r="637" spans="1:30" x14ac:dyDescent="0.2">
      <c r="A637" s="104" t="s">
        <v>1613</v>
      </c>
      <c r="B637" s="105" t="s">
        <v>805</v>
      </c>
      <c r="C637" s="105" t="s">
        <v>1578</v>
      </c>
      <c r="D637" s="106"/>
      <c r="E637" s="107"/>
      <c r="F637" s="108" t="s">
        <v>10542</v>
      </c>
      <c r="G637" s="120">
        <v>2</v>
      </c>
      <c r="H637" s="108" t="s">
        <v>1614</v>
      </c>
      <c r="I637" s="110">
        <v>3</v>
      </c>
      <c r="J637" s="111" t="s">
        <v>46</v>
      </c>
      <c r="K637" s="108" t="s">
        <v>10543</v>
      </c>
      <c r="L637" s="117">
        <v>2</v>
      </c>
      <c r="M637" s="111" t="s">
        <v>46</v>
      </c>
      <c r="N637" s="108" t="s">
        <v>10542</v>
      </c>
      <c r="O637" s="117">
        <v>2</v>
      </c>
      <c r="P637" s="111" t="s">
        <v>46</v>
      </c>
      <c r="Q637" s="108" t="s">
        <v>47</v>
      </c>
      <c r="R637" s="114"/>
      <c r="S637" s="113"/>
      <c r="T637" s="108" t="s">
        <v>47</v>
      </c>
      <c r="U637" s="114"/>
      <c r="V637" s="113"/>
      <c r="W637" s="108" t="s">
        <v>47</v>
      </c>
      <c r="X637" s="114"/>
      <c r="Y637" s="113"/>
      <c r="Z637" s="108" t="s">
        <v>47</v>
      </c>
      <c r="AA637" s="114"/>
      <c r="AB637" s="113"/>
      <c r="AC637" s="105" t="s">
        <v>1615</v>
      </c>
      <c r="AD637" s="115" t="s">
        <v>107</v>
      </c>
    </row>
    <row r="638" spans="1:30" x14ac:dyDescent="0.2">
      <c r="A638" s="104" t="s">
        <v>1616</v>
      </c>
      <c r="B638" s="105" t="s">
        <v>805</v>
      </c>
      <c r="C638" s="105" t="s">
        <v>145</v>
      </c>
      <c r="D638" s="106"/>
      <c r="E638" s="107"/>
      <c r="F638" s="108" t="s">
        <v>10544</v>
      </c>
      <c r="G638" s="120">
        <v>2</v>
      </c>
      <c r="H638" s="108" t="s">
        <v>10545</v>
      </c>
      <c r="I638" s="117">
        <v>2</v>
      </c>
      <c r="J638" s="111" t="s">
        <v>46</v>
      </c>
      <c r="K638" s="108" t="s">
        <v>10546</v>
      </c>
      <c r="L638" s="116">
        <v>1</v>
      </c>
      <c r="M638" s="113"/>
      <c r="N638" s="108" t="s">
        <v>10544</v>
      </c>
      <c r="O638" s="117">
        <v>2</v>
      </c>
      <c r="P638" s="113"/>
      <c r="Q638" s="108" t="s">
        <v>10547</v>
      </c>
      <c r="R638" s="110">
        <v>3</v>
      </c>
      <c r="S638" s="113"/>
      <c r="T638" s="108" t="s">
        <v>10548</v>
      </c>
      <c r="U638" s="110">
        <v>3</v>
      </c>
      <c r="V638" s="113"/>
      <c r="W638" s="108" t="s">
        <v>10549</v>
      </c>
      <c r="X638" s="110">
        <v>3</v>
      </c>
      <c r="Y638" s="113"/>
      <c r="Z638" s="108" t="s">
        <v>10550</v>
      </c>
      <c r="AA638" s="110">
        <v>3</v>
      </c>
      <c r="AB638" s="111" t="s">
        <v>46</v>
      </c>
      <c r="AC638" s="105" t="s">
        <v>1617</v>
      </c>
      <c r="AD638" s="115" t="s">
        <v>107</v>
      </c>
    </row>
    <row r="639" spans="1:30" x14ac:dyDescent="0.2">
      <c r="A639" s="104" t="s">
        <v>1618</v>
      </c>
      <c r="B639" s="105" t="s">
        <v>805</v>
      </c>
      <c r="C639" s="105" t="s">
        <v>1578</v>
      </c>
      <c r="D639" s="106" t="s">
        <v>514</v>
      </c>
      <c r="E639" s="107"/>
      <c r="F639" s="108" t="s">
        <v>10551</v>
      </c>
      <c r="G639" s="119">
        <v>1</v>
      </c>
      <c r="H639" s="108" t="s">
        <v>10552</v>
      </c>
      <c r="I639" s="110">
        <v>3</v>
      </c>
      <c r="J639" s="111" t="s">
        <v>46</v>
      </c>
      <c r="K639" s="108" t="s">
        <v>10553</v>
      </c>
      <c r="L639" s="117">
        <v>2</v>
      </c>
      <c r="M639" s="111" t="s">
        <v>46</v>
      </c>
      <c r="N639" s="108" t="s">
        <v>10551</v>
      </c>
      <c r="O639" s="116">
        <v>1</v>
      </c>
      <c r="P639" s="113"/>
      <c r="Q639" s="108" t="s">
        <v>10554</v>
      </c>
      <c r="R639" s="116">
        <v>1</v>
      </c>
      <c r="S639" s="113"/>
      <c r="T639" s="108" t="s">
        <v>10555</v>
      </c>
      <c r="U639" s="117">
        <v>2</v>
      </c>
      <c r="V639" s="113"/>
      <c r="W639" s="108" t="s">
        <v>10556</v>
      </c>
      <c r="X639" s="116">
        <v>1</v>
      </c>
      <c r="Y639" s="113"/>
      <c r="Z639" s="108" t="s">
        <v>10557</v>
      </c>
      <c r="AA639" s="116">
        <v>1</v>
      </c>
      <c r="AB639" s="113"/>
      <c r="AC639" s="105" t="s">
        <v>1619</v>
      </c>
      <c r="AD639" s="115" t="s">
        <v>107</v>
      </c>
    </row>
    <row r="640" spans="1:30" x14ac:dyDescent="0.2">
      <c r="A640" s="104" t="s">
        <v>1620</v>
      </c>
      <c r="B640" s="105" t="s">
        <v>805</v>
      </c>
      <c r="C640" s="105" t="s">
        <v>1578</v>
      </c>
      <c r="D640" s="106" t="s">
        <v>94</v>
      </c>
      <c r="E640" s="107"/>
      <c r="F640" s="108" t="s">
        <v>10558</v>
      </c>
      <c r="G640" s="119">
        <v>1</v>
      </c>
      <c r="H640" s="108" t="s">
        <v>10559</v>
      </c>
      <c r="I640" s="110">
        <v>3</v>
      </c>
      <c r="J640" s="111" t="s">
        <v>46</v>
      </c>
      <c r="K640" s="108" t="s">
        <v>10560</v>
      </c>
      <c r="L640" s="117">
        <v>2</v>
      </c>
      <c r="M640" s="111" t="s">
        <v>46</v>
      </c>
      <c r="N640" s="108" t="s">
        <v>10558</v>
      </c>
      <c r="O640" s="116">
        <v>1</v>
      </c>
      <c r="P640" s="113"/>
      <c r="Q640" s="108" t="s">
        <v>10561</v>
      </c>
      <c r="R640" s="116">
        <v>1</v>
      </c>
      <c r="S640" s="113"/>
      <c r="T640" s="108" t="s">
        <v>10562</v>
      </c>
      <c r="U640" s="117">
        <v>2</v>
      </c>
      <c r="V640" s="113"/>
      <c r="W640" s="108" t="s">
        <v>10563</v>
      </c>
      <c r="X640" s="116">
        <v>1</v>
      </c>
      <c r="Y640" s="113"/>
      <c r="Z640" s="108" t="s">
        <v>47</v>
      </c>
      <c r="AA640" s="114"/>
      <c r="AB640" s="113"/>
      <c r="AC640" s="105" t="s">
        <v>1621</v>
      </c>
      <c r="AD640" s="115" t="s">
        <v>107</v>
      </c>
    </row>
    <row r="641" spans="1:30" x14ac:dyDescent="0.2">
      <c r="A641" s="104" t="s">
        <v>1622</v>
      </c>
      <c r="B641" s="105" t="s">
        <v>805</v>
      </c>
      <c r="C641" s="105" t="s">
        <v>145</v>
      </c>
      <c r="D641" s="106"/>
      <c r="E641" s="107"/>
      <c r="F641" s="108" t="s">
        <v>10564</v>
      </c>
      <c r="G641" s="120">
        <v>2</v>
      </c>
      <c r="H641" s="108" t="s">
        <v>10565</v>
      </c>
      <c r="I641" s="117">
        <v>2</v>
      </c>
      <c r="J641" s="111" t="s">
        <v>46</v>
      </c>
      <c r="K641" s="108" t="s">
        <v>10566</v>
      </c>
      <c r="L641" s="116">
        <v>1</v>
      </c>
      <c r="M641" s="113"/>
      <c r="N641" s="108" t="s">
        <v>10564</v>
      </c>
      <c r="O641" s="117">
        <v>2</v>
      </c>
      <c r="P641" s="113"/>
      <c r="Q641" s="108" t="s">
        <v>10567</v>
      </c>
      <c r="R641" s="112">
        <v>4</v>
      </c>
      <c r="S641" s="111" t="s">
        <v>46</v>
      </c>
      <c r="T641" s="108" t="s">
        <v>10568</v>
      </c>
      <c r="U641" s="112">
        <v>4</v>
      </c>
      <c r="V641" s="113"/>
      <c r="W641" s="108" t="s">
        <v>10569</v>
      </c>
      <c r="X641" s="110">
        <v>3</v>
      </c>
      <c r="Y641" s="113"/>
      <c r="Z641" s="108" t="s">
        <v>10570</v>
      </c>
      <c r="AA641" s="110">
        <v>3</v>
      </c>
      <c r="AB641" s="111" t="s">
        <v>46</v>
      </c>
      <c r="AC641" s="105" t="s">
        <v>1623</v>
      </c>
      <c r="AD641" s="115" t="s">
        <v>107</v>
      </c>
    </row>
    <row r="642" spans="1:30" x14ac:dyDescent="0.2">
      <c r="A642" s="104" t="s">
        <v>10571</v>
      </c>
      <c r="B642" s="105" t="s">
        <v>805</v>
      </c>
      <c r="C642" s="105" t="s">
        <v>145</v>
      </c>
      <c r="D642" s="106"/>
      <c r="E642" s="107"/>
      <c r="F642" s="108" t="s">
        <v>10572</v>
      </c>
      <c r="G642" s="120">
        <v>2</v>
      </c>
      <c r="H642" s="108" t="s">
        <v>10573</v>
      </c>
      <c r="I642" s="117">
        <v>2</v>
      </c>
      <c r="J642" s="111" t="s">
        <v>46</v>
      </c>
      <c r="K642" s="108" t="s">
        <v>10574</v>
      </c>
      <c r="L642" s="116">
        <v>1</v>
      </c>
      <c r="M642" s="113"/>
      <c r="N642" s="108" t="s">
        <v>10572</v>
      </c>
      <c r="O642" s="117">
        <v>2</v>
      </c>
      <c r="P642" s="113"/>
      <c r="Q642" s="108" t="s">
        <v>10575</v>
      </c>
      <c r="R642" s="112">
        <v>4</v>
      </c>
      <c r="S642" s="111" t="s">
        <v>46</v>
      </c>
      <c r="T642" s="108" t="s">
        <v>10576</v>
      </c>
      <c r="U642" s="112">
        <v>4</v>
      </c>
      <c r="V642" s="113"/>
      <c r="W642" s="108" t="s">
        <v>47</v>
      </c>
      <c r="X642" s="114"/>
      <c r="Y642" s="113"/>
      <c r="Z642" s="108" t="s">
        <v>47</v>
      </c>
      <c r="AA642" s="114"/>
      <c r="AB642" s="113"/>
      <c r="AC642" s="105" t="s">
        <v>1624</v>
      </c>
      <c r="AD642" s="115" t="s">
        <v>107</v>
      </c>
    </row>
    <row r="643" spans="1:30" x14ac:dyDescent="0.2">
      <c r="A643" s="104" t="s">
        <v>1625</v>
      </c>
      <c r="B643" s="105" t="s">
        <v>805</v>
      </c>
      <c r="C643" s="105" t="s">
        <v>1578</v>
      </c>
      <c r="D643" s="106" t="s">
        <v>94</v>
      </c>
      <c r="E643" s="107"/>
      <c r="F643" s="108" t="s">
        <v>10577</v>
      </c>
      <c r="G643" s="120">
        <v>2</v>
      </c>
      <c r="H643" s="108" t="s">
        <v>10578</v>
      </c>
      <c r="I643" s="110">
        <v>3</v>
      </c>
      <c r="J643" s="113"/>
      <c r="K643" s="108" t="s">
        <v>10579</v>
      </c>
      <c r="L643" s="110">
        <v>3</v>
      </c>
      <c r="M643" s="111" t="s">
        <v>46</v>
      </c>
      <c r="N643" s="108" t="s">
        <v>10577</v>
      </c>
      <c r="O643" s="117">
        <v>2</v>
      </c>
      <c r="P643" s="113"/>
      <c r="Q643" s="108" t="s">
        <v>10580</v>
      </c>
      <c r="R643" s="117">
        <v>2</v>
      </c>
      <c r="S643" s="113"/>
      <c r="T643" s="108" t="s">
        <v>10581</v>
      </c>
      <c r="U643" s="110">
        <v>3</v>
      </c>
      <c r="V643" s="113"/>
      <c r="W643" s="108" t="s">
        <v>10582</v>
      </c>
      <c r="X643" s="117">
        <v>2</v>
      </c>
      <c r="Y643" s="113"/>
      <c r="Z643" s="108" t="s">
        <v>10583</v>
      </c>
      <c r="AA643" s="117">
        <v>2</v>
      </c>
      <c r="AB643" s="111" t="s">
        <v>46</v>
      </c>
      <c r="AC643" s="105" t="s">
        <v>1626</v>
      </c>
      <c r="AD643" s="115" t="s">
        <v>107</v>
      </c>
    </row>
    <row r="644" spans="1:30" x14ac:dyDescent="0.2">
      <c r="A644" s="104" t="s">
        <v>1627</v>
      </c>
      <c r="B644" s="105" t="s">
        <v>805</v>
      </c>
      <c r="C644" s="105" t="s">
        <v>145</v>
      </c>
      <c r="D644" s="106"/>
      <c r="E644" s="107"/>
      <c r="F644" s="108" t="s">
        <v>10584</v>
      </c>
      <c r="G644" s="120">
        <v>2</v>
      </c>
      <c r="H644" s="108" t="s">
        <v>10585</v>
      </c>
      <c r="I644" s="117">
        <v>2</v>
      </c>
      <c r="J644" s="111" t="s">
        <v>46</v>
      </c>
      <c r="K644" s="108" t="s">
        <v>10586</v>
      </c>
      <c r="L644" s="116">
        <v>1</v>
      </c>
      <c r="M644" s="113"/>
      <c r="N644" s="108" t="s">
        <v>10584</v>
      </c>
      <c r="O644" s="117">
        <v>2</v>
      </c>
      <c r="P644" s="113"/>
      <c r="Q644" s="108" t="s">
        <v>10587</v>
      </c>
      <c r="R644" s="110">
        <v>3</v>
      </c>
      <c r="S644" s="113"/>
      <c r="T644" s="108" t="s">
        <v>10588</v>
      </c>
      <c r="U644" s="110">
        <v>3</v>
      </c>
      <c r="V644" s="113"/>
      <c r="W644" s="108" t="s">
        <v>10589</v>
      </c>
      <c r="X644" s="110">
        <v>3</v>
      </c>
      <c r="Y644" s="113"/>
      <c r="Z644" s="108" t="s">
        <v>10590</v>
      </c>
      <c r="AA644" s="110">
        <v>3</v>
      </c>
      <c r="AB644" s="111" t="s">
        <v>55</v>
      </c>
      <c r="AC644" s="105" t="s">
        <v>1628</v>
      </c>
      <c r="AD644" s="115" t="s">
        <v>107</v>
      </c>
    </row>
    <row r="645" spans="1:30" x14ac:dyDescent="0.2">
      <c r="A645" s="104" t="s">
        <v>1629</v>
      </c>
      <c r="B645" s="105" t="s">
        <v>805</v>
      </c>
      <c r="C645" s="105" t="s">
        <v>1578</v>
      </c>
      <c r="D645" s="106" t="s">
        <v>514</v>
      </c>
      <c r="E645" s="107"/>
      <c r="F645" s="108" t="s">
        <v>10591</v>
      </c>
      <c r="G645" s="119">
        <v>1</v>
      </c>
      <c r="H645" s="108" t="s">
        <v>10592</v>
      </c>
      <c r="I645" s="110">
        <v>3</v>
      </c>
      <c r="J645" s="111" t="s">
        <v>46</v>
      </c>
      <c r="K645" s="108" t="s">
        <v>10593</v>
      </c>
      <c r="L645" s="117">
        <v>2</v>
      </c>
      <c r="M645" s="111" t="s">
        <v>46</v>
      </c>
      <c r="N645" s="108" t="s">
        <v>10591</v>
      </c>
      <c r="O645" s="116">
        <v>1</v>
      </c>
      <c r="P645" s="113"/>
      <c r="Q645" s="108" t="s">
        <v>10594</v>
      </c>
      <c r="R645" s="116">
        <v>1</v>
      </c>
      <c r="S645" s="113"/>
      <c r="T645" s="108" t="s">
        <v>10595</v>
      </c>
      <c r="U645" s="116">
        <v>1</v>
      </c>
      <c r="V645" s="113"/>
      <c r="W645" s="108" t="s">
        <v>10596</v>
      </c>
      <c r="X645" s="116">
        <v>1</v>
      </c>
      <c r="Y645" s="113"/>
      <c r="Z645" s="108" t="s">
        <v>10597</v>
      </c>
      <c r="AA645" s="116">
        <v>1</v>
      </c>
      <c r="AB645" s="113"/>
      <c r="AC645" s="105" t="s">
        <v>1630</v>
      </c>
      <c r="AD645" s="115" t="s">
        <v>107</v>
      </c>
    </row>
    <row r="646" spans="1:30" x14ac:dyDescent="0.2">
      <c r="A646" s="104" t="s">
        <v>1631</v>
      </c>
      <c r="B646" s="105" t="s">
        <v>805</v>
      </c>
      <c r="C646" s="105" t="s">
        <v>1578</v>
      </c>
      <c r="D646" s="106"/>
      <c r="E646" s="107"/>
      <c r="F646" s="108" t="s">
        <v>1632</v>
      </c>
      <c r="G646" s="119">
        <v>1</v>
      </c>
      <c r="H646" s="108" t="s">
        <v>10598</v>
      </c>
      <c r="I646" s="110">
        <v>3</v>
      </c>
      <c r="J646" s="111" t="s">
        <v>46</v>
      </c>
      <c r="K646" s="108" t="s">
        <v>10599</v>
      </c>
      <c r="L646" s="117">
        <v>2</v>
      </c>
      <c r="M646" s="111" t="s">
        <v>46</v>
      </c>
      <c r="N646" s="108" t="s">
        <v>1632</v>
      </c>
      <c r="O646" s="116">
        <v>1</v>
      </c>
      <c r="P646" s="113"/>
      <c r="Q646" s="108" t="s">
        <v>47</v>
      </c>
      <c r="R646" s="114"/>
      <c r="S646" s="113"/>
      <c r="T646" s="108" t="s">
        <v>47</v>
      </c>
      <c r="U646" s="114"/>
      <c r="V646" s="113"/>
      <c r="W646" s="108" t="s">
        <v>47</v>
      </c>
      <c r="X646" s="114"/>
      <c r="Y646" s="113"/>
      <c r="Z646" s="108" t="s">
        <v>47</v>
      </c>
      <c r="AA646" s="114"/>
      <c r="AB646" s="113"/>
      <c r="AC646" s="105" t="s">
        <v>1633</v>
      </c>
      <c r="AD646" s="115" t="s">
        <v>107</v>
      </c>
    </row>
    <row r="647" spans="1:30" x14ac:dyDescent="0.2">
      <c r="A647" s="104" t="s">
        <v>1634</v>
      </c>
      <c r="B647" s="105" t="s">
        <v>805</v>
      </c>
      <c r="C647" s="105" t="s">
        <v>145</v>
      </c>
      <c r="D647" s="106"/>
      <c r="E647" s="107"/>
      <c r="F647" s="108" t="s">
        <v>10600</v>
      </c>
      <c r="G647" s="120">
        <v>2</v>
      </c>
      <c r="H647" s="108" t="s">
        <v>10601</v>
      </c>
      <c r="I647" s="117">
        <v>2</v>
      </c>
      <c r="J647" s="111" t="s">
        <v>46</v>
      </c>
      <c r="K647" s="108" t="s">
        <v>10602</v>
      </c>
      <c r="L647" s="116">
        <v>1</v>
      </c>
      <c r="M647" s="113"/>
      <c r="N647" s="108" t="s">
        <v>10600</v>
      </c>
      <c r="O647" s="117">
        <v>2</v>
      </c>
      <c r="P647" s="113"/>
      <c r="Q647" s="108" t="s">
        <v>10603</v>
      </c>
      <c r="R647" s="110">
        <v>3</v>
      </c>
      <c r="S647" s="113"/>
      <c r="T647" s="108" t="s">
        <v>10604</v>
      </c>
      <c r="U647" s="110">
        <v>3</v>
      </c>
      <c r="V647" s="113"/>
      <c r="W647" s="108" t="s">
        <v>10605</v>
      </c>
      <c r="X647" s="110">
        <v>3</v>
      </c>
      <c r="Y647" s="113"/>
      <c r="Z647" s="108" t="s">
        <v>47</v>
      </c>
      <c r="AA647" s="114"/>
      <c r="AB647" s="113"/>
      <c r="AC647" s="105" t="s">
        <v>1635</v>
      </c>
      <c r="AD647" s="115" t="s">
        <v>107</v>
      </c>
    </row>
    <row r="648" spans="1:30" x14ac:dyDescent="0.2">
      <c r="A648" s="104" t="s">
        <v>1636</v>
      </c>
      <c r="B648" s="105" t="s">
        <v>805</v>
      </c>
      <c r="C648" s="105" t="s">
        <v>1578</v>
      </c>
      <c r="D648" s="106" t="s">
        <v>514</v>
      </c>
      <c r="E648" s="107"/>
      <c r="F648" s="108" t="s">
        <v>10606</v>
      </c>
      <c r="G648" s="119">
        <v>1</v>
      </c>
      <c r="H648" s="108" t="s">
        <v>8394</v>
      </c>
      <c r="I648" s="110">
        <v>3</v>
      </c>
      <c r="J648" s="111" t="s">
        <v>46</v>
      </c>
      <c r="K648" s="108" t="s">
        <v>10607</v>
      </c>
      <c r="L648" s="117">
        <v>2</v>
      </c>
      <c r="M648" s="111" t="s">
        <v>46</v>
      </c>
      <c r="N648" s="108" t="s">
        <v>10606</v>
      </c>
      <c r="O648" s="116">
        <v>1</v>
      </c>
      <c r="P648" s="113"/>
      <c r="Q648" s="108" t="s">
        <v>10608</v>
      </c>
      <c r="R648" s="116">
        <v>1</v>
      </c>
      <c r="S648" s="113"/>
      <c r="T648" s="108" t="s">
        <v>10609</v>
      </c>
      <c r="U648" s="116">
        <v>1</v>
      </c>
      <c r="V648" s="113"/>
      <c r="W648" s="108" t="s">
        <v>10610</v>
      </c>
      <c r="X648" s="116">
        <v>1</v>
      </c>
      <c r="Y648" s="113"/>
      <c r="Z648" s="108" t="s">
        <v>47</v>
      </c>
      <c r="AA648" s="114"/>
      <c r="AB648" s="113"/>
      <c r="AC648" s="105" t="s">
        <v>1637</v>
      </c>
      <c r="AD648" s="115" t="s">
        <v>107</v>
      </c>
    </row>
    <row r="649" spans="1:30" x14ac:dyDescent="0.2">
      <c r="A649" s="104" t="s">
        <v>1638</v>
      </c>
      <c r="B649" s="105" t="s">
        <v>805</v>
      </c>
      <c r="C649" s="105" t="s">
        <v>145</v>
      </c>
      <c r="D649" s="106"/>
      <c r="E649" s="107"/>
      <c r="F649" s="108" t="s">
        <v>10611</v>
      </c>
      <c r="G649" s="120">
        <v>2</v>
      </c>
      <c r="H649" s="108" t="s">
        <v>10612</v>
      </c>
      <c r="I649" s="117">
        <v>2</v>
      </c>
      <c r="J649" s="111" t="s">
        <v>46</v>
      </c>
      <c r="K649" s="108" t="s">
        <v>10613</v>
      </c>
      <c r="L649" s="116">
        <v>1</v>
      </c>
      <c r="M649" s="113"/>
      <c r="N649" s="108" t="s">
        <v>10611</v>
      </c>
      <c r="O649" s="117">
        <v>2</v>
      </c>
      <c r="P649" s="113"/>
      <c r="Q649" s="108" t="s">
        <v>10614</v>
      </c>
      <c r="R649" s="112">
        <v>4</v>
      </c>
      <c r="S649" s="111" t="s">
        <v>46</v>
      </c>
      <c r="T649" s="108" t="s">
        <v>10615</v>
      </c>
      <c r="U649" s="110">
        <v>3</v>
      </c>
      <c r="V649" s="113"/>
      <c r="W649" s="108" t="s">
        <v>10616</v>
      </c>
      <c r="X649" s="110">
        <v>3</v>
      </c>
      <c r="Y649" s="113"/>
      <c r="Z649" s="108" t="s">
        <v>47</v>
      </c>
      <c r="AA649" s="114"/>
      <c r="AB649" s="113"/>
      <c r="AC649" s="105" t="s">
        <v>1639</v>
      </c>
      <c r="AD649" s="115" t="s">
        <v>107</v>
      </c>
    </row>
    <row r="650" spans="1:30" x14ac:dyDescent="0.2">
      <c r="A650" s="104" t="s">
        <v>10617</v>
      </c>
      <c r="B650" s="105" t="s">
        <v>805</v>
      </c>
      <c r="C650" s="105" t="s">
        <v>145</v>
      </c>
      <c r="D650" s="106"/>
      <c r="E650" s="107"/>
      <c r="F650" s="108" t="s">
        <v>10618</v>
      </c>
      <c r="G650" s="120">
        <v>2</v>
      </c>
      <c r="H650" s="108" t="s">
        <v>10619</v>
      </c>
      <c r="I650" s="117">
        <v>2</v>
      </c>
      <c r="J650" s="111" t="s">
        <v>46</v>
      </c>
      <c r="K650" s="108" t="s">
        <v>10620</v>
      </c>
      <c r="L650" s="116">
        <v>1</v>
      </c>
      <c r="M650" s="113"/>
      <c r="N650" s="108" t="s">
        <v>10618</v>
      </c>
      <c r="O650" s="117">
        <v>2</v>
      </c>
      <c r="P650" s="113"/>
      <c r="Q650" s="108" t="s">
        <v>10621</v>
      </c>
      <c r="R650" s="112">
        <v>4</v>
      </c>
      <c r="S650" s="111" t="s">
        <v>46</v>
      </c>
      <c r="T650" s="108" t="s">
        <v>10622</v>
      </c>
      <c r="U650" s="110">
        <v>3</v>
      </c>
      <c r="V650" s="113"/>
      <c r="W650" s="108" t="s">
        <v>10623</v>
      </c>
      <c r="X650" s="110">
        <v>3</v>
      </c>
      <c r="Y650" s="113"/>
      <c r="Z650" s="108" t="s">
        <v>47</v>
      </c>
      <c r="AA650" s="114"/>
      <c r="AB650" s="113"/>
      <c r="AC650" s="105" t="s">
        <v>1640</v>
      </c>
      <c r="AD650" s="115" t="s">
        <v>107</v>
      </c>
    </row>
    <row r="651" spans="1:30" x14ac:dyDescent="0.2">
      <c r="A651" s="104" t="s">
        <v>1641</v>
      </c>
      <c r="B651" s="105" t="s">
        <v>805</v>
      </c>
      <c r="C651" s="105" t="s">
        <v>1578</v>
      </c>
      <c r="D651" s="106" t="s">
        <v>94</v>
      </c>
      <c r="E651" s="107"/>
      <c r="F651" s="108" t="s">
        <v>10624</v>
      </c>
      <c r="G651" s="120">
        <v>2</v>
      </c>
      <c r="H651" s="108" t="s">
        <v>10625</v>
      </c>
      <c r="I651" s="110">
        <v>3</v>
      </c>
      <c r="J651" s="111" t="s">
        <v>46</v>
      </c>
      <c r="K651" s="108" t="s">
        <v>10626</v>
      </c>
      <c r="L651" s="117">
        <v>2</v>
      </c>
      <c r="M651" s="111" t="s">
        <v>46</v>
      </c>
      <c r="N651" s="108" t="s">
        <v>10624</v>
      </c>
      <c r="O651" s="117">
        <v>2</v>
      </c>
      <c r="P651" s="111" t="s">
        <v>46</v>
      </c>
      <c r="Q651" s="108" t="s">
        <v>10627</v>
      </c>
      <c r="R651" s="117">
        <v>2</v>
      </c>
      <c r="S651" s="111" t="s">
        <v>46</v>
      </c>
      <c r="T651" s="108" t="s">
        <v>10628</v>
      </c>
      <c r="U651" s="117">
        <v>2</v>
      </c>
      <c r="V651" s="113"/>
      <c r="W651" s="108" t="s">
        <v>10629</v>
      </c>
      <c r="X651" s="117">
        <v>2</v>
      </c>
      <c r="Y651" s="113"/>
      <c r="Z651" s="108" t="s">
        <v>47</v>
      </c>
      <c r="AA651" s="114"/>
      <c r="AB651" s="113"/>
      <c r="AC651" s="105" t="s">
        <v>1642</v>
      </c>
      <c r="AD651" s="115" t="s">
        <v>107</v>
      </c>
    </row>
    <row r="652" spans="1:30" x14ac:dyDescent="0.2">
      <c r="A652" s="104" t="s">
        <v>1643</v>
      </c>
      <c r="B652" s="105" t="s">
        <v>805</v>
      </c>
      <c r="C652" s="105" t="s">
        <v>1644</v>
      </c>
      <c r="D652" s="106"/>
      <c r="E652" s="107" t="s">
        <v>146</v>
      </c>
      <c r="F652" s="108" t="s">
        <v>10630</v>
      </c>
      <c r="G652" s="119">
        <v>1</v>
      </c>
      <c r="H652" s="108" t="s">
        <v>10631</v>
      </c>
      <c r="I652" s="117">
        <v>2</v>
      </c>
      <c r="J652" s="111" t="s">
        <v>46</v>
      </c>
      <c r="K652" s="108" t="s">
        <v>10632</v>
      </c>
      <c r="L652" s="116">
        <v>1</v>
      </c>
      <c r="M652" s="113"/>
      <c r="N652" s="108" t="s">
        <v>10630</v>
      </c>
      <c r="O652" s="116">
        <v>1</v>
      </c>
      <c r="P652" s="113"/>
      <c r="Q652" s="108" t="s">
        <v>10633</v>
      </c>
      <c r="R652" s="116">
        <v>1</v>
      </c>
      <c r="S652" s="113"/>
      <c r="T652" s="108" t="s">
        <v>10634</v>
      </c>
      <c r="U652" s="110">
        <v>3</v>
      </c>
      <c r="V652" s="111" t="s">
        <v>40</v>
      </c>
      <c r="W652" s="108" t="s">
        <v>47</v>
      </c>
      <c r="X652" s="114"/>
      <c r="Y652" s="113"/>
      <c r="Z652" s="108" t="s">
        <v>47</v>
      </c>
      <c r="AA652" s="114"/>
      <c r="AB652" s="113"/>
      <c r="AC652" s="105" t="s">
        <v>1645</v>
      </c>
      <c r="AD652" s="115" t="s">
        <v>107</v>
      </c>
    </row>
    <row r="653" spans="1:30" x14ac:dyDescent="0.2">
      <c r="A653" s="104" t="s">
        <v>1646</v>
      </c>
      <c r="B653" s="105" t="s">
        <v>805</v>
      </c>
      <c r="C653" s="105" t="s">
        <v>1644</v>
      </c>
      <c r="D653" s="106"/>
      <c r="E653" s="107" t="s">
        <v>146</v>
      </c>
      <c r="F653" s="108" t="s">
        <v>10635</v>
      </c>
      <c r="G653" s="120">
        <v>2</v>
      </c>
      <c r="H653" s="108" t="s">
        <v>10636</v>
      </c>
      <c r="I653" s="117">
        <v>2</v>
      </c>
      <c r="J653" s="111" t="s">
        <v>46</v>
      </c>
      <c r="K653" s="108" t="s">
        <v>10637</v>
      </c>
      <c r="L653" s="116">
        <v>1</v>
      </c>
      <c r="M653" s="113"/>
      <c r="N653" s="108" t="s">
        <v>10635</v>
      </c>
      <c r="O653" s="117">
        <v>2</v>
      </c>
      <c r="P653" s="111" t="s">
        <v>46</v>
      </c>
      <c r="Q653" s="108" t="s">
        <v>10638</v>
      </c>
      <c r="R653" s="116">
        <v>1</v>
      </c>
      <c r="S653" s="113"/>
      <c r="T653" s="108" t="s">
        <v>10639</v>
      </c>
      <c r="U653" s="112">
        <v>4</v>
      </c>
      <c r="V653" s="113"/>
      <c r="W653" s="108" t="s">
        <v>47</v>
      </c>
      <c r="X653" s="114"/>
      <c r="Y653" s="113"/>
      <c r="Z653" s="108" t="s">
        <v>47</v>
      </c>
      <c r="AA653" s="114"/>
      <c r="AB653" s="113"/>
      <c r="AC653" s="105" t="s">
        <v>1647</v>
      </c>
      <c r="AD653" s="115" t="s">
        <v>107</v>
      </c>
    </row>
    <row r="654" spans="1:30" x14ac:dyDescent="0.2">
      <c r="A654" s="104" t="s">
        <v>1648</v>
      </c>
      <c r="B654" s="105" t="s">
        <v>805</v>
      </c>
      <c r="C654" s="105" t="s">
        <v>1644</v>
      </c>
      <c r="D654" s="106"/>
      <c r="E654" s="107" t="s">
        <v>146</v>
      </c>
      <c r="F654" s="108" t="s">
        <v>10640</v>
      </c>
      <c r="G654" s="119">
        <v>1</v>
      </c>
      <c r="H654" s="108" t="s">
        <v>10641</v>
      </c>
      <c r="I654" s="117">
        <v>2</v>
      </c>
      <c r="J654" s="111" t="s">
        <v>46</v>
      </c>
      <c r="K654" s="108" t="s">
        <v>10642</v>
      </c>
      <c r="L654" s="116">
        <v>1</v>
      </c>
      <c r="M654" s="113"/>
      <c r="N654" s="108" t="s">
        <v>10640</v>
      </c>
      <c r="O654" s="116">
        <v>1</v>
      </c>
      <c r="P654" s="113"/>
      <c r="Q654" s="108" t="s">
        <v>10643</v>
      </c>
      <c r="R654" s="116">
        <v>1</v>
      </c>
      <c r="S654" s="113"/>
      <c r="T654" s="108" t="s">
        <v>10644</v>
      </c>
      <c r="U654" s="110">
        <v>3</v>
      </c>
      <c r="V654" s="113"/>
      <c r="W654" s="108" t="s">
        <v>47</v>
      </c>
      <c r="X654" s="114"/>
      <c r="Y654" s="113"/>
      <c r="Z654" s="108" t="s">
        <v>47</v>
      </c>
      <c r="AA654" s="114"/>
      <c r="AB654" s="113"/>
      <c r="AC654" s="105" t="s">
        <v>1649</v>
      </c>
      <c r="AD654" s="115" t="s">
        <v>107</v>
      </c>
    </row>
    <row r="655" spans="1:30" x14ac:dyDescent="0.2">
      <c r="A655" s="104" t="s">
        <v>1650</v>
      </c>
      <c r="B655" s="105" t="s">
        <v>805</v>
      </c>
      <c r="C655" s="105" t="s">
        <v>1644</v>
      </c>
      <c r="D655" s="106"/>
      <c r="E655" s="107" t="s">
        <v>146</v>
      </c>
      <c r="F655" s="108" t="s">
        <v>47</v>
      </c>
      <c r="G655" s="113"/>
      <c r="H655" s="108" t="s">
        <v>47</v>
      </c>
      <c r="I655" s="114"/>
      <c r="J655" s="113"/>
      <c r="K655" s="108" t="s">
        <v>47</v>
      </c>
      <c r="L655" s="114"/>
      <c r="M655" s="113"/>
      <c r="N655" s="108" t="s">
        <v>47</v>
      </c>
      <c r="O655" s="114"/>
      <c r="P655" s="113"/>
      <c r="Q655" s="108" t="s">
        <v>47</v>
      </c>
      <c r="R655" s="114"/>
      <c r="S655" s="113"/>
      <c r="T655" s="108" t="s">
        <v>47</v>
      </c>
      <c r="U655" s="114"/>
      <c r="V655" s="113"/>
      <c r="W655" s="108" t="s">
        <v>47</v>
      </c>
      <c r="X655" s="114"/>
      <c r="Y655" s="113"/>
      <c r="Z655" s="108" t="s">
        <v>47</v>
      </c>
      <c r="AA655" s="114"/>
      <c r="AB655" s="113"/>
      <c r="AC655" s="105" t="s">
        <v>1651</v>
      </c>
      <c r="AD655" s="115" t="s">
        <v>107</v>
      </c>
    </row>
    <row r="656" spans="1:30" x14ac:dyDescent="0.2">
      <c r="A656" s="104" t="s">
        <v>1652</v>
      </c>
      <c r="B656" s="105" t="s">
        <v>805</v>
      </c>
      <c r="C656" s="105" t="s">
        <v>1644</v>
      </c>
      <c r="D656" s="106"/>
      <c r="E656" s="107" t="s">
        <v>146</v>
      </c>
      <c r="F656" s="108" t="s">
        <v>10645</v>
      </c>
      <c r="G656" s="120">
        <v>2</v>
      </c>
      <c r="H656" s="108" t="s">
        <v>10646</v>
      </c>
      <c r="I656" s="117">
        <v>2</v>
      </c>
      <c r="J656" s="111" t="s">
        <v>46</v>
      </c>
      <c r="K656" s="108" t="s">
        <v>10647</v>
      </c>
      <c r="L656" s="116">
        <v>1</v>
      </c>
      <c r="M656" s="113"/>
      <c r="N656" s="108" t="s">
        <v>10645</v>
      </c>
      <c r="O656" s="117">
        <v>2</v>
      </c>
      <c r="P656" s="111" t="s">
        <v>46</v>
      </c>
      <c r="Q656" s="108" t="s">
        <v>10648</v>
      </c>
      <c r="R656" s="116">
        <v>1</v>
      </c>
      <c r="S656" s="113"/>
      <c r="T656" s="108" t="s">
        <v>10649</v>
      </c>
      <c r="U656" s="110">
        <v>3</v>
      </c>
      <c r="V656" s="111" t="s">
        <v>40</v>
      </c>
      <c r="W656" s="108" t="s">
        <v>47</v>
      </c>
      <c r="X656" s="114"/>
      <c r="Y656" s="113"/>
      <c r="Z656" s="108" t="s">
        <v>47</v>
      </c>
      <c r="AA656" s="114"/>
      <c r="AB656" s="113"/>
      <c r="AC656" s="105" t="s">
        <v>1653</v>
      </c>
      <c r="AD656" s="115" t="s">
        <v>107</v>
      </c>
    </row>
    <row r="657" spans="1:30" x14ac:dyDescent="0.2">
      <c r="A657" s="104" t="s">
        <v>1654</v>
      </c>
      <c r="B657" s="105" t="s">
        <v>805</v>
      </c>
      <c r="C657" s="105" t="s">
        <v>384</v>
      </c>
      <c r="D657" s="106"/>
      <c r="E657" s="107" t="s">
        <v>146</v>
      </c>
      <c r="F657" s="108" t="s">
        <v>10650</v>
      </c>
      <c r="G657" s="119">
        <v>1</v>
      </c>
      <c r="H657" s="108" t="s">
        <v>10651</v>
      </c>
      <c r="I657" s="116">
        <v>1</v>
      </c>
      <c r="J657" s="113"/>
      <c r="K657" s="108" t="s">
        <v>10652</v>
      </c>
      <c r="L657" s="116">
        <v>1</v>
      </c>
      <c r="M657" s="113"/>
      <c r="N657" s="108" t="s">
        <v>10650</v>
      </c>
      <c r="O657" s="116">
        <v>1</v>
      </c>
      <c r="P657" s="113"/>
      <c r="Q657" s="108" t="s">
        <v>10653</v>
      </c>
      <c r="R657" s="116">
        <v>1</v>
      </c>
      <c r="S657" s="111" t="s">
        <v>40</v>
      </c>
      <c r="T657" s="108" t="s">
        <v>47</v>
      </c>
      <c r="U657" s="114"/>
      <c r="V657" s="113"/>
      <c r="W657" s="108" t="s">
        <v>47</v>
      </c>
      <c r="X657" s="114"/>
      <c r="Y657" s="113"/>
      <c r="Z657" s="108" t="s">
        <v>47</v>
      </c>
      <c r="AA657" s="114"/>
      <c r="AB657" s="113"/>
      <c r="AC657" s="105" t="s">
        <v>1655</v>
      </c>
      <c r="AD657" s="115" t="s">
        <v>107</v>
      </c>
    </row>
    <row r="658" spans="1:30" x14ac:dyDescent="0.2">
      <c r="A658" s="104" t="s">
        <v>1656</v>
      </c>
      <c r="B658" s="105" t="s">
        <v>805</v>
      </c>
      <c r="C658" s="105" t="s">
        <v>384</v>
      </c>
      <c r="D658" s="106"/>
      <c r="E658" s="107" t="s">
        <v>146</v>
      </c>
      <c r="F658" s="108" t="s">
        <v>10654</v>
      </c>
      <c r="G658" s="119">
        <v>1</v>
      </c>
      <c r="H658" s="108" t="s">
        <v>10655</v>
      </c>
      <c r="I658" s="116">
        <v>1</v>
      </c>
      <c r="J658" s="113"/>
      <c r="K658" s="108" t="s">
        <v>10656</v>
      </c>
      <c r="L658" s="116">
        <v>1</v>
      </c>
      <c r="M658" s="113"/>
      <c r="N658" s="108" t="s">
        <v>10654</v>
      </c>
      <c r="O658" s="116">
        <v>1</v>
      </c>
      <c r="P658" s="113"/>
      <c r="Q658" s="108" t="s">
        <v>10657</v>
      </c>
      <c r="R658" s="116">
        <v>1</v>
      </c>
      <c r="S658" s="113"/>
      <c r="T658" s="108" t="s">
        <v>47</v>
      </c>
      <c r="U658" s="114"/>
      <c r="V658" s="113"/>
      <c r="W658" s="108" t="s">
        <v>47</v>
      </c>
      <c r="X658" s="114"/>
      <c r="Y658" s="113"/>
      <c r="Z658" s="108" t="s">
        <v>47</v>
      </c>
      <c r="AA658" s="114"/>
      <c r="AB658" s="113"/>
      <c r="AC658" s="105" t="s">
        <v>1657</v>
      </c>
      <c r="AD658" s="115" t="s">
        <v>107</v>
      </c>
    </row>
    <row r="659" spans="1:30" x14ac:dyDescent="0.2">
      <c r="A659" s="104" t="s">
        <v>1658</v>
      </c>
      <c r="B659" s="105" t="s">
        <v>805</v>
      </c>
      <c r="C659" s="105" t="s">
        <v>160</v>
      </c>
      <c r="D659" s="106"/>
      <c r="E659" s="107"/>
      <c r="F659" s="108" t="s">
        <v>10658</v>
      </c>
      <c r="G659" s="118">
        <v>3</v>
      </c>
      <c r="H659" s="108" t="s">
        <v>10659</v>
      </c>
      <c r="I659" s="110">
        <v>3</v>
      </c>
      <c r="J659" s="113"/>
      <c r="K659" s="108" t="s">
        <v>10660</v>
      </c>
      <c r="L659" s="110">
        <v>3</v>
      </c>
      <c r="M659" s="113"/>
      <c r="N659" s="108" t="s">
        <v>10658</v>
      </c>
      <c r="O659" s="110">
        <v>3</v>
      </c>
      <c r="P659" s="113"/>
      <c r="Q659" s="108" t="s">
        <v>10661</v>
      </c>
      <c r="R659" s="110">
        <v>3</v>
      </c>
      <c r="S659" s="113"/>
      <c r="T659" s="108" t="s">
        <v>10662</v>
      </c>
      <c r="U659" s="112">
        <v>4</v>
      </c>
      <c r="V659" s="113"/>
      <c r="W659" s="108" t="s">
        <v>10663</v>
      </c>
      <c r="X659" s="110">
        <v>3</v>
      </c>
      <c r="Y659" s="113"/>
      <c r="Z659" s="108" t="s">
        <v>10664</v>
      </c>
      <c r="AA659" s="110">
        <v>3</v>
      </c>
      <c r="AB659" s="111" t="s">
        <v>46</v>
      </c>
      <c r="AC659" s="105" t="s">
        <v>1659</v>
      </c>
      <c r="AD659" s="115" t="s">
        <v>107</v>
      </c>
    </row>
    <row r="660" spans="1:30" x14ac:dyDescent="0.2">
      <c r="A660" s="104" t="s">
        <v>1660</v>
      </c>
      <c r="B660" s="105" t="s">
        <v>805</v>
      </c>
      <c r="C660" s="105" t="s">
        <v>160</v>
      </c>
      <c r="D660" s="106"/>
      <c r="E660" s="107"/>
      <c r="F660" s="108" t="s">
        <v>10665</v>
      </c>
      <c r="G660" s="118">
        <v>3</v>
      </c>
      <c r="H660" s="108" t="s">
        <v>10666</v>
      </c>
      <c r="I660" s="110">
        <v>3</v>
      </c>
      <c r="J660" s="111" t="s">
        <v>40</v>
      </c>
      <c r="K660" s="108" t="s">
        <v>10667</v>
      </c>
      <c r="L660" s="110">
        <v>3</v>
      </c>
      <c r="M660" s="113"/>
      <c r="N660" s="108" t="s">
        <v>10665</v>
      </c>
      <c r="O660" s="110">
        <v>3</v>
      </c>
      <c r="P660" s="113"/>
      <c r="Q660" s="108" t="s">
        <v>10668</v>
      </c>
      <c r="R660" s="110">
        <v>3</v>
      </c>
      <c r="S660" s="113"/>
      <c r="T660" s="108" t="s">
        <v>10669</v>
      </c>
      <c r="U660" s="112">
        <v>4</v>
      </c>
      <c r="V660" s="113"/>
      <c r="W660" s="108" t="s">
        <v>10670</v>
      </c>
      <c r="X660" s="110">
        <v>3</v>
      </c>
      <c r="Y660" s="113"/>
      <c r="Z660" s="108" t="s">
        <v>47</v>
      </c>
      <c r="AA660" s="114"/>
      <c r="AB660" s="113"/>
      <c r="AC660" s="105" t="s">
        <v>1661</v>
      </c>
      <c r="AD660" s="115" t="s">
        <v>107</v>
      </c>
    </row>
    <row r="661" spans="1:30" x14ac:dyDescent="0.2">
      <c r="A661" s="104" t="s">
        <v>1662</v>
      </c>
      <c r="B661" s="105" t="s">
        <v>805</v>
      </c>
      <c r="C661" s="105" t="s">
        <v>160</v>
      </c>
      <c r="D661" s="106"/>
      <c r="E661" s="107"/>
      <c r="F661" s="108" t="s">
        <v>10671</v>
      </c>
      <c r="G661" s="118">
        <v>3</v>
      </c>
      <c r="H661" s="108" t="s">
        <v>10672</v>
      </c>
      <c r="I661" s="110">
        <v>3</v>
      </c>
      <c r="J661" s="111" t="s">
        <v>40</v>
      </c>
      <c r="K661" s="108" t="s">
        <v>10673</v>
      </c>
      <c r="L661" s="110">
        <v>3</v>
      </c>
      <c r="M661" s="113"/>
      <c r="N661" s="108" t="s">
        <v>10671</v>
      </c>
      <c r="O661" s="110">
        <v>3</v>
      </c>
      <c r="P661" s="113"/>
      <c r="Q661" s="108" t="s">
        <v>10674</v>
      </c>
      <c r="R661" s="110">
        <v>3</v>
      </c>
      <c r="S661" s="113"/>
      <c r="T661" s="108" t="s">
        <v>10675</v>
      </c>
      <c r="U661" s="112">
        <v>4</v>
      </c>
      <c r="V661" s="113"/>
      <c r="W661" s="108" t="s">
        <v>10676</v>
      </c>
      <c r="X661" s="112">
        <v>4</v>
      </c>
      <c r="Y661" s="113"/>
      <c r="Z661" s="108" t="s">
        <v>10677</v>
      </c>
      <c r="AA661" s="112">
        <v>4</v>
      </c>
      <c r="AB661" s="111" t="s">
        <v>46</v>
      </c>
      <c r="AC661" s="105" t="s">
        <v>1663</v>
      </c>
      <c r="AD661" s="115" t="s">
        <v>107</v>
      </c>
    </row>
    <row r="662" spans="1:30" x14ac:dyDescent="0.2">
      <c r="A662" s="104" t="s">
        <v>1664</v>
      </c>
      <c r="B662" s="105" t="s">
        <v>805</v>
      </c>
      <c r="C662" s="105" t="s">
        <v>160</v>
      </c>
      <c r="D662" s="106"/>
      <c r="E662" s="107"/>
      <c r="F662" s="108" t="s">
        <v>10678</v>
      </c>
      <c r="G662" s="118">
        <v>3</v>
      </c>
      <c r="H662" s="108" t="s">
        <v>10679</v>
      </c>
      <c r="I662" s="110">
        <v>3</v>
      </c>
      <c r="J662" s="113"/>
      <c r="K662" s="108" t="s">
        <v>1665</v>
      </c>
      <c r="L662" s="110">
        <v>3</v>
      </c>
      <c r="M662" s="113"/>
      <c r="N662" s="108" t="s">
        <v>10678</v>
      </c>
      <c r="O662" s="110">
        <v>3</v>
      </c>
      <c r="P662" s="113"/>
      <c r="Q662" s="108" t="s">
        <v>10680</v>
      </c>
      <c r="R662" s="110">
        <v>3</v>
      </c>
      <c r="S662" s="113"/>
      <c r="T662" s="108" t="s">
        <v>10681</v>
      </c>
      <c r="U662" s="110">
        <v>3</v>
      </c>
      <c r="V662" s="113"/>
      <c r="W662" s="108" t="s">
        <v>10682</v>
      </c>
      <c r="X662" s="117">
        <v>2</v>
      </c>
      <c r="Y662" s="113"/>
      <c r="Z662" s="108" t="s">
        <v>10683</v>
      </c>
      <c r="AA662" s="117">
        <v>2</v>
      </c>
      <c r="AB662" s="113"/>
      <c r="AC662" s="105" t="s">
        <v>1666</v>
      </c>
      <c r="AD662" s="115" t="s">
        <v>107</v>
      </c>
    </row>
    <row r="663" spans="1:30" x14ac:dyDescent="0.2">
      <c r="A663" s="104" t="s">
        <v>1667</v>
      </c>
      <c r="B663" s="105" t="s">
        <v>805</v>
      </c>
      <c r="C663" s="105" t="s">
        <v>160</v>
      </c>
      <c r="D663" s="106"/>
      <c r="E663" s="107"/>
      <c r="F663" s="108" t="s">
        <v>10684</v>
      </c>
      <c r="G663" s="118">
        <v>3</v>
      </c>
      <c r="H663" s="108" t="s">
        <v>10685</v>
      </c>
      <c r="I663" s="110">
        <v>3</v>
      </c>
      <c r="J663" s="113"/>
      <c r="K663" s="108" t="s">
        <v>10686</v>
      </c>
      <c r="L663" s="110">
        <v>3</v>
      </c>
      <c r="M663" s="113"/>
      <c r="N663" s="108" t="s">
        <v>10684</v>
      </c>
      <c r="O663" s="110">
        <v>3</v>
      </c>
      <c r="P663" s="113"/>
      <c r="Q663" s="108" t="s">
        <v>10687</v>
      </c>
      <c r="R663" s="110">
        <v>3</v>
      </c>
      <c r="S663" s="113"/>
      <c r="T663" s="108" t="s">
        <v>10688</v>
      </c>
      <c r="U663" s="110">
        <v>3</v>
      </c>
      <c r="V663" s="113"/>
      <c r="W663" s="108" t="s">
        <v>47</v>
      </c>
      <c r="X663" s="114"/>
      <c r="Y663" s="113"/>
      <c r="Z663" s="108" t="s">
        <v>47</v>
      </c>
      <c r="AA663" s="114"/>
      <c r="AB663" s="113"/>
      <c r="AC663" s="105" t="s">
        <v>1668</v>
      </c>
      <c r="AD663" s="115" t="s">
        <v>107</v>
      </c>
    </row>
    <row r="664" spans="1:30" x14ac:dyDescent="0.2">
      <c r="A664" s="104" t="s">
        <v>1669</v>
      </c>
      <c r="B664" s="105" t="s">
        <v>805</v>
      </c>
      <c r="C664" s="105" t="s">
        <v>160</v>
      </c>
      <c r="D664" s="106"/>
      <c r="E664" s="107"/>
      <c r="F664" s="108" t="s">
        <v>10689</v>
      </c>
      <c r="G664" s="118">
        <v>3</v>
      </c>
      <c r="H664" s="108" t="s">
        <v>10690</v>
      </c>
      <c r="I664" s="110">
        <v>3</v>
      </c>
      <c r="J664" s="113"/>
      <c r="K664" s="108" t="s">
        <v>10691</v>
      </c>
      <c r="L664" s="110">
        <v>3</v>
      </c>
      <c r="M664" s="113"/>
      <c r="N664" s="108" t="s">
        <v>10689</v>
      </c>
      <c r="O664" s="110">
        <v>3</v>
      </c>
      <c r="P664" s="113"/>
      <c r="Q664" s="108" t="s">
        <v>10692</v>
      </c>
      <c r="R664" s="110">
        <v>3</v>
      </c>
      <c r="S664" s="113"/>
      <c r="T664" s="108" t="s">
        <v>10693</v>
      </c>
      <c r="U664" s="110">
        <v>3</v>
      </c>
      <c r="V664" s="113"/>
      <c r="W664" s="108" t="s">
        <v>10694</v>
      </c>
      <c r="X664" s="117">
        <v>2</v>
      </c>
      <c r="Y664" s="113"/>
      <c r="Z664" s="108" t="s">
        <v>47</v>
      </c>
      <c r="AA664" s="114"/>
      <c r="AB664" s="113"/>
      <c r="AC664" s="105" t="s">
        <v>1670</v>
      </c>
      <c r="AD664" s="115" t="s">
        <v>107</v>
      </c>
    </row>
    <row r="665" spans="1:30" x14ac:dyDescent="0.2">
      <c r="A665" s="104" t="s">
        <v>1671</v>
      </c>
      <c r="B665" s="105" t="s">
        <v>805</v>
      </c>
      <c r="C665" s="105" t="s">
        <v>160</v>
      </c>
      <c r="D665" s="106"/>
      <c r="E665" s="107"/>
      <c r="F665" s="108" t="s">
        <v>10695</v>
      </c>
      <c r="G665" s="118">
        <v>3</v>
      </c>
      <c r="H665" s="108" t="s">
        <v>10696</v>
      </c>
      <c r="I665" s="117">
        <v>2</v>
      </c>
      <c r="J665" s="111" t="s">
        <v>40</v>
      </c>
      <c r="K665" s="108" t="s">
        <v>10697</v>
      </c>
      <c r="L665" s="110">
        <v>3</v>
      </c>
      <c r="M665" s="113"/>
      <c r="N665" s="108" t="s">
        <v>10695</v>
      </c>
      <c r="O665" s="110">
        <v>3</v>
      </c>
      <c r="P665" s="113"/>
      <c r="Q665" s="108" t="s">
        <v>10698</v>
      </c>
      <c r="R665" s="110">
        <v>3</v>
      </c>
      <c r="S665" s="113"/>
      <c r="T665" s="108" t="s">
        <v>10699</v>
      </c>
      <c r="U665" s="110">
        <v>3</v>
      </c>
      <c r="V665" s="113"/>
      <c r="W665" s="108" t="s">
        <v>10700</v>
      </c>
      <c r="X665" s="112">
        <v>4</v>
      </c>
      <c r="Y665" s="113"/>
      <c r="Z665" s="108" t="s">
        <v>47</v>
      </c>
      <c r="AA665" s="114"/>
      <c r="AB665" s="113"/>
      <c r="AC665" s="105" t="s">
        <v>1672</v>
      </c>
      <c r="AD665" s="115" t="s">
        <v>107</v>
      </c>
    </row>
    <row r="666" spans="1:30" x14ac:dyDescent="0.2">
      <c r="A666" s="104" t="s">
        <v>1673</v>
      </c>
      <c r="B666" s="105" t="s">
        <v>805</v>
      </c>
      <c r="C666" s="105" t="s">
        <v>160</v>
      </c>
      <c r="D666" s="106"/>
      <c r="E666" s="107"/>
      <c r="F666" s="108" t="s">
        <v>47</v>
      </c>
      <c r="G666" s="113"/>
      <c r="H666" s="108" t="s">
        <v>47</v>
      </c>
      <c r="I666" s="114"/>
      <c r="J666" s="113"/>
      <c r="K666" s="108" t="s">
        <v>47</v>
      </c>
      <c r="L666" s="114"/>
      <c r="M666" s="113"/>
      <c r="N666" s="108" t="s">
        <v>47</v>
      </c>
      <c r="O666" s="114"/>
      <c r="P666" s="113"/>
      <c r="Q666" s="108" t="s">
        <v>47</v>
      </c>
      <c r="R666" s="114"/>
      <c r="S666" s="113"/>
      <c r="T666" s="108" t="s">
        <v>47</v>
      </c>
      <c r="U666" s="114"/>
      <c r="V666" s="113"/>
      <c r="W666" s="108" t="s">
        <v>47</v>
      </c>
      <c r="X666" s="114"/>
      <c r="Y666" s="113"/>
      <c r="Z666" s="108" t="s">
        <v>47</v>
      </c>
      <c r="AA666" s="114"/>
      <c r="AB666" s="113"/>
      <c r="AC666" s="105" t="s">
        <v>1674</v>
      </c>
      <c r="AD666" s="115" t="s">
        <v>107</v>
      </c>
    </row>
    <row r="667" spans="1:30" x14ac:dyDescent="0.2">
      <c r="A667" s="104" t="s">
        <v>1675</v>
      </c>
      <c r="B667" s="105" t="s">
        <v>805</v>
      </c>
      <c r="C667" s="105" t="s">
        <v>160</v>
      </c>
      <c r="D667" s="106"/>
      <c r="E667" s="107"/>
      <c r="F667" s="108" t="s">
        <v>10701</v>
      </c>
      <c r="G667" s="118">
        <v>3</v>
      </c>
      <c r="H667" s="108" t="s">
        <v>10702</v>
      </c>
      <c r="I667" s="110">
        <v>3</v>
      </c>
      <c r="J667" s="111" t="s">
        <v>40</v>
      </c>
      <c r="K667" s="108" t="s">
        <v>10703</v>
      </c>
      <c r="L667" s="110">
        <v>3</v>
      </c>
      <c r="M667" s="113"/>
      <c r="N667" s="108" t="s">
        <v>10701</v>
      </c>
      <c r="O667" s="110">
        <v>3</v>
      </c>
      <c r="P667" s="113"/>
      <c r="Q667" s="108" t="s">
        <v>10704</v>
      </c>
      <c r="R667" s="110">
        <v>3</v>
      </c>
      <c r="S667" s="113"/>
      <c r="T667" s="108" t="s">
        <v>10705</v>
      </c>
      <c r="U667" s="112">
        <v>4</v>
      </c>
      <c r="V667" s="113"/>
      <c r="W667" s="108" t="s">
        <v>10706</v>
      </c>
      <c r="X667" s="112">
        <v>4</v>
      </c>
      <c r="Y667" s="111" t="s">
        <v>46</v>
      </c>
      <c r="Z667" s="108" t="s">
        <v>47</v>
      </c>
      <c r="AA667" s="114"/>
      <c r="AB667" s="113"/>
      <c r="AC667" s="105" t="s">
        <v>1676</v>
      </c>
      <c r="AD667" s="115" t="s">
        <v>107</v>
      </c>
    </row>
    <row r="668" spans="1:30" x14ac:dyDescent="0.2">
      <c r="A668" s="104" t="s">
        <v>1677</v>
      </c>
      <c r="B668" s="105" t="s">
        <v>805</v>
      </c>
      <c r="C668" s="105" t="s">
        <v>160</v>
      </c>
      <c r="D668" s="106"/>
      <c r="E668" s="107"/>
      <c r="F668" s="108" t="s">
        <v>10707</v>
      </c>
      <c r="G668" s="120">
        <v>2</v>
      </c>
      <c r="H668" s="108" t="s">
        <v>10708</v>
      </c>
      <c r="I668" s="117">
        <v>2</v>
      </c>
      <c r="J668" s="113"/>
      <c r="K668" s="108" t="s">
        <v>10709</v>
      </c>
      <c r="L668" s="117">
        <v>2</v>
      </c>
      <c r="M668" s="113"/>
      <c r="N668" s="108" t="s">
        <v>10707</v>
      </c>
      <c r="O668" s="117">
        <v>2</v>
      </c>
      <c r="P668" s="113"/>
      <c r="Q668" s="108" t="s">
        <v>10710</v>
      </c>
      <c r="R668" s="117">
        <v>2</v>
      </c>
      <c r="S668" s="113"/>
      <c r="T668" s="108" t="s">
        <v>47</v>
      </c>
      <c r="U668" s="114"/>
      <c r="V668" s="113"/>
      <c r="W668" s="108" t="s">
        <v>47</v>
      </c>
      <c r="X668" s="114"/>
      <c r="Y668" s="113"/>
      <c r="Z668" s="108" t="s">
        <v>47</v>
      </c>
      <c r="AA668" s="114"/>
      <c r="AB668" s="113"/>
      <c r="AC668" s="105" t="s">
        <v>1678</v>
      </c>
      <c r="AD668" s="115" t="s">
        <v>107</v>
      </c>
    </row>
    <row r="669" spans="1:30" x14ac:dyDescent="0.2">
      <c r="A669" s="104" t="s">
        <v>1679</v>
      </c>
      <c r="B669" s="105" t="s">
        <v>805</v>
      </c>
      <c r="C669" s="105" t="s">
        <v>1680</v>
      </c>
      <c r="D669" s="106"/>
      <c r="E669" s="107"/>
      <c r="F669" s="108" t="s">
        <v>10711</v>
      </c>
      <c r="G669" s="119">
        <v>1</v>
      </c>
      <c r="H669" s="108" t="s">
        <v>10712</v>
      </c>
      <c r="I669" s="116">
        <v>1</v>
      </c>
      <c r="J669" s="111" t="s">
        <v>40</v>
      </c>
      <c r="K669" s="108" t="s">
        <v>1681</v>
      </c>
      <c r="L669" s="116">
        <v>1</v>
      </c>
      <c r="M669" s="113"/>
      <c r="N669" s="108" t="s">
        <v>10711</v>
      </c>
      <c r="O669" s="116">
        <v>1</v>
      </c>
      <c r="P669" s="113"/>
      <c r="Q669" s="108" t="s">
        <v>10713</v>
      </c>
      <c r="R669" s="116">
        <v>1</v>
      </c>
      <c r="S669" s="113"/>
      <c r="T669" s="108" t="s">
        <v>47</v>
      </c>
      <c r="U669" s="114"/>
      <c r="V669" s="113"/>
      <c r="W669" s="108" t="s">
        <v>47</v>
      </c>
      <c r="X669" s="114"/>
      <c r="Y669" s="113"/>
      <c r="Z669" s="108" t="s">
        <v>47</v>
      </c>
      <c r="AA669" s="114"/>
      <c r="AB669" s="113"/>
      <c r="AC669" s="105" t="s">
        <v>1682</v>
      </c>
      <c r="AD669" s="115" t="s">
        <v>107</v>
      </c>
    </row>
    <row r="670" spans="1:30" x14ac:dyDescent="0.2">
      <c r="A670" s="104" t="s">
        <v>1683</v>
      </c>
      <c r="B670" s="105" t="s">
        <v>805</v>
      </c>
      <c r="C670" s="105" t="s">
        <v>1680</v>
      </c>
      <c r="D670" s="106"/>
      <c r="E670" s="107"/>
      <c r="F670" s="108" t="s">
        <v>10714</v>
      </c>
      <c r="G670" s="119">
        <v>1</v>
      </c>
      <c r="H670" s="108" t="s">
        <v>1684</v>
      </c>
      <c r="I670" s="116">
        <v>1</v>
      </c>
      <c r="J670" s="111" t="s">
        <v>40</v>
      </c>
      <c r="K670" s="108" t="s">
        <v>10715</v>
      </c>
      <c r="L670" s="116">
        <v>1</v>
      </c>
      <c r="M670" s="113"/>
      <c r="N670" s="108" t="s">
        <v>10714</v>
      </c>
      <c r="O670" s="116">
        <v>1</v>
      </c>
      <c r="P670" s="113"/>
      <c r="Q670" s="108" t="s">
        <v>10716</v>
      </c>
      <c r="R670" s="116">
        <v>1</v>
      </c>
      <c r="S670" s="113"/>
      <c r="T670" s="108" t="s">
        <v>10717</v>
      </c>
      <c r="U670" s="116">
        <v>1</v>
      </c>
      <c r="V670" s="113"/>
      <c r="W670" s="108" t="s">
        <v>10718</v>
      </c>
      <c r="X670" s="116">
        <v>1</v>
      </c>
      <c r="Y670" s="113"/>
      <c r="Z670" s="108" t="s">
        <v>10719</v>
      </c>
      <c r="AA670" s="116">
        <v>1</v>
      </c>
      <c r="AB670" s="113"/>
      <c r="AC670" s="105" t="s">
        <v>1685</v>
      </c>
      <c r="AD670" s="115" t="s">
        <v>107</v>
      </c>
    </row>
    <row r="671" spans="1:30" x14ac:dyDescent="0.2">
      <c r="A671" s="104" t="s">
        <v>1686</v>
      </c>
      <c r="B671" s="105" t="s">
        <v>805</v>
      </c>
      <c r="C671" s="105" t="s">
        <v>1680</v>
      </c>
      <c r="D671" s="106"/>
      <c r="E671" s="107"/>
      <c r="F671" s="108" t="s">
        <v>1687</v>
      </c>
      <c r="G671" s="119">
        <v>1</v>
      </c>
      <c r="H671" s="108" t="s">
        <v>10720</v>
      </c>
      <c r="I671" s="116">
        <v>1</v>
      </c>
      <c r="J671" s="111" t="s">
        <v>40</v>
      </c>
      <c r="K671" s="108" t="s">
        <v>10721</v>
      </c>
      <c r="L671" s="116">
        <v>1</v>
      </c>
      <c r="M671" s="113"/>
      <c r="N671" s="108" t="s">
        <v>1687</v>
      </c>
      <c r="O671" s="116">
        <v>1</v>
      </c>
      <c r="P671" s="113"/>
      <c r="Q671" s="108" t="s">
        <v>10722</v>
      </c>
      <c r="R671" s="116">
        <v>1</v>
      </c>
      <c r="S671" s="113"/>
      <c r="T671" s="108" t="s">
        <v>1688</v>
      </c>
      <c r="U671" s="116">
        <v>1</v>
      </c>
      <c r="V671" s="113"/>
      <c r="W671" s="108" t="s">
        <v>1689</v>
      </c>
      <c r="X671" s="116">
        <v>1</v>
      </c>
      <c r="Y671" s="113"/>
      <c r="Z671" s="108" t="s">
        <v>47</v>
      </c>
      <c r="AA671" s="114"/>
      <c r="AB671" s="113"/>
      <c r="AC671" s="105" t="s">
        <v>1690</v>
      </c>
      <c r="AD671" s="115" t="s">
        <v>107</v>
      </c>
    </row>
    <row r="672" spans="1:30" x14ac:dyDescent="0.2">
      <c r="A672" s="104" t="s">
        <v>1691</v>
      </c>
      <c r="B672" s="105" t="s">
        <v>805</v>
      </c>
      <c r="C672" s="105" t="s">
        <v>1680</v>
      </c>
      <c r="D672" s="106"/>
      <c r="E672" s="107"/>
      <c r="F672" s="108" t="s">
        <v>1692</v>
      </c>
      <c r="G672" s="119">
        <v>1</v>
      </c>
      <c r="H672" s="108" t="s">
        <v>10723</v>
      </c>
      <c r="I672" s="116">
        <v>1</v>
      </c>
      <c r="J672" s="111" t="s">
        <v>40</v>
      </c>
      <c r="K672" s="108" t="s">
        <v>10724</v>
      </c>
      <c r="L672" s="116">
        <v>1</v>
      </c>
      <c r="M672" s="113"/>
      <c r="N672" s="108" t="s">
        <v>1692</v>
      </c>
      <c r="O672" s="116">
        <v>1</v>
      </c>
      <c r="P672" s="113"/>
      <c r="Q672" s="108" t="s">
        <v>1693</v>
      </c>
      <c r="R672" s="116">
        <v>1</v>
      </c>
      <c r="S672" s="113"/>
      <c r="T672" s="108" t="s">
        <v>1694</v>
      </c>
      <c r="U672" s="116">
        <v>1</v>
      </c>
      <c r="V672" s="113"/>
      <c r="W672" s="108" t="s">
        <v>1695</v>
      </c>
      <c r="X672" s="116">
        <v>1</v>
      </c>
      <c r="Y672" s="113"/>
      <c r="Z672" s="108" t="s">
        <v>10725</v>
      </c>
      <c r="AA672" s="117">
        <v>2</v>
      </c>
      <c r="AB672" s="111" t="s">
        <v>46</v>
      </c>
      <c r="AC672" s="105" t="s">
        <v>1696</v>
      </c>
      <c r="AD672" s="115" t="s">
        <v>107</v>
      </c>
    </row>
    <row r="673" spans="1:30" x14ac:dyDescent="0.2">
      <c r="A673" s="104" t="s">
        <v>1697</v>
      </c>
      <c r="B673" s="105" t="s">
        <v>805</v>
      </c>
      <c r="C673" s="105" t="s">
        <v>1680</v>
      </c>
      <c r="D673" s="106"/>
      <c r="E673" s="107"/>
      <c r="F673" s="108" t="s">
        <v>10726</v>
      </c>
      <c r="G673" s="119">
        <v>1</v>
      </c>
      <c r="H673" s="108" t="s">
        <v>1698</v>
      </c>
      <c r="I673" s="116">
        <v>1</v>
      </c>
      <c r="J673" s="111" t="s">
        <v>40</v>
      </c>
      <c r="K673" s="108" t="s">
        <v>10727</v>
      </c>
      <c r="L673" s="116">
        <v>1</v>
      </c>
      <c r="M673" s="113"/>
      <c r="N673" s="108" t="s">
        <v>10726</v>
      </c>
      <c r="O673" s="116">
        <v>1</v>
      </c>
      <c r="P673" s="113"/>
      <c r="Q673" s="108" t="s">
        <v>10728</v>
      </c>
      <c r="R673" s="116">
        <v>1</v>
      </c>
      <c r="S673" s="113"/>
      <c r="T673" s="108" t="s">
        <v>1699</v>
      </c>
      <c r="U673" s="116">
        <v>1</v>
      </c>
      <c r="V673" s="113"/>
      <c r="W673" s="108" t="s">
        <v>1700</v>
      </c>
      <c r="X673" s="116">
        <v>1</v>
      </c>
      <c r="Y673" s="113"/>
      <c r="Z673" s="108" t="s">
        <v>10729</v>
      </c>
      <c r="AA673" s="116">
        <v>1</v>
      </c>
      <c r="AB673" s="113"/>
      <c r="AC673" s="105" t="s">
        <v>1701</v>
      </c>
      <c r="AD673" s="115" t="s">
        <v>107</v>
      </c>
    </row>
    <row r="674" spans="1:30" x14ac:dyDescent="0.2">
      <c r="A674" s="104" t="s">
        <v>1702</v>
      </c>
      <c r="B674" s="105" t="s">
        <v>805</v>
      </c>
      <c r="C674" s="105" t="s">
        <v>1680</v>
      </c>
      <c r="D674" s="106"/>
      <c r="E674" s="107"/>
      <c r="F674" s="108" t="s">
        <v>47</v>
      </c>
      <c r="G674" s="113"/>
      <c r="H674" s="108" t="s">
        <v>47</v>
      </c>
      <c r="I674" s="114"/>
      <c r="J674" s="113"/>
      <c r="K674" s="108" t="s">
        <v>47</v>
      </c>
      <c r="L674" s="114"/>
      <c r="M674" s="113"/>
      <c r="N674" s="108" t="s">
        <v>47</v>
      </c>
      <c r="O674" s="114"/>
      <c r="P674" s="113"/>
      <c r="Q674" s="108" t="s">
        <v>47</v>
      </c>
      <c r="R674" s="114"/>
      <c r="S674" s="113"/>
      <c r="T674" s="108" t="s">
        <v>47</v>
      </c>
      <c r="U674" s="114"/>
      <c r="V674" s="113"/>
      <c r="W674" s="108" t="s">
        <v>47</v>
      </c>
      <c r="X674" s="114"/>
      <c r="Y674" s="113"/>
      <c r="Z674" s="108" t="s">
        <v>47</v>
      </c>
      <c r="AA674" s="114"/>
      <c r="AB674" s="113"/>
      <c r="AC674" s="105" t="s">
        <v>1703</v>
      </c>
      <c r="AD674" s="115" t="s">
        <v>107</v>
      </c>
    </row>
    <row r="675" spans="1:30" x14ac:dyDescent="0.2">
      <c r="A675" s="104" t="s">
        <v>1704</v>
      </c>
      <c r="B675" s="105" t="s">
        <v>805</v>
      </c>
      <c r="C675" s="105" t="s">
        <v>1680</v>
      </c>
      <c r="D675" s="106"/>
      <c r="E675" s="107"/>
      <c r="F675" s="108" t="s">
        <v>10730</v>
      </c>
      <c r="G675" s="119">
        <v>1</v>
      </c>
      <c r="H675" s="108" t="s">
        <v>10731</v>
      </c>
      <c r="I675" s="116">
        <v>1</v>
      </c>
      <c r="J675" s="113"/>
      <c r="K675" s="108" t="s">
        <v>10732</v>
      </c>
      <c r="L675" s="116">
        <v>1</v>
      </c>
      <c r="M675" s="113"/>
      <c r="N675" s="108" t="s">
        <v>10730</v>
      </c>
      <c r="O675" s="116">
        <v>1</v>
      </c>
      <c r="P675" s="113"/>
      <c r="Q675" s="108" t="s">
        <v>10733</v>
      </c>
      <c r="R675" s="116">
        <v>1</v>
      </c>
      <c r="S675" s="113"/>
      <c r="T675" s="108" t="s">
        <v>1705</v>
      </c>
      <c r="U675" s="116">
        <v>1</v>
      </c>
      <c r="V675" s="113"/>
      <c r="W675" s="108" t="s">
        <v>1706</v>
      </c>
      <c r="X675" s="116">
        <v>1</v>
      </c>
      <c r="Y675" s="113"/>
      <c r="Z675" s="108" t="s">
        <v>47</v>
      </c>
      <c r="AA675" s="114"/>
      <c r="AB675" s="113"/>
      <c r="AC675" s="105" t="s">
        <v>1707</v>
      </c>
      <c r="AD675" s="115" t="s">
        <v>107</v>
      </c>
    </row>
    <row r="676" spans="1:30" x14ac:dyDescent="0.2">
      <c r="A676" s="104" t="s">
        <v>1708</v>
      </c>
      <c r="B676" s="105" t="s">
        <v>805</v>
      </c>
      <c r="C676" s="105" t="s">
        <v>1680</v>
      </c>
      <c r="D676" s="106"/>
      <c r="E676" s="107"/>
      <c r="F676" s="108" t="s">
        <v>10714</v>
      </c>
      <c r="G676" s="119">
        <v>1</v>
      </c>
      <c r="H676" s="108" t="s">
        <v>1684</v>
      </c>
      <c r="I676" s="116">
        <v>1</v>
      </c>
      <c r="J676" s="113"/>
      <c r="K676" s="108" t="s">
        <v>10715</v>
      </c>
      <c r="L676" s="116">
        <v>1</v>
      </c>
      <c r="M676" s="113"/>
      <c r="N676" s="108" t="s">
        <v>10714</v>
      </c>
      <c r="O676" s="116">
        <v>1</v>
      </c>
      <c r="P676" s="113"/>
      <c r="Q676" s="108" t="s">
        <v>10734</v>
      </c>
      <c r="R676" s="116">
        <v>1</v>
      </c>
      <c r="S676" s="113"/>
      <c r="T676" s="108" t="s">
        <v>1709</v>
      </c>
      <c r="U676" s="116">
        <v>1</v>
      </c>
      <c r="V676" s="113"/>
      <c r="W676" s="108" t="s">
        <v>1710</v>
      </c>
      <c r="X676" s="116">
        <v>1</v>
      </c>
      <c r="Y676" s="113"/>
      <c r="Z676" s="108" t="s">
        <v>47</v>
      </c>
      <c r="AA676" s="114"/>
      <c r="AB676" s="113"/>
      <c r="AC676" s="105" t="s">
        <v>1711</v>
      </c>
      <c r="AD676" s="115" t="s">
        <v>107</v>
      </c>
    </row>
    <row r="677" spans="1:30" x14ac:dyDescent="0.2">
      <c r="A677" s="104" t="s">
        <v>1712</v>
      </c>
      <c r="B677" s="105" t="s">
        <v>805</v>
      </c>
      <c r="C677" s="105" t="s">
        <v>1680</v>
      </c>
      <c r="D677" s="106"/>
      <c r="E677" s="107"/>
      <c r="F677" s="108" t="s">
        <v>10735</v>
      </c>
      <c r="G677" s="119">
        <v>1</v>
      </c>
      <c r="H677" s="108" t="s">
        <v>1713</v>
      </c>
      <c r="I677" s="116">
        <v>1</v>
      </c>
      <c r="J677" s="113"/>
      <c r="K677" s="108" t="s">
        <v>10736</v>
      </c>
      <c r="L677" s="116">
        <v>1</v>
      </c>
      <c r="M677" s="113"/>
      <c r="N677" s="108" t="s">
        <v>10735</v>
      </c>
      <c r="O677" s="116">
        <v>1</v>
      </c>
      <c r="P677" s="113"/>
      <c r="Q677" s="108" t="s">
        <v>10737</v>
      </c>
      <c r="R677" s="116">
        <v>1</v>
      </c>
      <c r="S677" s="113"/>
      <c r="T677" s="108" t="s">
        <v>47</v>
      </c>
      <c r="U677" s="114"/>
      <c r="V677" s="113"/>
      <c r="W677" s="108" t="s">
        <v>47</v>
      </c>
      <c r="X677" s="114"/>
      <c r="Y677" s="113"/>
      <c r="Z677" s="108" t="s">
        <v>47</v>
      </c>
      <c r="AA677" s="114"/>
      <c r="AB677" s="113"/>
      <c r="AC677" s="105" t="s">
        <v>1714</v>
      </c>
      <c r="AD677" s="115" t="s">
        <v>107</v>
      </c>
    </row>
    <row r="678" spans="1:30" x14ac:dyDescent="0.2">
      <c r="A678" s="104" t="s">
        <v>1715</v>
      </c>
      <c r="B678" s="105" t="s">
        <v>805</v>
      </c>
      <c r="C678" s="105" t="s">
        <v>1680</v>
      </c>
      <c r="D678" s="106"/>
      <c r="E678" s="107"/>
      <c r="F678" s="108" t="s">
        <v>47</v>
      </c>
      <c r="G678" s="113"/>
      <c r="H678" s="108" t="s">
        <v>47</v>
      </c>
      <c r="I678" s="114"/>
      <c r="J678" s="113"/>
      <c r="K678" s="108" t="s">
        <v>47</v>
      </c>
      <c r="L678" s="114"/>
      <c r="M678" s="113"/>
      <c r="N678" s="108" t="s">
        <v>47</v>
      </c>
      <c r="O678" s="114"/>
      <c r="P678" s="113"/>
      <c r="Q678" s="108" t="s">
        <v>47</v>
      </c>
      <c r="R678" s="114"/>
      <c r="S678" s="113"/>
      <c r="T678" s="108" t="s">
        <v>47</v>
      </c>
      <c r="U678" s="114"/>
      <c r="V678" s="113"/>
      <c r="W678" s="108" t="s">
        <v>47</v>
      </c>
      <c r="X678" s="114"/>
      <c r="Y678" s="113"/>
      <c r="Z678" s="108" t="s">
        <v>47</v>
      </c>
      <c r="AA678" s="114"/>
      <c r="AB678" s="113"/>
      <c r="AC678" s="105" t="s">
        <v>1716</v>
      </c>
      <c r="AD678" s="115" t="s">
        <v>107</v>
      </c>
    </row>
    <row r="679" spans="1:30" x14ac:dyDescent="0.2">
      <c r="A679" s="104" t="s">
        <v>1717</v>
      </c>
      <c r="B679" s="105" t="s">
        <v>805</v>
      </c>
      <c r="C679" s="105" t="s">
        <v>495</v>
      </c>
      <c r="D679" s="106" t="s">
        <v>105</v>
      </c>
      <c r="E679" s="107" t="s">
        <v>182</v>
      </c>
      <c r="F679" s="108" t="s">
        <v>10738</v>
      </c>
      <c r="G679" s="120">
        <v>2</v>
      </c>
      <c r="H679" s="108" t="s">
        <v>10739</v>
      </c>
      <c r="I679" s="116">
        <v>1</v>
      </c>
      <c r="J679" s="113"/>
      <c r="K679" s="108" t="s">
        <v>10740</v>
      </c>
      <c r="L679" s="116">
        <v>1</v>
      </c>
      <c r="M679" s="111" t="s">
        <v>40</v>
      </c>
      <c r="N679" s="108" t="s">
        <v>10738</v>
      </c>
      <c r="O679" s="117">
        <v>2</v>
      </c>
      <c r="P679" s="111" t="s">
        <v>40</v>
      </c>
      <c r="Q679" s="108" t="s">
        <v>10741</v>
      </c>
      <c r="R679" s="110">
        <v>3</v>
      </c>
      <c r="S679" s="111" t="s">
        <v>40</v>
      </c>
      <c r="T679" s="108" t="s">
        <v>1718</v>
      </c>
      <c r="U679" s="112">
        <v>4</v>
      </c>
      <c r="V679" s="113"/>
      <c r="W679" s="108" t="s">
        <v>10742</v>
      </c>
      <c r="X679" s="110">
        <v>3</v>
      </c>
      <c r="Y679" s="111" t="s">
        <v>40</v>
      </c>
      <c r="Z679" s="108" t="s">
        <v>10743</v>
      </c>
      <c r="AA679" s="110">
        <v>3</v>
      </c>
      <c r="AB679" s="113"/>
      <c r="AC679" s="105" t="s">
        <v>1719</v>
      </c>
      <c r="AD679" s="115" t="s">
        <v>107</v>
      </c>
    </row>
    <row r="680" spans="1:30" x14ac:dyDescent="0.2">
      <c r="A680" s="104" t="s">
        <v>1720</v>
      </c>
      <c r="B680" s="105" t="s">
        <v>805</v>
      </c>
      <c r="C680" s="105" t="s">
        <v>495</v>
      </c>
      <c r="D680" s="106" t="s">
        <v>125</v>
      </c>
      <c r="E680" s="107" t="s">
        <v>182</v>
      </c>
      <c r="F680" s="108" t="s">
        <v>10744</v>
      </c>
      <c r="G680" s="120">
        <v>2</v>
      </c>
      <c r="H680" s="108" t="s">
        <v>10745</v>
      </c>
      <c r="I680" s="116">
        <v>1</v>
      </c>
      <c r="J680" s="113"/>
      <c r="K680" s="108" t="s">
        <v>10746</v>
      </c>
      <c r="L680" s="116">
        <v>1</v>
      </c>
      <c r="M680" s="111" t="s">
        <v>40</v>
      </c>
      <c r="N680" s="108" t="s">
        <v>10744</v>
      </c>
      <c r="O680" s="117">
        <v>2</v>
      </c>
      <c r="P680" s="111" t="s">
        <v>40</v>
      </c>
      <c r="Q680" s="108" t="s">
        <v>10747</v>
      </c>
      <c r="R680" s="110">
        <v>3</v>
      </c>
      <c r="S680" s="113"/>
      <c r="T680" s="108" t="s">
        <v>10748</v>
      </c>
      <c r="U680" s="110">
        <v>3</v>
      </c>
      <c r="V680" s="113"/>
      <c r="W680" s="108" t="s">
        <v>10749</v>
      </c>
      <c r="X680" s="110">
        <v>3</v>
      </c>
      <c r="Y680" s="113"/>
      <c r="Z680" s="108" t="s">
        <v>10750</v>
      </c>
      <c r="AA680" s="117">
        <v>2</v>
      </c>
      <c r="AB680" s="113"/>
      <c r="AC680" s="105" t="s">
        <v>1721</v>
      </c>
      <c r="AD680" s="115" t="s">
        <v>107</v>
      </c>
    </row>
    <row r="681" spans="1:30" x14ac:dyDescent="0.2">
      <c r="A681" s="104" t="s">
        <v>1722</v>
      </c>
      <c r="B681" s="105" t="s">
        <v>805</v>
      </c>
      <c r="C681" s="105" t="s">
        <v>495</v>
      </c>
      <c r="D681" s="106" t="s">
        <v>105</v>
      </c>
      <c r="E681" s="107" t="s">
        <v>146</v>
      </c>
      <c r="F681" s="108" t="s">
        <v>10751</v>
      </c>
      <c r="G681" s="118">
        <v>3</v>
      </c>
      <c r="H681" s="108" t="s">
        <v>1723</v>
      </c>
      <c r="I681" s="112">
        <v>4</v>
      </c>
      <c r="J681" s="111" t="s">
        <v>55</v>
      </c>
      <c r="K681" s="108" t="s">
        <v>10752</v>
      </c>
      <c r="L681" s="110">
        <v>3</v>
      </c>
      <c r="M681" s="111" t="s">
        <v>46</v>
      </c>
      <c r="N681" s="108" t="s">
        <v>10751</v>
      </c>
      <c r="O681" s="110">
        <v>3</v>
      </c>
      <c r="P681" s="111" t="s">
        <v>46</v>
      </c>
      <c r="Q681" s="108" t="s">
        <v>10753</v>
      </c>
      <c r="R681" s="110">
        <v>3</v>
      </c>
      <c r="S681" s="113"/>
      <c r="T681" s="108" t="s">
        <v>10754</v>
      </c>
      <c r="U681" s="112">
        <v>4</v>
      </c>
      <c r="V681" s="113"/>
      <c r="W681" s="108" t="s">
        <v>10755</v>
      </c>
      <c r="X681" s="112">
        <v>4</v>
      </c>
      <c r="Y681" s="113"/>
      <c r="Z681" s="108" t="s">
        <v>10756</v>
      </c>
      <c r="AA681" s="117">
        <v>2</v>
      </c>
      <c r="AB681" s="113"/>
      <c r="AC681" s="105" t="s">
        <v>1724</v>
      </c>
      <c r="AD681" s="115" t="s">
        <v>107</v>
      </c>
    </row>
    <row r="682" spans="1:30" x14ac:dyDescent="0.2">
      <c r="A682" s="104" t="s">
        <v>1725</v>
      </c>
      <c r="B682" s="105" t="s">
        <v>805</v>
      </c>
      <c r="C682" s="105" t="s">
        <v>495</v>
      </c>
      <c r="D682" s="106" t="s">
        <v>105</v>
      </c>
      <c r="E682" s="107" t="s">
        <v>146</v>
      </c>
      <c r="F682" s="108" t="s">
        <v>10757</v>
      </c>
      <c r="G682" s="118">
        <v>3</v>
      </c>
      <c r="H682" s="108" t="s">
        <v>10758</v>
      </c>
      <c r="I682" s="112">
        <v>4</v>
      </c>
      <c r="J682" s="111" t="s">
        <v>55</v>
      </c>
      <c r="K682" s="108" t="s">
        <v>10759</v>
      </c>
      <c r="L682" s="110">
        <v>3</v>
      </c>
      <c r="M682" s="111" t="s">
        <v>46</v>
      </c>
      <c r="N682" s="108" t="s">
        <v>10757</v>
      </c>
      <c r="O682" s="110">
        <v>3</v>
      </c>
      <c r="P682" s="111" t="s">
        <v>46</v>
      </c>
      <c r="Q682" s="108" t="s">
        <v>10760</v>
      </c>
      <c r="R682" s="110">
        <v>3</v>
      </c>
      <c r="S682" s="113"/>
      <c r="T682" s="108" t="s">
        <v>10761</v>
      </c>
      <c r="U682" s="112">
        <v>4</v>
      </c>
      <c r="V682" s="113"/>
      <c r="W682" s="108" t="s">
        <v>47</v>
      </c>
      <c r="X682" s="114"/>
      <c r="Y682" s="113"/>
      <c r="Z682" s="108" t="s">
        <v>47</v>
      </c>
      <c r="AA682" s="114"/>
      <c r="AB682" s="113"/>
      <c r="AC682" s="105" t="s">
        <v>1726</v>
      </c>
      <c r="AD682" s="115" t="s">
        <v>107</v>
      </c>
    </row>
    <row r="683" spans="1:30" x14ac:dyDescent="0.2">
      <c r="A683" s="104" t="s">
        <v>1727</v>
      </c>
      <c r="B683" s="105" t="s">
        <v>805</v>
      </c>
      <c r="C683" s="105" t="s">
        <v>1728</v>
      </c>
      <c r="D683" s="106"/>
      <c r="E683" s="107" t="s">
        <v>99</v>
      </c>
      <c r="F683" s="108" t="s">
        <v>8578</v>
      </c>
      <c r="G683" s="109">
        <v>4</v>
      </c>
      <c r="H683" s="108" t="s">
        <v>10762</v>
      </c>
      <c r="I683" s="112">
        <v>4</v>
      </c>
      <c r="J683" s="111" t="s">
        <v>46</v>
      </c>
      <c r="K683" s="108" t="s">
        <v>10763</v>
      </c>
      <c r="L683" s="112">
        <v>4</v>
      </c>
      <c r="M683" s="113"/>
      <c r="N683" s="108" t="s">
        <v>8578</v>
      </c>
      <c r="O683" s="112">
        <v>4</v>
      </c>
      <c r="P683" s="111" t="s">
        <v>46</v>
      </c>
      <c r="Q683" s="108" t="s">
        <v>10764</v>
      </c>
      <c r="R683" s="117">
        <v>2</v>
      </c>
      <c r="S683" s="113"/>
      <c r="T683" s="108" t="s">
        <v>47</v>
      </c>
      <c r="U683" s="114"/>
      <c r="V683" s="113"/>
      <c r="W683" s="108" t="s">
        <v>47</v>
      </c>
      <c r="X683" s="114"/>
      <c r="Y683" s="113"/>
      <c r="Z683" s="108" t="s">
        <v>47</v>
      </c>
      <c r="AA683" s="114"/>
      <c r="AB683" s="113"/>
      <c r="AC683" s="105" t="s">
        <v>1729</v>
      </c>
      <c r="AD683" s="115" t="s">
        <v>107</v>
      </c>
    </row>
    <row r="684" spans="1:30" x14ac:dyDescent="0.2">
      <c r="A684" s="104" t="s">
        <v>1730</v>
      </c>
      <c r="B684" s="105" t="s">
        <v>805</v>
      </c>
      <c r="C684" s="105" t="s">
        <v>495</v>
      </c>
      <c r="D684" s="106" t="s">
        <v>298</v>
      </c>
      <c r="E684" s="107" t="s">
        <v>146</v>
      </c>
      <c r="F684" s="108" t="s">
        <v>10765</v>
      </c>
      <c r="G684" s="118">
        <v>3</v>
      </c>
      <c r="H684" s="108" t="s">
        <v>10766</v>
      </c>
      <c r="I684" s="112">
        <v>4</v>
      </c>
      <c r="J684" s="111" t="s">
        <v>55</v>
      </c>
      <c r="K684" s="108" t="s">
        <v>10767</v>
      </c>
      <c r="L684" s="110">
        <v>3</v>
      </c>
      <c r="M684" s="111" t="s">
        <v>46</v>
      </c>
      <c r="N684" s="108" t="s">
        <v>10765</v>
      </c>
      <c r="O684" s="110">
        <v>3</v>
      </c>
      <c r="P684" s="111" t="s">
        <v>46</v>
      </c>
      <c r="Q684" s="108" t="s">
        <v>10768</v>
      </c>
      <c r="R684" s="112">
        <v>4</v>
      </c>
      <c r="S684" s="113"/>
      <c r="T684" s="108" t="s">
        <v>10769</v>
      </c>
      <c r="U684" s="112">
        <v>4</v>
      </c>
      <c r="V684" s="113"/>
      <c r="W684" s="108" t="s">
        <v>10770</v>
      </c>
      <c r="X684" s="112">
        <v>4</v>
      </c>
      <c r="Y684" s="113"/>
      <c r="Z684" s="108" t="s">
        <v>1731</v>
      </c>
      <c r="AA684" s="117">
        <v>2</v>
      </c>
      <c r="AB684" s="113"/>
      <c r="AC684" s="105" t="s">
        <v>1732</v>
      </c>
      <c r="AD684" s="115" t="s">
        <v>107</v>
      </c>
    </row>
    <row r="685" spans="1:30" x14ac:dyDescent="0.2">
      <c r="A685" s="104" t="s">
        <v>1733</v>
      </c>
      <c r="B685" s="105" t="s">
        <v>805</v>
      </c>
      <c r="C685" s="105" t="s">
        <v>495</v>
      </c>
      <c r="D685" s="106" t="s">
        <v>125</v>
      </c>
      <c r="E685" s="107" t="s">
        <v>146</v>
      </c>
      <c r="F685" s="108" t="s">
        <v>10771</v>
      </c>
      <c r="G685" s="120">
        <v>2</v>
      </c>
      <c r="H685" s="108" t="s">
        <v>10772</v>
      </c>
      <c r="I685" s="112">
        <v>4</v>
      </c>
      <c r="J685" s="111" t="s">
        <v>55</v>
      </c>
      <c r="K685" s="108" t="s">
        <v>10773</v>
      </c>
      <c r="L685" s="110">
        <v>3</v>
      </c>
      <c r="M685" s="111" t="s">
        <v>46</v>
      </c>
      <c r="N685" s="108" t="s">
        <v>10771</v>
      </c>
      <c r="O685" s="117">
        <v>2</v>
      </c>
      <c r="P685" s="113"/>
      <c r="Q685" s="108" t="s">
        <v>10774</v>
      </c>
      <c r="R685" s="110">
        <v>3</v>
      </c>
      <c r="S685" s="113"/>
      <c r="T685" s="108" t="s">
        <v>10775</v>
      </c>
      <c r="U685" s="110">
        <v>3</v>
      </c>
      <c r="V685" s="113"/>
      <c r="W685" s="108" t="s">
        <v>10776</v>
      </c>
      <c r="X685" s="110">
        <v>3</v>
      </c>
      <c r="Y685" s="113"/>
      <c r="Z685" s="108" t="s">
        <v>10777</v>
      </c>
      <c r="AA685" s="116">
        <v>1</v>
      </c>
      <c r="AB685" s="113"/>
      <c r="AC685" s="105" t="s">
        <v>1734</v>
      </c>
      <c r="AD685" s="115" t="s">
        <v>107</v>
      </c>
    </row>
    <row r="686" spans="1:30" x14ac:dyDescent="0.2">
      <c r="A686" s="104" t="s">
        <v>1735</v>
      </c>
      <c r="B686" s="105" t="s">
        <v>805</v>
      </c>
      <c r="C686" s="105" t="s">
        <v>495</v>
      </c>
      <c r="D686" s="106" t="s">
        <v>105</v>
      </c>
      <c r="E686" s="107" t="s">
        <v>146</v>
      </c>
      <c r="F686" s="108" t="s">
        <v>10778</v>
      </c>
      <c r="G686" s="120">
        <v>2</v>
      </c>
      <c r="H686" s="108" t="s">
        <v>1736</v>
      </c>
      <c r="I686" s="112">
        <v>4</v>
      </c>
      <c r="J686" s="111" t="s">
        <v>55</v>
      </c>
      <c r="K686" s="108" t="s">
        <v>10779</v>
      </c>
      <c r="L686" s="110">
        <v>3</v>
      </c>
      <c r="M686" s="111" t="s">
        <v>46</v>
      </c>
      <c r="N686" s="108" t="s">
        <v>10778</v>
      </c>
      <c r="O686" s="117">
        <v>2</v>
      </c>
      <c r="P686" s="113"/>
      <c r="Q686" s="108" t="s">
        <v>1737</v>
      </c>
      <c r="R686" s="110">
        <v>3</v>
      </c>
      <c r="S686" s="113"/>
      <c r="T686" s="108" t="s">
        <v>10780</v>
      </c>
      <c r="U686" s="110">
        <v>3</v>
      </c>
      <c r="V686" s="113"/>
      <c r="W686" s="108" t="s">
        <v>47</v>
      </c>
      <c r="X686" s="114"/>
      <c r="Y686" s="113"/>
      <c r="Z686" s="108" t="s">
        <v>47</v>
      </c>
      <c r="AA686" s="114"/>
      <c r="AB686" s="113"/>
      <c r="AC686" s="105" t="s">
        <v>1738</v>
      </c>
      <c r="AD686" s="115" t="s">
        <v>107</v>
      </c>
    </row>
    <row r="687" spans="1:30" x14ac:dyDescent="0.2">
      <c r="A687" s="104" t="s">
        <v>1739</v>
      </c>
      <c r="B687" s="105" t="s">
        <v>805</v>
      </c>
      <c r="C687" s="105" t="s">
        <v>495</v>
      </c>
      <c r="D687" s="106" t="s">
        <v>125</v>
      </c>
      <c r="E687" s="107" t="s">
        <v>146</v>
      </c>
      <c r="F687" s="108" t="s">
        <v>10781</v>
      </c>
      <c r="G687" s="120">
        <v>2</v>
      </c>
      <c r="H687" s="108" t="s">
        <v>1740</v>
      </c>
      <c r="I687" s="112">
        <v>4</v>
      </c>
      <c r="J687" s="111" t="s">
        <v>55</v>
      </c>
      <c r="K687" s="108" t="s">
        <v>10782</v>
      </c>
      <c r="L687" s="110">
        <v>3</v>
      </c>
      <c r="M687" s="111" t="s">
        <v>46</v>
      </c>
      <c r="N687" s="108" t="s">
        <v>10781</v>
      </c>
      <c r="O687" s="117">
        <v>2</v>
      </c>
      <c r="P687" s="113"/>
      <c r="Q687" s="108" t="s">
        <v>10783</v>
      </c>
      <c r="R687" s="110">
        <v>3</v>
      </c>
      <c r="S687" s="113"/>
      <c r="T687" s="108" t="s">
        <v>10784</v>
      </c>
      <c r="U687" s="110">
        <v>3</v>
      </c>
      <c r="V687" s="113"/>
      <c r="W687" s="108" t="s">
        <v>10785</v>
      </c>
      <c r="X687" s="110">
        <v>3</v>
      </c>
      <c r="Y687" s="113"/>
      <c r="Z687" s="108" t="s">
        <v>47</v>
      </c>
      <c r="AA687" s="114"/>
      <c r="AB687" s="113"/>
      <c r="AC687" s="105" t="s">
        <v>1741</v>
      </c>
      <c r="AD687" s="115" t="s">
        <v>107</v>
      </c>
    </row>
    <row r="688" spans="1:30" x14ac:dyDescent="0.2">
      <c r="A688" s="104" t="s">
        <v>1742</v>
      </c>
      <c r="B688" s="105" t="s">
        <v>805</v>
      </c>
      <c r="C688" s="105" t="s">
        <v>495</v>
      </c>
      <c r="D688" s="106" t="s">
        <v>105</v>
      </c>
      <c r="E688" s="107" t="s">
        <v>146</v>
      </c>
      <c r="F688" s="108" t="s">
        <v>10786</v>
      </c>
      <c r="G688" s="120">
        <v>2</v>
      </c>
      <c r="H688" s="108" t="s">
        <v>1743</v>
      </c>
      <c r="I688" s="112">
        <v>4</v>
      </c>
      <c r="J688" s="111" t="s">
        <v>55</v>
      </c>
      <c r="K688" s="108" t="s">
        <v>10787</v>
      </c>
      <c r="L688" s="110">
        <v>3</v>
      </c>
      <c r="M688" s="111" t="s">
        <v>46</v>
      </c>
      <c r="N688" s="108" t="s">
        <v>10786</v>
      </c>
      <c r="O688" s="117">
        <v>2</v>
      </c>
      <c r="P688" s="113"/>
      <c r="Q688" s="108" t="s">
        <v>9413</v>
      </c>
      <c r="R688" s="110">
        <v>3</v>
      </c>
      <c r="S688" s="113"/>
      <c r="T688" s="108" t="s">
        <v>10788</v>
      </c>
      <c r="U688" s="110">
        <v>3</v>
      </c>
      <c r="V688" s="113"/>
      <c r="W688" s="108" t="s">
        <v>10789</v>
      </c>
      <c r="X688" s="110">
        <v>3</v>
      </c>
      <c r="Y688" s="113"/>
      <c r="Z688" s="108" t="s">
        <v>10790</v>
      </c>
      <c r="AA688" s="116">
        <v>1</v>
      </c>
      <c r="AB688" s="113"/>
      <c r="AC688" s="105" t="s">
        <v>1744</v>
      </c>
      <c r="AD688" s="115" t="s">
        <v>107</v>
      </c>
    </row>
    <row r="689" spans="1:30" x14ac:dyDescent="0.2">
      <c r="A689" s="104" t="s">
        <v>1745</v>
      </c>
      <c r="B689" s="105" t="s">
        <v>805</v>
      </c>
      <c r="C689" s="105" t="s">
        <v>495</v>
      </c>
      <c r="D689" s="106" t="s">
        <v>105</v>
      </c>
      <c r="E689" s="107" t="s">
        <v>146</v>
      </c>
      <c r="F689" s="108" t="s">
        <v>10791</v>
      </c>
      <c r="G689" s="118">
        <v>3</v>
      </c>
      <c r="H689" s="108" t="s">
        <v>1746</v>
      </c>
      <c r="I689" s="112">
        <v>4</v>
      </c>
      <c r="J689" s="111" t="s">
        <v>55</v>
      </c>
      <c r="K689" s="108" t="s">
        <v>10792</v>
      </c>
      <c r="L689" s="110">
        <v>3</v>
      </c>
      <c r="M689" s="111" t="s">
        <v>46</v>
      </c>
      <c r="N689" s="108" t="s">
        <v>10791</v>
      </c>
      <c r="O689" s="110">
        <v>3</v>
      </c>
      <c r="P689" s="111" t="s">
        <v>46</v>
      </c>
      <c r="Q689" s="108" t="s">
        <v>10793</v>
      </c>
      <c r="R689" s="110">
        <v>3</v>
      </c>
      <c r="S689" s="113"/>
      <c r="T689" s="108" t="s">
        <v>10794</v>
      </c>
      <c r="U689" s="110">
        <v>3</v>
      </c>
      <c r="V689" s="113"/>
      <c r="W689" s="108" t="s">
        <v>47</v>
      </c>
      <c r="X689" s="114"/>
      <c r="Y689" s="113"/>
      <c r="Z689" s="108" t="s">
        <v>47</v>
      </c>
      <c r="AA689" s="114"/>
      <c r="AB689" s="113"/>
      <c r="AC689" s="105" t="s">
        <v>1747</v>
      </c>
      <c r="AD689" s="115" t="s">
        <v>107</v>
      </c>
    </row>
    <row r="690" spans="1:30" x14ac:dyDescent="0.2">
      <c r="A690" s="104" t="s">
        <v>1748</v>
      </c>
      <c r="B690" s="105" t="s">
        <v>805</v>
      </c>
      <c r="C690" s="105" t="s">
        <v>495</v>
      </c>
      <c r="D690" s="106" t="s">
        <v>298</v>
      </c>
      <c r="E690" s="107" t="s">
        <v>146</v>
      </c>
      <c r="F690" s="108" t="s">
        <v>10795</v>
      </c>
      <c r="G690" s="118">
        <v>3</v>
      </c>
      <c r="H690" s="108" t="s">
        <v>10796</v>
      </c>
      <c r="I690" s="112">
        <v>4</v>
      </c>
      <c r="J690" s="111" t="s">
        <v>55</v>
      </c>
      <c r="K690" s="108" t="s">
        <v>10797</v>
      </c>
      <c r="L690" s="110">
        <v>3</v>
      </c>
      <c r="M690" s="111" t="s">
        <v>46</v>
      </c>
      <c r="N690" s="108" t="s">
        <v>10795</v>
      </c>
      <c r="O690" s="110">
        <v>3</v>
      </c>
      <c r="P690" s="111" t="s">
        <v>46</v>
      </c>
      <c r="Q690" s="108" t="s">
        <v>10798</v>
      </c>
      <c r="R690" s="110">
        <v>3</v>
      </c>
      <c r="S690" s="113"/>
      <c r="T690" s="108" t="s">
        <v>10799</v>
      </c>
      <c r="U690" s="112">
        <v>4</v>
      </c>
      <c r="V690" s="113"/>
      <c r="W690" s="108" t="s">
        <v>10800</v>
      </c>
      <c r="X690" s="112">
        <v>4</v>
      </c>
      <c r="Y690" s="113"/>
      <c r="Z690" s="108" t="s">
        <v>47</v>
      </c>
      <c r="AA690" s="114"/>
      <c r="AB690" s="113"/>
      <c r="AC690" s="105" t="s">
        <v>1749</v>
      </c>
      <c r="AD690" s="115" t="s">
        <v>107</v>
      </c>
    </row>
    <row r="691" spans="1:30" x14ac:dyDescent="0.2">
      <c r="A691" s="104" t="s">
        <v>1750</v>
      </c>
      <c r="B691" s="105" t="s">
        <v>805</v>
      </c>
      <c r="C691" s="105" t="s">
        <v>1751</v>
      </c>
      <c r="D691" s="106"/>
      <c r="E691" s="107" t="s">
        <v>146</v>
      </c>
      <c r="F691" s="108" t="s">
        <v>47</v>
      </c>
      <c r="G691" s="113"/>
      <c r="H691" s="108" t="s">
        <v>47</v>
      </c>
      <c r="I691" s="114"/>
      <c r="J691" s="113"/>
      <c r="K691" s="108" t="s">
        <v>47</v>
      </c>
      <c r="L691" s="114"/>
      <c r="M691" s="113"/>
      <c r="N691" s="108" t="s">
        <v>47</v>
      </c>
      <c r="O691" s="114"/>
      <c r="P691" s="113"/>
      <c r="Q691" s="108" t="s">
        <v>47</v>
      </c>
      <c r="R691" s="114"/>
      <c r="S691" s="113"/>
      <c r="T691" s="108" t="s">
        <v>47</v>
      </c>
      <c r="U691" s="114"/>
      <c r="V691" s="113"/>
      <c r="W691" s="108" t="s">
        <v>47</v>
      </c>
      <c r="X691" s="114"/>
      <c r="Y691" s="113"/>
      <c r="Z691" s="108" t="s">
        <v>47</v>
      </c>
      <c r="AA691" s="114"/>
      <c r="AB691" s="113"/>
      <c r="AC691" s="105" t="s">
        <v>1752</v>
      </c>
      <c r="AD691" s="115" t="s">
        <v>107</v>
      </c>
    </row>
    <row r="692" spans="1:30" x14ac:dyDescent="0.2">
      <c r="A692" s="104" t="s">
        <v>1753</v>
      </c>
      <c r="B692" s="105" t="s">
        <v>805</v>
      </c>
      <c r="C692" s="105" t="s">
        <v>1751</v>
      </c>
      <c r="D692" s="106" t="s">
        <v>125</v>
      </c>
      <c r="E692" s="107" t="s">
        <v>146</v>
      </c>
      <c r="F692" s="108" t="s">
        <v>10801</v>
      </c>
      <c r="G692" s="118">
        <v>3</v>
      </c>
      <c r="H692" s="108" t="s">
        <v>10802</v>
      </c>
      <c r="I692" s="110">
        <v>3</v>
      </c>
      <c r="J692" s="113"/>
      <c r="K692" s="108" t="s">
        <v>10803</v>
      </c>
      <c r="L692" s="110">
        <v>3</v>
      </c>
      <c r="M692" s="111" t="s">
        <v>46</v>
      </c>
      <c r="N692" s="108" t="s">
        <v>10801</v>
      </c>
      <c r="O692" s="110">
        <v>3</v>
      </c>
      <c r="P692" s="113"/>
      <c r="Q692" s="108" t="s">
        <v>10804</v>
      </c>
      <c r="R692" s="110">
        <v>3</v>
      </c>
      <c r="S692" s="113"/>
      <c r="T692" s="108" t="s">
        <v>10805</v>
      </c>
      <c r="U692" s="110">
        <v>3</v>
      </c>
      <c r="V692" s="113"/>
      <c r="W692" s="108" t="s">
        <v>10806</v>
      </c>
      <c r="X692" s="110">
        <v>3</v>
      </c>
      <c r="Y692" s="113"/>
      <c r="Z692" s="108" t="s">
        <v>10807</v>
      </c>
      <c r="AA692" s="112">
        <v>4</v>
      </c>
      <c r="AB692" s="113"/>
      <c r="AC692" s="105" t="s">
        <v>1754</v>
      </c>
      <c r="AD692" s="115" t="s">
        <v>107</v>
      </c>
    </row>
    <row r="693" spans="1:30" x14ac:dyDescent="0.2">
      <c r="A693" s="104" t="s">
        <v>1755</v>
      </c>
      <c r="B693" s="105" t="s">
        <v>805</v>
      </c>
      <c r="C693" s="105" t="s">
        <v>1751</v>
      </c>
      <c r="D693" s="106" t="s">
        <v>125</v>
      </c>
      <c r="E693" s="107" t="s">
        <v>146</v>
      </c>
      <c r="F693" s="108" t="s">
        <v>10808</v>
      </c>
      <c r="G693" s="118">
        <v>3</v>
      </c>
      <c r="H693" s="108" t="s">
        <v>10809</v>
      </c>
      <c r="I693" s="117">
        <v>2</v>
      </c>
      <c r="J693" s="111" t="s">
        <v>40</v>
      </c>
      <c r="K693" s="108" t="s">
        <v>10810</v>
      </c>
      <c r="L693" s="110">
        <v>3</v>
      </c>
      <c r="M693" s="113"/>
      <c r="N693" s="108" t="s">
        <v>10808</v>
      </c>
      <c r="O693" s="110">
        <v>3</v>
      </c>
      <c r="P693" s="113"/>
      <c r="Q693" s="108" t="s">
        <v>10811</v>
      </c>
      <c r="R693" s="110">
        <v>3</v>
      </c>
      <c r="S693" s="113"/>
      <c r="T693" s="108" t="s">
        <v>10812</v>
      </c>
      <c r="U693" s="110">
        <v>3</v>
      </c>
      <c r="V693" s="113"/>
      <c r="W693" s="108" t="s">
        <v>10813</v>
      </c>
      <c r="X693" s="110">
        <v>3</v>
      </c>
      <c r="Y693" s="113"/>
      <c r="Z693" s="108" t="s">
        <v>10814</v>
      </c>
      <c r="AA693" s="112">
        <v>4</v>
      </c>
      <c r="AB693" s="113"/>
      <c r="AC693" s="105" t="s">
        <v>1756</v>
      </c>
      <c r="AD693" s="115" t="s">
        <v>107</v>
      </c>
    </row>
    <row r="694" spans="1:30" x14ac:dyDescent="0.2">
      <c r="A694" s="104" t="s">
        <v>1757</v>
      </c>
      <c r="B694" s="105" t="s">
        <v>805</v>
      </c>
      <c r="C694" s="105" t="s">
        <v>1751</v>
      </c>
      <c r="D694" s="106" t="s">
        <v>105</v>
      </c>
      <c r="E694" s="107" t="s">
        <v>146</v>
      </c>
      <c r="F694" s="108" t="s">
        <v>10815</v>
      </c>
      <c r="G694" s="118">
        <v>3</v>
      </c>
      <c r="H694" s="108" t="s">
        <v>10816</v>
      </c>
      <c r="I694" s="110">
        <v>3</v>
      </c>
      <c r="J694" s="113"/>
      <c r="K694" s="108" t="s">
        <v>10817</v>
      </c>
      <c r="L694" s="112">
        <v>4</v>
      </c>
      <c r="M694" s="111" t="s">
        <v>46</v>
      </c>
      <c r="N694" s="108" t="s">
        <v>10815</v>
      </c>
      <c r="O694" s="110">
        <v>3</v>
      </c>
      <c r="P694" s="113"/>
      <c r="Q694" s="108" t="s">
        <v>10818</v>
      </c>
      <c r="R694" s="110">
        <v>3</v>
      </c>
      <c r="S694" s="111" t="s">
        <v>40</v>
      </c>
      <c r="T694" s="108" t="s">
        <v>10819</v>
      </c>
      <c r="U694" s="112">
        <v>4</v>
      </c>
      <c r="V694" s="113"/>
      <c r="W694" s="108" t="s">
        <v>10820</v>
      </c>
      <c r="X694" s="112">
        <v>4</v>
      </c>
      <c r="Y694" s="113"/>
      <c r="Z694" s="108" t="s">
        <v>47</v>
      </c>
      <c r="AA694" s="114"/>
      <c r="AB694" s="113"/>
      <c r="AC694" s="105" t="s">
        <v>1758</v>
      </c>
      <c r="AD694" s="115" t="s">
        <v>107</v>
      </c>
    </row>
    <row r="695" spans="1:30" x14ac:dyDescent="0.2">
      <c r="A695" s="104" t="s">
        <v>1759</v>
      </c>
      <c r="B695" s="105" t="s">
        <v>805</v>
      </c>
      <c r="C695" s="105" t="s">
        <v>1751</v>
      </c>
      <c r="D695" s="106" t="s">
        <v>125</v>
      </c>
      <c r="E695" s="107" t="s">
        <v>146</v>
      </c>
      <c r="F695" s="108" t="s">
        <v>10821</v>
      </c>
      <c r="G695" s="120">
        <v>2</v>
      </c>
      <c r="H695" s="108" t="s">
        <v>10822</v>
      </c>
      <c r="I695" s="117">
        <v>2</v>
      </c>
      <c r="J695" s="113"/>
      <c r="K695" s="108" t="s">
        <v>10823</v>
      </c>
      <c r="L695" s="117">
        <v>2</v>
      </c>
      <c r="M695" s="113"/>
      <c r="N695" s="108" t="s">
        <v>10821</v>
      </c>
      <c r="O695" s="117">
        <v>2</v>
      </c>
      <c r="P695" s="113"/>
      <c r="Q695" s="108" t="s">
        <v>10824</v>
      </c>
      <c r="R695" s="117">
        <v>2</v>
      </c>
      <c r="S695" s="111" t="s">
        <v>40</v>
      </c>
      <c r="T695" s="108" t="s">
        <v>10825</v>
      </c>
      <c r="U695" s="117">
        <v>2</v>
      </c>
      <c r="V695" s="113"/>
      <c r="W695" s="108" t="s">
        <v>10826</v>
      </c>
      <c r="X695" s="117">
        <v>2</v>
      </c>
      <c r="Y695" s="113"/>
      <c r="Z695" s="108" t="s">
        <v>10827</v>
      </c>
      <c r="AA695" s="110">
        <v>3</v>
      </c>
      <c r="AB695" s="113"/>
      <c r="AC695" s="105" t="s">
        <v>1760</v>
      </c>
      <c r="AD695" s="115" t="s">
        <v>107</v>
      </c>
    </row>
    <row r="696" spans="1:30" x14ac:dyDescent="0.2">
      <c r="A696" s="104" t="s">
        <v>1761</v>
      </c>
      <c r="B696" s="105" t="s">
        <v>805</v>
      </c>
      <c r="C696" s="105" t="s">
        <v>1751</v>
      </c>
      <c r="D696" s="106" t="s">
        <v>125</v>
      </c>
      <c r="E696" s="107" t="s">
        <v>146</v>
      </c>
      <c r="F696" s="108" t="s">
        <v>10828</v>
      </c>
      <c r="G696" s="120">
        <v>2</v>
      </c>
      <c r="H696" s="108" t="s">
        <v>10829</v>
      </c>
      <c r="I696" s="117">
        <v>2</v>
      </c>
      <c r="J696" s="113"/>
      <c r="K696" s="108" t="s">
        <v>10830</v>
      </c>
      <c r="L696" s="117">
        <v>2</v>
      </c>
      <c r="M696" s="113"/>
      <c r="N696" s="108" t="s">
        <v>10828</v>
      </c>
      <c r="O696" s="117">
        <v>2</v>
      </c>
      <c r="P696" s="113"/>
      <c r="Q696" s="108" t="s">
        <v>10831</v>
      </c>
      <c r="R696" s="117">
        <v>2</v>
      </c>
      <c r="S696" s="113"/>
      <c r="T696" s="108" t="s">
        <v>10832</v>
      </c>
      <c r="U696" s="117">
        <v>2</v>
      </c>
      <c r="V696" s="113"/>
      <c r="W696" s="108" t="s">
        <v>47</v>
      </c>
      <c r="X696" s="114"/>
      <c r="Y696" s="113"/>
      <c r="Z696" s="108" t="s">
        <v>47</v>
      </c>
      <c r="AA696" s="114"/>
      <c r="AB696" s="113"/>
      <c r="AC696" s="105" t="s">
        <v>1762</v>
      </c>
      <c r="AD696" s="115" t="s">
        <v>107</v>
      </c>
    </row>
    <row r="697" spans="1:30" x14ac:dyDescent="0.2">
      <c r="A697" s="104" t="s">
        <v>1763</v>
      </c>
      <c r="B697" s="105" t="s">
        <v>805</v>
      </c>
      <c r="C697" s="105" t="s">
        <v>1764</v>
      </c>
      <c r="D697" s="106"/>
      <c r="E697" s="107" t="s">
        <v>146</v>
      </c>
      <c r="F697" s="108" t="s">
        <v>47</v>
      </c>
      <c r="G697" s="113"/>
      <c r="H697" s="108" t="s">
        <v>47</v>
      </c>
      <c r="I697" s="114"/>
      <c r="J697" s="113"/>
      <c r="K697" s="108" t="s">
        <v>47</v>
      </c>
      <c r="L697" s="114"/>
      <c r="M697" s="113"/>
      <c r="N697" s="108" t="s">
        <v>47</v>
      </c>
      <c r="O697" s="114"/>
      <c r="P697" s="113"/>
      <c r="Q697" s="108" t="s">
        <v>47</v>
      </c>
      <c r="R697" s="114"/>
      <c r="S697" s="113"/>
      <c r="T697" s="108" t="s">
        <v>47</v>
      </c>
      <c r="U697" s="114"/>
      <c r="V697" s="113"/>
      <c r="W697" s="108" t="s">
        <v>47</v>
      </c>
      <c r="X697" s="114"/>
      <c r="Y697" s="113"/>
      <c r="Z697" s="108" t="s">
        <v>47</v>
      </c>
      <c r="AA697" s="114"/>
      <c r="AB697" s="113"/>
      <c r="AC697" s="105" t="s">
        <v>1765</v>
      </c>
      <c r="AD697" s="115" t="s">
        <v>107</v>
      </c>
    </row>
    <row r="698" spans="1:30" x14ac:dyDescent="0.2">
      <c r="A698" s="104" t="s">
        <v>1766</v>
      </c>
      <c r="B698" s="105" t="s">
        <v>805</v>
      </c>
      <c r="C698" s="105" t="s">
        <v>1751</v>
      </c>
      <c r="D698" s="106"/>
      <c r="E698" s="107" t="s">
        <v>146</v>
      </c>
      <c r="F698" s="108" t="s">
        <v>47</v>
      </c>
      <c r="G698" s="113"/>
      <c r="H698" s="108" t="s">
        <v>47</v>
      </c>
      <c r="I698" s="114"/>
      <c r="J698" s="113"/>
      <c r="K698" s="108" t="s">
        <v>47</v>
      </c>
      <c r="L698" s="114"/>
      <c r="M698" s="113"/>
      <c r="N698" s="108" t="s">
        <v>47</v>
      </c>
      <c r="O698" s="114"/>
      <c r="P698" s="113"/>
      <c r="Q698" s="108" t="s">
        <v>47</v>
      </c>
      <c r="R698" s="114"/>
      <c r="S698" s="113"/>
      <c r="T698" s="108" t="s">
        <v>47</v>
      </c>
      <c r="U698" s="114"/>
      <c r="V698" s="113"/>
      <c r="W698" s="108" t="s">
        <v>47</v>
      </c>
      <c r="X698" s="114"/>
      <c r="Y698" s="113"/>
      <c r="Z698" s="108" t="s">
        <v>47</v>
      </c>
      <c r="AA698" s="114"/>
      <c r="AB698" s="113"/>
      <c r="AC698" s="105" t="s">
        <v>1767</v>
      </c>
      <c r="AD698" s="115" t="s">
        <v>107</v>
      </c>
    </row>
    <row r="699" spans="1:30" x14ac:dyDescent="0.2">
      <c r="A699" s="104" t="s">
        <v>1768</v>
      </c>
      <c r="B699" s="105" t="s">
        <v>805</v>
      </c>
      <c r="C699" s="105" t="s">
        <v>1751</v>
      </c>
      <c r="D699" s="106" t="s">
        <v>125</v>
      </c>
      <c r="E699" s="107" t="s">
        <v>146</v>
      </c>
      <c r="F699" s="108" t="s">
        <v>10833</v>
      </c>
      <c r="G699" s="120">
        <v>2</v>
      </c>
      <c r="H699" s="108" t="s">
        <v>10834</v>
      </c>
      <c r="I699" s="117">
        <v>2</v>
      </c>
      <c r="J699" s="113"/>
      <c r="K699" s="108" t="s">
        <v>10835</v>
      </c>
      <c r="L699" s="117">
        <v>2</v>
      </c>
      <c r="M699" s="113"/>
      <c r="N699" s="108" t="s">
        <v>10833</v>
      </c>
      <c r="O699" s="117">
        <v>2</v>
      </c>
      <c r="P699" s="113"/>
      <c r="Q699" s="108" t="s">
        <v>10836</v>
      </c>
      <c r="R699" s="117">
        <v>2</v>
      </c>
      <c r="S699" s="111" t="s">
        <v>40</v>
      </c>
      <c r="T699" s="108" t="s">
        <v>10837</v>
      </c>
      <c r="U699" s="117">
        <v>2</v>
      </c>
      <c r="V699" s="113"/>
      <c r="W699" s="108" t="s">
        <v>10838</v>
      </c>
      <c r="X699" s="117">
        <v>2</v>
      </c>
      <c r="Y699" s="113"/>
      <c r="Z699" s="108" t="s">
        <v>10839</v>
      </c>
      <c r="AA699" s="110">
        <v>3</v>
      </c>
      <c r="AB699" s="113"/>
      <c r="AC699" s="105" t="s">
        <v>1769</v>
      </c>
      <c r="AD699" s="115" t="s">
        <v>107</v>
      </c>
    </row>
    <row r="700" spans="1:30" x14ac:dyDescent="0.2">
      <c r="A700" s="104" t="s">
        <v>1770</v>
      </c>
      <c r="B700" s="105" t="s">
        <v>805</v>
      </c>
      <c r="C700" s="105" t="s">
        <v>1751</v>
      </c>
      <c r="D700" s="106" t="s">
        <v>125</v>
      </c>
      <c r="E700" s="107" t="s">
        <v>146</v>
      </c>
      <c r="F700" s="108" t="s">
        <v>10840</v>
      </c>
      <c r="G700" s="118">
        <v>3</v>
      </c>
      <c r="H700" s="108" t="s">
        <v>10841</v>
      </c>
      <c r="I700" s="110">
        <v>3</v>
      </c>
      <c r="J700" s="113"/>
      <c r="K700" s="108" t="s">
        <v>10842</v>
      </c>
      <c r="L700" s="110">
        <v>3</v>
      </c>
      <c r="M700" s="111" t="s">
        <v>46</v>
      </c>
      <c r="N700" s="108" t="s">
        <v>10840</v>
      </c>
      <c r="O700" s="110">
        <v>3</v>
      </c>
      <c r="P700" s="113"/>
      <c r="Q700" s="108" t="s">
        <v>10843</v>
      </c>
      <c r="R700" s="110">
        <v>3</v>
      </c>
      <c r="S700" s="113"/>
      <c r="T700" s="108" t="s">
        <v>10844</v>
      </c>
      <c r="U700" s="110">
        <v>3</v>
      </c>
      <c r="V700" s="113"/>
      <c r="W700" s="108" t="s">
        <v>10845</v>
      </c>
      <c r="X700" s="110">
        <v>3</v>
      </c>
      <c r="Y700" s="113"/>
      <c r="Z700" s="108" t="s">
        <v>10846</v>
      </c>
      <c r="AA700" s="112">
        <v>4</v>
      </c>
      <c r="AB700" s="113"/>
      <c r="AC700" s="105" t="s">
        <v>1771</v>
      </c>
      <c r="AD700" s="115" t="s">
        <v>107</v>
      </c>
    </row>
    <row r="701" spans="1:30" x14ac:dyDescent="0.2">
      <c r="A701" s="104" t="s">
        <v>1772</v>
      </c>
      <c r="B701" s="105" t="s">
        <v>805</v>
      </c>
      <c r="C701" s="105" t="s">
        <v>347</v>
      </c>
      <c r="D701" s="106" t="s">
        <v>125</v>
      </c>
      <c r="E701" s="107" t="s">
        <v>99</v>
      </c>
      <c r="F701" s="108" t="s">
        <v>1443</v>
      </c>
      <c r="G701" s="118">
        <v>3</v>
      </c>
      <c r="H701" s="108" t="s">
        <v>10847</v>
      </c>
      <c r="I701" s="112">
        <v>4</v>
      </c>
      <c r="J701" s="111" t="s">
        <v>55</v>
      </c>
      <c r="K701" s="108" t="s">
        <v>10848</v>
      </c>
      <c r="L701" s="117">
        <v>2</v>
      </c>
      <c r="M701" s="111" t="s">
        <v>46</v>
      </c>
      <c r="N701" s="108" t="s">
        <v>1443</v>
      </c>
      <c r="O701" s="110">
        <v>3</v>
      </c>
      <c r="P701" s="111" t="s">
        <v>55</v>
      </c>
      <c r="Q701" s="108" t="s">
        <v>10849</v>
      </c>
      <c r="R701" s="112">
        <v>4</v>
      </c>
      <c r="S701" s="113"/>
      <c r="T701" s="108" t="s">
        <v>10850</v>
      </c>
      <c r="U701" s="112">
        <v>4</v>
      </c>
      <c r="V701" s="113"/>
      <c r="W701" s="108" t="s">
        <v>1773</v>
      </c>
      <c r="X701" s="112">
        <v>4</v>
      </c>
      <c r="Y701" s="113"/>
      <c r="Z701" s="108" t="s">
        <v>9145</v>
      </c>
      <c r="AA701" s="112">
        <v>4</v>
      </c>
      <c r="AB701" s="113"/>
      <c r="AC701" s="105" t="s">
        <v>1774</v>
      </c>
      <c r="AD701" s="115" t="s">
        <v>107</v>
      </c>
    </row>
    <row r="702" spans="1:30" x14ac:dyDescent="0.2">
      <c r="A702" s="104" t="s">
        <v>1775</v>
      </c>
      <c r="B702" s="105" t="s">
        <v>805</v>
      </c>
      <c r="C702" s="105" t="s">
        <v>347</v>
      </c>
      <c r="D702" s="106" t="s">
        <v>125</v>
      </c>
      <c r="E702" s="107" t="s">
        <v>99</v>
      </c>
      <c r="F702" s="108" t="s">
        <v>10214</v>
      </c>
      <c r="G702" s="118">
        <v>3</v>
      </c>
      <c r="H702" s="108" t="s">
        <v>10851</v>
      </c>
      <c r="I702" s="112">
        <v>4</v>
      </c>
      <c r="J702" s="111" t="s">
        <v>55</v>
      </c>
      <c r="K702" s="108" t="s">
        <v>10852</v>
      </c>
      <c r="L702" s="117">
        <v>2</v>
      </c>
      <c r="M702" s="111" t="s">
        <v>46</v>
      </c>
      <c r="N702" s="108" t="s">
        <v>10214</v>
      </c>
      <c r="O702" s="110">
        <v>3</v>
      </c>
      <c r="P702" s="111" t="s">
        <v>55</v>
      </c>
      <c r="Q702" s="108" t="s">
        <v>10853</v>
      </c>
      <c r="R702" s="112">
        <v>4</v>
      </c>
      <c r="S702" s="113"/>
      <c r="T702" s="108" t="s">
        <v>10854</v>
      </c>
      <c r="U702" s="112">
        <v>4</v>
      </c>
      <c r="V702" s="113"/>
      <c r="W702" s="108" t="s">
        <v>1776</v>
      </c>
      <c r="X702" s="112">
        <v>4</v>
      </c>
      <c r="Y702" s="113"/>
      <c r="Z702" s="108" t="s">
        <v>9186</v>
      </c>
      <c r="AA702" s="112">
        <v>4</v>
      </c>
      <c r="AB702" s="113"/>
      <c r="AC702" s="105" t="s">
        <v>1777</v>
      </c>
      <c r="AD702" s="115" t="s">
        <v>107</v>
      </c>
    </row>
    <row r="703" spans="1:30" x14ac:dyDescent="0.2">
      <c r="A703" s="104" t="s">
        <v>1778</v>
      </c>
      <c r="B703" s="105" t="s">
        <v>805</v>
      </c>
      <c r="C703" s="105" t="s">
        <v>347</v>
      </c>
      <c r="D703" s="106" t="s">
        <v>105</v>
      </c>
      <c r="E703" s="107" t="s">
        <v>99</v>
      </c>
      <c r="F703" s="108" t="s">
        <v>10855</v>
      </c>
      <c r="G703" s="118">
        <v>3</v>
      </c>
      <c r="H703" s="108" t="s">
        <v>10856</v>
      </c>
      <c r="I703" s="112">
        <v>4</v>
      </c>
      <c r="J703" s="111" t="s">
        <v>55</v>
      </c>
      <c r="K703" s="108" t="s">
        <v>10857</v>
      </c>
      <c r="L703" s="117">
        <v>2</v>
      </c>
      <c r="M703" s="111" t="s">
        <v>46</v>
      </c>
      <c r="N703" s="108" t="s">
        <v>10855</v>
      </c>
      <c r="O703" s="110">
        <v>3</v>
      </c>
      <c r="P703" s="111" t="s">
        <v>55</v>
      </c>
      <c r="Q703" s="108" t="s">
        <v>10858</v>
      </c>
      <c r="R703" s="112">
        <v>4</v>
      </c>
      <c r="S703" s="113"/>
      <c r="T703" s="108" t="s">
        <v>10859</v>
      </c>
      <c r="U703" s="112">
        <v>4</v>
      </c>
      <c r="V703" s="113"/>
      <c r="W703" s="108" t="s">
        <v>1779</v>
      </c>
      <c r="X703" s="112">
        <v>4</v>
      </c>
      <c r="Y703" s="113"/>
      <c r="Z703" s="108" t="s">
        <v>47</v>
      </c>
      <c r="AA703" s="114"/>
      <c r="AB703" s="113"/>
      <c r="AC703" s="105" t="s">
        <v>1780</v>
      </c>
      <c r="AD703" s="115" t="s">
        <v>107</v>
      </c>
    </row>
    <row r="704" spans="1:30" x14ac:dyDescent="0.2">
      <c r="A704" s="104" t="s">
        <v>1781</v>
      </c>
      <c r="B704" s="105" t="s">
        <v>805</v>
      </c>
      <c r="C704" s="105" t="s">
        <v>347</v>
      </c>
      <c r="D704" s="106" t="s">
        <v>125</v>
      </c>
      <c r="E704" s="107" t="s">
        <v>99</v>
      </c>
      <c r="F704" s="108" t="s">
        <v>10860</v>
      </c>
      <c r="G704" s="118">
        <v>3</v>
      </c>
      <c r="H704" s="108" t="s">
        <v>10861</v>
      </c>
      <c r="I704" s="112">
        <v>4</v>
      </c>
      <c r="J704" s="111" t="s">
        <v>55</v>
      </c>
      <c r="K704" s="108" t="s">
        <v>10862</v>
      </c>
      <c r="L704" s="117">
        <v>2</v>
      </c>
      <c r="M704" s="111" t="s">
        <v>46</v>
      </c>
      <c r="N704" s="108" t="s">
        <v>10860</v>
      </c>
      <c r="O704" s="110">
        <v>3</v>
      </c>
      <c r="P704" s="111" t="s">
        <v>55</v>
      </c>
      <c r="Q704" s="108" t="s">
        <v>10863</v>
      </c>
      <c r="R704" s="112">
        <v>4</v>
      </c>
      <c r="S704" s="113"/>
      <c r="T704" s="108" t="s">
        <v>10864</v>
      </c>
      <c r="U704" s="112">
        <v>4</v>
      </c>
      <c r="V704" s="113"/>
      <c r="W704" s="108" t="s">
        <v>1782</v>
      </c>
      <c r="X704" s="112">
        <v>4</v>
      </c>
      <c r="Y704" s="113"/>
      <c r="Z704" s="108" t="s">
        <v>10865</v>
      </c>
      <c r="AA704" s="112">
        <v>4</v>
      </c>
      <c r="AB704" s="113"/>
      <c r="AC704" s="105" t="s">
        <v>1783</v>
      </c>
      <c r="AD704" s="115" t="s">
        <v>107</v>
      </c>
    </row>
    <row r="705" spans="1:30" x14ac:dyDescent="0.2">
      <c r="A705" s="104" t="s">
        <v>1784</v>
      </c>
      <c r="B705" s="105" t="s">
        <v>805</v>
      </c>
      <c r="C705" s="105" t="s">
        <v>347</v>
      </c>
      <c r="D705" s="106" t="s">
        <v>105</v>
      </c>
      <c r="E705" s="107" t="s">
        <v>99</v>
      </c>
      <c r="F705" s="108" t="s">
        <v>10866</v>
      </c>
      <c r="G705" s="118">
        <v>3</v>
      </c>
      <c r="H705" s="108" t="s">
        <v>10867</v>
      </c>
      <c r="I705" s="112">
        <v>4</v>
      </c>
      <c r="J705" s="111" t="s">
        <v>55</v>
      </c>
      <c r="K705" s="108" t="s">
        <v>10868</v>
      </c>
      <c r="L705" s="117">
        <v>2</v>
      </c>
      <c r="M705" s="111" t="s">
        <v>46</v>
      </c>
      <c r="N705" s="108" t="s">
        <v>10866</v>
      </c>
      <c r="O705" s="110">
        <v>3</v>
      </c>
      <c r="P705" s="111" t="s">
        <v>55</v>
      </c>
      <c r="Q705" s="108" t="s">
        <v>10869</v>
      </c>
      <c r="R705" s="112">
        <v>4</v>
      </c>
      <c r="S705" s="113"/>
      <c r="T705" s="108" t="s">
        <v>10870</v>
      </c>
      <c r="U705" s="112">
        <v>4</v>
      </c>
      <c r="V705" s="113"/>
      <c r="W705" s="108" t="s">
        <v>47</v>
      </c>
      <c r="X705" s="114"/>
      <c r="Y705" s="113"/>
      <c r="Z705" s="108" t="s">
        <v>47</v>
      </c>
      <c r="AA705" s="114"/>
      <c r="AB705" s="113"/>
      <c r="AC705" s="105" t="s">
        <v>1785</v>
      </c>
      <c r="AD705" s="115" t="s">
        <v>107</v>
      </c>
    </row>
    <row r="706" spans="1:30" x14ac:dyDescent="0.2">
      <c r="A706" s="104" t="s">
        <v>1786</v>
      </c>
      <c r="B706" s="105" t="s">
        <v>805</v>
      </c>
      <c r="C706" s="105" t="s">
        <v>1787</v>
      </c>
      <c r="D706" s="106"/>
      <c r="E706" s="107" t="s">
        <v>146</v>
      </c>
      <c r="F706" s="108" t="s">
        <v>10871</v>
      </c>
      <c r="G706" s="118">
        <v>3</v>
      </c>
      <c r="H706" s="108" t="s">
        <v>10872</v>
      </c>
      <c r="I706" s="112">
        <v>4</v>
      </c>
      <c r="J706" s="111" t="s">
        <v>55</v>
      </c>
      <c r="K706" s="108" t="s">
        <v>10873</v>
      </c>
      <c r="L706" s="110">
        <v>3</v>
      </c>
      <c r="M706" s="113"/>
      <c r="N706" s="108" t="s">
        <v>10871</v>
      </c>
      <c r="O706" s="110">
        <v>3</v>
      </c>
      <c r="P706" s="113"/>
      <c r="Q706" s="108" t="s">
        <v>10874</v>
      </c>
      <c r="R706" s="112">
        <v>4</v>
      </c>
      <c r="S706" s="113"/>
      <c r="T706" s="108" t="s">
        <v>10875</v>
      </c>
      <c r="U706" s="112">
        <v>4</v>
      </c>
      <c r="V706" s="113"/>
      <c r="W706" s="108" t="s">
        <v>47</v>
      </c>
      <c r="X706" s="114"/>
      <c r="Y706" s="113"/>
      <c r="Z706" s="108" t="s">
        <v>47</v>
      </c>
      <c r="AA706" s="114"/>
      <c r="AB706" s="113"/>
      <c r="AC706" s="105" t="s">
        <v>1788</v>
      </c>
      <c r="AD706" s="115" t="s">
        <v>107</v>
      </c>
    </row>
    <row r="707" spans="1:30" x14ac:dyDescent="0.2">
      <c r="A707" s="104" t="s">
        <v>1789</v>
      </c>
      <c r="B707" s="105" t="s">
        <v>805</v>
      </c>
      <c r="C707" s="105" t="s">
        <v>347</v>
      </c>
      <c r="D707" s="106" t="s">
        <v>105</v>
      </c>
      <c r="E707" s="107" t="s">
        <v>99</v>
      </c>
      <c r="F707" s="108" t="s">
        <v>10876</v>
      </c>
      <c r="G707" s="109">
        <v>4</v>
      </c>
      <c r="H707" s="108" t="s">
        <v>10877</v>
      </c>
      <c r="I707" s="112">
        <v>4</v>
      </c>
      <c r="J707" s="111" t="s">
        <v>55</v>
      </c>
      <c r="K707" s="108" t="s">
        <v>10878</v>
      </c>
      <c r="L707" s="117">
        <v>2</v>
      </c>
      <c r="M707" s="111" t="s">
        <v>46</v>
      </c>
      <c r="N707" s="108" t="s">
        <v>10876</v>
      </c>
      <c r="O707" s="112">
        <v>4</v>
      </c>
      <c r="P707" s="111" t="s">
        <v>44</v>
      </c>
      <c r="Q707" s="108" t="s">
        <v>10879</v>
      </c>
      <c r="R707" s="112">
        <v>4</v>
      </c>
      <c r="S707" s="113"/>
      <c r="T707" s="108" t="s">
        <v>10880</v>
      </c>
      <c r="U707" s="112">
        <v>4</v>
      </c>
      <c r="V707" s="113"/>
      <c r="W707" s="108" t="s">
        <v>1790</v>
      </c>
      <c r="X707" s="112">
        <v>4</v>
      </c>
      <c r="Y707" s="113"/>
      <c r="Z707" s="108" t="s">
        <v>10881</v>
      </c>
      <c r="AA707" s="112">
        <v>4</v>
      </c>
      <c r="AB707" s="113"/>
      <c r="AC707" s="105" t="s">
        <v>1791</v>
      </c>
      <c r="AD707" s="115" t="s">
        <v>107</v>
      </c>
    </row>
    <row r="708" spans="1:30" x14ac:dyDescent="0.2">
      <c r="A708" s="104" t="s">
        <v>1792</v>
      </c>
      <c r="B708" s="105" t="s">
        <v>805</v>
      </c>
      <c r="C708" s="105" t="s">
        <v>347</v>
      </c>
      <c r="D708" s="106" t="s">
        <v>105</v>
      </c>
      <c r="E708" s="107" t="s">
        <v>99</v>
      </c>
      <c r="F708" s="108" t="s">
        <v>10882</v>
      </c>
      <c r="G708" s="118">
        <v>3</v>
      </c>
      <c r="H708" s="108" t="s">
        <v>10883</v>
      </c>
      <c r="I708" s="112">
        <v>4</v>
      </c>
      <c r="J708" s="111" t="s">
        <v>55</v>
      </c>
      <c r="K708" s="108" t="s">
        <v>10884</v>
      </c>
      <c r="L708" s="117">
        <v>2</v>
      </c>
      <c r="M708" s="111" t="s">
        <v>46</v>
      </c>
      <c r="N708" s="108" t="s">
        <v>10882</v>
      </c>
      <c r="O708" s="110">
        <v>3</v>
      </c>
      <c r="P708" s="111" t="s">
        <v>55</v>
      </c>
      <c r="Q708" s="108" t="s">
        <v>1793</v>
      </c>
      <c r="R708" s="112">
        <v>4</v>
      </c>
      <c r="S708" s="111" t="s">
        <v>46</v>
      </c>
      <c r="T708" s="108" t="s">
        <v>10885</v>
      </c>
      <c r="U708" s="112">
        <v>4</v>
      </c>
      <c r="V708" s="113"/>
      <c r="W708" s="108" t="s">
        <v>47</v>
      </c>
      <c r="X708" s="114"/>
      <c r="Y708" s="113"/>
      <c r="Z708" s="108" t="s">
        <v>47</v>
      </c>
      <c r="AA708" s="114"/>
      <c r="AB708" s="113"/>
      <c r="AC708" s="105" t="s">
        <v>1794</v>
      </c>
      <c r="AD708" s="115" t="s">
        <v>107</v>
      </c>
    </row>
    <row r="709" spans="1:30" x14ac:dyDescent="0.2">
      <c r="A709" s="104" t="s">
        <v>1795</v>
      </c>
      <c r="B709" s="105" t="s">
        <v>805</v>
      </c>
      <c r="C709" s="105" t="s">
        <v>347</v>
      </c>
      <c r="D709" s="106" t="s">
        <v>125</v>
      </c>
      <c r="E709" s="107" t="s">
        <v>99</v>
      </c>
      <c r="F709" s="108" t="s">
        <v>10886</v>
      </c>
      <c r="G709" s="118">
        <v>3</v>
      </c>
      <c r="H709" s="108" t="s">
        <v>10887</v>
      </c>
      <c r="I709" s="112">
        <v>4</v>
      </c>
      <c r="J709" s="111" t="s">
        <v>55</v>
      </c>
      <c r="K709" s="108" t="s">
        <v>10888</v>
      </c>
      <c r="L709" s="117">
        <v>2</v>
      </c>
      <c r="M709" s="111" t="s">
        <v>46</v>
      </c>
      <c r="N709" s="108" t="s">
        <v>10886</v>
      </c>
      <c r="O709" s="110">
        <v>3</v>
      </c>
      <c r="P709" s="111" t="s">
        <v>55</v>
      </c>
      <c r="Q709" s="108" t="s">
        <v>10889</v>
      </c>
      <c r="R709" s="112">
        <v>4</v>
      </c>
      <c r="S709" s="111" t="s">
        <v>46</v>
      </c>
      <c r="T709" s="108" t="s">
        <v>10890</v>
      </c>
      <c r="U709" s="112">
        <v>4</v>
      </c>
      <c r="V709" s="111" t="s">
        <v>46</v>
      </c>
      <c r="W709" s="108" t="s">
        <v>1796</v>
      </c>
      <c r="X709" s="112">
        <v>4</v>
      </c>
      <c r="Y709" s="113"/>
      <c r="Z709" s="108" t="s">
        <v>9141</v>
      </c>
      <c r="AA709" s="112">
        <v>4</v>
      </c>
      <c r="AB709" s="111" t="s">
        <v>46</v>
      </c>
      <c r="AC709" s="105" t="s">
        <v>1797</v>
      </c>
      <c r="AD709" s="115" t="s">
        <v>107</v>
      </c>
    </row>
    <row r="710" spans="1:30" x14ac:dyDescent="0.2">
      <c r="A710" s="104" t="s">
        <v>1798</v>
      </c>
      <c r="B710" s="105" t="s">
        <v>805</v>
      </c>
      <c r="C710" s="105" t="s">
        <v>347</v>
      </c>
      <c r="D710" s="106"/>
      <c r="E710" s="107" t="s">
        <v>99</v>
      </c>
      <c r="F710" s="108" t="s">
        <v>10891</v>
      </c>
      <c r="G710" s="118">
        <v>3</v>
      </c>
      <c r="H710" s="108" t="s">
        <v>10892</v>
      </c>
      <c r="I710" s="112">
        <v>4</v>
      </c>
      <c r="J710" s="111" t="s">
        <v>55</v>
      </c>
      <c r="K710" s="108" t="s">
        <v>10893</v>
      </c>
      <c r="L710" s="117">
        <v>2</v>
      </c>
      <c r="M710" s="111" t="s">
        <v>46</v>
      </c>
      <c r="N710" s="108" t="s">
        <v>10891</v>
      </c>
      <c r="O710" s="110">
        <v>3</v>
      </c>
      <c r="P710" s="111" t="s">
        <v>55</v>
      </c>
      <c r="Q710" s="108" t="s">
        <v>10894</v>
      </c>
      <c r="R710" s="112">
        <v>4</v>
      </c>
      <c r="S710" s="111" t="s">
        <v>46</v>
      </c>
      <c r="T710" s="108" t="s">
        <v>47</v>
      </c>
      <c r="U710" s="114"/>
      <c r="V710" s="113"/>
      <c r="W710" s="108" t="s">
        <v>47</v>
      </c>
      <c r="X710" s="114"/>
      <c r="Y710" s="113"/>
      <c r="Z710" s="108" t="s">
        <v>47</v>
      </c>
      <c r="AA710" s="114"/>
      <c r="AB710" s="113"/>
      <c r="AC710" s="105" t="s">
        <v>1799</v>
      </c>
      <c r="AD710" s="115" t="s">
        <v>107</v>
      </c>
    </row>
    <row r="711" spans="1:30" x14ac:dyDescent="0.2">
      <c r="A711" s="104" t="s">
        <v>1800</v>
      </c>
      <c r="B711" s="105" t="s">
        <v>805</v>
      </c>
      <c r="C711" s="105" t="s">
        <v>347</v>
      </c>
      <c r="D711" s="106" t="s">
        <v>105</v>
      </c>
      <c r="E711" s="107" t="s">
        <v>99</v>
      </c>
      <c r="F711" s="108" t="s">
        <v>10895</v>
      </c>
      <c r="G711" s="118">
        <v>3</v>
      </c>
      <c r="H711" s="108" t="s">
        <v>10896</v>
      </c>
      <c r="I711" s="112">
        <v>4</v>
      </c>
      <c r="J711" s="111" t="s">
        <v>55</v>
      </c>
      <c r="K711" s="108" t="s">
        <v>10897</v>
      </c>
      <c r="L711" s="117">
        <v>2</v>
      </c>
      <c r="M711" s="111" t="s">
        <v>46</v>
      </c>
      <c r="N711" s="108" t="s">
        <v>10895</v>
      </c>
      <c r="O711" s="110">
        <v>3</v>
      </c>
      <c r="P711" s="111" t="s">
        <v>55</v>
      </c>
      <c r="Q711" s="108" t="s">
        <v>10898</v>
      </c>
      <c r="R711" s="112">
        <v>4</v>
      </c>
      <c r="S711" s="111" t="s">
        <v>46</v>
      </c>
      <c r="T711" s="108" t="s">
        <v>10899</v>
      </c>
      <c r="U711" s="112">
        <v>4</v>
      </c>
      <c r="V711" s="111" t="s">
        <v>46</v>
      </c>
      <c r="W711" s="108" t="s">
        <v>1801</v>
      </c>
      <c r="X711" s="112">
        <v>4</v>
      </c>
      <c r="Y711" s="113"/>
      <c r="Z711" s="108" t="s">
        <v>47</v>
      </c>
      <c r="AA711" s="114"/>
      <c r="AB711" s="113"/>
      <c r="AC711" s="105" t="s">
        <v>1802</v>
      </c>
      <c r="AD711" s="115" t="s">
        <v>107</v>
      </c>
    </row>
    <row r="712" spans="1:30" x14ac:dyDescent="0.2">
      <c r="A712" s="104" t="s">
        <v>1803</v>
      </c>
      <c r="B712" s="105" t="s">
        <v>805</v>
      </c>
      <c r="C712" s="105" t="s">
        <v>347</v>
      </c>
      <c r="D712" s="106" t="s">
        <v>105</v>
      </c>
      <c r="E712" s="107" t="s">
        <v>99</v>
      </c>
      <c r="F712" s="108" t="s">
        <v>10900</v>
      </c>
      <c r="G712" s="118">
        <v>3</v>
      </c>
      <c r="H712" s="108" t="s">
        <v>10901</v>
      </c>
      <c r="I712" s="112">
        <v>4</v>
      </c>
      <c r="J712" s="111" t="s">
        <v>55</v>
      </c>
      <c r="K712" s="108" t="s">
        <v>10902</v>
      </c>
      <c r="L712" s="117">
        <v>2</v>
      </c>
      <c r="M712" s="111" t="s">
        <v>46</v>
      </c>
      <c r="N712" s="108" t="s">
        <v>10900</v>
      </c>
      <c r="O712" s="110">
        <v>3</v>
      </c>
      <c r="P712" s="111" t="s">
        <v>55</v>
      </c>
      <c r="Q712" s="108" t="s">
        <v>10903</v>
      </c>
      <c r="R712" s="112">
        <v>4</v>
      </c>
      <c r="S712" s="111" t="s">
        <v>46</v>
      </c>
      <c r="T712" s="108" t="s">
        <v>10904</v>
      </c>
      <c r="U712" s="112">
        <v>4</v>
      </c>
      <c r="V712" s="111" t="s">
        <v>46</v>
      </c>
      <c r="W712" s="108" t="s">
        <v>1804</v>
      </c>
      <c r="X712" s="112">
        <v>4</v>
      </c>
      <c r="Y712" s="113"/>
      <c r="Z712" s="108" t="s">
        <v>9149</v>
      </c>
      <c r="AA712" s="112">
        <v>4</v>
      </c>
      <c r="AB712" s="113"/>
      <c r="AC712" s="105" t="s">
        <v>1805</v>
      </c>
      <c r="AD712" s="115" t="s">
        <v>107</v>
      </c>
    </row>
    <row r="713" spans="1:30" x14ac:dyDescent="0.2">
      <c r="A713" s="104" t="s">
        <v>1806</v>
      </c>
      <c r="B713" s="105" t="s">
        <v>805</v>
      </c>
      <c r="C713" s="105" t="s">
        <v>1787</v>
      </c>
      <c r="D713" s="106"/>
      <c r="E713" s="107" t="s">
        <v>146</v>
      </c>
      <c r="F713" s="108" t="s">
        <v>10905</v>
      </c>
      <c r="G713" s="118">
        <v>3</v>
      </c>
      <c r="H713" s="108" t="s">
        <v>10906</v>
      </c>
      <c r="I713" s="112">
        <v>4</v>
      </c>
      <c r="J713" s="111" t="s">
        <v>55</v>
      </c>
      <c r="K713" s="108" t="s">
        <v>10907</v>
      </c>
      <c r="L713" s="110">
        <v>3</v>
      </c>
      <c r="M713" s="113"/>
      <c r="N713" s="108" t="s">
        <v>10905</v>
      </c>
      <c r="O713" s="110">
        <v>3</v>
      </c>
      <c r="P713" s="113"/>
      <c r="Q713" s="108" t="s">
        <v>10908</v>
      </c>
      <c r="R713" s="112">
        <v>4</v>
      </c>
      <c r="S713" s="113"/>
      <c r="T713" s="108" t="s">
        <v>10909</v>
      </c>
      <c r="U713" s="112">
        <v>4</v>
      </c>
      <c r="V713" s="113"/>
      <c r="W713" s="108" t="s">
        <v>10910</v>
      </c>
      <c r="X713" s="112">
        <v>4</v>
      </c>
      <c r="Y713" s="113"/>
      <c r="Z713" s="108" t="s">
        <v>47</v>
      </c>
      <c r="AA713" s="114"/>
      <c r="AB713" s="113"/>
      <c r="AC713" s="105" t="s">
        <v>1807</v>
      </c>
      <c r="AD713" s="115" t="s">
        <v>107</v>
      </c>
    </row>
    <row r="714" spans="1:30" x14ac:dyDescent="0.2">
      <c r="A714" s="104" t="s">
        <v>1808</v>
      </c>
      <c r="B714" s="105" t="s">
        <v>805</v>
      </c>
      <c r="C714" s="105" t="s">
        <v>347</v>
      </c>
      <c r="D714" s="106" t="s">
        <v>105</v>
      </c>
      <c r="E714" s="107" t="s">
        <v>99</v>
      </c>
      <c r="F714" s="108" t="s">
        <v>10911</v>
      </c>
      <c r="G714" s="118">
        <v>3</v>
      </c>
      <c r="H714" s="108" t="s">
        <v>10912</v>
      </c>
      <c r="I714" s="112">
        <v>4</v>
      </c>
      <c r="J714" s="111" t="s">
        <v>55</v>
      </c>
      <c r="K714" s="108" t="s">
        <v>10913</v>
      </c>
      <c r="L714" s="117">
        <v>2</v>
      </c>
      <c r="M714" s="111" t="s">
        <v>46</v>
      </c>
      <c r="N714" s="108" t="s">
        <v>10911</v>
      </c>
      <c r="O714" s="110">
        <v>3</v>
      </c>
      <c r="P714" s="111" t="s">
        <v>55</v>
      </c>
      <c r="Q714" s="108" t="s">
        <v>10914</v>
      </c>
      <c r="R714" s="112">
        <v>4</v>
      </c>
      <c r="S714" s="113"/>
      <c r="T714" s="108" t="s">
        <v>10915</v>
      </c>
      <c r="U714" s="112">
        <v>4</v>
      </c>
      <c r="V714" s="113"/>
      <c r="W714" s="108" t="s">
        <v>1809</v>
      </c>
      <c r="X714" s="112">
        <v>4</v>
      </c>
      <c r="Y714" s="113"/>
      <c r="Z714" s="108" t="s">
        <v>47</v>
      </c>
      <c r="AA714" s="114"/>
      <c r="AB714" s="113"/>
      <c r="AC714" s="105" t="s">
        <v>1810</v>
      </c>
      <c r="AD714" s="115" t="s">
        <v>107</v>
      </c>
    </row>
    <row r="715" spans="1:30" x14ac:dyDescent="0.2">
      <c r="A715" s="104" t="s">
        <v>10916</v>
      </c>
      <c r="B715" s="105" t="s">
        <v>805</v>
      </c>
      <c r="C715" s="105" t="s">
        <v>1811</v>
      </c>
      <c r="D715" s="106" t="s">
        <v>125</v>
      </c>
      <c r="E715" s="107" t="s">
        <v>146</v>
      </c>
      <c r="F715" s="108" t="s">
        <v>10917</v>
      </c>
      <c r="G715" s="118">
        <v>3</v>
      </c>
      <c r="H715" s="108" t="s">
        <v>10918</v>
      </c>
      <c r="I715" s="110">
        <v>3</v>
      </c>
      <c r="J715" s="111" t="s">
        <v>46</v>
      </c>
      <c r="K715" s="108" t="s">
        <v>10919</v>
      </c>
      <c r="L715" s="110">
        <v>3</v>
      </c>
      <c r="M715" s="113"/>
      <c r="N715" s="108" t="s">
        <v>10917</v>
      </c>
      <c r="O715" s="110">
        <v>3</v>
      </c>
      <c r="P715" s="111" t="s">
        <v>46</v>
      </c>
      <c r="Q715" s="108" t="s">
        <v>10920</v>
      </c>
      <c r="R715" s="117">
        <v>2</v>
      </c>
      <c r="S715" s="113"/>
      <c r="T715" s="108" t="s">
        <v>10921</v>
      </c>
      <c r="U715" s="117">
        <v>2</v>
      </c>
      <c r="V715" s="113"/>
      <c r="W715" s="108" t="s">
        <v>10922</v>
      </c>
      <c r="X715" s="117">
        <v>2</v>
      </c>
      <c r="Y715" s="113"/>
      <c r="Z715" s="108" t="s">
        <v>1812</v>
      </c>
      <c r="AA715" s="116">
        <v>1</v>
      </c>
      <c r="AB715" s="111" t="s">
        <v>40</v>
      </c>
      <c r="AC715" s="105" t="s">
        <v>1813</v>
      </c>
      <c r="AD715" s="115" t="s">
        <v>107</v>
      </c>
    </row>
    <row r="716" spans="1:30" x14ac:dyDescent="0.2">
      <c r="A716" s="104" t="s">
        <v>10923</v>
      </c>
      <c r="B716" s="105" t="s">
        <v>805</v>
      </c>
      <c r="C716" s="105" t="s">
        <v>1811</v>
      </c>
      <c r="D716" s="106" t="s">
        <v>125</v>
      </c>
      <c r="E716" s="107" t="s">
        <v>146</v>
      </c>
      <c r="F716" s="108" t="s">
        <v>10924</v>
      </c>
      <c r="G716" s="118">
        <v>3</v>
      </c>
      <c r="H716" s="108" t="s">
        <v>10925</v>
      </c>
      <c r="I716" s="110">
        <v>3</v>
      </c>
      <c r="J716" s="111" t="s">
        <v>46</v>
      </c>
      <c r="K716" s="108" t="s">
        <v>10926</v>
      </c>
      <c r="L716" s="110">
        <v>3</v>
      </c>
      <c r="M716" s="113"/>
      <c r="N716" s="108" t="s">
        <v>10924</v>
      </c>
      <c r="O716" s="110">
        <v>3</v>
      </c>
      <c r="P716" s="111" t="s">
        <v>46</v>
      </c>
      <c r="Q716" s="108" t="s">
        <v>10927</v>
      </c>
      <c r="R716" s="117">
        <v>2</v>
      </c>
      <c r="S716" s="113"/>
      <c r="T716" s="108" t="s">
        <v>10928</v>
      </c>
      <c r="U716" s="116">
        <v>1</v>
      </c>
      <c r="V716" s="113"/>
      <c r="W716" s="108" t="s">
        <v>10929</v>
      </c>
      <c r="X716" s="117">
        <v>2</v>
      </c>
      <c r="Y716" s="113"/>
      <c r="Z716" s="108" t="s">
        <v>10930</v>
      </c>
      <c r="AA716" s="116">
        <v>1</v>
      </c>
      <c r="AB716" s="111" t="s">
        <v>40</v>
      </c>
      <c r="AC716" s="105" t="s">
        <v>1814</v>
      </c>
      <c r="AD716" s="115" t="s">
        <v>107</v>
      </c>
    </row>
    <row r="717" spans="1:30" x14ac:dyDescent="0.2">
      <c r="A717" s="104" t="s">
        <v>10931</v>
      </c>
      <c r="B717" s="105" t="s">
        <v>805</v>
      </c>
      <c r="C717" s="105" t="s">
        <v>1811</v>
      </c>
      <c r="D717" s="106" t="s">
        <v>125</v>
      </c>
      <c r="E717" s="107" t="s">
        <v>146</v>
      </c>
      <c r="F717" s="108" t="s">
        <v>10932</v>
      </c>
      <c r="G717" s="118">
        <v>3</v>
      </c>
      <c r="H717" s="108" t="s">
        <v>10933</v>
      </c>
      <c r="I717" s="110">
        <v>3</v>
      </c>
      <c r="J717" s="111" t="s">
        <v>46</v>
      </c>
      <c r="K717" s="108" t="s">
        <v>10934</v>
      </c>
      <c r="L717" s="110">
        <v>3</v>
      </c>
      <c r="M717" s="113"/>
      <c r="N717" s="108" t="s">
        <v>10932</v>
      </c>
      <c r="O717" s="110">
        <v>3</v>
      </c>
      <c r="P717" s="113"/>
      <c r="Q717" s="108" t="s">
        <v>10935</v>
      </c>
      <c r="R717" s="117">
        <v>2</v>
      </c>
      <c r="S717" s="113"/>
      <c r="T717" s="108" t="s">
        <v>10936</v>
      </c>
      <c r="U717" s="116">
        <v>1</v>
      </c>
      <c r="V717" s="113"/>
      <c r="W717" s="108" t="s">
        <v>10937</v>
      </c>
      <c r="X717" s="117">
        <v>2</v>
      </c>
      <c r="Y717" s="113"/>
      <c r="Z717" s="108" t="s">
        <v>47</v>
      </c>
      <c r="AA717" s="114"/>
      <c r="AB717" s="113"/>
      <c r="AC717" s="105" t="s">
        <v>1815</v>
      </c>
      <c r="AD717" s="115" t="s">
        <v>107</v>
      </c>
    </row>
    <row r="718" spans="1:30" x14ac:dyDescent="0.2">
      <c r="A718" s="104" t="s">
        <v>10938</v>
      </c>
      <c r="B718" s="105" t="s">
        <v>805</v>
      </c>
      <c r="C718" s="105" t="s">
        <v>1811</v>
      </c>
      <c r="D718" s="106" t="s">
        <v>94</v>
      </c>
      <c r="E718" s="107" t="s">
        <v>146</v>
      </c>
      <c r="F718" s="108" t="s">
        <v>10939</v>
      </c>
      <c r="G718" s="118">
        <v>3</v>
      </c>
      <c r="H718" s="108" t="s">
        <v>10940</v>
      </c>
      <c r="I718" s="110">
        <v>3</v>
      </c>
      <c r="J718" s="111" t="s">
        <v>46</v>
      </c>
      <c r="K718" s="108" t="s">
        <v>10941</v>
      </c>
      <c r="L718" s="110">
        <v>3</v>
      </c>
      <c r="M718" s="113"/>
      <c r="N718" s="108" t="s">
        <v>10939</v>
      </c>
      <c r="O718" s="110">
        <v>3</v>
      </c>
      <c r="P718" s="113"/>
      <c r="Q718" s="108" t="s">
        <v>10942</v>
      </c>
      <c r="R718" s="117">
        <v>2</v>
      </c>
      <c r="S718" s="113"/>
      <c r="T718" s="108" t="s">
        <v>10943</v>
      </c>
      <c r="U718" s="116">
        <v>1</v>
      </c>
      <c r="V718" s="111" t="s">
        <v>40</v>
      </c>
      <c r="W718" s="108" t="s">
        <v>47</v>
      </c>
      <c r="X718" s="114"/>
      <c r="Y718" s="113"/>
      <c r="Z718" s="108" t="s">
        <v>47</v>
      </c>
      <c r="AA718" s="114"/>
      <c r="AB718" s="113"/>
      <c r="AC718" s="105" t="s">
        <v>1816</v>
      </c>
      <c r="AD718" s="115" t="s">
        <v>107</v>
      </c>
    </row>
    <row r="719" spans="1:30" x14ac:dyDescent="0.2">
      <c r="A719" s="104" t="s">
        <v>10944</v>
      </c>
      <c r="B719" s="105" t="s">
        <v>805</v>
      </c>
      <c r="C719" s="105" t="s">
        <v>1811</v>
      </c>
      <c r="D719" s="106" t="s">
        <v>125</v>
      </c>
      <c r="E719" s="107" t="s">
        <v>146</v>
      </c>
      <c r="F719" s="108" t="s">
        <v>10945</v>
      </c>
      <c r="G719" s="118">
        <v>3</v>
      </c>
      <c r="H719" s="108" t="s">
        <v>10946</v>
      </c>
      <c r="I719" s="110">
        <v>3</v>
      </c>
      <c r="J719" s="111" t="s">
        <v>46</v>
      </c>
      <c r="K719" s="108" t="s">
        <v>10947</v>
      </c>
      <c r="L719" s="110">
        <v>3</v>
      </c>
      <c r="M719" s="113"/>
      <c r="N719" s="108" t="s">
        <v>10945</v>
      </c>
      <c r="O719" s="110">
        <v>3</v>
      </c>
      <c r="P719" s="111" t="s">
        <v>46</v>
      </c>
      <c r="Q719" s="108" t="s">
        <v>10948</v>
      </c>
      <c r="R719" s="117">
        <v>2</v>
      </c>
      <c r="S719" s="113"/>
      <c r="T719" s="108" t="s">
        <v>10949</v>
      </c>
      <c r="U719" s="116">
        <v>1</v>
      </c>
      <c r="V719" s="113"/>
      <c r="W719" s="108" t="s">
        <v>1817</v>
      </c>
      <c r="X719" s="117">
        <v>2</v>
      </c>
      <c r="Y719" s="113"/>
      <c r="Z719" s="108" t="s">
        <v>10950</v>
      </c>
      <c r="AA719" s="116">
        <v>1</v>
      </c>
      <c r="AB719" s="111" t="s">
        <v>40</v>
      </c>
      <c r="AC719" s="105" t="s">
        <v>1818</v>
      </c>
      <c r="AD719" s="115" t="s">
        <v>107</v>
      </c>
    </row>
    <row r="720" spans="1:30" x14ac:dyDescent="0.2">
      <c r="A720" s="104" t="s">
        <v>10951</v>
      </c>
      <c r="B720" s="105" t="s">
        <v>805</v>
      </c>
      <c r="C720" s="105" t="s">
        <v>1811</v>
      </c>
      <c r="D720" s="106" t="s">
        <v>94</v>
      </c>
      <c r="E720" s="107" t="s">
        <v>146</v>
      </c>
      <c r="F720" s="108" t="s">
        <v>10952</v>
      </c>
      <c r="G720" s="118">
        <v>3</v>
      </c>
      <c r="H720" s="108" t="s">
        <v>10953</v>
      </c>
      <c r="I720" s="110">
        <v>3</v>
      </c>
      <c r="J720" s="111" t="s">
        <v>46</v>
      </c>
      <c r="K720" s="108" t="s">
        <v>10954</v>
      </c>
      <c r="L720" s="110">
        <v>3</v>
      </c>
      <c r="M720" s="113"/>
      <c r="N720" s="108" t="s">
        <v>10952</v>
      </c>
      <c r="O720" s="110">
        <v>3</v>
      </c>
      <c r="P720" s="111" t="s">
        <v>46</v>
      </c>
      <c r="Q720" s="108" t="s">
        <v>10955</v>
      </c>
      <c r="R720" s="117">
        <v>2</v>
      </c>
      <c r="S720" s="113"/>
      <c r="T720" s="108" t="s">
        <v>10956</v>
      </c>
      <c r="U720" s="116">
        <v>1</v>
      </c>
      <c r="V720" s="113"/>
      <c r="W720" s="108" t="s">
        <v>47</v>
      </c>
      <c r="X720" s="114"/>
      <c r="Y720" s="113"/>
      <c r="Z720" s="108" t="s">
        <v>47</v>
      </c>
      <c r="AA720" s="114"/>
      <c r="AB720" s="113"/>
      <c r="AC720" s="105" t="s">
        <v>1819</v>
      </c>
      <c r="AD720" s="115" t="s">
        <v>107</v>
      </c>
    </row>
    <row r="721" spans="1:30" x14ac:dyDescent="0.2">
      <c r="A721" s="104" t="s">
        <v>10957</v>
      </c>
      <c r="B721" s="105" t="s">
        <v>805</v>
      </c>
      <c r="C721" s="105" t="s">
        <v>1787</v>
      </c>
      <c r="D721" s="106"/>
      <c r="E721" s="107" t="s">
        <v>146</v>
      </c>
      <c r="F721" s="108" t="s">
        <v>10958</v>
      </c>
      <c r="G721" s="120">
        <v>2</v>
      </c>
      <c r="H721" s="108" t="s">
        <v>10959</v>
      </c>
      <c r="I721" s="110">
        <v>3</v>
      </c>
      <c r="J721" s="111" t="s">
        <v>55</v>
      </c>
      <c r="K721" s="108" t="s">
        <v>10960</v>
      </c>
      <c r="L721" s="116">
        <v>1</v>
      </c>
      <c r="M721" s="113"/>
      <c r="N721" s="108" t="s">
        <v>10958</v>
      </c>
      <c r="O721" s="117">
        <v>2</v>
      </c>
      <c r="P721" s="111" t="s">
        <v>46</v>
      </c>
      <c r="Q721" s="108" t="s">
        <v>10961</v>
      </c>
      <c r="R721" s="117">
        <v>2</v>
      </c>
      <c r="S721" s="113"/>
      <c r="T721" s="108" t="s">
        <v>9799</v>
      </c>
      <c r="U721" s="117">
        <v>2</v>
      </c>
      <c r="V721" s="113"/>
      <c r="W721" s="108" t="s">
        <v>10962</v>
      </c>
      <c r="X721" s="117">
        <v>2</v>
      </c>
      <c r="Y721" s="113"/>
      <c r="Z721" s="108" t="s">
        <v>47</v>
      </c>
      <c r="AA721" s="114"/>
      <c r="AB721" s="113"/>
      <c r="AC721" s="105" t="s">
        <v>1820</v>
      </c>
      <c r="AD721" s="115" t="s">
        <v>107</v>
      </c>
    </row>
    <row r="722" spans="1:30" x14ac:dyDescent="0.2">
      <c r="A722" s="104" t="s">
        <v>10963</v>
      </c>
      <c r="B722" s="105" t="s">
        <v>805</v>
      </c>
      <c r="C722" s="105" t="s">
        <v>1811</v>
      </c>
      <c r="D722" s="106" t="s">
        <v>125</v>
      </c>
      <c r="E722" s="107" t="s">
        <v>146</v>
      </c>
      <c r="F722" s="108" t="s">
        <v>10964</v>
      </c>
      <c r="G722" s="118">
        <v>3</v>
      </c>
      <c r="H722" s="108" t="s">
        <v>10965</v>
      </c>
      <c r="I722" s="110">
        <v>3</v>
      </c>
      <c r="J722" s="111" t="s">
        <v>46</v>
      </c>
      <c r="K722" s="108" t="s">
        <v>10966</v>
      </c>
      <c r="L722" s="110">
        <v>3</v>
      </c>
      <c r="M722" s="113"/>
      <c r="N722" s="108" t="s">
        <v>10964</v>
      </c>
      <c r="O722" s="110">
        <v>3</v>
      </c>
      <c r="P722" s="113"/>
      <c r="Q722" s="108" t="s">
        <v>10967</v>
      </c>
      <c r="R722" s="117">
        <v>2</v>
      </c>
      <c r="S722" s="113"/>
      <c r="T722" s="108" t="s">
        <v>10968</v>
      </c>
      <c r="U722" s="117">
        <v>2</v>
      </c>
      <c r="V722" s="113"/>
      <c r="W722" s="108" t="s">
        <v>10969</v>
      </c>
      <c r="X722" s="117">
        <v>2</v>
      </c>
      <c r="Y722" s="111" t="s">
        <v>40</v>
      </c>
      <c r="Z722" s="108" t="s">
        <v>10970</v>
      </c>
      <c r="AA722" s="116">
        <v>1</v>
      </c>
      <c r="AB722" s="113"/>
      <c r="AC722" s="105" t="s">
        <v>1821</v>
      </c>
      <c r="AD722" s="115" t="s">
        <v>107</v>
      </c>
    </row>
    <row r="723" spans="1:30" x14ac:dyDescent="0.2">
      <c r="A723" s="104" t="s">
        <v>10971</v>
      </c>
      <c r="B723" s="105" t="s">
        <v>805</v>
      </c>
      <c r="C723" s="105" t="s">
        <v>1811</v>
      </c>
      <c r="D723" s="106" t="s">
        <v>94</v>
      </c>
      <c r="E723" s="107" t="s">
        <v>146</v>
      </c>
      <c r="F723" s="108" t="s">
        <v>10972</v>
      </c>
      <c r="G723" s="118">
        <v>3</v>
      </c>
      <c r="H723" s="108" t="s">
        <v>10973</v>
      </c>
      <c r="I723" s="110">
        <v>3</v>
      </c>
      <c r="J723" s="111" t="s">
        <v>46</v>
      </c>
      <c r="K723" s="108" t="s">
        <v>10974</v>
      </c>
      <c r="L723" s="110">
        <v>3</v>
      </c>
      <c r="M723" s="113"/>
      <c r="N723" s="108" t="s">
        <v>10972</v>
      </c>
      <c r="O723" s="110">
        <v>3</v>
      </c>
      <c r="P723" s="111" t="s">
        <v>46</v>
      </c>
      <c r="Q723" s="108" t="s">
        <v>10975</v>
      </c>
      <c r="R723" s="117">
        <v>2</v>
      </c>
      <c r="S723" s="113"/>
      <c r="T723" s="108" t="s">
        <v>10976</v>
      </c>
      <c r="U723" s="116">
        <v>1</v>
      </c>
      <c r="V723" s="113"/>
      <c r="W723" s="108" t="s">
        <v>47</v>
      </c>
      <c r="X723" s="114"/>
      <c r="Y723" s="113"/>
      <c r="Z723" s="108" t="s">
        <v>47</v>
      </c>
      <c r="AA723" s="114"/>
      <c r="AB723" s="113"/>
      <c r="AC723" s="105" t="s">
        <v>1822</v>
      </c>
      <c r="AD723" s="115" t="s">
        <v>107</v>
      </c>
    </row>
    <row r="724" spans="1:30" x14ac:dyDescent="0.2">
      <c r="A724" s="104" t="s">
        <v>10977</v>
      </c>
      <c r="B724" s="105" t="s">
        <v>805</v>
      </c>
      <c r="C724" s="105" t="s">
        <v>1811</v>
      </c>
      <c r="D724" s="106"/>
      <c r="E724" s="107" t="s">
        <v>146</v>
      </c>
      <c r="F724" s="108" t="s">
        <v>10978</v>
      </c>
      <c r="G724" s="118">
        <v>3</v>
      </c>
      <c r="H724" s="108" t="s">
        <v>10979</v>
      </c>
      <c r="I724" s="110">
        <v>3</v>
      </c>
      <c r="J724" s="111" t="s">
        <v>46</v>
      </c>
      <c r="K724" s="108" t="s">
        <v>10980</v>
      </c>
      <c r="L724" s="110">
        <v>3</v>
      </c>
      <c r="M724" s="113"/>
      <c r="N724" s="108" t="s">
        <v>10978</v>
      </c>
      <c r="O724" s="110">
        <v>3</v>
      </c>
      <c r="P724" s="111" t="s">
        <v>46</v>
      </c>
      <c r="Q724" s="108" t="s">
        <v>10981</v>
      </c>
      <c r="R724" s="117">
        <v>2</v>
      </c>
      <c r="S724" s="113"/>
      <c r="T724" s="108" t="s">
        <v>47</v>
      </c>
      <c r="U724" s="114"/>
      <c r="V724" s="113"/>
      <c r="W724" s="108" t="s">
        <v>47</v>
      </c>
      <c r="X724" s="114"/>
      <c r="Y724" s="113"/>
      <c r="Z724" s="108" t="s">
        <v>47</v>
      </c>
      <c r="AA724" s="114"/>
      <c r="AB724" s="113"/>
      <c r="AC724" s="105" t="s">
        <v>1823</v>
      </c>
      <c r="AD724" s="115" t="s">
        <v>107</v>
      </c>
    </row>
    <row r="725" spans="1:30" x14ac:dyDescent="0.2">
      <c r="A725" s="104" t="s">
        <v>10982</v>
      </c>
      <c r="B725" s="105" t="s">
        <v>805</v>
      </c>
      <c r="C725" s="105" t="s">
        <v>1811</v>
      </c>
      <c r="D725" s="106"/>
      <c r="E725" s="107" t="s">
        <v>146</v>
      </c>
      <c r="F725" s="108" t="s">
        <v>47</v>
      </c>
      <c r="G725" s="113"/>
      <c r="H725" s="108" t="s">
        <v>47</v>
      </c>
      <c r="I725" s="114"/>
      <c r="J725" s="113"/>
      <c r="K725" s="108" t="s">
        <v>47</v>
      </c>
      <c r="L725" s="114"/>
      <c r="M725" s="113"/>
      <c r="N725" s="108" t="s">
        <v>47</v>
      </c>
      <c r="O725" s="114"/>
      <c r="P725" s="113"/>
      <c r="Q725" s="108" t="s">
        <v>47</v>
      </c>
      <c r="R725" s="114"/>
      <c r="S725" s="113"/>
      <c r="T725" s="108" t="s">
        <v>47</v>
      </c>
      <c r="U725" s="114"/>
      <c r="V725" s="113"/>
      <c r="W725" s="108" t="s">
        <v>47</v>
      </c>
      <c r="X725" s="114"/>
      <c r="Y725" s="113"/>
      <c r="Z725" s="108" t="s">
        <v>47</v>
      </c>
      <c r="AA725" s="114"/>
      <c r="AB725" s="113"/>
      <c r="AC725" s="105" t="s">
        <v>1824</v>
      </c>
      <c r="AD725" s="115" t="s">
        <v>107</v>
      </c>
    </row>
    <row r="726" spans="1:30" x14ac:dyDescent="0.2">
      <c r="A726" s="104" t="s">
        <v>10983</v>
      </c>
      <c r="B726" s="105" t="s">
        <v>805</v>
      </c>
      <c r="C726" s="105" t="s">
        <v>1811</v>
      </c>
      <c r="D726" s="106" t="s">
        <v>94</v>
      </c>
      <c r="E726" s="107" t="s">
        <v>146</v>
      </c>
      <c r="F726" s="108" t="s">
        <v>10984</v>
      </c>
      <c r="G726" s="118">
        <v>3</v>
      </c>
      <c r="H726" s="108" t="s">
        <v>10985</v>
      </c>
      <c r="I726" s="110">
        <v>3</v>
      </c>
      <c r="J726" s="111" t="s">
        <v>46</v>
      </c>
      <c r="K726" s="108" t="s">
        <v>10986</v>
      </c>
      <c r="L726" s="110">
        <v>3</v>
      </c>
      <c r="M726" s="113"/>
      <c r="N726" s="108" t="s">
        <v>10984</v>
      </c>
      <c r="O726" s="110">
        <v>3</v>
      </c>
      <c r="P726" s="111" t="s">
        <v>46</v>
      </c>
      <c r="Q726" s="108" t="s">
        <v>10987</v>
      </c>
      <c r="R726" s="117">
        <v>2</v>
      </c>
      <c r="S726" s="113"/>
      <c r="T726" s="108" t="s">
        <v>10988</v>
      </c>
      <c r="U726" s="116">
        <v>1</v>
      </c>
      <c r="V726" s="113"/>
      <c r="W726" s="108" t="s">
        <v>10989</v>
      </c>
      <c r="X726" s="117">
        <v>2</v>
      </c>
      <c r="Y726" s="113"/>
      <c r="Z726" s="108" t="s">
        <v>47</v>
      </c>
      <c r="AA726" s="114"/>
      <c r="AB726" s="113"/>
      <c r="AC726" s="105" t="s">
        <v>1825</v>
      </c>
      <c r="AD726" s="115" t="s">
        <v>107</v>
      </c>
    </row>
    <row r="727" spans="1:30" x14ac:dyDescent="0.2">
      <c r="A727" s="104" t="s">
        <v>10990</v>
      </c>
      <c r="B727" s="105" t="s">
        <v>805</v>
      </c>
      <c r="C727" s="105" t="s">
        <v>1787</v>
      </c>
      <c r="D727" s="106"/>
      <c r="E727" s="107" t="s">
        <v>146</v>
      </c>
      <c r="F727" s="108" t="s">
        <v>10991</v>
      </c>
      <c r="G727" s="120">
        <v>2</v>
      </c>
      <c r="H727" s="108" t="s">
        <v>10992</v>
      </c>
      <c r="I727" s="110">
        <v>3</v>
      </c>
      <c r="J727" s="113"/>
      <c r="K727" s="108" t="s">
        <v>10993</v>
      </c>
      <c r="L727" s="117">
        <v>2</v>
      </c>
      <c r="M727" s="111" t="s">
        <v>46</v>
      </c>
      <c r="N727" s="108" t="s">
        <v>10991</v>
      </c>
      <c r="O727" s="117">
        <v>2</v>
      </c>
      <c r="P727" s="111" t="s">
        <v>46</v>
      </c>
      <c r="Q727" s="108" t="s">
        <v>10994</v>
      </c>
      <c r="R727" s="117">
        <v>2</v>
      </c>
      <c r="S727" s="111" t="s">
        <v>40</v>
      </c>
      <c r="T727" s="108" t="s">
        <v>47</v>
      </c>
      <c r="U727" s="114"/>
      <c r="V727" s="113"/>
      <c r="W727" s="108" t="s">
        <v>47</v>
      </c>
      <c r="X727" s="114"/>
      <c r="Y727" s="113"/>
      <c r="Z727" s="108" t="s">
        <v>47</v>
      </c>
      <c r="AA727" s="114"/>
      <c r="AB727" s="113"/>
      <c r="AC727" s="105" t="s">
        <v>1826</v>
      </c>
      <c r="AD727" s="115" t="s">
        <v>107</v>
      </c>
    </row>
    <row r="728" spans="1:30" x14ac:dyDescent="0.2">
      <c r="A728" s="104" t="s">
        <v>10995</v>
      </c>
      <c r="B728" s="105" t="s">
        <v>805</v>
      </c>
      <c r="C728" s="105" t="s">
        <v>1811</v>
      </c>
      <c r="D728" s="106"/>
      <c r="E728" s="107" t="s">
        <v>146</v>
      </c>
      <c r="F728" s="108" t="s">
        <v>47</v>
      </c>
      <c r="G728" s="113"/>
      <c r="H728" s="108" t="s">
        <v>47</v>
      </c>
      <c r="I728" s="114"/>
      <c r="J728" s="113"/>
      <c r="K728" s="108" t="s">
        <v>47</v>
      </c>
      <c r="L728" s="114"/>
      <c r="M728" s="113"/>
      <c r="N728" s="108" t="s">
        <v>47</v>
      </c>
      <c r="O728" s="114"/>
      <c r="P728" s="113"/>
      <c r="Q728" s="108" t="s">
        <v>47</v>
      </c>
      <c r="R728" s="114"/>
      <c r="S728" s="113"/>
      <c r="T728" s="108" t="s">
        <v>47</v>
      </c>
      <c r="U728" s="114"/>
      <c r="V728" s="113"/>
      <c r="W728" s="108" t="s">
        <v>47</v>
      </c>
      <c r="X728" s="114"/>
      <c r="Y728" s="113"/>
      <c r="Z728" s="108" t="s">
        <v>47</v>
      </c>
      <c r="AA728" s="114"/>
      <c r="AB728" s="113"/>
      <c r="AC728" s="105" t="s">
        <v>1827</v>
      </c>
      <c r="AD728" s="115" t="s">
        <v>107</v>
      </c>
    </row>
    <row r="729" spans="1:30" x14ac:dyDescent="0.2">
      <c r="A729" s="104" t="s">
        <v>10996</v>
      </c>
      <c r="B729" s="105" t="s">
        <v>805</v>
      </c>
      <c r="C729" s="105" t="s">
        <v>1787</v>
      </c>
      <c r="D729" s="106"/>
      <c r="E729" s="107" t="s">
        <v>146</v>
      </c>
      <c r="F729" s="108" t="s">
        <v>10997</v>
      </c>
      <c r="G729" s="119">
        <v>1</v>
      </c>
      <c r="H729" s="108" t="s">
        <v>10998</v>
      </c>
      <c r="I729" s="117">
        <v>2</v>
      </c>
      <c r="J729" s="111" t="s">
        <v>46</v>
      </c>
      <c r="K729" s="108" t="s">
        <v>1828</v>
      </c>
      <c r="L729" s="116">
        <v>1</v>
      </c>
      <c r="M729" s="113"/>
      <c r="N729" s="108" t="s">
        <v>10997</v>
      </c>
      <c r="O729" s="116">
        <v>1</v>
      </c>
      <c r="P729" s="113"/>
      <c r="Q729" s="108" t="s">
        <v>10999</v>
      </c>
      <c r="R729" s="116">
        <v>1</v>
      </c>
      <c r="S729" s="111" t="s">
        <v>40</v>
      </c>
      <c r="T729" s="108" t="s">
        <v>11000</v>
      </c>
      <c r="U729" s="117">
        <v>2</v>
      </c>
      <c r="V729" s="113"/>
      <c r="W729" s="108" t="s">
        <v>1829</v>
      </c>
      <c r="X729" s="117">
        <v>2</v>
      </c>
      <c r="Y729" s="113"/>
      <c r="Z729" s="108" t="s">
        <v>47</v>
      </c>
      <c r="AA729" s="114"/>
      <c r="AB729" s="113"/>
      <c r="AC729" s="105" t="s">
        <v>1830</v>
      </c>
      <c r="AD729" s="115" t="s">
        <v>107</v>
      </c>
    </row>
    <row r="730" spans="1:30" x14ac:dyDescent="0.2">
      <c r="A730" s="104" t="s">
        <v>11001</v>
      </c>
      <c r="B730" s="105" t="s">
        <v>805</v>
      </c>
      <c r="C730" s="105" t="s">
        <v>1811</v>
      </c>
      <c r="D730" s="106" t="s">
        <v>125</v>
      </c>
      <c r="E730" s="107" t="s">
        <v>146</v>
      </c>
      <c r="F730" s="108" t="s">
        <v>11002</v>
      </c>
      <c r="G730" s="118">
        <v>3</v>
      </c>
      <c r="H730" s="108" t="s">
        <v>11003</v>
      </c>
      <c r="I730" s="110">
        <v>3</v>
      </c>
      <c r="J730" s="111" t="s">
        <v>46</v>
      </c>
      <c r="K730" s="108" t="s">
        <v>11004</v>
      </c>
      <c r="L730" s="110">
        <v>3</v>
      </c>
      <c r="M730" s="113"/>
      <c r="N730" s="108" t="s">
        <v>11002</v>
      </c>
      <c r="O730" s="110">
        <v>3</v>
      </c>
      <c r="P730" s="113"/>
      <c r="Q730" s="108" t="s">
        <v>11005</v>
      </c>
      <c r="R730" s="117">
        <v>2</v>
      </c>
      <c r="S730" s="113"/>
      <c r="T730" s="108" t="s">
        <v>11006</v>
      </c>
      <c r="U730" s="117">
        <v>2</v>
      </c>
      <c r="V730" s="113"/>
      <c r="W730" s="108" t="s">
        <v>11007</v>
      </c>
      <c r="X730" s="117">
        <v>2</v>
      </c>
      <c r="Y730" s="113"/>
      <c r="Z730" s="108" t="s">
        <v>47</v>
      </c>
      <c r="AA730" s="114"/>
      <c r="AB730" s="113"/>
      <c r="AC730" s="105" t="s">
        <v>1831</v>
      </c>
      <c r="AD730" s="115" t="s">
        <v>107</v>
      </c>
    </row>
    <row r="731" spans="1:30" x14ac:dyDescent="0.2">
      <c r="A731" s="104" t="s">
        <v>1832</v>
      </c>
      <c r="B731" s="105" t="s">
        <v>805</v>
      </c>
      <c r="C731" s="105" t="s">
        <v>338</v>
      </c>
      <c r="D731" s="106" t="s">
        <v>94</v>
      </c>
      <c r="E731" s="107" t="s">
        <v>99</v>
      </c>
      <c r="F731" s="108" t="s">
        <v>11008</v>
      </c>
      <c r="G731" s="120">
        <v>2</v>
      </c>
      <c r="H731" s="108" t="s">
        <v>11009</v>
      </c>
      <c r="I731" s="112">
        <v>4</v>
      </c>
      <c r="J731" s="111" t="s">
        <v>44</v>
      </c>
      <c r="K731" s="108" t="s">
        <v>1833</v>
      </c>
      <c r="L731" s="117">
        <v>2</v>
      </c>
      <c r="M731" s="113"/>
      <c r="N731" s="108" t="s">
        <v>11008</v>
      </c>
      <c r="O731" s="117">
        <v>2</v>
      </c>
      <c r="P731" s="111" t="s">
        <v>46</v>
      </c>
      <c r="Q731" s="108" t="s">
        <v>11010</v>
      </c>
      <c r="R731" s="112">
        <v>4</v>
      </c>
      <c r="S731" s="111" t="s">
        <v>46</v>
      </c>
      <c r="T731" s="108" t="s">
        <v>11011</v>
      </c>
      <c r="U731" s="116">
        <v>1</v>
      </c>
      <c r="V731" s="113"/>
      <c r="W731" s="108" t="s">
        <v>11012</v>
      </c>
      <c r="X731" s="117">
        <v>2</v>
      </c>
      <c r="Y731" s="111" t="s">
        <v>46</v>
      </c>
      <c r="Z731" s="108" t="s">
        <v>11013</v>
      </c>
      <c r="AA731" s="117">
        <v>2</v>
      </c>
      <c r="AB731" s="113"/>
      <c r="AC731" s="105" t="s">
        <v>1834</v>
      </c>
      <c r="AD731" s="115" t="s">
        <v>107</v>
      </c>
    </row>
    <row r="732" spans="1:30" x14ac:dyDescent="0.2">
      <c r="A732" s="104" t="s">
        <v>1835</v>
      </c>
      <c r="B732" s="105" t="s">
        <v>805</v>
      </c>
      <c r="C732" s="105" t="s">
        <v>338</v>
      </c>
      <c r="D732" s="106" t="s">
        <v>94</v>
      </c>
      <c r="E732" s="107" t="s">
        <v>99</v>
      </c>
      <c r="F732" s="108" t="s">
        <v>11014</v>
      </c>
      <c r="G732" s="120">
        <v>2</v>
      </c>
      <c r="H732" s="108" t="s">
        <v>11015</v>
      </c>
      <c r="I732" s="112">
        <v>4</v>
      </c>
      <c r="J732" s="111" t="s">
        <v>44</v>
      </c>
      <c r="K732" s="108" t="s">
        <v>11016</v>
      </c>
      <c r="L732" s="117">
        <v>2</v>
      </c>
      <c r="M732" s="111" t="s">
        <v>46</v>
      </c>
      <c r="N732" s="108" t="s">
        <v>11014</v>
      </c>
      <c r="O732" s="117">
        <v>2</v>
      </c>
      <c r="P732" s="111" t="s">
        <v>46</v>
      </c>
      <c r="Q732" s="108" t="s">
        <v>11017</v>
      </c>
      <c r="R732" s="112">
        <v>4</v>
      </c>
      <c r="S732" s="111" t="s">
        <v>46</v>
      </c>
      <c r="T732" s="108" t="s">
        <v>11018</v>
      </c>
      <c r="U732" s="116">
        <v>1</v>
      </c>
      <c r="V732" s="113"/>
      <c r="W732" s="108" t="s">
        <v>11019</v>
      </c>
      <c r="X732" s="117">
        <v>2</v>
      </c>
      <c r="Y732" s="111" t="s">
        <v>46</v>
      </c>
      <c r="Z732" s="108" t="s">
        <v>47</v>
      </c>
      <c r="AA732" s="114"/>
      <c r="AB732" s="113"/>
      <c r="AC732" s="105" t="s">
        <v>1836</v>
      </c>
      <c r="AD732" s="115" t="s">
        <v>107</v>
      </c>
    </row>
    <row r="733" spans="1:30" x14ac:dyDescent="0.2">
      <c r="A733" s="104" t="s">
        <v>1837</v>
      </c>
      <c r="B733" s="105" t="s">
        <v>805</v>
      </c>
      <c r="C733" s="105" t="s">
        <v>338</v>
      </c>
      <c r="D733" s="106" t="s">
        <v>94</v>
      </c>
      <c r="E733" s="107" t="s">
        <v>99</v>
      </c>
      <c r="F733" s="108" t="s">
        <v>11020</v>
      </c>
      <c r="G733" s="120">
        <v>2</v>
      </c>
      <c r="H733" s="108" t="s">
        <v>11021</v>
      </c>
      <c r="I733" s="112">
        <v>4</v>
      </c>
      <c r="J733" s="111" t="s">
        <v>44</v>
      </c>
      <c r="K733" s="108" t="s">
        <v>11022</v>
      </c>
      <c r="L733" s="117">
        <v>2</v>
      </c>
      <c r="M733" s="111" t="s">
        <v>46</v>
      </c>
      <c r="N733" s="108" t="s">
        <v>11020</v>
      </c>
      <c r="O733" s="117">
        <v>2</v>
      </c>
      <c r="P733" s="111" t="s">
        <v>46</v>
      </c>
      <c r="Q733" s="108" t="s">
        <v>11023</v>
      </c>
      <c r="R733" s="112">
        <v>4</v>
      </c>
      <c r="S733" s="111" t="s">
        <v>46</v>
      </c>
      <c r="T733" s="108" t="s">
        <v>11024</v>
      </c>
      <c r="U733" s="116">
        <v>1</v>
      </c>
      <c r="V733" s="113"/>
      <c r="W733" s="108" t="s">
        <v>47</v>
      </c>
      <c r="X733" s="114"/>
      <c r="Y733" s="113"/>
      <c r="Z733" s="108" t="s">
        <v>47</v>
      </c>
      <c r="AA733" s="114"/>
      <c r="AB733" s="113"/>
      <c r="AC733" s="105" t="s">
        <v>1838</v>
      </c>
      <c r="AD733" s="115" t="s">
        <v>107</v>
      </c>
    </row>
    <row r="734" spans="1:30" x14ac:dyDescent="0.2">
      <c r="A734" s="104" t="s">
        <v>1839</v>
      </c>
      <c r="B734" s="105" t="s">
        <v>805</v>
      </c>
      <c r="C734" s="105" t="s">
        <v>338</v>
      </c>
      <c r="D734" s="106" t="s">
        <v>94</v>
      </c>
      <c r="E734" s="107" t="s">
        <v>99</v>
      </c>
      <c r="F734" s="108" t="s">
        <v>11025</v>
      </c>
      <c r="G734" s="120">
        <v>2</v>
      </c>
      <c r="H734" s="108" t="s">
        <v>11026</v>
      </c>
      <c r="I734" s="112">
        <v>4</v>
      </c>
      <c r="J734" s="111" t="s">
        <v>44</v>
      </c>
      <c r="K734" s="108" t="s">
        <v>11027</v>
      </c>
      <c r="L734" s="117">
        <v>2</v>
      </c>
      <c r="M734" s="111" t="s">
        <v>46</v>
      </c>
      <c r="N734" s="108" t="s">
        <v>11025</v>
      </c>
      <c r="O734" s="117">
        <v>2</v>
      </c>
      <c r="P734" s="111" t="s">
        <v>46</v>
      </c>
      <c r="Q734" s="108" t="s">
        <v>11028</v>
      </c>
      <c r="R734" s="112">
        <v>4</v>
      </c>
      <c r="S734" s="111" t="s">
        <v>46</v>
      </c>
      <c r="T734" s="108" t="s">
        <v>11029</v>
      </c>
      <c r="U734" s="116">
        <v>1</v>
      </c>
      <c r="V734" s="113"/>
      <c r="W734" s="108" t="s">
        <v>47</v>
      </c>
      <c r="X734" s="114"/>
      <c r="Y734" s="113"/>
      <c r="Z734" s="108" t="s">
        <v>47</v>
      </c>
      <c r="AA734" s="114"/>
      <c r="AB734" s="113"/>
      <c r="AC734" s="105" t="s">
        <v>1840</v>
      </c>
      <c r="AD734" s="115" t="s">
        <v>107</v>
      </c>
    </row>
    <row r="735" spans="1:30" x14ac:dyDescent="0.2">
      <c r="A735" s="104" t="s">
        <v>1841</v>
      </c>
      <c r="B735" s="105" t="s">
        <v>805</v>
      </c>
      <c r="C735" s="105" t="s">
        <v>338</v>
      </c>
      <c r="D735" s="106" t="s">
        <v>94</v>
      </c>
      <c r="E735" s="107" t="s">
        <v>99</v>
      </c>
      <c r="F735" s="108" t="s">
        <v>11030</v>
      </c>
      <c r="G735" s="120">
        <v>2</v>
      </c>
      <c r="H735" s="108" t="s">
        <v>11031</v>
      </c>
      <c r="I735" s="112">
        <v>4</v>
      </c>
      <c r="J735" s="111" t="s">
        <v>44</v>
      </c>
      <c r="K735" s="108" t="s">
        <v>11032</v>
      </c>
      <c r="L735" s="117">
        <v>2</v>
      </c>
      <c r="M735" s="111" t="s">
        <v>46</v>
      </c>
      <c r="N735" s="108" t="s">
        <v>11030</v>
      </c>
      <c r="O735" s="117">
        <v>2</v>
      </c>
      <c r="P735" s="111" t="s">
        <v>46</v>
      </c>
      <c r="Q735" s="108" t="s">
        <v>1842</v>
      </c>
      <c r="R735" s="112">
        <v>4</v>
      </c>
      <c r="S735" s="111" t="s">
        <v>46</v>
      </c>
      <c r="T735" s="108" t="s">
        <v>11033</v>
      </c>
      <c r="U735" s="116">
        <v>1</v>
      </c>
      <c r="V735" s="113"/>
      <c r="W735" s="108" t="s">
        <v>11034</v>
      </c>
      <c r="X735" s="117">
        <v>2</v>
      </c>
      <c r="Y735" s="111" t="s">
        <v>46</v>
      </c>
      <c r="Z735" s="108" t="s">
        <v>11035</v>
      </c>
      <c r="AA735" s="117">
        <v>2</v>
      </c>
      <c r="AB735" s="113"/>
      <c r="AC735" s="105" t="s">
        <v>1843</v>
      </c>
      <c r="AD735" s="115" t="s">
        <v>107</v>
      </c>
    </row>
    <row r="736" spans="1:30" x14ac:dyDescent="0.2">
      <c r="A736" s="104" t="s">
        <v>1844</v>
      </c>
      <c r="B736" s="105" t="s">
        <v>805</v>
      </c>
      <c r="C736" s="105" t="s">
        <v>338</v>
      </c>
      <c r="D736" s="106" t="s">
        <v>94</v>
      </c>
      <c r="E736" s="107" t="s">
        <v>99</v>
      </c>
      <c r="F736" s="108" t="s">
        <v>11036</v>
      </c>
      <c r="G736" s="120">
        <v>2</v>
      </c>
      <c r="H736" s="108" t="s">
        <v>11037</v>
      </c>
      <c r="I736" s="112">
        <v>4</v>
      </c>
      <c r="J736" s="111" t="s">
        <v>44</v>
      </c>
      <c r="K736" s="108" t="s">
        <v>11038</v>
      </c>
      <c r="L736" s="117">
        <v>2</v>
      </c>
      <c r="M736" s="111" t="s">
        <v>46</v>
      </c>
      <c r="N736" s="108" t="s">
        <v>11036</v>
      </c>
      <c r="O736" s="117">
        <v>2</v>
      </c>
      <c r="P736" s="111" t="s">
        <v>46</v>
      </c>
      <c r="Q736" s="108" t="s">
        <v>11039</v>
      </c>
      <c r="R736" s="112">
        <v>4</v>
      </c>
      <c r="S736" s="111" t="s">
        <v>46</v>
      </c>
      <c r="T736" s="108" t="s">
        <v>11040</v>
      </c>
      <c r="U736" s="116">
        <v>1</v>
      </c>
      <c r="V736" s="113"/>
      <c r="W736" s="108" t="s">
        <v>11041</v>
      </c>
      <c r="X736" s="117">
        <v>2</v>
      </c>
      <c r="Y736" s="111" t="s">
        <v>46</v>
      </c>
      <c r="Z736" s="108" t="s">
        <v>11042</v>
      </c>
      <c r="AA736" s="117">
        <v>2</v>
      </c>
      <c r="AB736" s="113"/>
      <c r="AC736" s="105" t="s">
        <v>1845</v>
      </c>
      <c r="AD736" s="115" t="s">
        <v>107</v>
      </c>
    </row>
    <row r="737" spans="1:30" x14ac:dyDescent="0.2">
      <c r="A737" s="104" t="s">
        <v>1846</v>
      </c>
      <c r="B737" s="105" t="s">
        <v>805</v>
      </c>
      <c r="C737" s="105" t="s">
        <v>1787</v>
      </c>
      <c r="D737" s="106"/>
      <c r="E737" s="107" t="s">
        <v>146</v>
      </c>
      <c r="F737" s="108" t="s">
        <v>11043</v>
      </c>
      <c r="G737" s="109">
        <v>4</v>
      </c>
      <c r="H737" s="108" t="s">
        <v>11044</v>
      </c>
      <c r="I737" s="112">
        <v>4</v>
      </c>
      <c r="J737" s="111" t="s">
        <v>46</v>
      </c>
      <c r="K737" s="108" t="s">
        <v>11045</v>
      </c>
      <c r="L737" s="110">
        <v>3</v>
      </c>
      <c r="M737" s="113"/>
      <c r="N737" s="108" t="s">
        <v>11043</v>
      </c>
      <c r="O737" s="112">
        <v>4</v>
      </c>
      <c r="P737" s="111" t="s">
        <v>46</v>
      </c>
      <c r="Q737" s="108" t="s">
        <v>11046</v>
      </c>
      <c r="R737" s="112">
        <v>4</v>
      </c>
      <c r="S737" s="111" t="s">
        <v>46</v>
      </c>
      <c r="T737" s="108" t="s">
        <v>11047</v>
      </c>
      <c r="U737" s="112">
        <v>4</v>
      </c>
      <c r="V737" s="113"/>
      <c r="W737" s="108" t="s">
        <v>47</v>
      </c>
      <c r="X737" s="114"/>
      <c r="Y737" s="113"/>
      <c r="Z737" s="108" t="s">
        <v>47</v>
      </c>
      <c r="AA737" s="114"/>
      <c r="AB737" s="113"/>
      <c r="AC737" s="105" t="s">
        <v>1847</v>
      </c>
      <c r="AD737" s="115" t="s">
        <v>107</v>
      </c>
    </row>
    <row r="738" spans="1:30" x14ac:dyDescent="0.2">
      <c r="A738" s="104" t="s">
        <v>1848</v>
      </c>
      <c r="B738" s="105" t="s">
        <v>805</v>
      </c>
      <c r="C738" s="105" t="s">
        <v>338</v>
      </c>
      <c r="D738" s="106" t="s">
        <v>125</v>
      </c>
      <c r="E738" s="107" t="s">
        <v>99</v>
      </c>
      <c r="F738" s="108" t="s">
        <v>11048</v>
      </c>
      <c r="G738" s="118">
        <v>3</v>
      </c>
      <c r="H738" s="108" t="s">
        <v>1849</v>
      </c>
      <c r="I738" s="112">
        <v>4</v>
      </c>
      <c r="J738" s="111" t="s">
        <v>44</v>
      </c>
      <c r="K738" s="108" t="s">
        <v>11049</v>
      </c>
      <c r="L738" s="117">
        <v>2</v>
      </c>
      <c r="M738" s="113"/>
      <c r="N738" s="108" t="s">
        <v>11048</v>
      </c>
      <c r="O738" s="110">
        <v>3</v>
      </c>
      <c r="P738" s="111" t="s">
        <v>46</v>
      </c>
      <c r="Q738" s="108" t="s">
        <v>11050</v>
      </c>
      <c r="R738" s="112">
        <v>4</v>
      </c>
      <c r="S738" s="113"/>
      <c r="T738" s="108" t="s">
        <v>11051</v>
      </c>
      <c r="U738" s="116">
        <v>1</v>
      </c>
      <c r="V738" s="113"/>
      <c r="W738" s="108" t="s">
        <v>11052</v>
      </c>
      <c r="X738" s="117">
        <v>2</v>
      </c>
      <c r="Y738" s="113"/>
      <c r="Z738" s="108" t="s">
        <v>47</v>
      </c>
      <c r="AA738" s="114"/>
      <c r="AB738" s="113"/>
      <c r="AC738" s="105" t="s">
        <v>1850</v>
      </c>
      <c r="AD738" s="115" t="s">
        <v>107</v>
      </c>
    </row>
    <row r="739" spans="1:30" x14ac:dyDescent="0.2">
      <c r="A739" s="104" t="s">
        <v>1851</v>
      </c>
      <c r="B739" s="105" t="s">
        <v>805</v>
      </c>
      <c r="C739" s="105" t="s">
        <v>338</v>
      </c>
      <c r="D739" s="106" t="s">
        <v>94</v>
      </c>
      <c r="E739" s="107" t="s">
        <v>99</v>
      </c>
      <c r="F739" s="108" t="s">
        <v>11053</v>
      </c>
      <c r="G739" s="120">
        <v>2</v>
      </c>
      <c r="H739" s="108" t="s">
        <v>11054</v>
      </c>
      <c r="I739" s="112">
        <v>4</v>
      </c>
      <c r="J739" s="111" t="s">
        <v>44</v>
      </c>
      <c r="K739" s="108" t="s">
        <v>11055</v>
      </c>
      <c r="L739" s="116">
        <v>1</v>
      </c>
      <c r="M739" s="113"/>
      <c r="N739" s="108" t="s">
        <v>11053</v>
      </c>
      <c r="O739" s="117">
        <v>2</v>
      </c>
      <c r="P739" s="111" t="s">
        <v>46</v>
      </c>
      <c r="Q739" s="108" t="s">
        <v>11056</v>
      </c>
      <c r="R739" s="112">
        <v>4</v>
      </c>
      <c r="S739" s="111" t="s">
        <v>46</v>
      </c>
      <c r="T739" s="108" t="s">
        <v>11057</v>
      </c>
      <c r="U739" s="116">
        <v>1</v>
      </c>
      <c r="V739" s="113"/>
      <c r="W739" s="108" t="s">
        <v>11058</v>
      </c>
      <c r="X739" s="116">
        <v>1</v>
      </c>
      <c r="Y739" s="113"/>
      <c r="Z739" s="108" t="s">
        <v>11059</v>
      </c>
      <c r="AA739" s="116">
        <v>1</v>
      </c>
      <c r="AB739" s="113"/>
      <c r="AC739" s="105" t="s">
        <v>1852</v>
      </c>
      <c r="AD739" s="115" t="s">
        <v>107</v>
      </c>
    </row>
    <row r="740" spans="1:30" x14ac:dyDescent="0.2">
      <c r="A740" s="104" t="s">
        <v>1853</v>
      </c>
      <c r="B740" s="105" t="s">
        <v>805</v>
      </c>
      <c r="C740" s="105" t="s">
        <v>338</v>
      </c>
      <c r="D740" s="106" t="s">
        <v>94</v>
      </c>
      <c r="E740" s="107" t="s">
        <v>99</v>
      </c>
      <c r="F740" s="108" t="s">
        <v>11060</v>
      </c>
      <c r="G740" s="120">
        <v>2</v>
      </c>
      <c r="H740" s="108" t="s">
        <v>1854</v>
      </c>
      <c r="I740" s="112">
        <v>4</v>
      </c>
      <c r="J740" s="111" t="s">
        <v>44</v>
      </c>
      <c r="K740" s="108" t="s">
        <v>11061</v>
      </c>
      <c r="L740" s="116">
        <v>1</v>
      </c>
      <c r="M740" s="113"/>
      <c r="N740" s="108" t="s">
        <v>11060</v>
      </c>
      <c r="O740" s="117">
        <v>2</v>
      </c>
      <c r="P740" s="111" t="s">
        <v>46</v>
      </c>
      <c r="Q740" s="108" t="s">
        <v>11062</v>
      </c>
      <c r="R740" s="112">
        <v>4</v>
      </c>
      <c r="S740" s="111" t="s">
        <v>46</v>
      </c>
      <c r="T740" s="108" t="s">
        <v>11063</v>
      </c>
      <c r="U740" s="116">
        <v>1</v>
      </c>
      <c r="V740" s="113"/>
      <c r="W740" s="108" t="s">
        <v>11064</v>
      </c>
      <c r="X740" s="116">
        <v>1</v>
      </c>
      <c r="Y740" s="113"/>
      <c r="Z740" s="108" t="s">
        <v>47</v>
      </c>
      <c r="AA740" s="114"/>
      <c r="AB740" s="113"/>
      <c r="AC740" s="105" t="s">
        <v>1855</v>
      </c>
      <c r="AD740" s="115" t="s">
        <v>107</v>
      </c>
    </row>
    <row r="741" spans="1:30" x14ac:dyDescent="0.2">
      <c r="A741" s="104" t="s">
        <v>1856</v>
      </c>
      <c r="B741" s="105" t="s">
        <v>805</v>
      </c>
      <c r="C741" s="105" t="s">
        <v>1787</v>
      </c>
      <c r="D741" s="106"/>
      <c r="E741" s="107" t="s">
        <v>146</v>
      </c>
      <c r="F741" s="108" t="s">
        <v>11065</v>
      </c>
      <c r="G741" s="109">
        <v>4</v>
      </c>
      <c r="H741" s="108" t="s">
        <v>11066</v>
      </c>
      <c r="I741" s="112">
        <v>4</v>
      </c>
      <c r="J741" s="111" t="s">
        <v>46</v>
      </c>
      <c r="K741" s="108" t="s">
        <v>11067</v>
      </c>
      <c r="L741" s="110">
        <v>3</v>
      </c>
      <c r="M741" s="113"/>
      <c r="N741" s="108" t="s">
        <v>11065</v>
      </c>
      <c r="O741" s="112">
        <v>4</v>
      </c>
      <c r="P741" s="111" t="s">
        <v>46</v>
      </c>
      <c r="Q741" s="108" t="s">
        <v>47</v>
      </c>
      <c r="R741" s="114"/>
      <c r="S741" s="113"/>
      <c r="T741" s="108" t="s">
        <v>47</v>
      </c>
      <c r="U741" s="114"/>
      <c r="V741" s="113"/>
      <c r="W741" s="108" t="s">
        <v>47</v>
      </c>
      <c r="X741" s="114"/>
      <c r="Y741" s="113"/>
      <c r="Z741" s="108" t="s">
        <v>47</v>
      </c>
      <c r="AA741" s="114"/>
      <c r="AB741" s="113"/>
      <c r="AC741" s="105" t="s">
        <v>1857</v>
      </c>
      <c r="AD741" s="115" t="s">
        <v>107</v>
      </c>
    </row>
    <row r="742" spans="1:30" x14ac:dyDescent="0.2">
      <c r="A742" s="104" t="s">
        <v>1858</v>
      </c>
      <c r="B742" s="105" t="s">
        <v>805</v>
      </c>
      <c r="C742" s="105" t="s">
        <v>1787</v>
      </c>
      <c r="D742" s="106"/>
      <c r="E742" s="107" t="s">
        <v>146</v>
      </c>
      <c r="F742" s="108" t="s">
        <v>11068</v>
      </c>
      <c r="G742" s="109">
        <v>4</v>
      </c>
      <c r="H742" s="108" t="s">
        <v>11069</v>
      </c>
      <c r="I742" s="112">
        <v>4</v>
      </c>
      <c r="J742" s="111" t="s">
        <v>46</v>
      </c>
      <c r="K742" s="108" t="s">
        <v>11070</v>
      </c>
      <c r="L742" s="110">
        <v>3</v>
      </c>
      <c r="M742" s="113"/>
      <c r="N742" s="108" t="s">
        <v>11068</v>
      </c>
      <c r="O742" s="112">
        <v>4</v>
      </c>
      <c r="P742" s="111" t="s">
        <v>46</v>
      </c>
      <c r="Q742" s="108" t="s">
        <v>11071</v>
      </c>
      <c r="R742" s="112">
        <v>4</v>
      </c>
      <c r="S742" s="111" t="s">
        <v>46</v>
      </c>
      <c r="T742" s="108" t="s">
        <v>11072</v>
      </c>
      <c r="U742" s="112">
        <v>4</v>
      </c>
      <c r="V742" s="113"/>
      <c r="W742" s="108" t="s">
        <v>11073</v>
      </c>
      <c r="X742" s="110">
        <v>3</v>
      </c>
      <c r="Y742" s="113"/>
      <c r="Z742" s="108" t="s">
        <v>47</v>
      </c>
      <c r="AA742" s="114"/>
      <c r="AB742" s="113"/>
      <c r="AC742" s="105" t="s">
        <v>1859</v>
      </c>
      <c r="AD742" s="115" t="s">
        <v>107</v>
      </c>
    </row>
    <row r="743" spans="1:30" x14ac:dyDescent="0.2">
      <c r="A743" s="104" t="s">
        <v>1860</v>
      </c>
      <c r="B743" s="105" t="s">
        <v>805</v>
      </c>
      <c r="C743" s="105" t="s">
        <v>338</v>
      </c>
      <c r="D743" s="106" t="s">
        <v>94</v>
      </c>
      <c r="E743" s="107" t="s">
        <v>99</v>
      </c>
      <c r="F743" s="108" t="s">
        <v>11074</v>
      </c>
      <c r="G743" s="120">
        <v>2</v>
      </c>
      <c r="H743" s="108" t="s">
        <v>11075</v>
      </c>
      <c r="I743" s="112">
        <v>4</v>
      </c>
      <c r="J743" s="111" t="s">
        <v>44</v>
      </c>
      <c r="K743" s="108" t="s">
        <v>1861</v>
      </c>
      <c r="L743" s="117">
        <v>2</v>
      </c>
      <c r="M743" s="113"/>
      <c r="N743" s="108" t="s">
        <v>11074</v>
      </c>
      <c r="O743" s="117">
        <v>2</v>
      </c>
      <c r="P743" s="111" t="s">
        <v>46</v>
      </c>
      <c r="Q743" s="108" t="s">
        <v>11076</v>
      </c>
      <c r="R743" s="112">
        <v>4</v>
      </c>
      <c r="S743" s="111" t="s">
        <v>46</v>
      </c>
      <c r="T743" s="108" t="s">
        <v>11077</v>
      </c>
      <c r="U743" s="116">
        <v>1</v>
      </c>
      <c r="V743" s="113"/>
      <c r="W743" s="108" t="s">
        <v>11078</v>
      </c>
      <c r="X743" s="117">
        <v>2</v>
      </c>
      <c r="Y743" s="113"/>
      <c r="Z743" s="108" t="s">
        <v>11079</v>
      </c>
      <c r="AA743" s="117">
        <v>2</v>
      </c>
      <c r="AB743" s="113"/>
      <c r="AC743" s="105" t="s">
        <v>1862</v>
      </c>
      <c r="AD743" s="115" t="s">
        <v>107</v>
      </c>
    </row>
    <row r="744" spans="1:30" x14ac:dyDescent="0.2">
      <c r="A744" s="104" t="s">
        <v>11080</v>
      </c>
      <c r="B744" s="105" t="s">
        <v>805</v>
      </c>
      <c r="C744" s="105" t="s">
        <v>207</v>
      </c>
      <c r="D744" s="106"/>
      <c r="E744" s="107"/>
      <c r="F744" s="108" t="s">
        <v>47</v>
      </c>
      <c r="G744" s="113"/>
      <c r="H744" s="108" t="s">
        <v>47</v>
      </c>
      <c r="I744" s="114"/>
      <c r="J744" s="113"/>
      <c r="K744" s="108" t="s">
        <v>47</v>
      </c>
      <c r="L744" s="114"/>
      <c r="M744" s="113"/>
      <c r="N744" s="108" t="s">
        <v>47</v>
      </c>
      <c r="O744" s="114"/>
      <c r="P744" s="113"/>
      <c r="Q744" s="108" t="s">
        <v>47</v>
      </c>
      <c r="R744" s="114"/>
      <c r="S744" s="113"/>
      <c r="T744" s="108" t="s">
        <v>47</v>
      </c>
      <c r="U744" s="114"/>
      <c r="V744" s="113"/>
      <c r="W744" s="108" t="s">
        <v>47</v>
      </c>
      <c r="X744" s="114"/>
      <c r="Y744" s="113"/>
      <c r="Z744" s="108" t="s">
        <v>47</v>
      </c>
      <c r="AA744" s="114"/>
      <c r="AB744" s="113"/>
      <c r="AC744" s="105" t="s">
        <v>11081</v>
      </c>
      <c r="AD744" s="115" t="s">
        <v>107</v>
      </c>
    </row>
    <row r="745" spans="1:30" x14ac:dyDescent="0.2">
      <c r="A745" s="104" t="s">
        <v>11082</v>
      </c>
      <c r="B745" s="105" t="s">
        <v>805</v>
      </c>
      <c r="C745" s="105" t="s">
        <v>207</v>
      </c>
      <c r="D745" s="106"/>
      <c r="E745" s="107"/>
      <c r="F745" s="108" t="s">
        <v>47</v>
      </c>
      <c r="G745" s="113"/>
      <c r="H745" s="108" t="s">
        <v>47</v>
      </c>
      <c r="I745" s="114"/>
      <c r="J745" s="113"/>
      <c r="K745" s="108" t="s">
        <v>47</v>
      </c>
      <c r="L745" s="114"/>
      <c r="M745" s="113"/>
      <c r="N745" s="108" t="s">
        <v>47</v>
      </c>
      <c r="O745" s="114"/>
      <c r="P745" s="113"/>
      <c r="Q745" s="108" t="s">
        <v>47</v>
      </c>
      <c r="R745" s="114"/>
      <c r="S745" s="113"/>
      <c r="T745" s="108" t="s">
        <v>47</v>
      </c>
      <c r="U745" s="114"/>
      <c r="V745" s="113"/>
      <c r="W745" s="108" t="s">
        <v>47</v>
      </c>
      <c r="X745" s="114"/>
      <c r="Y745" s="113"/>
      <c r="Z745" s="108" t="s">
        <v>47</v>
      </c>
      <c r="AA745" s="114"/>
      <c r="AB745" s="113"/>
      <c r="AC745" s="105" t="s">
        <v>11083</v>
      </c>
      <c r="AD745" s="115" t="s">
        <v>107</v>
      </c>
    </row>
    <row r="746" spans="1:30" x14ac:dyDescent="0.2">
      <c r="A746" s="104" t="s">
        <v>11084</v>
      </c>
      <c r="B746" s="105" t="s">
        <v>805</v>
      </c>
      <c r="C746" s="105" t="s">
        <v>207</v>
      </c>
      <c r="D746" s="106"/>
      <c r="E746" s="107"/>
      <c r="F746" s="108" t="s">
        <v>47</v>
      </c>
      <c r="G746" s="113"/>
      <c r="H746" s="108" t="s">
        <v>47</v>
      </c>
      <c r="I746" s="114"/>
      <c r="J746" s="113"/>
      <c r="K746" s="108" t="s">
        <v>47</v>
      </c>
      <c r="L746" s="114"/>
      <c r="M746" s="113"/>
      <c r="N746" s="108" t="s">
        <v>47</v>
      </c>
      <c r="O746" s="114"/>
      <c r="P746" s="113"/>
      <c r="Q746" s="108" t="s">
        <v>47</v>
      </c>
      <c r="R746" s="114"/>
      <c r="S746" s="113"/>
      <c r="T746" s="108" t="s">
        <v>47</v>
      </c>
      <c r="U746" s="114"/>
      <c r="V746" s="113"/>
      <c r="W746" s="108" t="s">
        <v>47</v>
      </c>
      <c r="X746" s="114"/>
      <c r="Y746" s="113"/>
      <c r="Z746" s="108" t="s">
        <v>47</v>
      </c>
      <c r="AA746" s="114"/>
      <c r="AB746" s="113"/>
      <c r="AC746" s="105" t="s">
        <v>11085</v>
      </c>
      <c r="AD746" s="115" t="s">
        <v>107</v>
      </c>
    </row>
    <row r="747" spans="1:30" x14ac:dyDescent="0.2">
      <c r="A747" s="104" t="s">
        <v>11086</v>
      </c>
      <c r="B747" s="105" t="s">
        <v>805</v>
      </c>
      <c r="C747" s="105" t="s">
        <v>207</v>
      </c>
      <c r="D747" s="106"/>
      <c r="E747" s="107"/>
      <c r="F747" s="108" t="s">
        <v>47</v>
      </c>
      <c r="G747" s="113"/>
      <c r="H747" s="108" t="s">
        <v>47</v>
      </c>
      <c r="I747" s="114"/>
      <c r="J747" s="113"/>
      <c r="K747" s="108" t="s">
        <v>47</v>
      </c>
      <c r="L747" s="114"/>
      <c r="M747" s="113"/>
      <c r="N747" s="108" t="s">
        <v>47</v>
      </c>
      <c r="O747" s="114"/>
      <c r="P747" s="113"/>
      <c r="Q747" s="108" t="s">
        <v>47</v>
      </c>
      <c r="R747" s="114"/>
      <c r="S747" s="113"/>
      <c r="T747" s="108" t="s">
        <v>47</v>
      </c>
      <c r="U747" s="114"/>
      <c r="V747" s="113"/>
      <c r="W747" s="108" t="s">
        <v>47</v>
      </c>
      <c r="X747" s="114"/>
      <c r="Y747" s="113"/>
      <c r="Z747" s="108" t="s">
        <v>47</v>
      </c>
      <c r="AA747" s="114"/>
      <c r="AB747" s="113"/>
      <c r="AC747" s="105" t="s">
        <v>11087</v>
      </c>
      <c r="AD747" s="115" t="s">
        <v>107</v>
      </c>
    </row>
    <row r="748" spans="1:30" x14ac:dyDescent="0.2">
      <c r="A748" s="104" t="s">
        <v>11088</v>
      </c>
      <c r="B748" s="105" t="s">
        <v>805</v>
      </c>
      <c r="C748" s="105" t="s">
        <v>207</v>
      </c>
      <c r="D748" s="106"/>
      <c r="E748" s="107"/>
      <c r="F748" s="108" t="s">
        <v>47</v>
      </c>
      <c r="G748" s="113"/>
      <c r="H748" s="108" t="s">
        <v>47</v>
      </c>
      <c r="I748" s="114"/>
      <c r="J748" s="113"/>
      <c r="K748" s="108" t="s">
        <v>47</v>
      </c>
      <c r="L748" s="114"/>
      <c r="M748" s="113"/>
      <c r="N748" s="108" t="s">
        <v>47</v>
      </c>
      <c r="O748" s="114"/>
      <c r="P748" s="113"/>
      <c r="Q748" s="108" t="s">
        <v>47</v>
      </c>
      <c r="R748" s="114"/>
      <c r="S748" s="113"/>
      <c r="T748" s="108" t="s">
        <v>47</v>
      </c>
      <c r="U748" s="114"/>
      <c r="V748" s="113"/>
      <c r="W748" s="108" t="s">
        <v>47</v>
      </c>
      <c r="X748" s="114"/>
      <c r="Y748" s="113"/>
      <c r="Z748" s="108" t="s">
        <v>47</v>
      </c>
      <c r="AA748" s="114"/>
      <c r="AB748" s="113"/>
      <c r="AC748" s="105" t="s">
        <v>11089</v>
      </c>
      <c r="AD748" s="115" t="s">
        <v>107</v>
      </c>
    </row>
    <row r="749" spans="1:30" x14ac:dyDescent="0.2">
      <c r="A749" s="104" t="s">
        <v>11090</v>
      </c>
      <c r="B749" s="105" t="s">
        <v>805</v>
      </c>
      <c r="C749" s="105" t="s">
        <v>207</v>
      </c>
      <c r="D749" s="106"/>
      <c r="E749" s="107"/>
      <c r="F749" s="108" t="s">
        <v>47</v>
      </c>
      <c r="G749" s="113"/>
      <c r="H749" s="108" t="s">
        <v>47</v>
      </c>
      <c r="I749" s="114"/>
      <c r="J749" s="113"/>
      <c r="K749" s="108" t="s">
        <v>47</v>
      </c>
      <c r="L749" s="114"/>
      <c r="M749" s="113"/>
      <c r="N749" s="108" t="s">
        <v>47</v>
      </c>
      <c r="O749" s="114"/>
      <c r="P749" s="113"/>
      <c r="Q749" s="108" t="s">
        <v>47</v>
      </c>
      <c r="R749" s="114"/>
      <c r="S749" s="113"/>
      <c r="T749" s="108" t="s">
        <v>47</v>
      </c>
      <c r="U749" s="114"/>
      <c r="V749" s="113"/>
      <c r="W749" s="108" t="s">
        <v>47</v>
      </c>
      <c r="X749" s="114"/>
      <c r="Y749" s="113"/>
      <c r="Z749" s="108" t="s">
        <v>47</v>
      </c>
      <c r="AA749" s="114"/>
      <c r="AB749" s="113"/>
      <c r="AC749" s="105" t="s">
        <v>11091</v>
      </c>
      <c r="AD749" s="115" t="s">
        <v>107</v>
      </c>
    </row>
    <row r="750" spans="1:30" x14ac:dyDescent="0.2">
      <c r="A750" s="104" t="s">
        <v>11092</v>
      </c>
      <c r="B750" s="105" t="s">
        <v>805</v>
      </c>
      <c r="C750" s="105" t="s">
        <v>207</v>
      </c>
      <c r="D750" s="106"/>
      <c r="E750" s="107"/>
      <c r="F750" s="108" t="s">
        <v>47</v>
      </c>
      <c r="G750" s="113"/>
      <c r="H750" s="108" t="s">
        <v>47</v>
      </c>
      <c r="I750" s="114"/>
      <c r="J750" s="113"/>
      <c r="K750" s="108" t="s">
        <v>47</v>
      </c>
      <c r="L750" s="114"/>
      <c r="M750" s="113"/>
      <c r="N750" s="108" t="s">
        <v>47</v>
      </c>
      <c r="O750" s="114"/>
      <c r="P750" s="113"/>
      <c r="Q750" s="108" t="s">
        <v>47</v>
      </c>
      <c r="R750" s="114"/>
      <c r="S750" s="113"/>
      <c r="T750" s="108" t="s">
        <v>47</v>
      </c>
      <c r="U750" s="114"/>
      <c r="V750" s="113"/>
      <c r="W750" s="108" t="s">
        <v>47</v>
      </c>
      <c r="X750" s="114"/>
      <c r="Y750" s="113"/>
      <c r="Z750" s="108" t="s">
        <v>47</v>
      </c>
      <c r="AA750" s="114"/>
      <c r="AB750" s="113"/>
      <c r="AC750" s="105" t="s">
        <v>11093</v>
      </c>
      <c r="AD750" s="115" t="s">
        <v>107</v>
      </c>
    </row>
    <row r="751" spans="1:30" x14ac:dyDescent="0.2">
      <c r="A751" s="104" t="s">
        <v>11094</v>
      </c>
      <c r="B751" s="105" t="s">
        <v>805</v>
      </c>
      <c r="C751" s="105" t="s">
        <v>207</v>
      </c>
      <c r="D751" s="106"/>
      <c r="E751" s="107"/>
      <c r="F751" s="108" t="s">
        <v>47</v>
      </c>
      <c r="G751" s="113"/>
      <c r="H751" s="108" t="s">
        <v>47</v>
      </c>
      <c r="I751" s="114"/>
      <c r="J751" s="113"/>
      <c r="K751" s="108" t="s">
        <v>47</v>
      </c>
      <c r="L751" s="114"/>
      <c r="M751" s="113"/>
      <c r="N751" s="108" t="s">
        <v>47</v>
      </c>
      <c r="O751" s="114"/>
      <c r="P751" s="113"/>
      <c r="Q751" s="108" t="s">
        <v>47</v>
      </c>
      <c r="R751" s="114"/>
      <c r="S751" s="113"/>
      <c r="T751" s="108" t="s">
        <v>47</v>
      </c>
      <c r="U751" s="114"/>
      <c r="V751" s="113"/>
      <c r="W751" s="108" t="s">
        <v>47</v>
      </c>
      <c r="X751" s="114"/>
      <c r="Y751" s="113"/>
      <c r="Z751" s="108" t="s">
        <v>47</v>
      </c>
      <c r="AA751" s="114"/>
      <c r="AB751" s="113"/>
      <c r="AC751" s="105" t="s">
        <v>11095</v>
      </c>
      <c r="AD751" s="115" t="s">
        <v>107</v>
      </c>
    </row>
    <row r="752" spans="1:30" x14ac:dyDescent="0.2">
      <c r="A752" s="104" t="s">
        <v>11096</v>
      </c>
      <c r="B752" s="105" t="s">
        <v>805</v>
      </c>
      <c r="C752" s="105" t="s">
        <v>207</v>
      </c>
      <c r="D752" s="106"/>
      <c r="E752" s="107"/>
      <c r="F752" s="108" t="s">
        <v>47</v>
      </c>
      <c r="G752" s="113"/>
      <c r="H752" s="108" t="s">
        <v>47</v>
      </c>
      <c r="I752" s="114"/>
      <c r="J752" s="113"/>
      <c r="K752" s="108" t="s">
        <v>47</v>
      </c>
      <c r="L752" s="114"/>
      <c r="M752" s="113"/>
      <c r="N752" s="108" t="s">
        <v>47</v>
      </c>
      <c r="O752" s="114"/>
      <c r="P752" s="113"/>
      <c r="Q752" s="108" t="s">
        <v>47</v>
      </c>
      <c r="R752" s="114"/>
      <c r="S752" s="113"/>
      <c r="T752" s="108" t="s">
        <v>47</v>
      </c>
      <c r="U752" s="114"/>
      <c r="V752" s="113"/>
      <c r="W752" s="108" t="s">
        <v>47</v>
      </c>
      <c r="X752" s="114"/>
      <c r="Y752" s="113"/>
      <c r="Z752" s="108" t="s">
        <v>47</v>
      </c>
      <c r="AA752" s="114"/>
      <c r="AB752" s="113"/>
      <c r="AC752" s="105" t="s">
        <v>11097</v>
      </c>
      <c r="AD752" s="115" t="s">
        <v>107</v>
      </c>
    </row>
    <row r="753" spans="1:30" x14ac:dyDescent="0.2">
      <c r="A753" s="104" t="s">
        <v>11098</v>
      </c>
      <c r="B753" s="105" t="s">
        <v>805</v>
      </c>
      <c r="C753" s="105" t="s">
        <v>207</v>
      </c>
      <c r="D753" s="106"/>
      <c r="E753" s="107"/>
      <c r="F753" s="108" t="s">
        <v>47</v>
      </c>
      <c r="G753" s="113"/>
      <c r="H753" s="108" t="s">
        <v>47</v>
      </c>
      <c r="I753" s="114"/>
      <c r="J753" s="113"/>
      <c r="K753" s="108" t="s">
        <v>47</v>
      </c>
      <c r="L753" s="114"/>
      <c r="M753" s="113"/>
      <c r="N753" s="108" t="s">
        <v>47</v>
      </c>
      <c r="O753" s="114"/>
      <c r="P753" s="113"/>
      <c r="Q753" s="108" t="s">
        <v>47</v>
      </c>
      <c r="R753" s="114"/>
      <c r="S753" s="113"/>
      <c r="T753" s="108" t="s">
        <v>47</v>
      </c>
      <c r="U753" s="114"/>
      <c r="V753" s="113"/>
      <c r="W753" s="108" t="s">
        <v>47</v>
      </c>
      <c r="X753" s="114"/>
      <c r="Y753" s="113"/>
      <c r="Z753" s="108" t="s">
        <v>47</v>
      </c>
      <c r="AA753" s="114"/>
      <c r="AB753" s="113"/>
      <c r="AC753" s="105" t="s">
        <v>11099</v>
      </c>
      <c r="AD753" s="115" t="s">
        <v>107</v>
      </c>
    </row>
    <row r="754" spans="1:30" x14ac:dyDescent="0.2">
      <c r="A754" s="104" t="s">
        <v>11100</v>
      </c>
      <c r="B754" s="105" t="s">
        <v>805</v>
      </c>
      <c r="C754" s="105" t="s">
        <v>207</v>
      </c>
      <c r="D754" s="106"/>
      <c r="E754" s="107"/>
      <c r="F754" s="108" t="s">
        <v>47</v>
      </c>
      <c r="G754" s="113"/>
      <c r="H754" s="108" t="s">
        <v>47</v>
      </c>
      <c r="I754" s="114"/>
      <c r="J754" s="113"/>
      <c r="K754" s="108" t="s">
        <v>47</v>
      </c>
      <c r="L754" s="114"/>
      <c r="M754" s="113"/>
      <c r="N754" s="108" t="s">
        <v>47</v>
      </c>
      <c r="O754" s="114"/>
      <c r="P754" s="113"/>
      <c r="Q754" s="108" t="s">
        <v>47</v>
      </c>
      <c r="R754" s="114"/>
      <c r="S754" s="113"/>
      <c r="T754" s="108" t="s">
        <v>47</v>
      </c>
      <c r="U754" s="114"/>
      <c r="V754" s="113"/>
      <c r="W754" s="108" t="s">
        <v>47</v>
      </c>
      <c r="X754" s="114"/>
      <c r="Y754" s="113"/>
      <c r="Z754" s="108" t="s">
        <v>47</v>
      </c>
      <c r="AA754" s="114"/>
      <c r="AB754" s="113"/>
      <c r="AC754" s="105" t="s">
        <v>11101</v>
      </c>
      <c r="AD754" s="115" t="s">
        <v>107</v>
      </c>
    </row>
    <row r="755" spans="1:30" x14ac:dyDescent="0.2">
      <c r="A755" s="104" t="s">
        <v>11102</v>
      </c>
      <c r="B755" s="105" t="s">
        <v>805</v>
      </c>
      <c r="C755" s="105" t="s">
        <v>207</v>
      </c>
      <c r="D755" s="106"/>
      <c r="E755" s="107"/>
      <c r="F755" s="108" t="s">
        <v>47</v>
      </c>
      <c r="G755" s="113"/>
      <c r="H755" s="108" t="s">
        <v>47</v>
      </c>
      <c r="I755" s="114"/>
      <c r="J755" s="113"/>
      <c r="K755" s="108" t="s">
        <v>47</v>
      </c>
      <c r="L755" s="114"/>
      <c r="M755" s="113"/>
      <c r="N755" s="108" t="s">
        <v>47</v>
      </c>
      <c r="O755" s="114"/>
      <c r="P755" s="113"/>
      <c r="Q755" s="108" t="s">
        <v>47</v>
      </c>
      <c r="R755" s="114"/>
      <c r="S755" s="113"/>
      <c r="T755" s="108" t="s">
        <v>47</v>
      </c>
      <c r="U755" s="114"/>
      <c r="V755" s="113"/>
      <c r="W755" s="108" t="s">
        <v>47</v>
      </c>
      <c r="X755" s="114"/>
      <c r="Y755" s="113"/>
      <c r="Z755" s="108" t="s">
        <v>47</v>
      </c>
      <c r="AA755" s="114"/>
      <c r="AB755" s="113"/>
      <c r="AC755" s="105" t="s">
        <v>11103</v>
      </c>
      <c r="AD755" s="115" t="s">
        <v>107</v>
      </c>
    </row>
    <row r="756" spans="1:30" x14ac:dyDescent="0.2">
      <c r="A756" s="104" t="s">
        <v>1863</v>
      </c>
      <c r="B756" s="105" t="s">
        <v>805</v>
      </c>
      <c r="C756" s="105" t="s">
        <v>1864</v>
      </c>
      <c r="D756" s="106" t="s">
        <v>125</v>
      </c>
      <c r="E756" s="107" t="s">
        <v>119</v>
      </c>
      <c r="F756" s="108" t="s">
        <v>1865</v>
      </c>
      <c r="G756" s="118">
        <v>3</v>
      </c>
      <c r="H756" s="108" t="s">
        <v>11104</v>
      </c>
      <c r="I756" s="112">
        <v>4</v>
      </c>
      <c r="J756" s="111" t="s">
        <v>55</v>
      </c>
      <c r="K756" s="108" t="s">
        <v>11105</v>
      </c>
      <c r="L756" s="112">
        <v>4</v>
      </c>
      <c r="M756" s="111" t="s">
        <v>55</v>
      </c>
      <c r="N756" s="108" t="s">
        <v>1865</v>
      </c>
      <c r="O756" s="110">
        <v>3</v>
      </c>
      <c r="P756" s="111" t="s">
        <v>46</v>
      </c>
      <c r="Q756" s="108" t="s">
        <v>1866</v>
      </c>
      <c r="R756" s="110">
        <v>3</v>
      </c>
      <c r="S756" s="113"/>
      <c r="T756" s="108" t="s">
        <v>11106</v>
      </c>
      <c r="U756" s="112">
        <v>4</v>
      </c>
      <c r="V756" s="113"/>
      <c r="W756" s="108" t="s">
        <v>11107</v>
      </c>
      <c r="X756" s="112">
        <v>4</v>
      </c>
      <c r="Y756" s="113"/>
      <c r="Z756" s="108" t="s">
        <v>693</v>
      </c>
      <c r="AA756" s="110">
        <v>3</v>
      </c>
      <c r="AB756" s="111" t="s">
        <v>40</v>
      </c>
      <c r="AC756" s="105" t="s">
        <v>1867</v>
      </c>
      <c r="AD756" s="115" t="s">
        <v>107</v>
      </c>
    </row>
    <row r="757" spans="1:30" x14ac:dyDescent="0.2">
      <c r="A757" s="104" t="s">
        <v>1868</v>
      </c>
      <c r="B757" s="105" t="s">
        <v>805</v>
      </c>
      <c r="C757" s="105" t="s">
        <v>1864</v>
      </c>
      <c r="D757" s="106" t="s">
        <v>105</v>
      </c>
      <c r="E757" s="107" t="s">
        <v>119</v>
      </c>
      <c r="F757" s="108" t="s">
        <v>11108</v>
      </c>
      <c r="G757" s="118">
        <v>3</v>
      </c>
      <c r="H757" s="108" t="s">
        <v>11109</v>
      </c>
      <c r="I757" s="112">
        <v>4</v>
      </c>
      <c r="J757" s="111" t="s">
        <v>55</v>
      </c>
      <c r="K757" s="108" t="s">
        <v>11110</v>
      </c>
      <c r="L757" s="112">
        <v>4</v>
      </c>
      <c r="M757" s="111" t="s">
        <v>55</v>
      </c>
      <c r="N757" s="108" t="s">
        <v>11108</v>
      </c>
      <c r="O757" s="110">
        <v>3</v>
      </c>
      <c r="P757" s="111" t="s">
        <v>46</v>
      </c>
      <c r="Q757" s="108" t="s">
        <v>1869</v>
      </c>
      <c r="R757" s="110">
        <v>3</v>
      </c>
      <c r="S757" s="113"/>
      <c r="T757" s="108" t="s">
        <v>11111</v>
      </c>
      <c r="U757" s="112">
        <v>4</v>
      </c>
      <c r="V757" s="113"/>
      <c r="W757" s="108" t="s">
        <v>47</v>
      </c>
      <c r="X757" s="114"/>
      <c r="Y757" s="113"/>
      <c r="Z757" s="108" t="s">
        <v>47</v>
      </c>
      <c r="AA757" s="114"/>
      <c r="AB757" s="113"/>
      <c r="AC757" s="105" t="s">
        <v>1870</v>
      </c>
      <c r="AD757" s="115" t="s">
        <v>107</v>
      </c>
    </row>
    <row r="758" spans="1:30" x14ac:dyDescent="0.2">
      <c r="A758" s="104" t="s">
        <v>1871</v>
      </c>
      <c r="B758" s="105" t="s">
        <v>805</v>
      </c>
      <c r="C758" s="105" t="s">
        <v>1864</v>
      </c>
      <c r="D758" s="106" t="s">
        <v>125</v>
      </c>
      <c r="E758" s="107" t="s">
        <v>119</v>
      </c>
      <c r="F758" s="108" t="s">
        <v>11112</v>
      </c>
      <c r="G758" s="118">
        <v>3</v>
      </c>
      <c r="H758" s="108" t="s">
        <v>11113</v>
      </c>
      <c r="I758" s="112">
        <v>4</v>
      </c>
      <c r="J758" s="111" t="s">
        <v>44</v>
      </c>
      <c r="K758" s="108" t="s">
        <v>11114</v>
      </c>
      <c r="L758" s="110">
        <v>3</v>
      </c>
      <c r="M758" s="111" t="s">
        <v>46</v>
      </c>
      <c r="N758" s="108" t="s">
        <v>11112</v>
      </c>
      <c r="O758" s="110">
        <v>3</v>
      </c>
      <c r="P758" s="111" t="s">
        <v>46</v>
      </c>
      <c r="Q758" s="108" t="s">
        <v>11115</v>
      </c>
      <c r="R758" s="110">
        <v>3</v>
      </c>
      <c r="S758" s="113"/>
      <c r="T758" s="108" t="s">
        <v>11116</v>
      </c>
      <c r="U758" s="112">
        <v>4</v>
      </c>
      <c r="V758" s="113"/>
      <c r="W758" s="108" t="s">
        <v>11117</v>
      </c>
      <c r="X758" s="112">
        <v>4</v>
      </c>
      <c r="Y758" s="113"/>
      <c r="Z758" s="108" t="s">
        <v>1872</v>
      </c>
      <c r="AA758" s="110">
        <v>3</v>
      </c>
      <c r="AB758" s="111" t="s">
        <v>40</v>
      </c>
      <c r="AC758" s="105" t="s">
        <v>1873</v>
      </c>
      <c r="AD758" s="115" t="s">
        <v>107</v>
      </c>
    </row>
    <row r="759" spans="1:30" x14ac:dyDescent="0.2">
      <c r="A759" s="104" t="s">
        <v>1874</v>
      </c>
      <c r="B759" s="105" t="s">
        <v>805</v>
      </c>
      <c r="C759" s="105" t="s">
        <v>1864</v>
      </c>
      <c r="D759" s="106" t="s">
        <v>105</v>
      </c>
      <c r="E759" s="107" t="s">
        <v>119</v>
      </c>
      <c r="F759" s="108" t="s">
        <v>11118</v>
      </c>
      <c r="G759" s="118">
        <v>3</v>
      </c>
      <c r="H759" s="108" t="s">
        <v>11119</v>
      </c>
      <c r="I759" s="112">
        <v>4</v>
      </c>
      <c r="J759" s="111" t="s">
        <v>44</v>
      </c>
      <c r="K759" s="108" t="s">
        <v>11120</v>
      </c>
      <c r="L759" s="110">
        <v>3</v>
      </c>
      <c r="M759" s="111" t="s">
        <v>46</v>
      </c>
      <c r="N759" s="108" t="s">
        <v>11118</v>
      </c>
      <c r="O759" s="110">
        <v>3</v>
      </c>
      <c r="P759" s="111" t="s">
        <v>46</v>
      </c>
      <c r="Q759" s="108" t="s">
        <v>1875</v>
      </c>
      <c r="R759" s="110">
        <v>3</v>
      </c>
      <c r="S759" s="113"/>
      <c r="T759" s="108" t="s">
        <v>11121</v>
      </c>
      <c r="U759" s="112">
        <v>4</v>
      </c>
      <c r="V759" s="113"/>
      <c r="W759" s="108" t="s">
        <v>11122</v>
      </c>
      <c r="X759" s="112">
        <v>4</v>
      </c>
      <c r="Y759" s="113"/>
      <c r="Z759" s="108" t="s">
        <v>698</v>
      </c>
      <c r="AA759" s="110">
        <v>3</v>
      </c>
      <c r="AB759" s="113"/>
      <c r="AC759" s="105" t="s">
        <v>1876</v>
      </c>
      <c r="AD759" s="115" t="s">
        <v>107</v>
      </c>
    </row>
    <row r="760" spans="1:30" x14ac:dyDescent="0.2">
      <c r="A760" s="104" t="s">
        <v>1877</v>
      </c>
      <c r="B760" s="105" t="s">
        <v>805</v>
      </c>
      <c r="C760" s="105" t="s">
        <v>1864</v>
      </c>
      <c r="D760" s="106" t="s">
        <v>105</v>
      </c>
      <c r="E760" s="107" t="s">
        <v>119</v>
      </c>
      <c r="F760" s="108" t="s">
        <v>1878</v>
      </c>
      <c r="G760" s="109">
        <v>4</v>
      </c>
      <c r="H760" s="108" t="s">
        <v>11123</v>
      </c>
      <c r="I760" s="112">
        <v>4</v>
      </c>
      <c r="J760" s="111" t="s">
        <v>55</v>
      </c>
      <c r="K760" s="108" t="s">
        <v>11124</v>
      </c>
      <c r="L760" s="112">
        <v>4</v>
      </c>
      <c r="M760" s="111" t="s">
        <v>46</v>
      </c>
      <c r="N760" s="108" t="s">
        <v>1878</v>
      </c>
      <c r="O760" s="112">
        <v>4</v>
      </c>
      <c r="P760" s="111" t="s">
        <v>46</v>
      </c>
      <c r="Q760" s="108" t="s">
        <v>1879</v>
      </c>
      <c r="R760" s="112">
        <v>4</v>
      </c>
      <c r="S760" s="113"/>
      <c r="T760" s="108" t="s">
        <v>11125</v>
      </c>
      <c r="U760" s="112">
        <v>4</v>
      </c>
      <c r="V760" s="113"/>
      <c r="W760" s="108" t="s">
        <v>11126</v>
      </c>
      <c r="X760" s="112">
        <v>4</v>
      </c>
      <c r="Y760" s="113"/>
      <c r="Z760" s="108" t="s">
        <v>47</v>
      </c>
      <c r="AA760" s="114"/>
      <c r="AB760" s="113"/>
      <c r="AC760" s="105" t="s">
        <v>1880</v>
      </c>
      <c r="AD760" s="115" t="s">
        <v>107</v>
      </c>
    </row>
    <row r="761" spans="1:30" x14ac:dyDescent="0.2">
      <c r="A761" s="104" t="s">
        <v>1881</v>
      </c>
      <c r="B761" s="105" t="s">
        <v>805</v>
      </c>
      <c r="C761" s="105" t="s">
        <v>1864</v>
      </c>
      <c r="D761" s="106" t="s">
        <v>125</v>
      </c>
      <c r="E761" s="107" t="s">
        <v>119</v>
      </c>
      <c r="F761" s="108" t="s">
        <v>11127</v>
      </c>
      <c r="G761" s="118">
        <v>3</v>
      </c>
      <c r="H761" s="108" t="s">
        <v>1882</v>
      </c>
      <c r="I761" s="112">
        <v>4</v>
      </c>
      <c r="J761" s="111" t="s">
        <v>44</v>
      </c>
      <c r="K761" s="108" t="s">
        <v>1883</v>
      </c>
      <c r="L761" s="110">
        <v>3</v>
      </c>
      <c r="M761" s="111" t="s">
        <v>46</v>
      </c>
      <c r="N761" s="108" t="s">
        <v>11127</v>
      </c>
      <c r="O761" s="110">
        <v>3</v>
      </c>
      <c r="P761" s="111" t="s">
        <v>46</v>
      </c>
      <c r="Q761" s="108" t="s">
        <v>11128</v>
      </c>
      <c r="R761" s="110">
        <v>3</v>
      </c>
      <c r="S761" s="113"/>
      <c r="T761" s="108" t="s">
        <v>11129</v>
      </c>
      <c r="U761" s="112">
        <v>4</v>
      </c>
      <c r="V761" s="113"/>
      <c r="W761" s="108" t="s">
        <v>11130</v>
      </c>
      <c r="X761" s="112">
        <v>4</v>
      </c>
      <c r="Y761" s="111" t="s">
        <v>46</v>
      </c>
      <c r="Z761" s="108" t="s">
        <v>11131</v>
      </c>
      <c r="AA761" s="117">
        <v>2</v>
      </c>
      <c r="AB761" s="111" t="s">
        <v>40</v>
      </c>
      <c r="AC761" s="105" t="s">
        <v>1884</v>
      </c>
      <c r="AD761" s="115" t="s">
        <v>107</v>
      </c>
    </row>
    <row r="762" spans="1:30" x14ac:dyDescent="0.2">
      <c r="A762" s="104" t="s">
        <v>1885</v>
      </c>
      <c r="B762" s="105" t="s">
        <v>805</v>
      </c>
      <c r="C762" s="105" t="s">
        <v>1864</v>
      </c>
      <c r="D762" s="106"/>
      <c r="E762" s="107" t="s">
        <v>119</v>
      </c>
      <c r="F762" s="108" t="s">
        <v>47</v>
      </c>
      <c r="G762" s="113"/>
      <c r="H762" s="108" t="s">
        <v>47</v>
      </c>
      <c r="I762" s="114"/>
      <c r="J762" s="113"/>
      <c r="K762" s="108" t="s">
        <v>47</v>
      </c>
      <c r="L762" s="114"/>
      <c r="M762" s="113"/>
      <c r="N762" s="108" t="s">
        <v>47</v>
      </c>
      <c r="O762" s="114"/>
      <c r="P762" s="113"/>
      <c r="Q762" s="108" t="s">
        <v>47</v>
      </c>
      <c r="R762" s="114"/>
      <c r="S762" s="113"/>
      <c r="T762" s="108" t="s">
        <v>47</v>
      </c>
      <c r="U762" s="114"/>
      <c r="V762" s="113"/>
      <c r="W762" s="108" t="s">
        <v>47</v>
      </c>
      <c r="X762" s="114"/>
      <c r="Y762" s="113"/>
      <c r="Z762" s="108" t="s">
        <v>47</v>
      </c>
      <c r="AA762" s="114"/>
      <c r="AB762" s="113"/>
      <c r="AC762" s="105" t="s">
        <v>1886</v>
      </c>
      <c r="AD762" s="115" t="s">
        <v>107</v>
      </c>
    </row>
    <row r="763" spans="1:30" x14ac:dyDescent="0.2">
      <c r="A763" s="104" t="s">
        <v>1887</v>
      </c>
      <c r="B763" s="105" t="s">
        <v>805</v>
      </c>
      <c r="C763" s="105" t="s">
        <v>1864</v>
      </c>
      <c r="D763" s="106"/>
      <c r="E763" s="107" t="s">
        <v>119</v>
      </c>
      <c r="F763" s="108" t="s">
        <v>47</v>
      </c>
      <c r="G763" s="113"/>
      <c r="H763" s="108" t="s">
        <v>47</v>
      </c>
      <c r="I763" s="114"/>
      <c r="J763" s="113"/>
      <c r="K763" s="108" t="s">
        <v>47</v>
      </c>
      <c r="L763" s="114"/>
      <c r="M763" s="113"/>
      <c r="N763" s="108" t="s">
        <v>47</v>
      </c>
      <c r="O763" s="114"/>
      <c r="P763" s="113"/>
      <c r="Q763" s="108" t="s">
        <v>47</v>
      </c>
      <c r="R763" s="114"/>
      <c r="S763" s="113"/>
      <c r="T763" s="108" t="s">
        <v>47</v>
      </c>
      <c r="U763" s="114"/>
      <c r="V763" s="113"/>
      <c r="W763" s="108" t="s">
        <v>47</v>
      </c>
      <c r="X763" s="114"/>
      <c r="Y763" s="113"/>
      <c r="Z763" s="108" t="s">
        <v>47</v>
      </c>
      <c r="AA763" s="114"/>
      <c r="AB763" s="113"/>
      <c r="AC763" s="105" t="s">
        <v>1888</v>
      </c>
      <c r="AD763" s="115" t="s">
        <v>107</v>
      </c>
    </row>
    <row r="764" spans="1:30" x14ac:dyDescent="0.2">
      <c r="A764" s="104" t="s">
        <v>1889</v>
      </c>
      <c r="B764" s="105" t="s">
        <v>805</v>
      </c>
      <c r="C764" s="105" t="s">
        <v>1864</v>
      </c>
      <c r="D764" s="106" t="s">
        <v>105</v>
      </c>
      <c r="E764" s="107" t="s">
        <v>119</v>
      </c>
      <c r="F764" s="108" t="s">
        <v>11132</v>
      </c>
      <c r="G764" s="118">
        <v>3</v>
      </c>
      <c r="H764" s="108" t="s">
        <v>11133</v>
      </c>
      <c r="I764" s="112">
        <v>4</v>
      </c>
      <c r="J764" s="111" t="s">
        <v>55</v>
      </c>
      <c r="K764" s="108" t="s">
        <v>11134</v>
      </c>
      <c r="L764" s="112">
        <v>4</v>
      </c>
      <c r="M764" s="111" t="s">
        <v>55</v>
      </c>
      <c r="N764" s="108" t="s">
        <v>11132</v>
      </c>
      <c r="O764" s="110">
        <v>3</v>
      </c>
      <c r="P764" s="113"/>
      <c r="Q764" s="108" t="s">
        <v>1890</v>
      </c>
      <c r="R764" s="112">
        <v>4</v>
      </c>
      <c r="S764" s="111" t="s">
        <v>46</v>
      </c>
      <c r="T764" s="108" t="s">
        <v>11135</v>
      </c>
      <c r="U764" s="112">
        <v>4</v>
      </c>
      <c r="V764" s="113"/>
      <c r="W764" s="108" t="s">
        <v>1891</v>
      </c>
      <c r="X764" s="112">
        <v>4</v>
      </c>
      <c r="Y764" s="113"/>
      <c r="Z764" s="108" t="s">
        <v>1892</v>
      </c>
      <c r="AA764" s="112">
        <v>4</v>
      </c>
      <c r="AB764" s="113"/>
      <c r="AC764" s="105" t="s">
        <v>1893</v>
      </c>
      <c r="AD764" s="115" t="s">
        <v>107</v>
      </c>
    </row>
    <row r="765" spans="1:30" x14ac:dyDescent="0.2">
      <c r="A765" s="104" t="s">
        <v>1894</v>
      </c>
      <c r="B765" s="105" t="s">
        <v>805</v>
      </c>
      <c r="C765" s="105" t="s">
        <v>1895</v>
      </c>
      <c r="D765" s="106" t="s">
        <v>105</v>
      </c>
      <c r="E765" s="107" t="s">
        <v>146</v>
      </c>
      <c r="F765" s="108" t="s">
        <v>11136</v>
      </c>
      <c r="G765" s="118">
        <v>3</v>
      </c>
      <c r="H765" s="108" t="s">
        <v>11137</v>
      </c>
      <c r="I765" s="117">
        <v>2</v>
      </c>
      <c r="J765" s="111" t="s">
        <v>53</v>
      </c>
      <c r="K765" s="108" t="s">
        <v>11138</v>
      </c>
      <c r="L765" s="110">
        <v>3</v>
      </c>
      <c r="M765" s="113"/>
      <c r="N765" s="108" t="s">
        <v>11136</v>
      </c>
      <c r="O765" s="110">
        <v>3</v>
      </c>
      <c r="P765" s="111" t="s">
        <v>40</v>
      </c>
      <c r="Q765" s="108" t="s">
        <v>11139</v>
      </c>
      <c r="R765" s="110">
        <v>3</v>
      </c>
      <c r="S765" s="111" t="s">
        <v>40</v>
      </c>
      <c r="T765" s="108" t="s">
        <v>11140</v>
      </c>
      <c r="U765" s="110">
        <v>3</v>
      </c>
      <c r="V765" s="113"/>
      <c r="W765" s="108" t="s">
        <v>11141</v>
      </c>
      <c r="X765" s="110">
        <v>3</v>
      </c>
      <c r="Y765" s="113"/>
      <c r="Z765" s="108" t="s">
        <v>11142</v>
      </c>
      <c r="AA765" s="112">
        <v>4</v>
      </c>
      <c r="AB765" s="111" t="s">
        <v>46</v>
      </c>
      <c r="AC765" s="105" t="s">
        <v>1896</v>
      </c>
      <c r="AD765" s="115" t="s">
        <v>107</v>
      </c>
    </row>
    <row r="766" spans="1:30" x14ac:dyDescent="0.2">
      <c r="A766" s="104" t="s">
        <v>1897</v>
      </c>
      <c r="B766" s="105" t="s">
        <v>805</v>
      </c>
      <c r="C766" s="105" t="s">
        <v>1895</v>
      </c>
      <c r="D766" s="106" t="s">
        <v>105</v>
      </c>
      <c r="E766" s="107" t="s">
        <v>146</v>
      </c>
      <c r="F766" s="108" t="s">
        <v>11143</v>
      </c>
      <c r="G766" s="118">
        <v>3</v>
      </c>
      <c r="H766" s="108" t="s">
        <v>11144</v>
      </c>
      <c r="I766" s="117">
        <v>2</v>
      </c>
      <c r="J766" s="111" t="s">
        <v>53</v>
      </c>
      <c r="K766" s="108" t="s">
        <v>11145</v>
      </c>
      <c r="L766" s="110">
        <v>3</v>
      </c>
      <c r="M766" s="113"/>
      <c r="N766" s="108" t="s">
        <v>11143</v>
      </c>
      <c r="O766" s="110">
        <v>3</v>
      </c>
      <c r="P766" s="111" t="s">
        <v>40</v>
      </c>
      <c r="Q766" s="108" t="s">
        <v>11146</v>
      </c>
      <c r="R766" s="110">
        <v>3</v>
      </c>
      <c r="S766" s="111" t="s">
        <v>40</v>
      </c>
      <c r="T766" s="108" t="s">
        <v>11147</v>
      </c>
      <c r="U766" s="110">
        <v>3</v>
      </c>
      <c r="V766" s="113"/>
      <c r="W766" s="108" t="s">
        <v>47</v>
      </c>
      <c r="X766" s="114"/>
      <c r="Y766" s="113"/>
      <c r="Z766" s="108" t="s">
        <v>47</v>
      </c>
      <c r="AA766" s="114"/>
      <c r="AB766" s="113"/>
      <c r="AC766" s="105" t="s">
        <v>1898</v>
      </c>
      <c r="AD766" s="115" t="s">
        <v>107</v>
      </c>
    </row>
    <row r="767" spans="1:30" x14ac:dyDescent="0.2">
      <c r="A767" s="104" t="s">
        <v>1899</v>
      </c>
      <c r="B767" s="105" t="s">
        <v>805</v>
      </c>
      <c r="C767" s="105" t="s">
        <v>1895</v>
      </c>
      <c r="D767" s="106" t="s">
        <v>125</v>
      </c>
      <c r="E767" s="107" t="s">
        <v>146</v>
      </c>
      <c r="F767" s="108" t="s">
        <v>11148</v>
      </c>
      <c r="G767" s="118">
        <v>3</v>
      </c>
      <c r="H767" s="108" t="s">
        <v>11149</v>
      </c>
      <c r="I767" s="117">
        <v>2</v>
      </c>
      <c r="J767" s="111" t="s">
        <v>53</v>
      </c>
      <c r="K767" s="108" t="s">
        <v>11150</v>
      </c>
      <c r="L767" s="110">
        <v>3</v>
      </c>
      <c r="M767" s="113"/>
      <c r="N767" s="108" t="s">
        <v>11148</v>
      </c>
      <c r="O767" s="110">
        <v>3</v>
      </c>
      <c r="P767" s="111" t="s">
        <v>40</v>
      </c>
      <c r="Q767" s="108" t="s">
        <v>11151</v>
      </c>
      <c r="R767" s="110">
        <v>3</v>
      </c>
      <c r="S767" s="111" t="s">
        <v>40</v>
      </c>
      <c r="T767" s="108" t="s">
        <v>11152</v>
      </c>
      <c r="U767" s="110">
        <v>3</v>
      </c>
      <c r="V767" s="113"/>
      <c r="W767" s="108" t="s">
        <v>11153</v>
      </c>
      <c r="X767" s="110">
        <v>3</v>
      </c>
      <c r="Y767" s="113"/>
      <c r="Z767" s="108" t="s">
        <v>47</v>
      </c>
      <c r="AA767" s="114"/>
      <c r="AB767" s="113"/>
      <c r="AC767" s="105" t="s">
        <v>1900</v>
      </c>
      <c r="AD767" s="115" t="s">
        <v>107</v>
      </c>
    </row>
    <row r="768" spans="1:30" x14ac:dyDescent="0.2">
      <c r="A768" s="104" t="s">
        <v>1901</v>
      </c>
      <c r="B768" s="105" t="s">
        <v>805</v>
      </c>
      <c r="C768" s="105" t="s">
        <v>1895</v>
      </c>
      <c r="D768" s="106" t="s">
        <v>125</v>
      </c>
      <c r="E768" s="107" t="s">
        <v>146</v>
      </c>
      <c r="F768" s="108" t="s">
        <v>11154</v>
      </c>
      <c r="G768" s="118">
        <v>3</v>
      </c>
      <c r="H768" s="108" t="s">
        <v>11155</v>
      </c>
      <c r="I768" s="117">
        <v>2</v>
      </c>
      <c r="J768" s="111" t="s">
        <v>40</v>
      </c>
      <c r="K768" s="108" t="s">
        <v>8676</v>
      </c>
      <c r="L768" s="110">
        <v>3</v>
      </c>
      <c r="M768" s="113"/>
      <c r="N768" s="108" t="s">
        <v>11154</v>
      </c>
      <c r="O768" s="110">
        <v>3</v>
      </c>
      <c r="P768" s="111" t="s">
        <v>40</v>
      </c>
      <c r="Q768" s="108" t="s">
        <v>11156</v>
      </c>
      <c r="R768" s="110">
        <v>3</v>
      </c>
      <c r="S768" s="111" t="s">
        <v>40</v>
      </c>
      <c r="T768" s="108" t="s">
        <v>11157</v>
      </c>
      <c r="U768" s="110">
        <v>3</v>
      </c>
      <c r="V768" s="113"/>
      <c r="W768" s="108" t="s">
        <v>11158</v>
      </c>
      <c r="X768" s="110">
        <v>3</v>
      </c>
      <c r="Y768" s="113"/>
      <c r="Z768" s="108" t="s">
        <v>11159</v>
      </c>
      <c r="AA768" s="112">
        <v>4</v>
      </c>
      <c r="AB768" s="111" t="s">
        <v>46</v>
      </c>
      <c r="AC768" s="105" t="s">
        <v>1902</v>
      </c>
      <c r="AD768" s="115" t="s">
        <v>107</v>
      </c>
    </row>
    <row r="769" spans="1:30" x14ac:dyDescent="0.2">
      <c r="A769" s="104" t="s">
        <v>1903</v>
      </c>
      <c r="B769" s="105" t="s">
        <v>805</v>
      </c>
      <c r="C769" s="105" t="s">
        <v>1895</v>
      </c>
      <c r="D769" s="106" t="s">
        <v>125</v>
      </c>
      <c r="E769" s="107" t="s">
        <v>146</v>
      </c>
      <c r="F769" s="108" t="s">
        <v>11160</v>
      </c>
      <c r="G769" s="118">
        <v>3</v>
      </c>
      <c r="H769" s="108" t="s">
        <v>11161</v>
      </c>
      <c r="I769" s="117">
        <v>2</v>
      </c>
      <c r="J769" s="111" t="s">
        <v>40</v>
      </c>
      <c r="K769" s="108" t="s">
        <v>11162</v>
      </c>
      <c r="L769" s="110">
        <v>3</v>
      </c>
      <c r="M769" s="113"/>
      <c r="N769" s="108" t="s">
        <v>11160</v>
      </c>
      <c r="O769" s="110">
        <v>3</v>
      </c>
      <c r="P769" s="111" t="s">
        <v>40</v>
      </c>
      <c r="Q769" s="108" t="s">
        <v>11163</v>
      </c>
      <c r="R769" s="110">
        <v>3</v>
      </c>
      <c r="S769" s="111" t="s">
        <v>40</v>
      </c>
      <c r="T769" s="108" t="s">
        <v>11164</v>
      </c>
      <c r="U769" s="110">
        <v>3</v>
      </c>
      <c r="V769" s="113"/>
      <c r="W769" s="108" t="s">
        <v>11165</v>
      </c>
      <c r="X769" s="110">
        <v>3</v>
      </c>
      <c r="Y769" s="113"/>
      <c r="Z769" s="108" t="s">
        <v>11166</v>
      </c>
      <c r="AA769" s="112">
        <v>4</v>
      </c>
      <c r="AB769" s="111" t="s">
        <v>46</v>
      </c>
      <c r="AC769" s="105" t="s">
        <v>1904</v>
      </c>
      <c r="AD769" s="115" t="s">
        <v>107</v>
      </c>
    </row>
    <row r="770" spans="1:30" x14ac:dyDescent="0.2">
      <c r="A770" s="104" t="s">
        <v>1905</v>
      </c>
      <c r="B770" s="105" t="s">
        <v>805</v>
      </c>
      <c r="C770" s="105" t="s">
        <v>1895</v>
      </c>
      <c r="D770" s="106" t="s">
        <v>105</v>
      </c>
      <c r="E770" s="107" t="s">
        <v>146</v>
      </c>
      <c r="F770" s="108" t="s">
        <v>11167</v>
      </c>
      <c r="G770" s="118">
        <v>3</v>
      </c>
      <c r="H770" s="108" t="s">
        <v>11168</v>
      </c>
      <c r="I770" s="117">
        <v>2</v>
      </c>
      <c r="J770" s="111" t="s">
        <v>53</v>
      </c>
      <c r="K770" s="108" t="s">
        <v>11169</v>
      </c>
      <c r="L770" s="110">
        <v>3</v>
      </c>
      <c r="M770" s="113"/>
      <c r="N770" s="108" t="s">
        <v>11167</v>
      </c>
      <c r="O770" s="110">
        <v>3</v>
      </c>
      <c r="P770" s="111" t="s">
        <v>40</v>
      </c>
      <c r="Q770" s="108" t="s">
        <v>11170</v>
      </c>
      <c r="R770" s="110">
        <v>3</v>
      </c>
      <c r="S770" s="111" t="s">
        <v>40</v>
      </c>
      <c r="T770" s="108" t="s">
        <v>11171</v>
      </c>
      <c r="U770" s="112">
        <v>4</v>
      </c>
      <c r="V770" s="113"/>
      <c r="W770" s="108" t="s">
        <v>11172</v>
      </c>
      <c r="X770" s="112">
        <v>4</v>
      </c>
      <c r="Y770" s="113"/>
      <c r="Z770" s="108" t="s">
        <v>47</v>
      </c>
      <c r="AA770" s="114"/>
      <c r="AB770" s="113"/>
      <c r="AC770" s="105" t="s">
        <v>1906</v>
      </c>
      <c r="AD770" s="115" t="s">
        <v>107</v>
      </c>
    </row>
    <row r="771" spans="1:30" x14ac:dyDescent="0.2">
      <c r="A771" s="104" t="s">
        <v>1907</v>
      </c>
      <c r="B771" s="105" t="s">
        <v>805</v>
      </c>
      <c r="C771" s="105" t="s">
        <v>1895</v>
      </c>
      <c r="D771" s="106" t="s">
        <v>125</v>
      </c>
      <c r="E771" s="107" t="s">
        <v>146</v>
      </c>
      <c r="F771" s="108" t="s">
        <v>11173</v>
      </c>
      <c r="G771" s="118">
        <v>3</v>
      </c>
      <c r="H771" s="108" t="s">
        <v>11174</v>
      </c>
      <c r="I771" s="117">
        <v>2</v>
      </c>
      <c r="J771" s="111" t="s">
        <v>40</v>
      </c>
      <c r="K771" s="108" t="s">
        <v>11175</v>
      </c>
      <c r="L771" s="117">
        <v>2</v>
      </c>
      <c r="M771" s="111" t="s">
        <v>40</v>
      </c>
      <c r="N771" s="108" t="s">
        <v>11173</v>
      </c>
      <c r="O771" s="110">
        <v>3</v>
      </c>
      <c r="P771" s="113"/>
      <c r="Q771" s="108" t="s">
        <v>11176</v>
      </c>
      <c r="R771" s="110">
        <v>3</v>
      </c>
      <c r="S771" s="113"/>
      <c r="T771" s="108" t="s">
        <v>11177</v>
      </c>
      <c r="U771" s="110">
        <v>3</v>
      </c>
      <c r="V771" s="113"/>
      <c r="W771" s="108" t="s">
        <v>11178</v>
      </c>
      <c r="X771" s="110">
        <v>3</v>
      </c>
      <c r="Y771" s="113"/>
      <c r="Z771" s="108" t="s">
        <v>11179</v>
      </c>
      <c r="AA771" s="110">
        <v>3</v>
      </c>
      <c r="AB771" s="113"/>
      <c r="AC771" s="105" t="s">
        <v>1908</v>
      </c>
      <c r="AD771" s="115" t="s">
        <v>107</v>
      </c>
    </row>
    <row r="772" spans="1:30" x14ac:dyDescent="0.2">
      <c r="A772" s="104" t="s">
        <v>1909</v>
      </c>
      <c r="B772" s="105" t="s">
        <v>805</v>
      </c>
      <c r="C772" s="105" t="s">
        <v>1895</v>
      </c>
      <c r="D772" s="106" t="s">
        <v>125</v>
      </c>
      <c r="E772" s="107" t="s">
        <v>146</v>
      </c>
      <c r="F772" s="108" t="s">
        <v>11180</v>
      </c>
      <c r="G772" s="118">
        <v>3</v>
      </c>
      <c r="H772" s="108" t="s">
        <v>11181</v>
      </c>
      <c r="I772" s="117">
        <v>2</v>
      </c>
      <c r="J772" s="111" t="s">
        <v>40</v>
      </c>
      <c r="K772" s="108" t="s">
        <v>11182</v>
      </c>
      <c r="L772" s="117">
        <v>2</v>
      </c>
      <c r="M772" s="111" t="s">
        <v>40</v>
      </c>
      <c r="N772" s="108" t="s">
        <v>11180</v>
      </c>
      <c r="O772" s="110">
        <v>3</v>
      </c>
      <c r="P772" s="113"/>
      <c r="Q772" s="108" t="s">
        <v>11183</v>
      </c>
      <c r="R772" s="110">
        <v>3</v>
      </c>
      <c r="S772" s="111" t="s">
        <v>40</v>
      </c>
      <c r="T772" s="108" t="s">
        <v>11184</v>
      </c>
      <c r="U772" s="110">
        <v>3</v>
      </c>
      <c r="V772" s="113"/>
      <c r="W772" s="108" t="s">
        <v>11185</v>
      </c>
      <c r="X772" s="110">
        <v>3</v>
      </c>
      <c r="Y772" s="113"/>
      <c r="Z772" s="108" t="s">
        <v>11186</v>
      </c>
      <c r="AA772" s="110">
        <v>3</v>
      </c>
      <c r="AB772" s="113"/>
      <c r="AC772" s="105" t="s">
        <v>1910</v>
      </c>
      <c r="AD772" s="115" t="s">
        <v>107</v>
      </c>
    </row>
    <row r="773" spans="1:30" x14ac:dyDescent="0.2">
      <c r="A773" s="104" t="s">
        <v>1911</v>
      </c>
      <c r="B773" s="105" t="s">
        <v>805</v>
      </c>
      <c r="C773" s="105" t="s">
        <v>1912</v>
      </c>
      <c r="D773" s="106"/>
      <c r="E773" s="107" t="s">
        <v>99</v>
      </c>
      <c r="F773" s="108" t="s">
        <v>496</v>
      </c>
      <c r="G773" s="120">
        <v>2</v>
      </c>
      <c r="H773" s="108" t="s">
        <v>1913</v>
      </c>
      <c r="I773" s="117">
        <v>2</v>
      </c>
      <c r="J773" s="113"/>
      <c r="K773" s="108" t="s">
        <v>11187</v>
      </c>
      <c r="L773" s="116">
        <v>1</v>
      </c>
      <c r="M773" s="111" t="s">
        <v>40</v>
      </c>
      <c r="N773" s="108" t="s">
        <v>496</v>
      </c>
      <c r="O773" s="117">
        <v>2</v>
      </c>
      <c r="P773" s="113"/>
      <c r="Q773" s="108" t="s">
        <v>11188</v>
      </c>
      <c r="R773" s="110">
        <v>3</v>
      </c>
      <c r="S773" s="113"/>
      <c r="T773" s="108" t="s">
        <v>47</v>
      </c>
      <c r="U773" s="114"/>
      <c r="V773" s="113"/>
      <c r="W773" s="108" t="s">
        <v>47</v>
      </c>
      <c r="X773" s="114"/>
      <c r="Y773" s="113"/>
      <c r="Z773" s="108" t="s">
        <v>47</v>
      </c>
      <c r="AA773" s="114"/>
      <c r="AB773" s="113"/>
      <c r="AC773" s="105" t="s">
        <v>1914</v>
      </c>
      <c r="AD773" s="115" t="s">
        <v>107</v>
      </c>
    </row>
    <row r="774" spans="1:30" x14ac:dyDescent="0.2">
      <c r="A774" s="104" t="s">
        <v>1915</v>
      </c>
      <c r="B774" s="105" t="s">
        <v>805</v>
      </c>
      <c r="C774" s="105" t="s">
        <v>1895</v>
      </c>
      <c r="D774" s="106" t="s">
        <v>105</v>
      </c>
      <c r="E774" s="107" t="s">
        <v>146</v>
      </c>
      <c r="F774" s="108" t="s">
        <v>11189</v>
      </c>
      <c r="G774" s="118">
        <v>3</v>
      </c>
      <c r="H774" s="108" t="s">
        <v>11190</v>
      </c>
      <c r="I774" s="117">
        <v>2</v>
      </c>
      <c r="J774" s="111" t="s">
        <v>53</v>
      </c>
      <c r="K774" s="108" t="s">
        <v>11191</v>
      </c>
      <c r="L774" s="110">
        <v>3</v>
      </c>
      <c r="M774" s="113"/>
      <c r="N774" s="108" t="s">
        <v>11189</v>
      </c>
      <c r="O774" s="110">
        <v>3</v>
      </c>
      <c r="P774" s="111" t="s">
        <v>40</v>
      </c>
      <c r="Q774" s="108" t="s">
        <v>11192</v>
      </c>
      <c r="R774" s="110">
        <v>3</v>
      </c>
      <c r="S774" s="111" t="s">
        <v>40</v>
      </c>
      <c r="T774" s="108" t="s">
        <v>11193</v>
      </c>
      <c r="U774" s="112">
        <v>4</v>
      </c>
      <c r="V774" s="113"/>
      <c r="W774" s="108" t="s">
        <v>11194</v>
      </c>
      <c r="X774" s="110">
        <v>3</v>
      </c>
      <c r="Y774" s="111" t="s">
        <v>40</v>
      </c>
      <c r="Z774" s="108" t="s">
        <v>11195</v>
      </c>
      <c r="AA774" s="112">
        <v>4</v>
      </c>
      <c r="AB774" s="113"/>
      <c r="AC774" s="105" t="s">
        <v>1916</v>
      </c>
      <c r="AD774" s="115" t="s">
        <v>107</v>
      </c>
    </row>
    <row r="775" spans="1:30" x14ac:dyDescent="0.2">
      <c r="A775" s="104" t="s">
        <v>1917</v>
      </c>
      <c r="B775" s="105" t="s">
        <v>805</v>
      </c>
      <c r="C775" s="105" t="s">
        <v>1895</v>
      </c>
      <c r="D775" s="106"/>
      <c r="E775" s="107" t="s">
        <v>146</v>
      </c>
      <c r="F775" s="108" t="s">
        <v>47</v>
      </c>
      <c r="G775" s="113"/>
      <c r="H775" s="108" t="s">
        <v>47</v>
      </c>
      <c r="I775" s="114"/>
      <c r="J775" s="113"/>
      <c r="K775" s="108" t="s">
        <v>47</v>
      </c>
      <c r="L775" s="114"/>
      <c r="M775" s="113"/>
      <c r="N775" s="108" t="s">
        <v>47</v>
      </c>
      <c r="O775" s="114"/>
      <c r="P775" s="113"/>
      <c r="Q775" s="108" t="s">
        <v>47</v>
      </c>
      <c r="R775" s="114"/>
      <c r="S775" s="113"/>
      <c r="T775" s="108" t="s">
        <v>47</v>
      </c>
      <c r="U775" s="114"/>
      <c r="V775" s="113"/>
      <c r="W775" s="108" t="s">
        <v>47</v>
      </c>
      <c r="X775" s="114"/>
      <c r="Y775" s="113"/>
      <c r="Z775" s="108" t="s">
        <v>47</v>
      </c>
      <c r="AA775" s="114"/>
      <c r="AB775" s="113"/>
      <c r="AC775" s="105" t="s">
        <v>1918</v>
      </c>
      <c r="AD775" s="115" t="s">
        <v>107</v>
      </c>
    </row>
    <row r="776" spans="1:30" x14ac:dyDescent="0.2">
      <c r="A776" s="104" t="s">
        <v>1919</v>
      </c>
      <c r="B776" s="105" t="s">
        <v>805</v>
      </c>
      <c r="C776" s="105" t="s">
        <v>1895</v>
      </c>
      <c r="D776" s="106"/>
      <c r="E776" s="107" t="s">
        <v>146</v>
      </c>
      <c r="F776" s="108" t="s">
        <v>11196</v>
      </c>
      <c r="G776" s="118">
        <v>3</v>
      </c>
      <c r="H776" s="108" t="s">
        <v>11197</v>
      </c>
      <c r="I776" s="117">
        <v>2</v>
      </c>
      <c r="J776" s="111" t="s">
        <v>40</v>
      </c>
      <c r="K776" s="108" t="s">
        <v>11198</v>
      </c>
      <c r="L776" s="110">
        <v>3</v>
      </c>
      <c r="M776" s="113"/>
      <c r="N776" s="108" t="s">
        <v>11196</v>
      </c>
      <c r="O776" s="110">
        <v>3</v>
      </c>
      <c r="P776" s="111" t="s">
        <v>40</v>
      </c>
      <c r="Q776" s="108" t="s">
        <v>11199</v>
      </c>
      <c r="R776" s="110">
        <v>3</v>
      </c>
      <c r="S776" s="111" t="s">
        <v>40</v>
      </c>
      <c r="T776" s="108" t="s">
        <v>47</v>
      </c>
      <c r="U776" s="114"/>
      <c r="V776" s="113"/>
      <c r="W776" s="108" t="s">
        <v>47</v>
      </c>
      <c r="X776" s="114"/>
      <c r="Y776" s="113"/>
      <c r="Z776" s="108" t="s">
        <v>47</v>
      </c>
      <c r="AA776" s="114"/>
      <c r="AB776" s="113"/>
      <c r="AC776" s="105" t="s">
        <v>1920</v>
      </c>
      <c r="AD776" s="115" t="s">
        <v>107</v>
      </c>
    </row>
    <row r="777" spans="1:30" x14ac:dyDescent="0.2">
      <c r="A777" s="104" t="s">
        <v>1921</v>
      </c>
      <c r="B777" s="105" t="s">
        <v>805</v>
      </c>
      <c r="C777" s="105" t="s">
        <v>1895</v>
      </c>
      <c r="D777" s="106"/>
      <c r="E777" s="107" t="s">
        <v>146</v>
      </c>
      <c r="F777" s="108" t="s">
        <v>47</v>
      </c>
      <c r="G777" s="113"/>
      <c r="H777" s="108" t="s">
        <v>47</v>
      </c>
      <c r="I777" s="114"/>
      <c r="J777" s="113"/>
      <c r="K777" s="108" t="s">
        <v>47</v>
      </c>
      <c r="L777" s="114"/>
      <c r="M777" s="113"/>
      <c r="N777" s="108" t="s">
        <v>47</v>
      </c>
      <c r="O777" s="114"/>
      <c r="P777" s="113"/>
      <c r="Q777" s="108" t="s">
        <v>47</v>
      </c>
      <c r="R777" s="114"/>
      <c r="S777" s="113"/>
      <c r="T777" s="108" t="s">
        <v>47</v>
      </c>
      <c r="U777" s="114"/>
      <c r="V777" s="113"/>
      <c r="W777" s="108" t="s">
        <v>47</v>
      </c>
      <c r="X777" s="114"/>
      <c r="Y777" s="113"/>
      <c r="Z777" s="108" t="s">
        <v>47</v>
      </c>
      <c r="AA777" s="114"/>
      <c r="AB777" s="113"/>
      <c r="AC777" s="105" t="s">
        <v>1922</v>
      </c>
      <c r="AD777" s="115" t="s">
        <v>107</v>
      </c>
    </row>
    <row r="778" spans="1:30" x14ac:dyDescent="0.2">
      <c r="A778" s="104" t="s">
        <v>1923</v>
      </c>
      <c r="B778" s="105" t="s">
        <v>805</v>
      </c>
      <c r="C778" s="105" t="s">
        <v>1924</v>
      </c>
      <c r="D778" s="106" t="s">
        <v>125</v>
      </c>
      <c r="E778" s="107" t="s">
        <v>182</v>
      </c>
      <c r="F778" s="108" t="s">
        <v>1925</v>
      </c>
      <c r="G778" s="120">
        <v>2</v>
      </c>
      <c r="H778" s="108" t="s">
        <v>11200</v>
      </c>
      <c r="I778" s="110">
        <v>3</v>
      </c>
      <c r="J778" s="111" t="s">
        <v>40</v>
      </c>
      <c r="K778" s="108" t="s">
        <v>1926</v>
      </c>
      <c r="L778" s="112">
        <v>4</v>
      </c>
      <c r="M778" s="111" t="s">
        <v>46</v>
      </c>
      <c r="N778" s="108" t="s">
        <v>1925</v>
      </c>
      <c r="O778" s="117">
        <v>2</v>
      </c>
      <c r="P778" s="113"/>
      <c r="Q778" s="108" t="s">
        <v>360</v>
      </c>
      <c r="R778" s="117">
        <v>2</v>
      </c>
      <c r="S778" s="113"/>
      <c r="T778" s="108" t="s">
        <v>11201</v>
      </c>
      <c r="U778" s="110">
        <v>3</v>
      </c>
      <c r="V778" s="113"/>
      <c r="W778" s="108" t="s">
        <v>1927</v>
      </c>
      <c r="X778" s="110">
        <v>3</v>
      </c>
      <c r="Y778" s="113"/>
      <c r="Z778" s="108" t="s">
        <v>11202</v>
      </c>
      <c r="AA778" s="110">
        <v>3</v>
      </c>
      <c r="AB778" s="113"/>
      <c r="AC778" s="105" t="s">
        <v>1928</v>
      </c>
      <c r="AD778" s="115" t="s">
        <v>107</v>
      </c>
    </row>
    <row r="779" spans="1:30" x14ac:dyDescent="0.2">
      <c r="A779" s="104" t="s">
        <v>1929</v>
      </c>
      <c r="B779" s="105" t="s">
        <v>805</v>
      </c>
      <c r="C779" s="105" t="s">
        <v>1924</v>
      </c>
      <c r="D779" s="106"/>
      <c r="E779" s="107" t="s">
        <v>182</v>
      </c>
      <c r="F779" s="108" t="s">
        <v>47</v>
      </c>
      <c r="G779" s="113"/>
      <c r="H779" s="108" t="s">
        <v>47</v>
      </c>
      <c r="I779" s="114"/>
      <c r="J779" s="113"/>
      <c r="K779" s="108" t="s">
        <v>47</v>
      </c>
      <c r="L779" s="114"/>
      <c r="M779" s="113"/>
      <c r="N779" s="108" t="s">
        <v>47</v>
      </c>
      <c r="O779" s="114"/>
      <c r="P779" s="113"/>
      <c r="Q779" s="108" t="s">
        <v>47</v>
      </c>
      <c r="R779" s="114"/>
      <c r="S779" s="113"/>
      <c r="T779" s="108" t="s">
        <v>47</v>
      </c>
      <c r="U779" s="114"/>
      <c r="V779" s="113"/>
      <c r="W779" s="108" t="s">
        <v>47</v>
      </c>
      <c r="X779" s="114"/>
      <c r="Y779" s="113"/>
      <c r="Z779" s="108" t="s">
        <v>47</v>
      </c>
      <c r="AA779" s="114"/>
      <c r="AB779" s="113"/>
      <c r="AC779" s="105" t="s">
        <v>1930</v>
      </c>
      <c r="AD779" s="115" t="s">
        <v>107</v>
      </c>
    </row>
    <row r="780" spans="1:30" x14ac:dyDescent="0.2">
      <c r="A780" s="104" t="s">
        <v>1931</v>
      </c>
      <c r="B780" s="105" t="s">
        <v>805</v>
      </c>
      <c r="C780" s="105" t="s">
        <v>1924</v>
      </c>
      <c r="D780" s="106" t="s">
        <v>125</v>
      </c>
      <c r="E780" s="107" t="s">
        <v>182</v>
      </c>
      <c r="F780" s="108" t="s">
        <v>11203</v>
      </c>
      <c r="G780" s="120">
        <v>2</v>
      </c>
      <c r="H780" s="108" t="s">
        <v>11204</v>
      </c>
      <c r="I780" s="110">
        <v>3</v>
      </c>
      <c r="J780" s="111" t="s">
        <v>40</v>
      </c>
      <c r="K780" s="108" t="s">
        <v>11205</v>
      </c>
      <c r="L780" s="112">
        <v>4</v>
      </c>
      <c r="M780" s="111" t="s">
        <v>46</v>
      </c>
      <c r="N780" s="108" t="s">
        <v>11203</v>
      </c>
      <c r="O780" s="117">
        <v>2</v>
      </c>
      <c r="P780" s="113"/>
      <c r="Q780" s="108" t="s">
        <v>1932</v>
      </c>
      <c r="R780" s="117">
        <v>2</v>
      </c>
      <c r="S780" s="113"/>
      <c r="T780" s="108" t="s">
        <v>11206</v>
      </c>
      <c r="U780" s="110">
        <v>3</v>
      </c>
      <c r="V780" s="113"/>
      <c r="W780" s="108" t="s">
        <v>11207</v>
      </c>
      <c r="X780" s="110">
        <v>3</v>
      </c>
      <c r="Y780" s="113"/>
      <c r="Z780" s="108" t="s">
        <v>47</v>
      </c>
      <c r="AA780" s="114"/>
      <c r="AB780" s="113"/>
      <c r="AC780" s="105" t="s">
        <v>1933</v>
      </c>
      <c r="AD780" s="115" t="s">
        <v>107</v>
      </c>
    </row>
    <row r="781" spans="1:30" x14ac:dyDescent="0.2">
      <c r="A781" s="104" t="s">
        <v>1934</v>
      </c>
      <c r="B781" s="105" t="s">
        <v>805</v>
      </c>
      <c r="C781" s="105" t="s">
        <v>1924</v>
      </c>
      <c r="D781" s="106" t="s">
        <v>125</v>
      </c>
      <c r="E781" s="107" t="s">
        <v>182</v>
      </c>
      <c r="F781" s="108" t="s">
        <v>1935</v>
      </c>
      <c r="G781" s="120">
        <v>2</v>
      </c>
      <c r="H781" s="108" t="s">
        <v>11208</v>
      </c>
      <c r="I781" s="110">
        <v>3</v>
      </c>
      <c r="J781" s="111" t="s">
        <v>40</v>
      </c>
      <c r="K781" s="108" t="s">
        <v>1936</v>
      </c>
      <c r="L781" s="112">
        <v>4</v>
      </c>
      <c r="M781" s="111" t="s">
        <v>46</v>
      </c>
      <c r="N781" s="108" t="s">
        <v>1935</v>
      </c>
      <c r="O781" s="117">
        <v>2</v>
      </c>
      <c r="P781" s="113"/>
      <c r="Q781" s="108" t="s">
        <v>11209</v>
      </c>
      <c r="R781" s="116">
        <v>1</v>
      </c>
      <c r="S781" s="111" t="s">
        <v>40</v>
      </c>
      <c r="T781" s="108" t="s">
        <v>11210</v>
      </c>
      <c r="U781" s="110">
        <v>3</v>
      </c>
      <c r="V781" s="113"/>
      <c r="W781" s="108" t="s">
        <v>1937</v>
      </c>
      <c r="X781" s="110">
        <v>3</v>
      </c>
      <c r="Y781" s="113"/>
      <c r="Z781" s="108" t="s">
        <v>11211</v>
      </c>
      <c r="AA781" s="110">
        <v>3</v>
      </c>
      <c r="AB781" s="113"/>
      <c r="AC781" s="105" t="s">
        <v>1938</v>
      </c>
      <c r="AD781" s="115" t="s">
        <v>107</v>
      </c>
    </row>
    <row r="782" spans="1:30" x14ac:dyDescent="0.2">
      <c r="A782" s="104" t="s">
        <v>1939</v>
      </c>
      <c r="B782" s="105" t="s">
        <v>805</v>
      </c>
      <c r="C782" s="105" t="s">
        <v>1924</v>
      </c>
      <c r="D782" s="106" t="s">
        <v>125</v>
      </c>
      <c r="E782" s="107" t="s">
        <v>182</v>
      </c>
      <c r="F782" s="108" t="s">
        <v>1940</v>
      </c>
      <c r="G782" s="120">
        <v>2</v>
      </c>
      <c r="H782" s="108" t="s">
        <v>1941</v>
      </c>
      <c r="I782" s="110">
        <v>3</v>
      </c>
      <c r="J782" s="111" t="s">
        <v>40</v>
      </c>
      <c r="K782" s="108" t="s">
        <v>11212</v>
      </c>
      <c r="L782" s="112">
        <v>4</v>
      </c>
      <c r="M782" s="111" t="s">
        <v>46</v>
      </c>
      <c r="N782" s="108" t="s">
        <v>1940</v>
      </c>
      <c r="O782" s="117">
        <v>2</v>
      </c>
      <c r="P782" s="113"/>
      <c r="Q782" s="108" t="s">
        <v>11213</v>
      </c>
      <c r="R782" s="116">
        <v>1</v>
      </c>
      <c r="S782" s="111" t="s">
        <v>40</v>
      </c>
      <c r="T782" s="108" t="s">
        <v>11214</v>
      </c>
      <c r="U782" s="110">
        <v>3</v>
      </c>
      <c r="V782" s="113"/>
      <c r="W782" s="108" t="s">
        <v>11215</v>
      </c>
      <c r="X782" s="110">
        <v>3</v>
      </c>
      <c r="Y782" s="113"/>
      <c r="Z782" s="108" t="s">
        <v>47</v>
      </c>
      <c r="AA782" s="114"/>
      <c r="AB782" s="113"/>
      <c r="AC782" s="105" t="s">
        <v>1942</v>
      </c>
      <c r="AD782" s="115" t="s">
        <v>107</v>
      </c>
    </row>
    <row r="783" spans="1:30" x14ac:dyDescent="0.2">
      <c r="A783" s="104" t="s">
        <v>1943</v>
      </c>
      <c r="B783" s="105" t="s">
        <v>805</v>
      </c>
      <c r="C783" s="105" t="s">
        <v>1924</v>
      </c>
      <c r="D783" s="106" t="s">
        <v>105</v>
      </c>
      <c r="E783" s="107" t="s">
        <v>182</v>
      </c>
      <c r="F783" s="108" t="s">
        <v>1944</v>
      </c>
      <c r="G783" s="120">
        <v>2</v>
      </c>
      <c r="H783" s="108" t="s">
        <v>1945</v>
      </c>
      <c r="I783" s="110">
        <v>3</v>
      </c>
      <c r="J783" s="111" t="s">
        <v>40</v>
      </c>
      <c r="K783" s="108" t="s">
        <v>1946</v>
      </c>
      <c r="L783" s="112">
        <v>4</v>
      </c>
      <c r="M783" s="111" t="s">
        <v>46</v>
      </c>
      <c r="N783" s="108" t="s">
        <v>1944</v>
      </c>
      <c r="O783" s="117">
        <v>2</v>
      </c>
      <c r="P783" s="113"/>
      <c r="Q783" s="108" t="s">
        <v>1947</v>
      </c>
      <c r="R783" s="117">
        <v>2</v>
      </c>
      <c r="S783" s="111" t="s">
        <v>40</v>
      </c>
      <c r="T783" s="108" t="s">
        <v>11216</v>
      </c>
      <c r="U783" s="112">
        <v>4</v>
      </c>
      <c r="V783" s="113"/>
      <c r="W783" s="108" t="s">
        <v>1948</v>
      </c>
      <c r="X783" s="112">
        <v>4</v>
      </c>
      <c r="Y783" s="113"/>
      <c r="Z783" s="108" t="s">
        <v>47</v>
      </c>
      <c r="AA783" s="114"/>
      <c r="AB783" s="113"/>
      <c r="AC783" s="105" t="s">
        <v>1949</v>
      </c>
      <c r="AD783" s="115" t="s">
        <v>107</v>
      </c>
    </row>
    <row r="784" spans="1:30" x14ac:dyDescent="0.2">
      <c r="A784" s="104" t="s">
        <v>1950</v>
      </c>
      <c r="B784" s="105" t="s">
        <v>805</v>
      </c>
      <c r="C784" s="105" t="s">
        <v>1924</v>
      </c>
      <c r="D784" s="106" t="s">
        <v>125</v>
      </c>
      <c r="E784" s="107" t="s">
        <v>182</v>
      </c>
      <c r="F784" s="108" t="s">
        <v>1951</v>
      </c>
      <c r="G784" s="120">
        <v>2</v>
      </c>
      <c r="H784" s="108" t="s">
        <v>1952</v>
      </c>
      <c r="I784" s="110">
        <v>3</v>
      </c>
      <c r="J784" s="113"/>
      <c r="K784" s="108" t="s">
        <v>11217</v>
      </c>
      <c r="L784" s="110">
        <v>3</v>
      </c>
      <c r="M784" s="111" t="s">
        <v>46</v>
      </c>
      <c r="N784" s="108" t="s">
        <v>1951</v>
      </c>
      <c r="O784" s="117">
        <v>2</v>
      </c>
      <c r="P784" s="113"/>
      <c r="Q784" s="108" t="s">
        <v>1953</v>
      </c>
      <c r="R784" s="116">
        <v>1</v>
      </c>
      <c r="S784" s="111" t="s">
        <v>40</v>
      </c>
      <c r="T784" s="108" t="s">
        <v>11218</v>
      </c>
      <c r="U784" s="110">
        <v>3</v>
      </c>
      <c r="V784" s="113"/>
      <c r="W784" s="108" t="s">
        <v>11219</v>
      </c>
      <c r="X784" s="117">
        <v>2</v>
      </c>
      <c r="Y784" s="111" t="s">
        <v>40</v>
      </c>
      <c r="Z784" s="108" t="s">
        <v>11220</v>
      </c>
      <c r="AA784" s="117">
        <v>2</v>
      </c>
      <c r="AB784" s="113"/>
      <c r="AC784" s="105" t="s">
        <v>1954</v>
      </c>
      <c r="AD784" s="115" t="s">
        <v>107</v>
      </c>
    </row>
    <row r="785" spans="1:30" x14ac:dyDescent="0.2">
      <c r="A785" s="104" t="s">
        <v>1955</v>
      </c>
      <c r="B785" s="105" t="s">
        <v>805</v>
      </c>
      <c r="C785" s="105" t="s">
        <v>1924</v>
      </c>
      <c r="D785" s="106" t="s">
        <v>125</v>
      </c>
      <c r="E785" s="107" t="s">
        <v>182</v>
      </c>
      <c r="F785" s="108" t="s">
        <v>1956</v>
      </c>
      <c r="G785" s="120">
        <v>2</v>
      </c>
      <c r="H785" s="108" t="s">
        <v>11221</v>
      </c>
      <c r="I785" s="110">
        <v>3</v>
      </c>
      <c r="J785" s="113"/>
      <c r="K785" s="108" t="s">
        <v>1957</v>
      </c>
      <c r="L785" s="110">
        <v>3</v>
      </c>
      <c r="M785" s="111" t="s">
        <v>46</v>
      </c>
      <c r="N785" s="108" t="s">
        <v>1956</v>
      </c>
      <c r="O785" s="117">
        <v>2</v>
      </c>
      <c r="P785" s="113"/>
      <c r="Q785" s="108" t="s">
        <v>11222</v>
      </c>
      <c r="R785" s="116">
        <v>1</v>
      </c>
      <c r="S785" s="111" t="s">
        <v>40</v>
      </c>
      <c r="T785" s="108" t="s">
        <v>1958</v>
      </c>
      <c r="U785" s="110">
        <v>3</v>
      </c>
      <c r="V785" s="113"/>
      <c r="W785" s="108" t="s">
        <v>11223</v>
      </c>
      <c r="X785" s="110">
        <v>3</v>
      </c>
      <c r="Y785" s="113"/>
      <c r="Z785" s="108" t="s">
        <v>47</v>
      </c>
      <c r="AA785" s="114"/>
      <c r="AB785" s="113"/>
      <c r="AC785" s="105" t="s">
        <v>1959</v>
      </c>
      <c r="AD785" s="115" t="s">
        <v>107</v>
      </c>
    </row>
    <row r="786" spans="1:30" x14ac:dyDescent="0.2">
      <c r="A786" s="104" t="s">
        <v>1960</v>
      </c>
      <c r="B786" s="105" t="s">
        <v>805</v>
      </c>
      <c r="C786" s="105" t="s">
        <v>1924</v>
      </c>
      <c r="D786" s="106" t="s">
        <v>125</v>
      </c>
      <c r="E786" s="107" t="s">
        <v>182</v>
      </c>
      <c r="F786" s="108" t="s">
        <v>1961</v>
      </c>
      <c r="G786" s="120">
        <v>2</v>
      </c>
      <c r="H786" s="108" t="s">
        <v>11224</v>
      </c>
      <c r="I786" s="110">
        <v>3</v>
      </c>
      <c r="J786" s="111" t="s">
        <v>40</v>
      </c>
      <c r="K786" s="108" t="s">
        <v>1962</v>
      </c>
      <c r="L786" s="112">
        <v>4</v>
      </c>
      <c r="M786" s="111" t="s">
        <v>55</v>
      </c>
      <c r="N786" s="108" t="s">
        <v>1961</v>
      </c>
      <c r="O786" s="117">
        <v>2</v>
      </c>
      <c r="P786" s="113"/>
      <c r="Q786" s="108" t="s">
        <v>1963</v>
      </c>
      <c r="R786" s="116">
        <v>1</v>
      </c>
      <c r="S786" s="111" t="s">
        <v>40</v>
      </c>
      <c r="T786" s="108" t="s">
        <v>11225</v>
      </c>
      <c r="U786" s="110">
        <v>3</v>
      </c>
      <c r="V786" s="113"/>
      <c r="W786" s="108" t="s">
        <v>11226</v>
      </c>
      <c r="X786" s="110">
        <v>3</v>
      </c>
      <c r="Y786" s="113"/>
      <c r="Z786" s="108" t="s">
        <v>11227</v>
      </c>
      <c r="AA786" s="117">
        <v>2</v>
      </c>
      <c r="AB786" s="113"/>
      <c r="AC786" s="105" t="s">
        <v>1964</v>
      </c>
      <c r="AD786" s="115" t="s">
        <v>107</v>
      </c>
    </row>
    <row r="787" spans="1:30" x14ac:dyDescent="0.2">
      <c r="A787" s="104" t="s">
        <v>1965</v>
      </c>
      <c r="B787" s="105" t="s">
        <v>805</v>
      </c>
      <c r="C787" s="105" t="s">
        <v>1924</v>
      </c>
      <c r="D787" s="106" t="s">
        <v>105</v>
      </c>
      <c r="E787" s="107" t="s">
        <v>182</v>
      </c>
      <c r="F787" s="108" t="s">
        <v>11228</v>
      </c>
      <c r="G787" s="120">
        <v>2</v>
      </c>
      <c r="H787" s="108" t="s">
        <v>11229</v>
      </c>
      <c r="I787" s="110">
        <v>3</v>
      </c>
      <c r="J787" s="111" t="s">
        <v>40</v>
      </c>
      <c r="K787" s="108" t="s">
        <v>1966</v>
      </c>
      <c r="L787" s="112">
        <v>4</v>
      </c>
      <c r="M787" s="111" t="s">
        <v>46</v>
      </c>
      <c r="N787" s="108" t="s">
        <v>11228</v>
      </c>
      <c r="O787" s="117">
        <v>2</v>
      </c>
      <c r="P787" s="113"/>
      <c r="Q787" s="108" t="s">
        <v>11230</v>
      </c>
      <c r="R787" s="117">
        <v>2</v>
      </c>
      <c r="S787" s="113"/>
      <c r="T787" s="108" t="s">
        <v>11231</v>
      </c>
      <c r="U787" s="112">
        <v>4</v>
      </c>
      <c r="V787" s="113"/>
      <c r="W787" s="108" t="s">
        <v>1967</v>
      </c>
      <c r="X787" s="112">
        <v>4</v>
      </c>
      <c r="Y787" s="113"/>
      <c r="Z787" s="108" t="s">
        <v>1968</v>
      </c>
      <c r="AA787" s="110">
        <v>3</v>
      </c>
      <c r="AB787" s="113"/>
      <c r="AC787" s="105" t="s">
        <v>1969</v>
      </c>
      <c r="AD787" s="115" t="s">
        <v>107</v>
      </c>
    </row>
    <row r="788" spans="1:30" x14ac:dyDescent="0.2">
      <c r="A788" s="104" t="s">
        <v>1970</v>
      </c>
      <c r="B788" s="105" t="s">
        <v>805</v>
      </c>
      <c r="C788" s="105" t="s">
        <v>1971</v>
      </c>
      <c r="D788" s="106"/>
      <c r="E788" s="107" t="s">
        <v>119</v>
      </c>
      <c r="F788" s="108" t="s">
        <v>8130</v>
      </c>
      <c r="G788" s="118">
        <v>3</v>
      </c>
      <c r="H788" s="108" t="s">
        <v>11232</v>
      </c>
      <c r="I788" s="112">
        <v>4</v>
      </c>
      <c r="J788" s="111" t="s">
        <v>44</v>
      </c>
      <c r="K788" s="108" t="s">
        <v>11233</v>
      </c>
      <c r="L788" s="110">
        <v>3</v>
      </c>
      <c r="M788" s="111" t="s">
        <v>46</v>
      </c>
      <c r="N788" s="108" t="s">
        <v>8130</v>
      </c>
      <c r="O788" s="110">
        <v>3</v>
      </c>
      <c r="P788" s="111" t="s">
        <v>40</v>
      </c>
      <c r="Q788" s="108" t="s">
        <v>11234</v>
      </c>
      <c r="R788" s="112">
        <v>4</v>
      </c>
      <c r="S788" s="111" t="s">
        <v>46</v>
      </c>
      <c r="T788" s="108" t="s">
        <v>47</v>
      </c>
      <c r="U788" s="114"/>
      <c r="V788" s="113"/>
      <c r="W788" s="108" t="s">
        <v>47</v>
      </c>
      <c r="X788" s="114"/>
      <c r="Y788" s="113"/>
      <c r="Z788" s="108" t="s">
        <v>47</v>
      </c>
      <c r="AA788" s="114"/>
      <c r="AB788" s="113"/>
      <c r="AC788" s="105" t="s">
        <v>1972</v>
      </c>
      <c r="AD788" s="115" t="s">
        <v>107</v>
      </c>
    </row>
    <row r="789" spans="1:30" x14ac:dyDescent="0.2">
      <c r="A789" s="104" t="s">
        <v>1973</v>
      </c>
      <c r="B789" s="105" t="s">
        <v>805</v>
      </c>
      <c r="C789" s="105" t="s">
        <v>104</v>
      </c>
      <c r="D789" s="106" t="s">
        <v>105</v>
      </c>
      <c r="E789" s="107" t="s">
        <v>182</v>
      </c>
      <c r="F789" s="108" t="s">
        <v>11235</v>
      </c>
      <c r="G789" s="109">
        <v>4</v>
      </c>
      <c r="H789" s="108" t="s">
        <v>11236</v>
      </c>
      <c r="I789" s="112">
        <v>4</v>
      </c>
      <c r="J789" s="111" t="s">
        <v>55</v>
      </c>
      <c r="K789" s="108" t="s">
        <v>11237</v>
      </c>
      <c r="L789" s="112">
        <v>4</v>
      </c>
      <c r="M789" s="111" t="s">
        <v>46</v>
      </c>
      <c r="N789" s="108" t="s">
        <v>11235</v>
      </c>
      <c r="O789" s="112">
        <v>4</v>
      </c>
      <c r="P789" s="113"/>
      <c r="Q789" s="108" t="s">
        <v>11238</v>
      </c>
      <c r="R789" s="112">
        <v>4</v>
      </c>
      <c r="S789" s="113"/>
      <c r="T789" s="108" t="s">
        <v>11239</v>
      </c>
      <c r="U789" s="112">
        <v>4</v>
      </c>
      <c r="V789" s="113"/>
      <c r="W789" s="108" t="s">
        <v>47</v>
      </c>
      <c r="X789" s="114"/>
      <c r="Y789" s="113"/>
      <c r="Z789" s="108" t="s">
        <v>47</v>
      </c>
      <c r="AA789" s="114"/>
      <c r="AB789" s="113"/>
      <c r="AC789" s="105" t="s">
        <v>1974</v>
      </c>
      <c r="AD789" s="115" t="s">
        <v>107</v>
      </c>
    </row>
    <row r="790" spans="1:30" x14ac:dyDescent="0.2">
      <c r="A790" s="104" t="s">
        <v>1975</v>
      </c>
      <c r="B790" s="105" t="s">
        <v>805</v>
      </c>
      <c r="C790" s="105" t="s">
        <v>1971</v>
      </c>
      <c r="D790" s="106"/>
      <c r="E790" s="107" t="s">
        <v>119</v>
      </c>
      <c r="F790" s="108" t="s">
        <v>11240</v>
      </c>
      <c r="G790" s="118">
        <v>3</v>
      </c>
      <c r="H790" s="108" t="s">
        <v>11241</v>
      </c>
      <c r="I790" s="112">
        <v>4</v>
      </c>
      <c r="J790" s="111" t="s">
        <v>44</v>
      </c>
      <c r="K790" s="108" t="s">
        <v>11242</v>
      </c>
      <c r="L790" s="110">
        <v>3</v>
      </c>
      <c r="M790" s="111" t="s">
        <v>46</v>
      </c>
      <c r="N790" s="108" t="s">
        <v>11240</v>
      </c>
      <c r="O790" s="110">
        <v>3</v>
      </c>
      <c r="P790" s="111" t="s">
        <v>40</v>
      </c>
      <c r="Q790" s="108" t="s">
        <v>11243</v>
      </c>
      <c r="R790" s="112">
        <v>4</v>
      </c>
      <c r="S790" s="113"/>
      <c r="T790" s="108" t="s">
        <v>47</v>
      </c>
      <c r="U790" s="114"/>
      <c r="V790" s="113"/>
      <c r="W790" s="108" t="s">
        <v>47</v>
      </c>
      <c r="X790" s="114"/>
      <c r="Y790" s="113"/>
      <c r="Z790" s="108" t="s">
        <v>47</v>
      </c>
      <c r="AA790" s="114"/>
      <c r="AB790" s="113"/>
      <c r="AC790" s="105" t="s">
        <v>1976</v>
      </c>
      <c r="AD790" s="115" t="s">
        <v>107</v>
      </c>
    </row>
    <row r="791" spans="1:30" x14ac:dyDescent="0.2">
      <c r="A791" s="104" t="s">
        <v>1977</v>
      </c>
      <c r="B791" s="105" t="s">
        <v>805</v>
      </c>
      <c r="C791" s="105" t="s">
        <v>104</v>
      </c>
      <c r="D791" s="106" t="s">
        <v>105</v>
      </c>
      <c r="E791" s="107" t="s">
        <v>182</v>
      </c>
      <c r="F791" s="108" t="s">
        <v>11244</v>
      </c>
      <c r="G791" s="109">
        <v>4</v>
      </c>
      <c r="H791" s="108" t="s">
        <v>11245</v>
      </c>
      <c r="I791" s="112">
        <v>4</v>
      </c>
      <c r="J791" s="111" t="s">
        <v>55</v>
      </c>
      <c r="K791" s="108" t="s">
        <v>11246</v>
      </c>
      <c r="L791" s="112">
        <v>4</v>
      </c>
      <c r="M791" s="111" t="s">
        <v>46</v>
      </c>
      <c r="N791" s="108" t="s">
        <v>11244</v>
      </c>
      <c r="O791" s="112">
        <v>4</v>
      </c>
      <c r="P791" s="113"/>
      <c r="Q791" s="108" t="s">
        <v>11247</v>
      </c>
      <c r="R791" s="112">
        <v>4</v>
      </c>
      <c r="S791" s="113"/>
      <c r="T791" s="108" t="s">
        <v>11248</v>
      </c>
      <c r="U791" s="112">
        <v>4</v>
      </c>
      <c r="V791" s="113"/>
      <c r="W791" s="108" t="s">
        <v>47</v>
      </c>
      <c r="X791" s="114"/>
      <c r="Y791" s="113"/>
      <c r="Z791" s="108" t="s">
        <v>47</v>
      </c>
      <c r="AA791" s="114"/>
      <c r="AB791" s="113"/>
      <c r="AC791" s="105" t="s">
        <v>1978</v>
      </c>
      <c r="AD791" s="115" t="s">
        <v>107</v>
      </c>
    </row>
    <row r="792" spans="1:30" x14ac:dyDescent="0.2">
      <c r="A792" s="104" t="s">
        <v>1979</v>
      </c>
      <c r="B792" s="105" t="s">
        <v>805</v>
      </c>
      <c r="C792" s="105" t="s">
        <v>1971</v>
      </c>
      <c r="D792" s="106"/>
      <c r="E792" s="107" t="s">
        <v>119</v>
      </c>
      <c r="F792" s="108" t="s">
        <v>8135</v>
      </c>
      <c r="G792" s="118">
        <v>3</v>
      </c>
      <c r="H792" s="108" t="s">
        <v>11249</v>
      </c>
      <c r="I792" s="112">
        <v>4</v>
      </c>
      <c r="J792" s="111" t="s">
        <v>44</v>
      </c>
      <c r="K792" s="108" t="s">
        <v>11250</v>
      </c>
      <c r="L792" s="117">
        <v>2</v>
      </c>
      <c r="M792" s="113"/>
      <c r="N792" s="108" t="s">
        <v>8135</v>
      </c>
      <c r="O792" s="110">
        <v>3</v>
      </c>
      <c r="P792" s="113"/>
      <c r="Q792" s="108" t="s">
        <v>11251</v>
      </c>
      <c r="R792" s="112">
        <v>4</v>
      </c>
      <c r="S792" s="111" t="s">
        <v>46</v>
      </c>
      <c r="T792" s="108" t="s">
        <v>47</v>
      </c>
      <c r="U792" s="114"/>
      <c r="V792" s="113"/>
      <c r="W792" s="108" t="s">
        <v>47</v>
      </c>
      <c r="X792" s="114"/>
      <c r="Y792" s="113"/>
      <c r="Z792" s="108" t="s">
        <v>47</v>
      </c>
      <c r="AA792" s="114"/>
      <c r="AB792" s="113"/>
      <c r="AC792" s="105" t="s">
        <v>1980</v>
      </c>
      <c r="AD792" s="115" t="s">
        <v>107</v>
      </c>
    </row>
    <row r="793" spans="1:30" x14ac:dyDescent="0.2">
      <c r="A793" s="104" t="s">
        <v>1981</v>
      </c>
      <c r="B793" s="105" t="s">
        <v>805</v>
      </c>
      <c r="C793" s="105" t="s">
        <v>104</v>
      </c>
      <c r="D793" s="106" t="s">
        <v>125</v>
      </c>
      <c r="E793" s="107" t="s">
        <v>182</v>
      </c>
      <c r="F793" s="108" t="s">
        <v>11252</v>
      </c>
      <c r="G793" s="109">
        <v>4</v>
      </c>
      <c r="H793" s="108" t="s">
        <v>11253</v>
      </c>
      <c r="I793" s="112">
        <v>4</v>
      </c>
      <c r="J793" s="111" t="s">
        <v>55</v>
      </c>
      <c r="K793" s="108" t="s">
        <v>11254</v>
      </c>
      <c r="L793" s="110">
        <v>3</v>
      </c>
      <c r="M793" s="113"/>
      <c r="N793" s="108" t="s">
        <v>11252</v>
      </c>
      <c r="O793" s="112">
        <v>4</v>
      </c>
      <c r="P793" s="113"/>
      <c r="Q793" s="108" t="s">
        <v>11255</v>
      </c>
      <c r="R793" s="112">
        <v>4</v>
      </c>
      <c r="S793" s="113"/>
      <c r="T793" s="108" t="s">
        <v>11256</v>
      </c>
      <c r="U793" s="112">
        <v>4</v>
      </c>
      <c r="V793" s="111" t="s">
        <v>46</v>
      </c>
      <c r="W793" s="108" t="s">
        <v>47</v>
      </c>
      <c r="X793" s="114"/>
      <c r="Y793" s="113"/>
      <c r="Z793" s="108" t="s">
        <v>47</v>
      </c>
      <c r="AA793" s="114"/>
      <c r="AB793" s="113"/>
      <c r="AC793" s="105" t="s">
        <v>1982</v>
      </c>
      <c r="AD793" s="115" t="s">
        <v>107</v>
      </c>
    </row>
    <row r="794" spans="1:30" x14ac:dyDescent="0.2">
      <c r="A794" s="104" t="s">
        <v>1983</v>
      </c>
      <c r="B794" s="105" t="s">
        <v>805</v>
      </c>
      <c r="C794" s="105" t="s">
        <v>1971</v>
      </c>
      <c r="D794" s="106"/>
      <c r="E794" s="107" t="s">
        <v>119</v>
      </c>
      <c r="F794" s="108" t="s">
        <v>11257</v>
      </c>
      <c r="G794" s="118">
        <v>3</v>
      </c>
      <c r="H794" s="108" t="s">
        <v>11258</v>
      </c>
      <c r="I794" s="112">
        <v>4</v>
      </c>
      <c r="J794" s="111" t="s">
        <v>44</v>
      </c>
      <c r="K794" s="108" t="s">
        <v>11259</v>
      </c>
      <c r="L794" s="117">
        <v>2</v>
      </c>
      <c r="M794" s="113"/>
      <c r="N794" s="108" t="s">
        <v>11257</v>
      </c>
      <c r="O794" s="110">
        <v>3</v>
      </c>
      <c r="P794" s="113"/>
      <c r="Q794" s="108" t="s">
        <v>11260</v>
      </c>
      <c r="R794" s="112">
        <v>4</v>
      </c>
      <c r="S794" s="111" t="s">
        <v>46</v>
      </c>
      <c r="T794" s="108" t="s">
        <v>47</v>
      </c>
      <c r="U794" s="114"/>
      <c r="V794" s="113"/>
      <c r="W794" s="108" t="s">
        <v>47</v>
      </c>
      <c r="X794" s="114"/>
      <c r="Y794" s="113"/>
      <c r="Z794" s="108" t="s">
        <v>47</v>
      </c>
      <c r="AA794" s="114"/>
      <c r="AB794" s="113"/>
      <c r="AC794" s="105" t="s">
        <v>1984</v>
      </c>
      <c r="AD794" s="115" t="s">
        <v>107</v>
      </c>
    </row>
    <row r="795" spans="1:30" x14ac:dyDescent="0.2">
      <c r="A795" s="104" t="s">
        <v>1985</v>
      </c>
      <c r="B795" s="105" t="s">
        <v>805</v>
      </c>
      <c r="C795" s="105" t="s">
        <v>1971</v>
      </c>
      <c r="D795" s="106"/>
      <c r="E795" s="107" t="s">
        <v>119</v>
      </c>
      <c r="F795" s="108" t="s">
        <v>1986</v>
      </c>
      <c r="G795" s="118">
        <v>3</v>
      </c>
      <c r="H795" s="108" t="s">
        <v>11261</v>
      </c>
      <c r="I795" s="112">
        <v>4</v>
      </c>
      <c r="J795" s="111" t="s">
        <v>44</v>
      </c>
      <c r="K795" s="108" t="s">
        <v>11262</v>
      </c>
      <c r="L795" s="110">
        <v>3</v>
      </c>
      <c r="M795" s="111" t="s">
        <v>46</v>
      </c>
      <c r="N795" s="108" t="s">
        <v>1986</v>
      </c>
      <c r="O795" s="110">
        <v>3</v>
      </c>
      <c r="P795" s="111" t="s">
        <v>40</v>
      </c>
      <c r="Q795" s="108" t="s">
        <v>11263</v>
      </c>
      <c r="R795" s="112">
        <v>4</v>
      </c>
      <c r="S795" s="111" t="s">
        <v>46</v>
      </c>
      <c r="T795" s="108" t="s">
        <v>851</v>
      </c>
      <c r="U795" s="112">
        <v>4</v>
      </c>
      <c r="V795" s="111" t="s">
        <v>46</v>
      </c>
      <c r="W795" s="108" t="s">
        <v>47</v>
      </c>
      <c r="X795" s="114"/>
      <c r="Y795" s="113"/>
      <c r="Z795" s="108" t="s">
        <v>47</v>
      </c>
      <c r="AA795" s="114"/>
      <c r="AB795" s="113"/>
      <c r="AC795" s="105" t="s">
        <v>1987</v>
      </c>
      <c r="AD795" s="115" t="s">
        <v>107</v>
      </c>
    </row>
    <row r="796" spans="1:30" x14ac:dyDescent="0.2">
      <c r="A796" s="104" t="s">
        <v>1988</v>
      </c>
      <c r="B796" s="105" t="s">
        <v>805</v>
      </c>
      <c r="C796" s="105" t="s">
        <v>104</v>
      </c>
      <c r="D796" s="106" t="s">
        <v>105</v>
      </c>
      <c r="E796" s="107" t="s">
        <v>182</v>
      </c>
      <c r="F796" s="108" t="s">
        <v>11264</v>
      </c>
      <c r="G796" s="109">
        <v>4</v>
      </c>
      <c r="H796" s="108" t="s">
        <v>11265</v>
      </c>
      <c r="I796" s="112">
        <v>4</v>
      </c>
      <c r="J796" s="111" t="s">
        <v>55</v>
      </c>
      <c r="K796" s="108" t="s">
        <v>11266</v>
      </c>
      <c r="L796" s="112">
        <v>4</v>
      </c>
      <c r="M796" s="111" t="s">
        <v>46</v>
      </c>
      <c r="N796" s="108" t="s">
        <v>11264</v>
      </c>
      <c r="O796" s="112">
        <v>4</v>
      </c>
      <c r="P796" s="113"/>
      <c r="Q796" s="108" t="s">
        <v>11267</v>
      </c>
      <c r="R796" s="112">
        <v>4</v>
      </c>
      <c r="S796" s="113"/>
      <c r="T796" s="108" t="s">
        <v>11268</v>
      </c>
      <c r="U796" s="112">
        <v>4</v>
      </c>
      <c r="V796" s="113"/>
      <c r="W796" s="108" t="s">
        <v>47</v>
      </c>
      <c r="X796" s="114"/>
      <c r="Y796" s="113"/>
      <c r="Z796" s="108" t="s">
        <v>47</v>
      </c>
      <c r="AA796" s="114"/>
      <c r="AB796" s="113"/>
      <c r="AC796" s="105" t="s">
        <v>1989</v>
      </c>
      <c r="AD796" s="115" t="s">
        <v>107</v>
      </c>
    </row>
    <row r="797" spans="1:30" x14ac:dyDescent="0.2">
      <c r="A797" s="104" t="s">
        <v>1990</v>
      </c>
      <c r="B797" s="105" t="s">
        <v>805</v>
      </c>
      <c r="C797" s="105" t="s">
        <v>104</v>
      </c>
      <c r="D797" s="106" t="s">
        <v>94</v>
      </c>
      <c r="E797" s="107" t="s">
        <v>146</v>
      </c>
      <c r="F797" s="108" t="s">
        <v>11269</v>
      </c>
      <c r="G797" s="118">
        <v>3</v>
      </c>
      <c r="H797" s="108" t="s">
        <v>11270</v>
      </c>
      <c r="I797" s="112">
        <v>4</v>
      </c>
      <c r="J797" s="111" t="s">
        <v>55</v>
      </c>
      <c r="K797" s="108" t="s">
        <v>11271</v>
      </c>
      <c r="L797" s="110">
        <v>3</v>
      </c>
      <c r="M797" s="111" t="s">
        <v>46</v>
      </c>
      <c r="N797" s="108" t="s">
        <v>11269</v>
      </c>
      <c r="O797" s="110">
        <v>3</v>
      </c>
      <c r="P797" s="113"/>
      <c r="Q797" s="108" t="s">
        <v>11272</v>
      </c>
      <c r="R797" s="112">
        <v>4</v>
      </c>
      <c r="S797" s="113"/>
      <c r="T797" s="108" t="s">
        <v>11273</v>
      </c>
      <c r="U797" s="117">
        <v>2</v>
      </c>
      <c r="V797" s="111" t="s">
        <v>46</v>
      </c>
      <c r="W797" s="108" t="s">
        <v>11274</v>
      </c>
      <c r="X797" s="117">
        <v>2</v>
      </c>
      <c r="Y797" s="113"/>
      <c r="Z797" s="108" t="s">
        <v>11275</v>
      </c>
      <c r="AA797" s="116">
        <v>1</v>
      </c>
      <c r="AB797" s="113"/>
      <c r="AC797" s="105" t="s">
        <v>1991</v>
      </c>
      <c r="AD797" s="115" t="s">
        <v>107</v>
      </c>
    </row>
    <row r="798" spans="1:30" x14ac:dyDescent="0.2">
      <c r="A798" s="104" t="s">
        <v>1992</v>
      </c>
      <c r="B798" s="105" t="s">
        <v>805</v>
      </c>
      <c r="C798" s="105" t="s">
        <v>104</v>
      </c>
      <c r="D798" s="106" t="s">
        <v>94</v>
      </c>
      <c r="E798" s="107" t="s">
        <v>146</v>
      </c>
      <c r="F798" s="108" t="s">
        <v>11276</v>
      </c>
      <c r="G798" s="118">
        <v>3</v>
      </c>
      <c r="H798" s="108" t="s">
        <v>11277</v>
      </c>
      <c r="I798" s="112">
        <v>4</v>
      </c>
      <c r="J798" s="111" t="s">
        <v>55</v>
      </c>
      <c r="K798" s="108" t="s">
        <v>11278</v>
      </c>
      <c r="L798" s="110">
        <v>3</v>
      </c>
      <c r="M798" s="111" t="s">
        <v>46</v>
      </c>
      <c r="N798" s="108" t="s">
        <v>11276</v>
      </c>
      <c r="O798" s="110">
        <v>3</v>
      </c>
      <c r="P798" s="113"/>
      <c r="Q798" s="108" t="s">
        <v>11279</v>
      </c>
      <c r="R798" s="112">
        <v>4</v>
      </c>
      <c r="S798" s="113"/>
      <c r="T798" s="108" t="s">
        <v>11280</v>
      </c>
      <c r="U798" s="117">
        <v>2</v>
      </c>
      <c r="V798" s="113"/>
      <c r="W798" s="108" t="s">
        <v>11281</v>
      </c>
      <c r="X798" s="117">
        <v>2</v>
      </c>
      <c r="Y798" s="113"/>
      <c r="Z798" s="108" t="s">
        <v>47</v>
      </c>
      <c r="AA798" s="114"/>
      <c r="AB798" s="113"/>
      <c r="AC798" s="105" t="s">
        <v>1993</v>
      </c>
      <c r="AD798" s="115" t="s">
        <v>107</v>
      </c>
    </row>
    <row r="799" spans="1:30" x14ac:dyDescent="0.2">
      <c r="A799" s="104" t="s">
        <v>1994</v>
      </c>
      <c r="B799" s="105" t="s">
        <v>805</v>
      </c>
      <c r="C799" s="105" t="s">
        <v>104</v>
      </c>
      <c r="D799" s="106" t="s">
        <v>94</v>
      </c>
      <c r="E799" s="107" t="s">
        <v>146</v>
      </c>
      <c r="F799" s="108" t="s">
        <v>11282</v>
      </c>
      <c r="G799" s="118">
        <v>3</v>
      </c>
      <c r="H799" s="108" t="s">
        <v>11283</v>
      </c>
      <c r="I799" s="112">
        <v>4</v>
      </c>
      <c r="J799" s="111" t="s">
        <v>55</v>
      </c>
      <c r="K799" s="108" t="s">
        <v>11284</v>
      </c>
      <c r="L799" s="110">
        <v>3</v>
      </c>
      <c r="M799" s="111" t="s">
        <v>46</v>
      </c>
      <c r="N799" s="108" t="s">
        <v>11282</v>
      </c>
      <c r="O799" s="110">
        <v>3</v>
      </c>
      <c r="P799" s="113"/>
      <c r="Q799" s="108" t="s">
        <v>11285</v>
      </c>
      <c r="R799" s="112">
        <v>4</v>
      </c>
      <c r="S799" s="113"/>
      <c r="T799" s="108" t="s">
        <v>11286</v>
      </c>
      <c r="U799" s="117">
        <v>2</v>
      </c>
      <c r="V799" s="113"/>
      <c r="W799" s="108" t="s">
        <v>11287</v>
      </c>
      <c r="X799" s="117">
        <v>2</v>
      </c>
      <c r="Y799" s="113"/>
      <c r="Z799" s="108" t="s">
        <v>47</v>
      </c>
      <c r="AA799" s="114"/>
      <c r="AB799" s="113"/>
      <c r="AC799" s="105" t="s">
        <v>1995</v>
      </c>
      <c r="AD799" s="115" t="s">
        <v>107</v>
      </c>
    </row>
    <row r="800" spans="1:30" x14ac:dyDescent="0.2">
      <c r="A800" s="104" t="s">
        <v>1996</v>
      </c>
      <c r="B800" s="105" t="s">
        <v>805</v>
      </c>
      <c r="C800" s="105" t="s">
        <v>1971</v>
      </c>
      <c r="D800" s="106"/>
      <c r="E800" s="107" t="s">
        <v>146</v>
      </c>
      <c r="F800" s="108" t="s">
        <v>8121</v>
      </c>
      <c r="G800" s="120">
        <v>2</v>
      </c>
      <c r="H800" s="108" t="s">
        <v>11288</v>
      </c>
      <c r="I800" s="110">
        <v>3</v>
      </c>
      <c r="J800" s="111" t="s">
        <v>55</v>
      </c>
      <c r="K800" s="108" t="s">
        <v>11289</v>
      </c>
      <c r="L800" s="117">
        <v>2</v>
      </c>
      <c r="M800" s="113"/>
      <c r="N800" s="108" t="s">
        <v>8121</v>
      </c>
      <c r="O800" s="117">
        <v>2</v>
      </c>
      <c r="P800" s="113"/>
      <c r="Q800" s="108" t="s">
        <v>11290</v>
      </c>
      <c r="R800" s="110">
        <v>3</v>
      </c>
      <c r="S800" s="113"/>
      <c r="T800" s="108" t="s">
        <v>8587</v>
      </c>
      <c r="U800" s="117">
        <v>2</v>
      </c>
      <c r="V800" s="113"/>
      <c r="W800" s="108" t="s">
        <v>10078</v>
      </c>
      <c r="X800" s="117">
        <v>2</v>
      </c>
      <c r="Y800" s="113"/>
      <c r="Z800" s="108" t="s">
        <v>47</v>
      </c>
      <c r="AA800" s="114"/>
      <c r="AB800" s="113"/>
      <c r="AC800" s="105" t="s">
        <v>1997</v>
      </c>
      <c r="AD800" s="115" t="s">
        <v>107</v>
      </c>
    </row>
    <row r="801" spans="1:30" x14ac:dyDescent="0.2">
      <c r="A801" s="104" t="s">
        <v>1998</v>
      </c>
      <c r="B801" s="105" t="s">
        <v>805</v>
      </c>
      <c r="C801" s="105" t="s">
        <v>104</v>
      </c>
      <c r="D801" s="106" t="s">
        <v>94</v>
      </c>
      <c r="E801" s="107" t="s">
        <v>146</v>
      </c>
      <c r="F801" s="108" t="s">
        <v>11291</v>
      </c>
      <c r="G801" s="118">
        <v>3</v>
      </c>
      <c r="H801" s="108" t="s">
        <v>11292</v>
      </c>
      <c r="I801" s="112">
        <v>4</v>
      </c>
      <c r="J801" s="111" t="s">
        <v>55</v>
      </c>
      <c r="K801" s="108" t="s">
        <v>11293</v>
      </c>
      <c r="L801" s="110">
        <v>3</v>
      </c>
      <c r="M801" s="111" t="s">
        <v>46</v>
      </c>
      <c r="N801" s="108" t="s">
        <v>11291</v>
      </c>
      <c r="O801" s="110">
        <v>3</v>
      </c>
      <c r="P801" s="113"/>
      <c r="Q801" s="108" t="s">
        <v>11294</v>
      </c>
      <c r="R801" s="112">
        <v>4</v>
      </c>
      <c r="S801" s="113"/>
      <c r="T801" s="108" t="s">
        <v>11295</v>
      </c>
      <c r="U801" s="117">
        <v>2</v>
      </c>
      <c r="V801" s="113"/>
      <c r="W801" s="108" t="s">
        <v>11296</v>
      </c>
      <c r="X801" s="117">
        <v>2</v>
      </c>
      <c r="Y801" s="113"/>
      <c r="Z801" s="108" t="s">
        <v>11297</v>
      </c>
      <c r="AA801" s="116">
        <v>1</v>
      </c>
      <c r="AB801" s="113"/>
      <c r="AC801" s="105" t="s">
        <v>1999</v>
      </c>
      <c r="AD801" s="115" t="s">
        <v>107</v>
      </c>
    </row>
    <row r="802" spans="1:30" x14ac:dyDescent="0.2">
      <c r="A802" s="104" t="s">
        <v>2000</v>
      </c>
      <c r="B802" s="105" t="s">
        <v>805</v>
      </c>
      <c r="C802" s="105" t="s">
        <v>104</v>
      </c>
      <c r="D802" s="106" t="s">
        <v>94</v>
      </c>
      <c r="E802" s="107" t="s">
        <v>146</v>
      </c>
      <c r="F802" s="108" t="s">
        <v>11298</v>
      </c>
      <c r="G802" s="118">
        <v>3</v>
      </c>
      <c r="H802" s="108" t="s">
        <v>11299</v>
      </c>
      <c r="I802" s="112">
        <v>4</v>
      </c>
      <c r="J802" s="111" t="s">
        <v>55</v>
      </c>
      <c r="K802" s="108" t="s">
        <v>11300</v>
      </c>
      <c r="L802" s="110">
        <v>3</v>
      </c>
      <c r="M802" s="111" t="s">
        <v>46</v>
      </c>
      <c r="N802" s="108" t="s">
        <v>11298</v>
      </c>
      <c r="O802" s="110">
        <v>3</v>
      </c>
      <c r="P802" s="113"/>
      <c r="Q802" s="108" t="s">
        <v>11301</v>
      </c>
      <c r="R802" s="112">
        <v>4</v>
      </c>
      <c r="S802" s="113"/>
      <c r="T802" s="108" t="s">
        <v>11302</v>
      </c>
      <c r="U802" s="117">
        <v>2</v>
      </c>
      <c r="V802" s="113"/>
      <c r="W802" s="108" t="s">
        <v>11303</v>
      </c>
      <c r="X802" s="117">
        <v>2</v>
      </c>
      <c r="Y802" s="113"/>
      <c r="Z802" s="108" t="s">
        <v>47</v>
      </c>
      <c r="AA802" s="114"/>
      <c r="AB802" s="113"/>
      <c r="AC802" s="105" t="s">
        <v>2001</v>
      </c>
      <c r="AD802" s="115" t="s">
        <v>107</v>
      </c>
    </row>
    <row r="803" spans="1:30" x14ac:dyDescent="0.2">
      <c r="A803" s="104" t="s">
        <v>2002</v>
      </c>
      <c r="B803" s="105" t="s">
        <v>805</v>
      </c>
      <c r="C803" s="105" t="s">
        <v>104</v>
      </c>
      <c r="D803" s="106" t="s">
        <v>125</v>
      </c>
      <c r="E803" s="107" t="s">
        <v>146</v>
      </c>
      <c r="F803" s="108" t="s">
        <v>11304</v>
      </c>
      <c r="G803" s="118">
        <v>3</v>
      </c>
      <c r="H803" s="108" t="s">
        <v>11305</v>
      </c>
      <c r="I803" s="112">
        <v>4</v>
      </c>
      <c r="J803" s="111" t="s">
        <v>55</v>
      </c>
      <c r="K803" s="108" t="s">
        <v>11306</v>
      </c>
      <c r="L803" s="110">
        <v>3</v>
      </c>
      <c r="M803" s="113"/>
      <c r="N803" s="108" t="s">
        <v>11304</v>
      </c>
      <c r="O803" s="110">
        <v>3</v>
      </c>
      <c r="P803" s="111" t="s">
        <v>40</v>
      </c>
      <c r="Q803" s="108" t="s">
        <v>11307</v>
      </c>
      <c r="R803" s="112">
        <v>4</v>
      </c>
      <c r="S803" s="113"/>
      <c r="T803" s="108" t="s">
        <v>11308</v>
      </c>
      <c r="U803" s="110">
        <v>3</v>
      </c>
      <c r="V803" s="113"/>
      <c r="W803" s="108" t="s">
        <v>11309</v>
      </c>
      <c r="X803" s="110">
        <v>3</v>
      </c>
      <c r="Y803" s="113"/>
      <c r="Z803" s="108" t="s">
        <v>47</v>
      </c>
      <c r="AA803" s="114"/>
      <c r="AB803" s="113"/>
      <c r="AC803" s="105" t="s">
        <v>2003</v>
      </c>
      <c r="AD803" s="115" t="s">
        <v>107</v>
      </c>
    </row>
    <row r="804" spans="1:30" x14ac:dyDescent="0.2">
      <c r="A804" s="104" t="s">
        <v>11310</v>
      </c>
      <c r="B804" s="105" t="s">
        <v>805</v>
      </c>
      <c r="C804" s="105" t="s">
        <v>104</v>
      </c>
      <c r="D804" s="106" t="s">
        <v>514</v>
      </c>
      <c r="E804" s="107" t="s">
        <v>146</v>
      </c>
      <c r="F804" s="108" t="s">
        <v>11311</v>
      </c>
      <c r="G804" s="118">
        <v>3</v>
      </c>
      <c r="H804" s="108" t="s">
        <v>11312</v>
      </c>
      <c r="I804" s="110">
        <v>3</v>
      </c>
      <c r="J804" s="111" t="s">
        <v>46</v>
      </c>
      <c r="K804" s="108" t="s">
        <v>11313</v>
      </c>
      <c r="L804" s="117">
        <v>2</v>
      </c>
      <c r="M804" s="113"/>
      <c r="N804" s="108" t="s">
        <v>11311</v>
      </c>
      <c r="O804" s="110">
        <v>3</v>
      </c>
      <c r="P804" s="111" t="s">
        <v>46</v>
      </c>
      <c r="Q804" s="108" t="s">
        <v>11314</v>
      </c>
      <c r="R804" s="112">
        <v>4</v>
      </c>
      <c r="S804" s="111" t="s">
        <v>46</v>
      </c>
      <c r="T804" s="108" t="s">
        <v>11315</v>
      </c>
      <c r="U804" s="116">
        <v>1</v>
      </c>
      <c r="V804" s="113"/>
      <c r="W804" s="108" t="s">
        <v>11316</v>
      </c>
      <c r="X804" s="116">
        <v>1</v>
      </c>
      <c r="Y804" s="113"/>
      <c r="Z804" s="108" t="s">
        <v>47</v>
      </c>
      <c r="AA804" s="114"/>
      <c r="AB804" s="113"/>
      <c r="AC804" s="105" t="s">
        <v>11317</v>
      </c>
      <c r="AD804" s="115" t="s">
        <v>107</v>
      </c>
    </row>
    <row r="805" spans="1:30" x14ac:dyDescent="0.2">
      <c r="A805" s="104" t="s">
        <v>2004</v>
      </c>
      <c r="B805" s="105" t="s">
        <v>805</v>
      </c>
      <c r="C805" s="105" t="s">
        <v>1971</v>
      </c>
      <c r="D805" s="106"/>
      <c r="E805" s="107" t="s">
        <v>146</v>
      </c>
      <c r="F805" s="108" t="s">
        <v>47</v>
      </c>
      <c r="G805" s="113"/>
      <c r="H805" s="108" t="s">
        <v>2005</v>
      </c>
      <c r="I805" s="110">
        <v>3</v>
      </c>
      <c r="J805" s="111" t="s">
        <v>55</v>
      </c>
      <c r="K805" s="108" t="s">
        <v>11318</v>
      </c>
      <c r="L805" s="117">
        <v>2</v>
      </c>
      <c r="M805" s="113"/>
      <c r="N805" s="108" t="s">
        <v>47</v>
      </c>
      <c r="O805" s="114"/>
      <c r="P805" s="113"/>
      <c r="Q805" s="108" t="s">
        <v>47</v>
      </c>
      <c r="R805" s="114"/>
      <c r="S805" s="113"/>
      <c r="T805" s="108" t="s">
        <v>47</v>
      </c>
      <c r="U805" s="114"/>
      <c r="V805" s="113"/>
      <c r="W805" s="108" t="s">
        <v>47</v>
      </c>
      <c r="X805" s="114"/>
      <c r="Y805" s="113"/>
      <c r="Z805" s="108" t="s">
        <v>47</v>
      </c>
      <c r="AA805" s="114"/>
      <c r="AB805" s="113"/>
      <c r="AC805" s="105" t="s">
        <v>2006</v>
      </c>
      <c r="AD805" s="115" t="s">
        <v>107</v>
      </c>
    </row>
    <row r="806" spans="1:30" x14ac:dyDescent="0.2">
      <c r="A806" s="104" t="s">
        <v>2007</v>
      </c>
      <c r="B806" s="105" t="s">
        <v>805</v>
      </c>
      <c r="C806" s="105" t="s">
        <v>104</v>
      </c>
      <c r="D806" s="106" t="s">
        <v>94</v>
      </c>
      <c r="E806" s="107" t="s">
        <v>146</v>
      </c>
      <c r="F806" s="108" t="s">
        <v>11319</v>
      </c>
      <c r="G806" s="118">
        <v>3</v>
      </c>
      <c r="H806" s="108" t="s">
        <v>11320</v>
      </c>
      <c r="I806" s="112">
        <v>4</v>
      </c>
      <c r="J806" s="111" t="s">
        <v>55</v>
      </c>
      <c r="K806" s="108" t="s">
        <v>11321</v>
      </c>
      <c r="L806" s="110">
        <v>3</v>
      </c>
      <c r="M806" s="111" t="s">
        <v>46</v>
      </c>
      <c r="N806" s="108" t="s">
        <v>11319</v>
      </c>
      <c r="O806" s="110">
        <v>3</v>
      </c>
      <c r="P806" s="113"/>
      <c r="Q806" s="108" t="s">
        <v>11322</v>
      </c>
      <c r="R806" s="112">
        <v>4</v>
      </c>
      <c r="S806" s="113"/>
      <c r="T806" s="108" t="s">
        <v>11323</v>
      </c>
      <c r="U806" s="116">
        <v>1</v>
      </c>
      <c r="V806" s="113"/>
      <c r="W806" s="108" t="s">
        <v>11324</v>
      </c>
      <c r="X806" s="116">
        <v>1</v>
      </c>
      <c r="Y806" s="113"/>
      <c r="Z806" s="108" t="s">
        <v>11325</v>
      </c>
      <c r="AA806" s="116">
        <v>1</v>
      </c>
      <c r="AB806" s="113"/>
      <c r="AC806" s="105" t="s">
        <v>2008</v>
      </c>
      <c r="AD806" s="115" t="s">
        <v>107</v>
      </c>
    </row>
    <row r="807" spans="1:30" x14ac:dyDescent="0.2">
      <c r="A807" s="104" t="s">
        <v>2009</v>
      </c>
      <c r="B807" s="105" t="s">
        <v>805</v>
      </c>
      <c r="C807" s="105" t="s">
        <v>104</v>
      </c>
      <c r="D807" s="106"/>
      <c r="E807" s="107" t="s">
        <v>146</v>
      </c>
      <c r="F807" s="108" t="s">
        <v>11326</v>
      </c>
      <c r="G807" s="118">
        <v>3</v>
      </c>
      <c r="H807" s="108" t="s">
        <v>11327</v>
      </c>
      <c r="I807" s="112">
        <v>4</v>
      </c>
      <c r="J807" s="111" t="s">
        <v>55</v>
      </c>
      <c r="K807" s="108" t="s">
        <v>11328</v>
      </c>
      <c r="L807" s="110">
        <v>3</v>
      </c>
      <c r="M807" s="111" t="s">
        <v>46</v>
      </c>
      <c r="N807" s="108" t="s">
        <v>11326</v>
      </c>
      <c r="O807" s="110">
        <v>3</v>
      </c>
      <c r="P807" s="113"/>
      <c r="Q807" s="108" t="s">
        <v>47</v>
      </c>
      <c r="R807" s="114"/>
      <c r="S807" s="113"/>
      <c r="T807" s="108" t="s">
        <v>47</v>
      </c>
      <c r="U807" s="114"/>
      <c r="V807" s="113"/>
      <c r="W807" s="108" t="s">
        <v>47</v>
      </c>
      <c r="X807" s="114"/>
      <c r="Y807" s="113"/>
      <c r="Z807" s="108" t="s">
        <v>47</v>
      </c>
      <c r="AA807" s="114"/>
      <c r="AB807" s="113"/>
      <c r="AC807" s="105" t="s">
        <v>2010</v>
      </c>
      <c r="AD807" s="115" t="s">
        <v>107</v>
      </c>
    </row>
    <row r="808" spans="1:30" x14ac:dyDescent="0.2">
      <c r="A808" s="104" t="s">
        <v>2011</v>
      </c>
      <c r="B808" s="105" t="s">
        <v>805</v>
      </c>
      <c r="C808" s="105" t="s">
        <v>104</v>
      </c>
      <c r="D808" s="106" t="s">
        <v>94</v>
      </c>
      <c r="E808" s="107" t="s">
        <v>146</v>
      </c>
      <c r="F808" s="108" t="s">
        <v>11329</v>
      </c>
      <c r="G808" s="118">
        <v>3</v>
      </c>
      <c r="H808" s="108" t="s">
        <v>11330</v>
      </c>
      <c r="I808" s="112">
        <v>4</v>
      </c>
      <c r="J808" s="111" t="s">
        <v>55</v>
      </c>
      <c r="K808" s="108" t="s">
        <v>11331</v>
      </c>
      <c r="L808" s="110">
        <v>3</v>
      </c>
      <c r="M808" s="111" t="s">
        <v>46</v>
      </c>
      <c r="N808" s="108" t="s">
        <v>11329</v>
      </c>
      <c r="O808" s="110">
        <v>3</v>
      </c>
      <c r="P808" s="113"/>
      <c r="Q808" s="108" t="s">
        <v>11332</v>
      </c>
      <c r="R808" s="112">
        <v>4</v>
      </c>
      <c r="S808" s="113"/>
      <c r="T808" s="108" t="s">
        <v>11333</v>
      </c>
      <c r="U808" s="116">
        <v>1</v>
      </c>
      <c r="V808" s="113"/>
      <c r="W808" s="108" t="s">
        <v>11334</v>
      </c>
      <c r="X808" s="116">
        <v>1</v>
      </c>
      <c r="Y808" s="113"/>
      <c r="Z808" s="108" t="s">
        <v>11335</v>
      </c>
      <c r="AA808" s="116">
        <v>1</v>
      </c>
      <c r="AB808" s="113"/>
      <c r="AC808" s="105" t="s">
        <v>2012</v>
      </c>
      <c r="AD808" s="115" t="s">
        <v>107</v>
      </c>
    </row>
    <row r="809" spans="1:30" x14ac:dyDescent="0.2">
      <c r="A809" s="104" t="s">
        <v>2013</v>
      </c>
      <c r="B809" s="105" t="s">
        <v>805</v>
      </c>
      <c r="C809" s="105" t="s">
        <v>104</v>
      </c>
      <c r="D809" s="106"/>
      <c r="E809" s="107" t="s">
        <v>146</v>
      </c>
      <c r="F809" s="108" t="s">
        <v>47</v>
      </c>
      <c r="G809" s="113"/>
      <c r="H809" s="108" t="s">
        <v>11336</v>
      </c>
      <c r="I809" s="110">
        <v>3</v>
      </c>
      <c r="J809" s="111" t="s">
        <v>46</v>
      </c>
      <c r="K809" s="108" t="s">
        <v>11337</v>
      </c>
      <c r="L809" s="117">
        <v>2</v>
      </c>
      <c r="M809" s="113"/>
      <c r="N809" s="108" t="s">
        <v>47</v>
      </c>
      <c r="O809" s="114"/>
      <c r="P809" s="113"/>
      <c r="Q809" s="108" t="s">
        <v>47</v>
      </c>
      <c r="R809" s="114"/>
      <c r="S809" s="113"/>
      <c r="T809" s="108" t="s">
        <v>47</v>
      </c>
      <c r="U809" s="114"/>
      <c r="V809" s="113"/>
      <c r="W809" s="108" t="s">
        <v>47</v>
      </c>
      <c r="X809" s="114"/>
      <c r="Y809" s="113"/>
      <c r="Z809" s="108" t="s">
        <v>47</v>
      </c>
      <c r="AA809" s="114"/>
      <c r="AB809" s="113"/>
      <c r="AC809" s="105" t="s">
        <v>2014</v>
      </c>
      <c r="AD809" s="115" t="s">
        <v>107</v>
      </c>
    </row>
    <row r="810" spans="1:30" x14ac:dyDescent="0.2">
      <c r="A810" s="104" t="s">
        <v>2015</v>
      </c>
      <c r="B810" s="105" t="s">
        <v>805</v>
      </c>
      <c r="C810" s="105" t="s">
        <v>1971</v>
      </c>
      <c r="D810" s="106"/>
      <c r="E810" s="107" t="s">
        <v>146</v>
      </c>
      <c r="F810" s="108" t="s">
        <v>2016</v>
      </c>
      <c r="G810" s="118">
        <v>3</v>
      </c>
      <c r="H810" s="108" t="s">
        <v>11338</v>
      </c>
      <c r="I810" s="112">
        <v>4</v>
      </c>
      <c r="J810" s="111" t="s">
        <v>46</v>
      </c>
      <c r="K810" s="108" t="s">
        <v>11339</v>
      </c>
      <c r="L810" s="110">
        <v>3</v>
      </c>
      <c r="M810" s="111" t="s">
        <v>46</v>
      </c>
      <c r="N810" s="108" t="s">
        <v>2016</v>
      </c>
      <c r="O810" s="110">
        <v>3</v>
      </c>
      <c r="P810" s="113"/>
      <c r="Q810" s="108" t="s">
        <v>11340</v>
      </c>
      <c r="R810" s="112">
        <v>4</v>
      </c>
      <c r="S810" s="113"/>
      <c r="T810" s="108" t="s">
        <v>47</v>
      </c>
      <c r="U810" s="114"/>
      <c r="V810" s="113"/>
      <c r="W810" s="108" t="s">
        <v>47</v>
      </c>
      <c r="X810" s="114"/>
      <c r="Y810" s="113"/>
      <c r="Z810" s="108" t="s">
        <v>47</v>
      </c>
      <c r="AA810" s="114"/>
      <c r="AB810" s="113"/>
      <c r="AC810" s="105" t="s">
        <v>2017</v>
      </c>
      <c r="AD810" s="115" t="s">
        <v>107</v>
      </c>
    </row>
    <row r="811" spans="1:30" x14ac:dyDescent="0.2">
      <c r="A811" s="104" t="s">
        <v>2018</v>
      </c>
      <c r="B811" s="105" t="s">
        <v>805</v>
      </c>
      <c r="C811" s="105" t="s">
        <v>104</v>
      </c>
      <c r="D811" s="106" t="s">
        <v>94</v>
      </c>
      <c r="E811" s="107" t="s">
        <v>146</v>
      </c>
      <c r="F811" s="108" t="s">
        <v>11341</v>
      </c>
      <c r="G811" s="118">
        <v>3</v>
      </c>
      <c r="H811" s="108" t="s">
        <v>11342</v>
      </c>
      <c r="I811" s="112">
        <v>4</v>
      </c>
      <c r="J811" s="111" t="s">
        <v>55</v>
      </c>
      <c r="K811" s="108" t="s">
        <v>11343</v>
      </c>
      <c r="L811" s="110">
        <v>3</v>
      </c>
      <c r="M811" s="111" t="s">
        <v>46</v>
      </c>
      <c r="N811" s="108" t="s">
        <v>11341</v>
      </c>
      <c r="O811" s="110">
        <v>3</v>
      </c>
      <c r="P811" s="113"/>
      <c r="Q811" s="108" t="s">
        <v>11344</v>
      </c>
      <c r="R811" s="112">
        <v>4</v>
      </c>
      <c r="S811" s="113"/>
      <c r="T811" s="108" t="s">
        <v>11345</v>
      </c>
      <c r="U811" s="117">
        <v>2</v>
      </c>
      <c r="V811" s="113"/>
      <c r="W811" s="108" t="s">
        <v>11346</v>
      </c>
      <c r="X811" s="117">
        <v>2</v>
      </c>
      <c r="Y811" s="113"/>
      <c r="Z811" s="108" t="s">
        <v>47</v>
      </c>
      <c r="AA811" s="114"/>
      <c r="AB811" s="113"/>
      <c r="AC811" s="105" t="s">
        <v>2019</v>
      </c>
      <c r="AD811" s="115" t="s">
        <v>107</v>
      </c>
    </row>
    <row r="812" spans="1:30" x14ac:dyDescent="0.2">
      <c r="A812" s="104" t="s">
        <v>2020</v>
      </c>
      <c r="B812" s="105" t="s">
        <v>805</v>
      </c>
      <c r="C812" s="105" t="s">
        <v>104</v>
      </c>
      <c r="D812" s="106" t="s">
        <v>94</v>
      </c>
      <c r="E812" s="107" t="s">
        <v>146</v>
      </c>
      <c r="F812" s="108" t="s">
        <v>11347</v>
      </c>
      <c r="G812" s="118">
        <v>3</v>
      </c>
      <c r="H812" s="108" t="s">
        <v>11348</v>
      </c>
      <c r="I812" s="112">
        <v>4</v>
      </c>
      <c r="J812" s="111" t="s">
        <v>55</v>
      </c>
      <c r="K812" s="108" t="s">
        <v>11349</v>
      </c>
      <c r="L812" s="110">
        <v>3</v>
      </c>
      <c r="M812" s="111" t="s">
        <v>46</v>
      </c>
      <c r="N812" s="108" t="s">
        <v>11347</v>
      </c>
      <c r="O812" s="110">
        <v>3</v>
      </c>
      <c r="P812" s="113"/>
      <c r="Q812" s="108" t="s">
        <v>11350</v>
      </c>
      <c r="R812" s="112">
        <v>4</v>
      </c>
      <c r="S812" s="113"/>
      <c r="T812" s="108" t="s">
        <v>11351</v>
      </c>
      <c r="U812" s="117">
        <v>2</v>
      </c>
      <c r="V812" s="113"/>
      <c r="W812" s="108" t="s">
        <v>11352</v>
      </c>
      <c r="X812" s="117">
        <v>2</v>
      </c>
      <c r="Y812" s="113"/>
      <c r="Z812" s="108" t="s">
        <v>11353</v>
      </c>
      <c r="AA812" s="117">
        <v>2</v>
      </c>
      <c r="AB812" s="113"/>
      <c r="AC812" s="105" t="s">
        <v>2021</v>
      </c>
      <c r="AD812" s="115" t="s">
        <v>107</v>
      </c>
    </row>
    <row r="813" spans="1:30" x14ac:dyDescent="0.2">
      <c r="A813" s="104" t="s">
        <v>2022</v>
      </c>
      <c r="B813" s="105" t="s">
        <v>805</v>
      </c>
      <c r="C813" s="105" t="s">
        <v>104</v>
      </c>
      <c r="D813" s="106"/>
      <c r="E813" s="107" t="s">
        <v>146</v>
      </c>
      <c r="F813" s="108" t="s">
        <v>11354</v>
      </c>
      <c r="G813" s="118">
        <v>3</v>
      </c>
      <c r="H813" s="108" t="s">
        <v>11355</v>
      </c>
      <c r="I813" s="112">
        <v>4</v>
      </c>
      <c r="J813" s="111" t="s">
        <v>55</v>
      </c>
      <c r="K813" s="108" t="s">
        <v>11356</v>
      </c>
      <c r="L813" s="110">
        <v>3</v>
      </c>
      <c r="M813" s="111" t="s">
        <v>46</v>
      </c>
      <c r="N813" s="108" t="s">
        <v>11354</v>
      </c>
      <c r="O813" s="110">
        <v>3</v>
      </c>
      <c r="P813" s="111" t="s">
        <v>46</v>
      </c>
      <c r="Q813" s="108" t="s">
        <v>47</v>
      </c>
      <c r="R813" s="114"/>
      <c r="S813" s="113"/>
      <c r="T813" s="108" t="s">
        <v>47</v>
      </c>
      <c r="U813" s="114"/>
      <c r="V813" s="113"/>
      <c r="W813" s="108" t="s">
        <v>47</v>
      </c>
      <c r="X813" s="114"/>
      <c r="Y813" s="113"/>
      <c r="Z813" s="108" t="s">
        <v>47</v>
      </c>
      <c r="AA813" s="114"/>
      <c r="AB813" s="113"/>
      <c r="AC813" s="105" t="s">
        <v>2023</v>
      </c>
      <c r="AD813" s="115" t="s">
        <v>107</v>
      </c>
    </row>
    <row r="814" spans="1:30" x14ac:dyDescent="0.2">
      <c r="A814" s="104" t="s">
        <v>2024</v>
      </c>
      <c r="B814" s="105" t="s">
        <v>805</v>
      </c>
      <c r="C814" s="105" t="s">
        <v>104</v>
      </c>
      <c r="D814" s="106" t="s">
        <v>125</v>
      </c>
      <c r="E814" s="107" t="s">
        <v>146</v>
      </c>
      <c r="F814" s="108" t="s">
        <v>11357</v>
      </c>
      <c r="G814" s="118">
        <v>3</v>
      </c>
      <c r="H814" s="108" t="s">
        <v>11358</v>
      </c>
      <c r="I814" s="110">
        <v>3</v>
      </c>
      <c r="J814" s="111" t="s">
        <v>40</v>
      </c>
      <c r="K814" s="108" t="s">
        <v>11359</v>
      </c>
      <c r="L814" s="110">
        <v>3</v>
      </c>
      <c r="M814" s="113"/>
      <c r="N814" s="108" t="s">
        <v>11357</v>
      </c>
      <c r="O814" s="110">
        <v>3</v>
      </c>
      <c r="P814" s="113"/>
      <c r="Q814" s="108" t="s">
        <v>11360</v>
      </c>
      <c r="R814" s="110">
        <v>3</v>
      </c>
      <c r="S814" s="113"/>
      <c r="T814" s="108" t="s">
        <v>11361</v>
      </c>
      <c r="U814" s="110">
        <v>3</v>
      </c>
      <c r="V814" s="113"/>
      <c r="W814" s="108" t="s">
        <v>11362</v>
      </c>
      <c r="X814" s="110">
        <v>3</v>
      </c>
      <c r="Y814" s="113"/>
      <c r="Z814" s="108" t="s">
        <v>11363</v>
      </c>
      <c r="AA814" s="110">
        <v>3</v>
      </c>
      <c r="AB814" s="113"/>
      <c r="AC814" s="105" t="s">
        <v>2025</v>
      </c>
      <c r="AD814" s="115" t="s">
        <v>107</v>
      </c>
    </row>
    <row r="815" spans="1:30" x14ac:dyDescent="0.2">
      <c r="A815" s="104" t="s">
        <v>2026</v>
      </c>
      <c r="B815" s="105" t="s">
        <v>805</v>
      </c>
      <c r="C815" s="105" t="s">
        <v>104</v>
      </c>
      <c r="D815" s="106" t="s">
        <v>125</v>
      </c>
      <c r="E815" s="107" t="s">
        <v>146</v>
      </c>
      <c r="F815" s="108" t="s">
        <v>11364</v>
      </c>
      <c r="G815" s="118">
        <v>3</v>
      </c>
      <c r="H815" s="108" t="s">
        <v>11365</v>
      </c>
      <c r="I815" s="110">
        <v>3</v>
      </c>
      <c r="J815" s="111" t="s">
        <v>40</v>
      </c>
      <c r="K815" s="108" t="s">
        <v>11366</v>
      </c>
      <c r="L815" s="110">
        <v>3</v>
      </c>
      <c r="M815" s="113"/>
      <c r="N815" s="108" t="s">
        <v>11364</v>
      </c>
      <c r="O815" s="110">
        <v>3</v>
      </c>
      <c r="P815" s="113"/>
      <c r="Q815" s="108" t="s">
        <v>11367</v>
      </c>
      <c r="R815" s="110">
        <v>3</v>
      </c>
      <c r="S815" s="113"/>
      <c r="T815" s="108" t="s">
        <v>11368</v>
      </c>
      <c r="U815" s="110">
        <v>3</v>
      </c>
      <c r="V815" s="113"/>
      <c r="W815" s="108" t="s">
        <v>11369</v>
      </c>
      <c r="X815" s="110">
        <v>3</v>
      </c>
      <c r="Y815" s="113"/>
      <c r="Z815" s="108" t="s">
        <v>47</v>
      </c>
      <c r="AA815" s="114"/>
      <c r="AB815" s="113"/>
      <c r="AC815" s="105" t="s">
        <v>2027</v>
      </c>
      <c r="AD815" s="115" t="s">
        <v>107</v>
      </c>
    </row>
    <row r="816" spans="1:30" x14ac:dyDescent="0.2">
      <c r="A816" s="104" t="s">
        <v>2028</v>
      </c>
      <c r="B816" s="105" t="s">
        <v>805</v>
      </c>
      <c r="C816" s="105" t="s">
        <v>104</v>
      </c>
      <c r="D816" s="106" t="s">
        <v>125</v>
      </c>
      <c r="E816" s="107" t="s">
        <v>146</v>
      </c>
      <c r="F816" s="108" t="s">
        <v>11370</v>
      </c>
      <c r="G816" s="118">
        <v>3</v>
      </c>
      <c r="H816" s="108" t="s">
        <v>11371</v>
      </c>
      <c r="I816" s="110">
        <v>3</v>
      </c>
      <c r="J816" s="111" t="s">
        <v>40</v>
      </c>
      <c r="K816" s="108" t="s">
        <v>11372</v>
      </c>
      <c r="L816" s="110">
        <v>3</v>
      </c>
      <c r="M816" s="113"/>
      <c r="N816" s="108" t="s">
        <v>11370</v>
      </c>
      <c r="O816" s="110">
        <v>3</v>
      </c>
      <c r="P816" s="113"/>
      <c r="Q816" s="108" t="s">
        <v>11373</v>
      </c>
      <c r="R816" s="110">
        <v>3</v>
      </c>
      <c r="S816" s="113"/>
      <c r="T816" s="108" t="s">
        <v>11374</v>
      </c>
      <c r="U816" s="110">
        <v>3</v>
      </c>
      <c r="V816" s="113"/>
      <c r="W816" s="108" t="s">
        <v>11375</v>
      </c>
      <c r="X816" s="110">
        <v>3</v>
      </c>
      <c r="Y816" s="113"/>
      <c r="Z816" s="108" t="s">
        <v>47</v>
      </c>
      <c r="AA816" s="114"/>
      <c r="AB816" s="113"/>
      <c r="AC816" s="105" t="s">
        <v>2029</v>
      </c>
      <c r="AD816" s="115" t="s">
        <v>107</v>
      </c>
    </row>
    <row r="817" spans="1:30" x14ac:dyDescent="0.2">
      <c r="A817" s="104" t="s">
        <v>2030</v>
      </c>
      <c r="B817" s="105" t="s">
        <v>805</v>
      </c>
      <c r="C817" s="105" t="s">
        <v>1971</v>
      </c>
      <c r="D817" s="106"/>
      <c r="E817" s="107" t="s">
        <v>146</v>
      </c>
      <c r="F817" s="108" t="s">
        <v>11376</v>
      </c>
      <c r="G817" s="120">
        <v>2</v>
      </c>
      <c r="H817" s="108" t="s">
        <v>11377</v>
      </c>
      <c r="I817" s="117">
        <v>2</v>
      </c>
      <c r="J817" s="111" t="s">
        <v>46</v>
      </c>
      <c r="K817" s="108" t="s">
        <v>11378</v>
      </c>
      <c r="L817" s="116">
        <v>1</v>
      </c>
      <c r="M817" s="113"/>
      <c r="N817" s="108" t="s">
        <v>11376</v>
      </c>
      <c r="O817" s="117">
        <v>2</v>
      </c>
      <c r="P817" s="111" t="s">
        <v>46</v>
      </c>
      <c r="Q817" s="108" t="s">
        <v>11379</v>
      </c>
      <c r="R817" s="117">
        <v>2</v>
      </c>
      <c r="S817" s="113"/>
      <c r="T817" s="108" t="s">
        <v>2031</v>
      </c>
      <c r="U817" s="117">
        <v>2</v>
      </c>
      <c r="V817" s="113"/>
      <c r="W817" s="108" t="s">
        <v>47</v>
      </c>
      <c r="X817" s="114"/>
      <c r="Y817" s="113"/>
      <c r="Z817" s="108" t="s">
        <v>47</v>
      </c>
      <c r="AA817" s="114"/>
      <c r="AB817" s="113"/>
      <c r="AC817" s="105" t="s">
        <v>2032</v>
      </c>
      <c r="AD817" s="115" t="s">
        <v>107</v>
      </c>
    </row>
    <row r="818" spans="1:30" x14ac:dyDescent="0.2">
      <c r="A818" s="104" t="s">
        <v>2033</v>
      </c>
      <c r="B818" s="105" t="s">
        <v>805</v>
      </c>
      <c r="C818" s="105" t="s">
        <v>104</v>
      </c>
      <c r="D818" s="106" t="s">
        <v>125</v>
      </c>
      <c r="E818" s="107" t="s">
        <v>146</v>
      </c>
      <c r="F818" s="108" t="s">
        <v>11380</v>
      </c>
      <c r="G818" s="118">
        <v>3</v>
      </c>
      <c r="H818" s="108" t="s">
        <v>11381</v>
      </c>
      <c r="I818" s="110">
        <v>3</v>
      </c>
      <c r="J818" s="111" t="s">
        <v>40</v>
      </c>
      <c r="K818" s="108" t="s">
        <v>11382</v>
      </c>
      <c r="L818" s="110">
        <v>3</v>
      </c>
      <c r="M818" s="113"/>
      <c r="N818" s="108" t="s">
        <v>11380</v>
      </c>
      <c r="O818" s="110">
        <v>3</v>
      </c>
      <c r="P818" s="113"/>
      <c r="Q818" s="108" t="s">
        <v>11383</v>
      </c>
      <c r="R818" s="110">
        <v>3</v>
      </c>
      <c r="S818" s="113"/>
      <c r="T818" s="108" t="s">
        <v>11384</v>
      </c>
      <c r="U818" s="110">
        <v>3</v>
      </c>
      <c r="V818" s="113"/>
      <c r="W818" s="108" t="s">
        <v>11385</v>
      </c>
      <c r="X818" s="110">
        <v>3</v>
      </c>
      <c r="Y818" s="113"/>
      <c r="Z818" s="108" t="s">
        <v>11386</v>
      </c>
      <c r="AA818" s="110">
        <v>3</v>
      </c>
      <c r="AB818" s="113"/>
      <c r="AC818" s="105" t="s">
        <v>2034</v>
      </c>
      <c r="AD818" s="115" t="s">
        <v>107</v>
      </c>
    </row>
    <row r="819" spans="1:30" x14ac:dyDescent="0.2">
      <c r="A819" s="104" t="s">
        <v>2035</v>
      </c>
      <c r="B819" s="105" t="s">
        <v>805</v>
      </c>
      <c r="C819" s="105" t="s">
        <v>104</v>
      </c>
      <c r="D819" s="106" t="s">
        <v>125</v>
      </c>
      <c r="E819" s="107" t="s">
        <v>146</v>
      </c>
      <c r="F819" s="108" t="s">
        <v>11387</v>
      </c>
      <c r="G819" s="118">
        <v>3</v>
      </c>
      <c r="H819" s="108" t="s">
        <v>11388</v>
      </c>
      <c r="I819" s="110">
        <v>3</v>
      </c>
      <c r="J819" s="111" t="s">
        <v>40</v>
      </c>
      <c r="K819" s="108" t="s">
        <v>11389</v>
      </c>
      <c r="L819" s="110">
        <v>3</v>
      </c>
      <c r="M819" s="113"/>
      <c r="N819" s="108" t="s">
        <v>11387</v>
      </c>
      <c r="O819" s="110">
        <v>3</v>
      </c>
      <c r="P819" s="113"/>
      <c r="Q819" s="108" t="s">
        <v>11390</v>
      </c>
      <c r="R819" s="110">
        <v>3</v>
      </c>
      <c r="S819" s="113"/>
      <c r="T819" s="108" t="s">
        <v>11391</v>
      </c>
      <c r="U819" s="110">
        <v>3</v>
      </c>
      <c r="V819" s="111" t="s">
        <v>46</v>
      </c>
      <c r="W819" s="108" t="s">
        <v>11392</v>
      </c>
      <c r="X819" s="110">
        <v>3</v>
      </c>
      <c r="Y819" s="113"/>
      <c r="Z819" s="108" t="s">
        <v>47</v>
      </c>
      <c r="AA819" s="114"/>
      <c r="AB819" s="113"/>
      <c r="AC819" s="105" t="s">
        <v>2036</v>
      </c>
      <c r="AD819" s="115" t="s">
        <v>107</v>
      </c>
    </row>
    <row r="820" spans="1:30" x14ac:dyDescent="0.2">
      <c r="A820" s="104" t="s">
        <v>2037</v>
      </c>
      <c r="B820" s="105" t="s">
        <v>805</v>
      </c>
      <c r="C820" s="105" t="s">
        <v>104</v>
      </c>
      <c r="D820" s="106" t="s">
        <v>105</v>
      </c>
      <c r="E820" s="107" t="s">
        <v>146</v>
      </c>
      <c r="F820" s="108" t="s">
        <v>11393</v>
      </c>
      <c r="G820" s="109">
        <v>4</v>
      </c>
      <c r="H820" s="108" t="s">
        <v>11394</v>
      </c>
      <c r="I820" s="110">
        <v>3</v>
      </c>
      <c r="J820" s="111" t="s">
        <v>40</v>
      </c>
      <c r="K820" s="108" t="s">
        <v>11395</v>
      </c>
      <c r="L820" s="112">
        <v>4</v>
      </c>
      <c r="M820" s="113"/>
      <c r="N820" s="108" t="s">
        <v>11393</v>
      </c>
      <c r="O820" s="112">
        <v>4</v>
      </c>
      <c r="P820" s="113"/>
      <c r="Q820" s="108" t="s">
        <v>11396</v>
      </c>
      <c r="R820" s="112">
        <v>4</v>
      </c>
      <c r="S820" s="111" t="s">
        <v>46</v>
      </c>
      <c r="T820" s="108" t="s">
        <v>11397</v>
      </c>
      <c r="U820" s="110">
        <v>3</v>
      </c>
      <c r="V820" s="113"/>
      <c r="W820" s="108" t="s">
        <v>11398</v>
      </c>
      <c r="X820" s="112">
        <v>4</v>
      </c>
      <c r="Y820" s="113"/>
      <c r="Z820" s="108" t="s">
        <v>47</v>
      </c>
      <c r="AA820" s="114"/>
      <c r="AB820" s="113"/>
      <c r="AC820" s="105" t="s">
        <v>2038</v>
      </c>
      <c r="AD820" s="115" t="s">
        <v>107</v>
      </c>
    </row>
    <row r="821" spans="1:30" x14ac:dyDescent="0.2">
      <c r="A821" s="104" t="s">
        <v>2039</v>
      </c>
      <c r="B821" s="105" t="s">
        <v>805</v>
      </c>
      <c r="C821" s="105" t="s">
        <v>104</v>
      </c>
      <c r="D821" s="106" t="s">
        <v>94</v>
      </c>
      <c r="E821" s="107" t="s">
        <v>146</v>
      </c>
      <c r="F821" s="108" t="s">
        <v>11399</v>
      </c>
      <c r="G821" s="118">
        <v>3</v>
      </c>
      <c r="H821" s="108" t="s">
        <v>11400</v>
      </c>
      <c r="I821" s="110">
        <v>3</v>
      </c>
      <c r="J821" s="113"/>
      <c r="K821" s="108" t="s">
        <v>11401</v>
      </c>
      <c r="L821" s="110">
        <v>3</v>
      </c>
      <c r="M821" s="113"/>
      <c r="N821" s="108" t="s">
        <v>11399</v>
      </c>
      <c r="O821" s="110">
        <v>3</v>
      </c>
      <c r="P821" s="113"/>
      <c r="Q821" s="108" t="s">
        <v>11402</v>
      </c>
      <c r="R821" s="110">
        <v>3</v>
      </c>
      <c r="S821" s="113"/>
      <c r="T821" s="108" t="s">
        <v>11403</v>
      </c>
      <c r="U821" s="117">
        <v>2</v>
      </c>
      <c r="V821" s="113"/>
      <c r="W821" s="108" t="s">
        <v>47</v>
      </c>
      <c r="X821" s="114"/>
      <c r="Y821" s="113"/>
      <c r="Z821" s="108" t="s">
        <v>47</v>
      </c>
      <c r="AA821" s="114"/>
      <c r="AB821" s="113"/>
      <c r="AC821" s="105" t="s">
        <v>2040</v>
      </c>
      <c r="AD821" s="115" t="s">
        <v>107</v>
      </c>
    </row>
    <row r="822" spans="1:30" x14ac:dyDescent="0.2">
      <c r="A822" s="104" t="s">
        <v>2041</v>
      </c>
      <c r="B822" s="105" t="s">
        <v>805</v>
      </c>
      <c r="C822" s="105" t="s">
        <v>104</v>
      </c>
      <c r="D822" s="106" t="s">
        <v>94</v>
      </c>
      <c r="E822" s="107" t="s">
        <v>146</v>
      </c>
      <c r="F822" s="108" t="s">
        <v>11404</v>
      </c>
      <c r="G822" s="118">
        <v>3</v>
      </c>
      <c r="H822" s="108" t="s">
        <v>11405</v>
      </c>
      <c r="I822" s="110">
        <v>3</v>
      </c>
      <c r="J822" s="113"/>
      <c r="K822" s="108" t="s">
        <v>11406</v>
      </c>
      <c r="L822" s="110">
        <v>3</v>
      </c>
      <c r="M822" s="113"/>
      <c r="N822" s="108" t="s">
        <v>11404</v>
      </c>
      <c r="O822" s="110">
        <v>3</v>
      </c>
      <c r="P822" s="113"/>
      <c r="Q822" s="108" t="s">
        <v>11407</v>
      </c>
      <c r="R822" s="110">
        <v>3</v>
      </c>
      <c r="S822" s="113"/>
      <c r="T822" s="108" t="s">
        <v>11408</v>
      </c>
      <c r="U822" s="117">
        <v>2</v>
      </c>
      <c r="V822" s="113"/>
      <c r="W822" s="108" t="s">
        <v>11409</v>
      </c>
      <c r="X822" s="117">
        <v>2</v>
      </c>
      <c r="Y822" s="113"/>
      <c r="Z822" s="108" t="s">
        <v>11410</v>
      </c>
      <c r="AA822" s="117">
        <v>2</v>
      </c>
      <c r="AB822" s="113"/>
      <c r="AC822" s="105" t="s">
        <v>2042</v>
      </c>
      <c r="AD822" s="115" t="s">
        <v>107</v>
      </c>
    </row>
    <row r="823" spans="1:30" x14ac:dyDescent="0.2">
      <c r="A823" s="104" t="s">
        <v>2043</v>
      </c>
      <c r="B823" s="105" t="s">
        <v>805</v>
      </c>
      <c r="C823" s="105" t="s">
        <v>104</v>
      </c>
      <c r="D823" s="106"/>
      <c r="E823" s="107" t="s">
        <v>146</v>
      </c>
      <c r="F823" s="108" t="s">
        <v>47</v>
      </c>
      <c r="G823" s="113"/>
      <c r="H823" s="108" t="s">
        <v>47</v>
      </c>
      <c r="I823" s="114"/>
      <c r="J823" s="113"/>
      <c r="K823" s="108" t="s">
        <v>47</v>
      </c>
      <c r="L823" s="114"/>
      <c r="M823" s="113"/>
      <c r="N823" s="108" t="s">
        <v>47</v>
      </c>
      <c r="O823" s="114"/>
      <c r="P823" s="113"/>
      <c r="Q823" s="108" t="s">
        <v>47</v>
      </c>
      <c r="R823" s="114"/>
      <c r="S823" s="113"/>
      <c r="T823" s="108" t="s">
        <v>47</v>
      </c>
      <c r="U823" s="114"/>
      <c r="V823" s="113"/>
      <c r="W823" s="108" t="s">
        <v>47</v>
      </c>
      <c r="X823" s="114"/>
      <c r="Y823" s="113"/>
      <c r="Z823" s="108" t="s">
        <v>47</v>
      </c>
      <c r="AA823" s="114"/>
      <c r="AB823" s="113"/>
      <c r="AC823" s="105" t="s">
        <v>2044</v>
      </c>
      <c r="AD823" s="115" t="s">
        <v>107</v>
      </c>
    </row>
    <row r="824" spans="1:30" x14ac:dyDescent="0.2">
      <c r="A824" s="104" t="s">
        <v>2045</v>
      </c>
      <c r="B824" s="105" t="s">
        <v>805</v>
      </c>
      <c r="C824" s="105" t="s">
        <v>104</v>
      </c>
      <c r="D824" s="106" t="s">
        <v>94</v>
      </c>
      <c r="E824" s="107" t="s">
        <v>146</v>
      </c>
      <c r="F824" s="108" t="s">
        <v>11411</v>
      </c>
      <c r="G824" s="118">
        <v>3</v>
      </c>
      <c r="H824" s="108" t="s">
        <v>11412</v>
      </c>
      <c r="I824" s="110">
        <v>3</v>
      </c>
      <c r="J824" s="113"/>
      <c r="K824" s="108" t="s">
        <v>11413</v>
      </c>
      <c r="L824" s="110">
        <v>3</v>
      </c>
      <c r="M824" s="113"/>
      <c r="N824" s="108" t="s">
        <v>11411</v>
      </c>
      <c r="O824" s="110">
        <v>3</v>
      </c>
      <c r="P824" s="113"/>
      <c r="Q824" s="108" t="s">
        <v>11414</v>
      </c>
      <c r="R824" s="110">
        <v>3</v>
      </c>
      <c r="S824" s="113"/>
      <c r="T824" s="108" t="s">
        <v>11415</v>
      </c>
      <c r="U824" s="117">
        <v>2</v>
      </c>
      <c r="V824" s="113"/>
      <c r="W824" s="108" t="s">
        <v>11416</v>
      </c>
      <c r="X824" s="117">
        <v>2</v>
      </c>
      <c r="Y824" s="113"/>
      <c r="Z824" s="108" t="s">
        <v>47</v>
      </c>
      <c r="AA824" s="114"/>
      <c r="AB824" s="113"/>
      <c r="AC824" s="105" t="s">
        <v>2046</v>
      </c>
      <c r="AD824" s="115" t="s">
        <v>107</v>
      </c>
    </row>
    <row r="825" spans="1:30" x14ac:dyDescent="0.2">
      <c r="A825" s="104" t="s">
        <v>2047</v>
      </c>
      <c r="B825" s="105" t="s">
        <v>805</v>
      </c>
      <c r="C825" s="105" t="s">
        <v>104</v>
      </c>
      <c r="D825" s="106" t="s">
        <v>94</v>
      </c>
      <c r="E825" s="107" t="s">
        <v>146</v>
      </c>
      <c r="F825" s="108" t="s">
        <v>11417</v>
      </c>
      <c r="G825" s="118">
        <v>3</v>
      </c>
      <c r="H825" s="108" t="s">
        <v>11418</v>
      </c>
      <c r="I825" s="110">
        <v>3</v>
      </c>
      <c r="J825" s="113"/>
      <c r="K825" s="108" t="s">
        <v>11419</v>
      </c>
      <c r="L825" s="110">
        <v>3</v>
      </c>
      <c r="M825" s="113"/>
      <c r="N825" s="108" t="s">
        <v>11417</v>
      </c>
      <c r="O825" s="110">
        <v>3</v>
      </c>
      <c r="P825" s="113"/>
      <c r="Q825" s="108" t="s">
        <v>11420</v>
      </c>
      <c r="R825" s="110">
        <v>3</v>
      </c>
      <c r="S825" s="113"/>
      <c r="T825" s="108" t="s">
        <v>11421</v>
      </c>
      <c r="U825" s="117">
        <v>2</v>
      </c>
      <c r="V825" s="113"/>
      <c r="W825" s="108" t="s">
        <v>11422</v>
      </c>
      <c r="X825" s="117">
        <v>2</v>
      </c>
      <c r="Y825" s="113"/>
      <c r="Z825" s="108" t="s">
        <v>11423</v>
      </c>
      <c r="AA825" s="117">
        <v>2</v>
      </c>
      <c r="AB825" s="113"/>
      <c r="AC825" s="105" t="s">
        <v>2048</v>
      </c>
      <c r="AD825" s="115" t="s">
        <v>107</v>
      </c>
    </row>
    <row r="826" spans="1:30" x14ac:dyDescent="0.2">
      <c r="A826" s="104" t="s">
        <v>2049</v>
      </c>
      <c r="B826" s="105" t="s">
        <v>805</v>
      </c>
      <c r="C826" s="105" t="s">
        <v>104</v>
      </c>
      <c r="D826" s="106" t="s">
        <v>94</v>
      </c>
      <c r="E826" s="107" t="s">
        <v>146</v>
      </c>
      <c r="F826" s="108" t="s">
        <v>11424</v>
      </c>
      <c r="G826" s="118">
        <v>3</v>
      </c>
      <c r="H826" s="108" t="s">
        <v>11425</v>
      </c>
      <c r="I826" s="110">
        <v>3</v>
      </c>
      <c r="J826" s="113"/>
      <c r="K826" s="108" t="s">
        <v>11426</v>
      </c>
      <c r="L826" s="110">
        <v>3</v>
      </c>
      <c r="M826" s="113"/>
      <c r="N826" s="108" t="s">
        <v>11424</v>
      </c>
      <c r="O826" s="110">
        <v>3</v>
      </c>
      <c r="P826" s="113"/>
      <c r="Q826" s="108" t="s">
        <v>11427</v>
      </c>
      <c r="R826" s="110">
        <v>3</v>
      </c>
      <c r="S826" s="113"/>
      <c r="T826" s="108" t="s">
        <v>11428</v>
      </c>
      <c r="U826" s="117">
        <v>2</v>
      </c>
      <c r="V826" s="113"/>
      <c r="W826" s="108" t="s">
        <v>47</v>
      </c>
      <c r="X826" s="114"/>
      <c r="Y826" s="113"/>
      <c r="Z826" s="108" t="s">
        <v>47</v>
      </c>
      <c r="AA826" s="114"/>
      <c r="AB826" s="113"/>
      <c r="AC826" s="105" t="s">
        <v>2050</v>
      </c>
      <c r="AD826" s="115" t="s">
        <v>107</v>
      </c>
    </row>
    <row r="827" spans="1:30" x14ac:dyDescent="0.2">
      <c r="A827" s="104" t="s">
        <v>2051</v>
      </c>
      <c r="B827" s="105" t="s">
        <v>805</v>
      </c>
      <c r="C827" s="105" t="s">
        <v>104</v>
      </c>
      <c r="D827" s="106" t="s">
        <v>125</v>
      </c>
      <c r="E827" s="107" t="s">
        <v>146</v>
      </c>
      <c r="F827" s="108" t="s">
        <v>11429</v>
      </c>
      <c r="G827" s="109">
        <v>4</v>
      </c>
      <c r="H827" s="108" t="s">
        <v>11430</v>
      </c>
      <c r="I827" s="110">
        <v>3</v>
      </c>
      <c r="J827" s="111" t="s">
        <v>40</v>
      </c>
      <c r="K827" s="108" t="s">
        <v>11431</v>
      </c>
      <c r="L827" s="110">
        <v>3</v>
      </c>
      <c r="M827" s="113"/>
      <c r="N827" s="108" t="s">
        <v>11429</v>
      </c>
      <c r="O827" s="112">
        <v>4</v>
      </c>
      <c r="P827" s="111" t="s">
        <v>46</v>
      </c>
      <c r="Q827" s="108" t="s">
        <v>11432</v>
      </c>
      <c r="R827" s="110">
        <v>3</v>
      </c>
      <c r="S827" s="113"/>
      <c r="T827" s="108" t="s">
        <v>11433</v>
      </c>
      <c r="U827" s="110">
        <v>3</v>
      </c>
      <c r="V827" s="113"/>
      <c r="W827" s="108" t="s">
        <v>11434</v>
      </c>
      <c r="X827" s="110">
        <v>3</v>
      </c>
      <c r="Y827" s="113"/>
      <c r="Z827" s="108" t="s">
        <v>11435</v>
      </c>
      <c r="AA827" s="110">
        <v>3</v>
      </c>
      <c r="AB827" s="113"/>
      <c r="AC827" s="105" t="s">
        <v>2052</v>
      </c>
      <c r="AD827" s="115" t="s">
        <v>107</v>
      </c>
    </row>
    <row r="828" spans="1:30" x14ac:dyDescent="0.2">
      <c r="A828" s="104" t="s">
        <v>11436</v>
      </c>
      <c r="B828" s="105" t="s">
        <v>805</v>
      </c>
      <c r="C828" s="105" t="s">
        <v>244</v>
      </c>
      <c r="D828" s="106" t="s">
        <v>105</v>
      </c>
      <c r="E828" s="107" t="s">
        <v>119</v>
      </c>
      <c r="F828" s="108" t="s">
        <v>11437</v>
      </c>
      <c r="G828" s="118">
        <v>3</v>
      </c>
      <c r="H828" s="108" t="s">
        <v>11438</v>
      </c>
      <c r="I828" s="117">
        <v>2</v>
      </c>
      <c r="J828" s="113"/>
      <c r="K828" s="108" t="s">
        <v>11439</v>
      </c>
      <c r="L828" s="117">
        <v>2</v>
      </c>
      <c r="M828" s="111" t="s">
        <v>53</v>
      </c>
      <c r="N828" s="108" t="s">
        <v>11437</v>
      </c>
      <c r="O828" s="110">
        <v>3</v>
      </c>
      <c r="P828" s="111" t="s">
        <v>40</v>
      </c>
      <c r="Q828" s="108" t="s">
        <v>11440</v>
      </c>
      <c r="R828" s="112">
        <v>4</v>
      </c>
      <c r="S828" s="113"/>
      <c r="T828" s="108" t="s">
        <v>11441</v>
      </c>
      <c r="U828" s="112">
        <v>4</v>
      </c>
      <c r="V828" s="113"/>
      <c r="W828" s="108" t="s">
        <v>11442</v>
      </c>
      <c r="X828" s="112">
        <v>4</v>
      </c>
      <c r="Y828" s="113"/>
      <c r="Z828" s="108" t="s">
        <v>11443</v>
      </c>
      <c r="AA828" s="110">
        <v>3</v>
      </c>
      <c r="AB828" s="113"/>
      <c r="AC828" s="105" t="s">
        <v>2053</v>
      </c>
      <c r="AD828" s="115" t="s">
        <v>107</v>
      </c>
    </row>
    <row r="829" spans="1:30" x14ac:dyDescent="0.2">
      <c r="A829" s="104" t="s">
        <v>11444</v>
      </c>
      <c r="B829" s="105" t="s">
        <v>805</v>
      </c>
      <c r="C829" s="105" t="s">
        <v>244</v>
      </c>
      <c r="D829" s="106" t="s">
        <v>105</v>
      </c>
      <c r="E829" s="107" t="s">
        <v>119</v>
      </c>
      <c r="F829" s="108" t="s">
        <v>11445</v>
      </c>
      <c r="G829" s="118">
        <v>3</v>
      </c>
      <c r="H829" s="108" t="s">
        <v>11446</v>
      </c>
      <c r="I829" s="117">
        <v>2</v>
      </c>
      <c r="J829" s="113"/>
      <c r="K829" s="108" t="s">
        <v>11447</v>
      </c>
      <c r="L829" s="117">
        <v>2</v>
      </c>
      <c r="M829" s="111" t="s">
        <v>53</v>
      </c>
      <c r="N829" s="108" t="s">
        <v>11445</v>
      </c>
      <c r="O829" s="110">
        <v>3</v>
      </c>
      <c r="P829" s="111" t="s">
        <v>40</v>
      </c>
      <c r="Q829" s="108" t="s">
        <v>11448</v>
      </c>
      <c r="R829" s="112">
        <v>4</v>
      </c>
      <c r="S829" s="113"/>
      <c r="T829" s="108" t="s">
        <v>11449</v>
      </c>
      <c r="U829" s="112">
        <v>4</v>
      </c>
      <c r="V829" s="113"/>
      <c r="W829" s="108" t="s">
        <v>11450</v>
      </c>
      <c r="X829" s="112">
        <v>4</v>
      </c>
      <c r="Y829" s="113"/>
      <c r="Z829" s="108" t="s">
        <v>11451</v>
      </c>
      <c r="AA829" s="110">
        <v>3</v>
      </c>
      <c r="AB829" s="113"/>
      <c r="AC829" s="105" t="s">
        <v>2054</v>
      </c>
      <c r="AD829" s="115" t="s">
        <v>107</v>
      </c>
    </row>
    <row r="830" spans="1:30" x14ac:dyDescent="0.2">
      <c r="A830" s="104" t="s">
        <v>11452</v>
      </c>
      <c r="B830" s="105" t="s">
        <v>805</v>
      </c>
      <c r="C830" s="105" t="s">
        <v>244</v>
      </c>
      <c r="D830" s="106" t="s">
        <v>298</v>
      </c>
      <c r="E830" s="107" t="s">
        <v>119</v>
      </c>
      <c r="F830" s="108" t="s">
        <v>11453</v>
      </c>
      <c r="G830" s="109">
        <v>4</v>
      </c>
      <c r="H830" s="108" t="s">
        <v>11454</v>
      </c>
      <c r="I830" s="117">
        <v>2</v>
      </c>
      <c r="J830" s="111" t="s">
        <v>40</v>
      </c>
      <c r="K830" s="108" t="s">
        <v>11455</v>
      </c>
      <c r="L830" s="110">
        <v>3</v>
      </c>
      <c r="M830" s="111" t="s">
        <v>40</v>
      </c>
      <c r="N830" s="108" t="s">
        <v>11453</v>
      </c>
      <c r="O830" s="112">
        <v>4</v>
      </c>
      <c r="P830" s="113"/>
      <c r="Q830" s="108" t="s">
        <v>11456</v>
      </c>
      <c r="R830" s="112">
        <v>4</v>
      </c>
      <c r="S830" s="113"/>
      <c r="T830" s="108" t="s">
        <v>11457</v>
      </c>
      <c r="U830" s="112">
        <v>4</v>
      </c>
      <c r="V830" s="113"/>
      <c r="W830" s="108" t="s">
        <v>11458</v>
      </c>
      <c r="X830" s="112">
        <v>4</v>
      </c>
      <c r="Y830" s="113"/>
      <c r="Z830" s="108" t="s">
        <v>47</v>
      </c>
      <c r="AA830" s="114"/>
      <c r="AB830" s="113"/>
      <c r="AC830" s="105" t="s">
        <v>2055</v>
      </c>
      <c r="AD830" s="115" t="s">
        <v>107</v>
      </c>
    </row>
    <row r="831" spans="1:30" x14ac:dyDescent="0.2">
      <c r="A831" s="104" t="s">
        <v>11459</v>
      </c>
      <c r="B831" s="105" t="s">
        <v>805</v>
      </c>
      <c r="C831" s="105" t="s">
        <v>244</v>
      </c>
      <c r="D831" s="106" t="s">
        <v>125</v>
      </c>
      <c r="E831" s="107" t="s">
        <v>119</v>
      </c>
      <c r="F831" s="108" t="s">
        <v>11460</v>
      </c>
      <c r="G831" s="118">
        <v>3</v>
      </c>
      <c r="H831" s="108" t="s">
        <v>11461</v>
      </c>
      <c r="I831" s="117">
        <v>2</v>
      </c>
      <c r="J831" s="113"/>
      <c r="K831" s="108" t="s">
        <v>11462</v>
      </c>
      <c r="L831" s="117">
        <v>2</v>
      </c>
      <c r="M831" s="111" t="s">
        <v>53</v>
      </c>
      <c r="N831" s="108" t="s">
        <v>11460</v>
      </c>
      <c r="O831" s="110">
        <v>3</v>
      </c>
      <c r="P831" s="111" t="s">
        <v>40</v>
      </c>
      <c r="Q831" s="108" t="s">
        <v>11463</v>
      </c>
      <c r="R831" s="110">
        <v>3</v>
      </c>
      <c r="S831" s="113"/>
      <c r="T831" s="108" t="s">
        <v>11464</v>
      </c>
      <c r="U831" s="110">
        <v>3</v>
      </c>
      <c r="V831" s="113"/>
      <c r="W831" s="108" t="s">
        <v>11465</v>
      </c>
      <c r="X831" s="110">
        <v>3</v>
      </c>
      <c r="Y831" s="113"/>
      <c r="Z831" s="108" t="s">
        <v>11466</v>
      </c>
      <c r="AA831" s="110">
        <v>3</v>
      </c>
      <c r="AB831" s="113"/>
      <c r="AC831" s="105" t="s">
        <v>2056</v>
      </c>
      <c r="AD831" s="115" t="s">
        <v>107</v>
      </c>
    </row>
    <row r="832" spans="1:30" x14ac:dyDescent="0.2">
      <c r="A832" s="104" t="s">
        <v>11467</v>
      </c>
      <c r="B832" s="105" t="s">
        <v>805</v>
      </c>
      <c r="C832" s="105" t="s">
        <v>244</v>
      </c>
      <c r="D832" s="106" t="s">
        <v>125</v>
      </c>
      <c r="E832" s="107" t="s">
        <v>119</v>
      </c>
      <c r="F832" s="108" t="s">
        <v>11468</v>
      </c>
      <c r="G832" s="118">
        <v>3</v>
      </c>
      <c r="H832" s="108" t="s">
        <v>11469</v>
      </c>
      <c r="I832" s="117">
        <v>2</v>
      </c>
      <c r="J832" s="113"/>
      <c r="K832" s="108" t="s">
        <v>11470</v>
      </c>
      <c r="L832" s="117">
        <v>2</v>
      </c>
      <c r="M832" s="111" t="s">
        <v>53</v>
      </c>
      <c r="N832" s="108" t="s">
        <v>11468</v>
      </c>
      <c r="O832" s="110">
        <v>3</v>
      </c>
      <c r="P832" s="111" t="s">
        <v>40</v>
      </c>
      <c r="Q832" s="108" t="s">
        <v>11471</v>
      </c>
      <c r="R832" s="110">
        <v>3</v>
      </c>
      <c r="S832" s="113"/>
      <c r="T832" s="108" t="s">
        <v>11472</v>
      </c>
      <c r="U832" s="110">
        <v>3</v>
      </c>
      <c r="V832" s="113"/>
      <c r="W832" s="108" t="s">
        <v>11473</v>
      </c>
      <c r="X832" s="110">
        <v>3</v>
      </c>
      <c r="Y832" s="113"/>
      <c r="Z832" s="108" t="s">
        <v>47</v>
      </c>
      <c r="AA832" s="114"/>
      <c r="AB832" s="113"/>
      <c r="AC832" s="105" t="s">
        <v>2057</v>
      </c>
      <c r="AD832" s="115" t="s">
        <v>107</v>
      </c>
    </row>
    <row r="833" spans="1:30" x14ac:dyDescent="0.2">
      <c r="A833" s="104" t="s">
        <v>11474</v>
      </c>
      <c r="B833" s="105" t="s">
        <v>805</v>
      </c>
      <c r="C833" s="105" t="s">
        <v>244</v>
      </c>
      <c r="D833" s="106" t="s">
        <v>105</v>
      </c>
      <c r="E833" s="107" t="s">
        <v>119</v>
      </c>
      <c r="F833" s="108" t="s">
        <v>11475</v>
      </c>
      <c r="G833" s="109">
        <v>4</v>
      </c>
      <c r="H833" s="108" t="s">
        <v>11476</v>
      </c>
      <c r="I833" s="117">
        <v>2</v>
      </c>
      <c r="J833" s="113"/>
      <c r="K833" s="108" t="s">
        <v>11477</v>
      </c>
      <c r="L833" s="110">
        <v>3</v>
      </c>
      <c r="M833" s="111" t="s">
        <v>40</v>
      </c>
      <c r="N833" s="108" t="s">
        <v>11475</v>
      </c>
      <c r="O833" s="112">
        <v>4</v>
      </c>
      <c r="P833" s="113"/>
      <c r="Q833" s="108" t="s">
        <v>11478</v>
      </c>
      <c r="R833" s="112">
        <v>4</v>
      </c>
      <c r="S833" s="113"/>
      <c r="T833" s="108" t="s">
        <v>11479</v>
      </c>
      <c r="U833" s="112">
        <v>4</v>
      </c>
      <c r="V833" s="113"/>
      <c r="W833" s="108" t="s">
        <v>11480</v>
      </c>
      <c r="X833" s="112">
        <v>4</v>
      </c>
      <c r="Y833" s="113"/>
      <c r="Z833" s="108" t="s">
        <v>2058</v>
      </c>
      <c r="AA833" s="112">
        <v>4</v>
      </c>
      <c r="AB833" s="113"/>
      <c r="AC833" s="105" t="s">
        <v>2059</v>
      </c>
      <c r="AD833" s="115" t="s">
        <v>107</v>
      </c>
    </row>
    <row r="834" spans="1:30" x14ac:dyDescent="0.2">
      <c r="A834" s="104" t="s">
        <v>2060</v>
      </c>
      <c r="B834" s="105" t="s">
        <v>805</v>
      </c>
      <c r="C834" s="105" t="s">
        <v>244</v>
      </c>
      <c r="D834" s="106"/>
      <c r="E834" s="107" t="s">
        <v>146</v>
      </c>
      <c r="F834" s="108" t="s">
        <v>11481</v>
      </c>
      <c r="G834" s="120">
        <v>2</v>
      </c>
      <c r="H834" s="108" t="s">
        <v>11482</v>
      </c>
      <c r="I834" s="112">
        <v>4</v>
      </c>
      <c r="J834" s="111" t="s">
        <v>44</v>
      </c>
      <c r="K834" s="108" t="s">
        <v>11483</v>
      </c>
      <c r="L834" s="117">
        <v>2</v>
      </c>
      <c r="M834" s="113"/>
      <c r="N834" s="108" t="s">
        <v>11481</v>
      </c>
      <c r="O834" s="117">
        <v>2</v>
      </c>
      <c r="P834" s="113"/>
      <c r="Q834" s="108" t="s">
        <v>47</v>
      </c>
      <c r="R834" s="114"/>
      <c r="S834" s="113"/>
      <c r="T834" s="108" t="s">
        <v>47</v>
      </c>
      <c r="U834" s="114"/>
      <c r="V834" s="113"/>
      <c r="W834" s="108" t="s">
        <v>47</v>
      </c>
      <c r="X834" s="114"/>
      <c r="Y834" s="113"/>
      <c r="Z834" s="108" t="s">
        <v>47</v>
      </c>
      <c r="AA834" s="114"/>
      <c r="AB834" s="113"/>
      <c r="AC834" s="105" t="s">
        <v>2061</v>
      </c>
      <c r="AD834" s="115" t="s">
        <v>107</v>
      </c>
    </row>
    <row r="835" spans="1:30" x14ac:dyDescent="0.2">
      <c r="A835" s="104" t="s">
        <v>2062</v>
      </c>
      <c r="B835" s="105" t="s">
        <v>805</v>
      </c>
      <c r="C835" s="105" t="s">
        <v>244</v>
      </c>
      <c r="D835" s="106" t="s">
        <v>94</v>
      </c>
      <c r="E835" s="107" t="s">
        <v>146</v>
      </c>
      <c r="F835" s="108" t="s">
        <v>11484</v>
      </c>
      <c r="G835" s="120">
        <v>2</v>
      </c>
      <c r="H835" s="108" t="s">
        <v>11485</v>
      </c>
      <c r="I835" s="112">
        <v>4</v>
      </c>
      <c r="J835" s="111" t="s">
        <v>44</v>
      </c>
      <c r="K835" s="108" t="s">
        <v>11486</v>
      </c>
      <c r="L835" s="117">
        <v>2</v>
      </c>
      <c r="M835" s="111" t="s">
        <v>46</v>
      </c>
      <c r="N835" s="108" t="s">
        <v>11484</v>
      </c>
      <c r="O835" s="117">
        <v>2</v>
      </c>
      <c r="P835" s="111" t="s">
        <v>46</v>
      </c>
      <c r="Q835" s="108" t="s">
        <v>11487</v>
      </c>
      <c r="R835" s="110">
        <v>3</v>
      </c>
      <c r="S835" s="111" t="s">
        <v>46</v>
      </c>
      <c r="T835" s="108" t="s">
        <v>11488</v>
      </c>
      <c r="U835" s="116">
        <v>1</v>
      </c>
      <c r="V835" s="113"/>
      <c r="W835" s="108" t="s">
        <v>11489</v>
      </c>
      <c r="X835" s="117">
        <v>2</v>
      </c>
      <c r="Y835" s="113"/>
      <c r="Z835" s="108" t="s">
        <v>47</v>
      </c>
      <c r="AA835" s="114"/>
      <c r="AB835" s="113"/>
      <c r="AC835" s="105" t="s">
        <v>2063</v>
      </c>
      <c r="AD835" s="115" t="s">
        <v>107</v>
      </c>
    </row>
    <row r="836" spans="1:30" x14ac:dyDescent="0.2">
      <c r="A836" s="104" t="s">
        <v>2064</v>
      </c>
      <c r="B836" s="105" t="s">
        <v>805</v>
      </c>
      <c r="C836" s="105" t="s">
        <v>244</v>
      </c>
      <c r="D836" s="106"/>
      <c r="E836" s="107" t="s">
        <v>146</v>
      </c>
      <c r="F836" s="108" t="s">
        <v>11490</v>
      </c>
      <c r="G836" s="120">
        <v>2</v>
      </c>
      <c r="H836" s="108" t="s">
        <v>11491</v>
      </c>
      <c r="I836" s="112">
        <v>4</v>
      </c>
      <c r="J836" s="111" t="s">
        <v>44</v>
      </c>
      <c r="K836" s="108" t="s">
        <v>11492</v>
      </c>
      <c r="L836" s="117">
        <v>2</v>
      </c>
      <c r="M836" s="111" t="s">
        <v>46</v>
      </c>
      <c r="N836" s="108" t="s">
        <v>11490</v>
      </c>
      <c r="O836" s="117">
        <v>2</v>
      </c>
      <c r="P836" s="111" t="s">
        <v>46</v>
      </c>
      <c r="Q836" s="108" t="s">
        <v>47</v>
      </c>
      <c r="R836" s="114"/>
      <c r="S836" s="113"/>
      <c r="T836" s="108" t="s">
        <v>47</v>
      </c>
      <c r="U836" s="114"/>
      <c r="V836" s="113"/>
      <c r="W836" s="108" t="s">
        <v>47</v>
      </c>
      <c r="X836" s="114"/>
      <c r="Y836" s="113"/>
      <c r="Z836" s="108" t="s">
        <v>47</v>
      </c>
      <c r="AA836" s="114"/>
      <c r="AB836" s="113"/>
      <c r="AC836" s="105" t="s">
        <v>2065</v>
      </c>
      <c r="AD836" s="115" t="s">
        <v>107</v>
      </c>
    </row>
    <row r="837" spans="1:30" x14ac:dyDescent="0.2">
      <c r="A837" s="104" t="s">
        <v>2066</v>
      </c>
      <c r="B837" s="105" t="s">
        <v>805</v>
      </c>
      <c r="C837" s="105" t="s">
        <v>244</v>
      </c>
      <c r="D837" s="106"/>
      <c r="E837" s="107" t="s">
        <v>146</v>
      </c>
      <c r="F837" s="108" t="s">
        <v>11493</v>
      </c>
      <c r="G837" s="120">
        <v>2</v>
      </c>
      <c r="H837" s="108" t="s">
        <v>11494</v>
      </c>
      <c r="I837" s="112">
        <v>4</v>
      </c>
      <c r="J837" s="111" t="s">
        <v>44</v>
      </c>
      <c r="K837" s="108" t="s">
        <v>11495</v>
      </c>
      <c r="L837" s="117">
        <v>2</v>
      </c>
      <c r="M837" s="111" t="s">
        <v>46</v>
      </c>
      <c r="N837" s="108" t="s">
        <v>11493</v>
      </c>
      <c r="O837" s="117">
        <v>2</v>
      </c>
      <c r="P837" s="111" t="s">
        <v>46</v>
      </c>
      <c r="Q837" s="108" t="s">
        <v>11496</v>
      </c>
      <c r="R837" s="110">
        <v>3</v>
      </c>
      <c r="S837" s="111" t="s">
        <v>46</v>
      </c>
      <c r="T837" s="108" t="s">
        <v>47</v>
      </c>
      <c r="U837" s="114"/>
      <c r="V837" s="113"/>
      <c r="W837" s="108" t="s">
        <v>47</v>
      </c>
      <c r="X837" s="114"/>
      <c r="Y837" s="113"/>
      <c r="Z837" s="108" t="s">
        <v>47</v>
      </c>
      <c r="AA837" s="114"/>
      <c r="AB837" s="113"/>
      <c r="AC837" s="105" t="s">
        <v>2067</v>
      </c>
      <c r="AD837" s="115" t="s">
        <v>107</v>
      </c>
    </row>
    <row r="838" spans="1:30" x14ac:dyDescent="0.2">
      <c r="A838" s="104" t="s">
        <v>2068</v>
      </c>
      <c r="B838" s="105" t="s">
        <v>805</v>
      </c>
      <c r="C838" s="105" t="s">
        <v>256</v>
      </c>
      <c r="D838" s="106"/>
      <c r="E838" s="107" t="s">
        <v>182</v>
      </c>
      <c r="F838" s="108" t="s">
        <v>11497</v>
      </c>
      <c r="G838" s="118">
        <v>3</v>
      </c>
      <c r="H838" s="108" t="s">
        <v>2069</v>
      </c>
      <c r="I838" s="117">
        <v>2</v>
      </c>
      <c r="J838" s="111" t="s">
        <v>40</v>
      </c>
      <c r="K838" s="108" t="s">
        <v>2070</v>
      </c>
      <c r="L838" s="117">
        <v>2</v>
      </c>
      <c r="M838" s="113"/>
      <c r="N838" s="108" t="s">
        <v>11497</v>
      </c>
      <c r="O838" s="110">
        <v>3</v>
      </c>
      <c r="P838" s="111" t="s">
        <v>40</v>
      </c>
      <c r="Q838" s="108" t="s">
        <v>11120</v>
      </c>
      <c r="R838" s="110">
        <v>3</v>
      </c>
      <c r="S838" s="111" t="s">
        <v>40</v>
      </c>
      <c r="T838" s="108" t="s">
        <v>47</v>
      </c>
      <c r="U838" s="114"/>
      <c r="V838" s="113"/>
      <c r="W838" s="108" t="s">
        <v>47</v>
      </c>
      <c r="X838" s="114"/>
      <c r="Y838" s="113"/>
      <c r="Z838" s="108" t="s">
        <v>47</v>
      </c>
      <c r="AA838" s="114"/>
      <c r="AB838" s="113"/>
      <c r="AC838" s="105" t="s">
        <v>2071</v>
      </c>
      <c r="AD838" s="115" t="s">
        <v>107</v>
      </c>
    </row>
    <row r="839" spans="1:30" x14ac:dyDescent="0.2">
      <c r="A839" s="104" t="s">
        <v>2072</v>
      </c>
      <c r="B839" s="105" t="s">
        <v>805</v>
      </c>
      <c r="C839" s="105" t="s">
        <v>256</v>
      </c>
      <c r="D839" s="106" t="s">
        <v>125</v>
      </c>
      <c r="E839" s="107" t="s">
        <v>182</v>
      </c>
      <c r="F839" s="108" t="s">
        <v>2073</v>
      </c>
      <c r="G839" s="120">
        <v>2</v>
      </c>
      <c r="H839" s="108" t="s">
        <v>11498</v>
      </c>
      <c r="I839" s="117">
        <v>2</v>
      </c>
      <c r="J839" s="113"/>
      <c r="K839" s="108" t="s">
        <v>2074</v>
      </c>
      <c r="L839" s="117">
        <v>2</v>
      </c>
      <c r="M839" s="113"/>
      <c r="N839" s="108" t="s">
        <v>2073</v>
      </c>
      <c r="O839" s="117">
        <v>2</v>
      </c>
      <c r="P839" s="111" t="s">
        <v>53</v>
      </c>
      <c r="Q839" s="108" t="s">
        <v>11499</v>
      </c>
      <c r="R839" s="110">
        <v>3</v>
      </c>
      <c r="S839" s="111" t="s">
        <v>40</v>
      </c>
      <c r="T839" s="108" t="s">
        <v>11500</v>
      </c>
      <c r="U839" s="117">
        <v>2</v>
      </c>
      <c r="V839" s="111" t="s">
        <v>40</v>
      </c>
      <c r="W839" s="108" t="s">
        <v>2075</v>
      </c>
      <c r="X839" s="117">
        <v>2</v>
      </c>
      <c r="Y839" s="113"/>
      <c r="Z839" s="108" t="s">
        <v>11501</v>
      </c>
      <c r="AA839" s="117">
        <v>2</v>
      </c>
      <c r="AB839" s="113"/>
      <c r="AC839" s="105" t="s">
        <v>2076</v>
      </c>
      <c r="AD839" s="115" t="s">
        <v>107</v>
      </c>
    </row>
    <row r="840" spans="1:30" x14ac:dyDescent="0.2">
      <c r="A840" s="104" t="s">
        <v>2077</v>
      </c>
      <c r="B840" s="105" t="s">
        <v>805</v>
      </c>
      <c r="C840" s="105" t="s">
        <v>256</v>
      </c>
      <c r="D840" s="106" t="s">
        <v>94</v>
      </c>
      <c r="E840" s="107" t="s">
        <v>182</v>
      </c>
      <c r="F840" s="108" t="s">
        <v>2078</v>
      </c>
      <c r="G840" s="120">
        <v>2</v>
      </c>
      <c r="H840" s="108" t="s">
        <v>2079</v>
      </c>
      <c r="I840" s="117">
        <v>2</v>
      </c>
      <c r="J840" s="111" t="s">
        <v>40</v>
      </c>
      <c r="K840" s="108" t="s">
        <v>2080</v>
      </c>
      <c r="L840" s="117">
        <v>2</v>
      </c>
      <c r="M840" s="113"/>
      <c r="N840" s="108" t="s">
        <v>2078</v>
      </c>
      <c r="O840" s="117">
        <v>2</v>
      </c>
      <c r="P840" s="111" t="s">
        <v>53</v>
      </c>
      <c r="Q840" s="108" t="s">
        <v>11502</v>
      </c>
      <c r="R840" s="110">
        <v>3</v>
      </c>
      <c r="S840" s="111" t="s">
        <v>40</v>
      </c>
      <c r="T840" s="108" t="s">
        <v>11503</v>
      </c>
      <c r="U840" s="117">
        <v>2</v>
      </c>
      <c r="V840" s="111" t="s">
        <v>40</v>
      </c>
      <c r="W840" s="108" t="s">
        <v>2081</v>
      </c>
      <c r="X840" s="117">
        <v>2</v>
      </c>
      <c r="Y840" s="113"/>
      <c r="Z840" s="108" t="s">
        <v>47</v>
      </c>
      <c r="AA840" s="114"/>
      <c r="AB840" s="113"/>
      <c r="AC840" s="105" t="s">
        <v>2082</v>
      </c>
      <c r="AD840" s="115" t="s">
        <v>107</v>
      </c>
    </row>
    <row r="841" spans="1:30" x14ac:dyDescent="0.2">
      <c r="A841" s="104" t="s">
        <v>2083</v>
      </c>
      <c r="B841" s="105" t="s">
        <v>805</v>
      </c>
      <c r="C841" s="105" t="s">
        <v>256</v>
      </c>
      <c r="D841" s="106" t="s">
        <v>125</v>
      </c>
      <c r="E841" s="107" t="s">
        <v>182</v>
      </c>
      <c r="F841" s="108" t="s">
        <v>2084</v>
      </c>
      <c r="G841" s="120">
        <v>2</v>
      </c>
      <c r="H841" s="108" t="s">
        <v>11504</v>
      </c>
      <c r="I841" s="117">
        <v>2</v>
      </c>
      <c r="J841" s="113"/>
      <c r="K841" s="108" t="s">
        <v>2085</v>
      </c>
      <c r="L841" s="117">
        <v>2</v>
      </c>
      <c r="M841" s="113"/>
      <c r="N841" s="108" t="s">
        <v>2084</v>
      </c>
      <c r="O841" s="117">
        <v>2</v>
      </c>
      <c r="P841" s="111" t="s">
        <v>53</v>
      </c>
      <c r="Q841" s="108" t="s">
        <v>2086</v>
      </c>
      <c r="R841" s="110">
        <v>3</v>
      </c>
      <c r="S841" s="111" t="s">
        <v>40</v>
      </c>
      <c r="T841" s="108" t="s">
        <v>2087</v>
      </c>
      <c r="U841" s="110">
        <v>3</v>
      </c>
      <c r="V841" s="113"/>
      <c r="W841" s="108" t="s">
        <v>47</v>
      </c>
      <c r="X841" s="114"/>
      <c r="Y841" s="113"/>
      <c r="Z841" s="108" t="s">
        <v>47</v>
      </c>
      <c r="AA841" s="114"/>
      <c r="AB841" s="113"/>
      <c r="AC841" s="105" t="s">
        <v>2088</v>
      </c>
      <c r="AD841" s="115" t="s">
        <v>107</v>
      </c>
    </row>
    <row r="842" spans="1:30" x14ac:dyDescent="0.2">
      <c r="A842" s="104" t="s">
        <v>2089</v>
      </c>
      <c r="B842" s="105" t="s">
        <v>805</v>
      </c>
      <c r="C842" s="105" t="s">
        <v>256</v>
      </c>
      <c r="D842" s="106" t="s">
        <v>125</v>
      </c>
      <c r="E842" s="107" t="s">
        <v>182</v>
      </c>
      <c r="F842" s="108" t="s">
        <v>2090</v>
      </c>
      <c r="G842" s="118">
        <v>3</v>
      </c>
      <c r="H842" s="108" t="s">
        <v>11505</v>
      </c>
      <c r="I842" s="110">
        <v>3</v>
      </c>
      <c r="J842" s="113"/>
      <c r="K842" s="108" t="s">
        <v>2091</v>
      </c>
      <c r="L842" s="110">
        <v>3</v>
      </c>
      <c r="M842" s="113"/>
      <c r="N842" s="108" t="s">
        <v>2090</v>
      </c>
      <c r="O842" s="110">
        <v>3</v>
      </c>
      <c r="P842" s="111" t="s">
        <v>40</v>
      </c>
      <c r="Q842" s="108" t="s">
        <v>11113</v>
      </c>
      <c r="R842" s="112">
        <v>4</v>
      </c>
      <c r="S842" s="113"/>
      <c r="T842" s="108" t="s">
        <v>11506</v>
      </c>
      <c r="U842" s="110">
        <v>3</v>
      </c>
      <c r="V842" s="113"/>
      <c r="W842" s="108" t="s">
        <v>2092</v>
      </c>
      <c r="X842" s="110">
        <v>3</v>
      </c>
      <c r="Y842" s="113"/>
      <c r="Z842" s="108" t="s">
        <v>11507</v>
      </c>
      <c r="AA842" s="110">
        <v>3</v>
      </c>
      <c r="AB842" s="113"/>
      <c r="AC842" s="105" t="s">
        <v>2093</v>
      </c>
      <c r="AD842" s="115" t="s">
        <v>107</v>
      </c>
    </row>
    <row r="843" spans="1:30" x14ac:dyDescent="0.2">
      <c r="A843" s="104" t="s">
        <v>2094</v>
      </c>
      <c r="B843" s="105" t="s">
        <v>805</v>
      </c>
      <c r="C843" s="105" t="s">
        <v>256</v>
      </c>
      <c r="D843" s="106" t="s">
        <v>94</v>
      </c>
      <c r="E843" s="107" t="s">
        <v>182</v>
      </c>
      <c r="F843" s="108" t="s">
        <v>2095</v>
      </c>
      <c r="G843" s="120">
        <v>2</v>
      </c>
      <c r="H843" s="108" t="s">
        <v>11508</v>
      </c>
      <c r="I843" s="117">
        <v>2</v>
      </c>
      <c r="J843" s="113"/>
      <c r="K843" s="108" t="s">
        <v>2096</v>
      </c>
      <c r="L843" s="117">
        <v>2</v>
      </c>
      <c r="M843" s="113"/>
      <c r="N843" s="108" t="s">
        <v>2095</v>
      </c>
      <c r="O843" s="117">
        <v>2</v>
      </c>
      <c r="P843" s="111" t="s">
        <v>40</v>
      </c>
      <c r="Q843" s="108" t="s">
        <v>11509</v>
      </c>
      <c r="R843" s="117">
        <v>2</v>
      </c>
      <c r="S843" s="111" t="s">
        <v>53</v>
      </c>
      <c r="T843" s="108" t="s">
        <v>2097</v>
      </c>
      <c r="U843" s="117">
        <v>2</v>
      </c>
      <c r="V843" s="113"/>
      <c r="W843" s="108" t="s">
        <v>2098</v>
      </c>
      <c r="X843" s="116">
        <v>1</v>
      </c>
      <c r="Y843" s="113"/>
      <c r="Z843" s="108" t="s">
        <v>2099</v>
      </c>
      <c r="AA843" s="116">
        <v>1</v>
      </c>
      <c r="AB843" s="111" t="s">
        <v>40</v>
      </c>
      <c r="AC843" s="105" t="s">
        <v>2100</v>
      </c>
      <c r="AD843" s="115" t="s">
        <v>107</v>
      </c>
    </row>
    <row r="844" spans="1:30" x14ac:dyDescent="0.2">
      <c r="A844" s="104" t="s">
        <v>2101</v>
      </c>
      <c r="B844" s="105" t="s">
        <v>805</v>
      </c>
      <c r="C844" s="105" t="s">
        <v>256</v>
      </c>
      <c r="D844" s="106"/>
      <c r="E844" s="107" t="s">
        <v>182</v>
      </c>
      <c r="F844" s="108" t="s">
        <v>2102</v>
      </c>
      <c r="G844" s="120">
        <v>2</v>
      </c>
      <c r="H844" s="108" t="s">
        <v>2103</v>
      </c>
      <c r="I844" s="117">
        <v>2</v>
      </c>
      <c r="J844" s="113"/>
      <c r="K844" s="108" t="s">
        <v>2104</v>
      </c>
      <c r="L844" s="117">
        <v>2</v>
      </c>
      <c r="M844" s="113"/>
      <c r="N844" s="108" t="s">
        <v>2102</v>
      </c>
      <c r="O844" s="117">
        <v>2</v>
      </c>
      <c r="P844" s="111" t="s">
        <v>40</v>
      </c>
      <c r="Q844" s="108" t="s">
        <v>47</v>
      </c>
      <c r="R844" s="114"/>
      <c r="S844" s="113"/>
      <c r="T844" s="108" t="s">
        <v>47</v>
      </c>
      <c r="U844" s="114"/>
      <c r="V844" s="113"/>
      <c r="W844" s="108" t="s">
        <v>47</v>
      </c>
      <c r="X844" s="114"/>
      <c r="Y844" s="113"/>
      <c r="Z844" s="108" t="s">
        <v>47</v>
      </c>
      <c r="AA844" s="114"/>
      <c r="AB844" s="113"/>
      <c r="AC844" s="105" t="s">
        <v>2105</v>
      </c>
      <c r="AD844" s="115" t="s">
        <v>107</v>
      </c>
    </row>
    <row r="845" spans="1:30" x14ac:dyDescent="0.2">
      <c r="A845" s="104" t="s">
        <v>2106</v>
      </c>
      <c r="B845" s="105" t="s">
        <v>805</v>
      </c>
      <c r="C845" s="105" t="s">
        <v>256</v>
      </c>
      <c r="D845" s="106" t="s">
        <v>94</v>
      </c>
      <c r="E845" s="107" t="s">
        <v>182</v>
      </c>
      <c r="F845" s="108" t="s">
        <v>2107</v>
      </c>
      <c r="G845" s="120">
        <v>2</v>
      </c>
      <c r="H845" s="108" t="s">
        <v>2108</v>
      </c>
      <c r="I845" s="117">
        <v>2</v>
      </c>
      <c r="J845" s="113"/>
      <c r="K845" s="108" t="s">
        <v>11510</v>
      </c>
      <c r="L845" s="117">
        <v>2</v>
      </c>
      <c r="M845" s="113"/>
      <c r="N845" s="108" t="s">
        <v>2107</v>
      </c>
      <c r="O845" s="117">
        <v>2</v>
      </c>
      <c r="P845" s="111" t="s">
        <v>40</v>
      </c>
      <c r="Q845" s="108" t="s">
        <v>11511</v>
      </c>
      <c r="R845" s="117">
        <v>2</v>
      </c>
      <c r="S845" s="111" t="s">
        <v>53</v>
      </c>
      <c r="T845" s="108" t="s">
        <v>11512</v>
      </c>
      <c r="U845" s="117">
        <v>2</v>
      </c>
      <c r="V845" s="113"/>
      <c r="W845" s="108" t="s">
        <v>2109</v>
      </c>
      <c r="X845" s="116">
        <v>1</v>
      </c>
      <c r="Y845" s="113"/>
      <c r="Z845" s="108" t="s">
        <v>47</v>
      </c>
      <c r="AA845" s="114"/>
      <c r="AB845" s="113"/>
      <c r="AC845" s="105" t="s">
        <v>2110</v>
      </c>
      <c r="AD845" s="115" t="s">
        <v>107</v>
      </c>
    </row>
    <row r="846" spans="1:30" x14ac:dyDescent="0.2">
      <c r="A846" s="104" t="s">
        <v>2111</v>
      </c>
      <c r="B846" s="105" t="s">
        <v>805</v>
      </c>
      <c r="C846" s="105" t="s">
        <v>256</v>
      </c>
      <c r="D846" s="106"/>
      <c r="E846" s="107" t="s">
        <v>182</v>
      </c>
      <c r="F846" s="108" t="s">
        <v>47</v>
      </c>
      <c r="G846" s="113"/>
      <c r="H846" s="108" t="s">
        <v>47</v>
      </c>
      <c r="I846" s="114"/>
      <c r="J846" s="113"/>
      <c r="K846" s="108" t="s">
        <v>47</v>
      </c>
      <c r="L846" s="114"/>
      <c r="M846" s="113"/>
      <c r="N846" s="108" t="s">
        <v>47</v>
      </c>
      <c r="O846" s="114"/>
      <c r="P846" s="113"/>
      <c r="Q846" s="108" t="s">
        <v>47</v>
      </c>
      <c r="R846" s="114"/>
      <c r="S846" s="113"/>
      <c r="T846" s="108" t="s">
        <v>47</v>
      </c>
      <c r="U846" s="114"/>
      <c r="V846" s="113"/>
      <c r="W846" s="108" t="s">
        <v>47</v>
      </c>
      <c r="X846" s="114"/>
      <c r="Y846" s="113"/>
      <c r="Z846" s="108" t="s">
        <v>47</v>
      </c>
      <c r="AA846" s="114"/>
      <c r="AB846" s="113"/>
      <c r="AC846" s="105" t="s">
        <v>2112</v>
      </c>
      <c r="AD846" s="115" t="s">
        <v>107</v>
      </c>
    </row>
    <row r="847" spans="1:30" x14ac:dyDescent="0.2">
      <c r="A847" s="104" t="s">
        <v>2113</v>
      </c>
      <c r="B847" s="105" t="s">
        <v>805</v>
      </c>
      <c r="C847" s="105" t="s">
        <v>256</v>
      </c>
      <c r="D847" s="106" t="s">
        <v>125</v>
      </c>
      <c r="E847" s="107" t="s">
        <v>182</v>
      </c>
      <c r="F847" s="108" t="s">
        <v>2114</v>
      </c>
      <c r="G847" s="118">
        <v>3</v>
      </c>
      <c r="H847" s="108" t="s">
        <v>11513</v>
      </c>
      <c r="I847" s="117">
        <v>2</v>
      </c>
      <c r="J847" s="111" t="s">
        <v>40</v>
      </c>
      <c r="K847" s="108" t="s">
        <v>2115</v>
      </c>
      <c r="L847" s="110">
        <v>3</v>
      </c>
      <c r="M847" s="113"/>
      <c r="N847" s="108" t="s">
        <v>2114</v>
      </c>
      <c r="O847" s="110">
        <v>3</v>
      </c>
      <c r="P847" s="111" t="s">
        <v>40</v>
      </c>
      <c r="Q847" s="108" t="s">
        <v>11110</v>
      </c>
      <c r="R847" s="112">
        <v>4</v>
      </c>
      <c r="S847" s="113"/>
      <c r="T847" s="108" t="s">
        <v>11514</v>
      </c>
      <c r="U847" s="110">
        <v>3</v>
      </c>
      <c r="V847" s="113"/>
      <c r="W847" s="108" t="s">
        <v>2116</v>
      </c>
      <c r="X847" s="110">
        <v>3</v>
      </c>
      <c r="Y847" s="111" t="s">
        <v>46</v>
      </c>
      <c r="Z847" s="108" t="s">
        <v>11515</v>
      </c>
      <c r="AA847" s="117">
        <v>2</v>
      </c>
      <c r="AB847" s="111" t="s">
        <v>53</v>
      </c>
      <c r="AC847" s="105" t="s">
        <v>2117</v>
      </c>
      <c r="AD847" s="115" t="s">
        <v>107</v>
      </c>
    </row>
    <row r="848" spans="1:30" x14ac:dyDescent="0.2">
      <c r="A848" s="104" t="s">
        <v>2118</v>
      </c>
      <c r="B848" s="105" t="s">
        <v>805</v>
      </c>
      <c r="C848" s="105" t="s">
        <v>279</v>
      </c>
      <c r="D848" s="106" t="s">
        <v>125</v>
      </c>
      <c r="E848" s="107" t="s">
        <v>119</v>
      </c>
      <c r="F848" s="108" t="s">
        <v>11516</v>
      </c>
      <c r="G848" s="118">
        <v>3</v>
      </c>
      <c r="H848" s="108" t="s">
        <v>11517</v>
      </c>
      <c r="I848" s="117">
        <v>2</v>
      </c>
      <c r="J848" s="111" t="s">
        <v>46</v>
      </c>
      <c r="K848" s="108" t="s">
        <v>11518</v>
      </c>
      <c r="L848" s="110">
        <v>3</v>
      </c>
      <c r="M848" s="111" t="s">
        <v>46</v>
      </c>
      <c r="N848" s="108" t="s">
        <v>11516</v>
      </c>
      <c r="O848" s="110">
        <v>3</v>
      </c>
      <c r="P848" s="113"/>
      <c r="Q848" s="108" t="s">
        <v>11519</v>
      </c>
      <c r="R848" s="110">
        <v>3</v>
      </c>
      <c r="S848" s="111" t="s">
        <v>40</v>
      </c>
      <c r="T848" s="108" t="s">
        <v>2119</v>
      </c>
      <c r="U848" s="110">
        <v>3</v>
      </c>
      <c r="V848" s="111" t="s">
        <v>40</v>
      </c>
      <c r="W848" s="108" t="s">
        <v>11520</v>
      </c>
      <c r="X848" s="110">
        <v>3</v>
      </c>
      <c r="Y848" s="113"/>
      <c r="Z848" s="108" t="s">
        <v>11521</v>
      </c>
      <c r="AA848" s="112">
        <v>4</v>
      </c>
      <c r="AB848" s="113"/>
      <c r="AC848" s="105" t="s">
        <v>2120</v>
      </c>
      <c r="AD848" s="115" t="s">
        <v>107</v>
      </c>
    </row>
    <row r="849" spans="1:30" x14ac:dyDescent="0.2">
      <c r="A849" s="104" t="s">
        <v>2121</v>
      </c>
      <c r="B849" s="105" t="s">
        <v>805</v>
      </c>
      <c r="C849" s="105" t="s">
        <v>279</v>
      </c>
      <c r="D849" s="106" t="s">
        <v>125</v>
      </c>
      <c r="E849" s="107" t="s">
        <v>119</v>
      </c>
      <c r="F849" s="108" t="s">
        <v>11522</v>
      </c>
      <c r="G849" s="109">
        <v>4</v>
      </c>
      <c r="H849" s="108" t="s">
        <v>11523</v>
      </c>
      <c r="I849" s="117">
        <v>2</v>
      </c>
      <c r="J849" s="111" t="s">
        <v>46</v>
      </c>
      <c r="K849" s="108" t="s">
        <v>11524</v>
      </c>
      <c r="L849" s="110">
        <v>3</v>
      </c>
      <c r="M849" s="111" t="s">
        <v>46</v>
      </c>
      <c r="N849" s="108" t="s">
        <v>11522</v>
      </c>
      <c r="O849" s="112">
        <v>4</v>
      </c>
      <c r="P849" s="111" t="s">
        <v>46</v>
      </c>
      <c r="Q849" s="108" t="s">
        <v>11525</v>
      </c>
      <c r="R849" s="110">
        <v>3</v>
      </c>
      <c r="S849" s="111" t="s">
        <v>40</v>
      </c>
      <c r="T849" s="108" t="s">
        <v>2122</v>
      </c>
      <c r="U849" s="112">
        <v>4</v>
      </c>
      <c r="V849" s="113"/>
      <c r="W849" s="108" t="s">
        <v>11526</v>
      </c>
      <c r="X849" s="110">
        <v>3</v>
      </c>
      <c r="Y849" s="113"/>
      <c r="Z849" s="108" t="s">
        <v>11527</v>
      </c>
      <c r="AA849" s="112">
        <v>4</v>
      </c>
      <c r="AB849" s="113"/>
      <c r="AC849" s="105" t="s">
        <v>2123</v>
      </c>
      <c r="AD849" s="115" t="s">
        <v>107</v>
      </c>
    </row>
    <row r="850" spans="1:30" x14ac:dyDescent="0.2">
      <c r="A850" s="104" t="s">
        <v>2124</v>
      </c>
      <c r="B850" s="105" t="s">
        <v>805</v>
      </c>
      <c r="C850" s="105" t="s">
        <v>2125</v>
      </c>
      <c r="D850" s="106"/>
      <c r="E850" s="107" t="s">
        <v>182</v>
      </c>
      <c r="F850" s="108" t="s">
        <v>11528</v>
      </c>
      <c r="G850" s="119">
        <v>1</v>
      </c>
      <c r="H850" s="108" t="s">
        <v>11529</v>
      </c>
      <c r="I850" s="116">
        <v>1</v>
      </c>
      <c r="J850" s="113"/>
      <c r="K850" s="108" t="s">
        <v>11530</v>
      </c>
      <c r="L850" s="116">
        <v>1</v>
      </c>
      <c r="M850" s="113"/>
      <c r="N850" s="108" t="s">
        <v>11528</v>
      </c>
      <c r="O850" s="116">
        <v>1</v>
      </c>
      <c r="P850" s="113"/>
      <c r="Q850" s="108" t="s">
        <v>11531</v>
      </c>
      <c r="R850" s="117">
        <v>2</v>
      </c>
      <c r="S850" s="111" t="s">
        <v>40</v>
      </c>
      <c r="T850" s="108" t="s">
        <v>11532</v>
      </c>
      <c r="U850" s="112">
        <v>4</v>
      </c>
      <c r="V850" s="113"/>
      <c r="W850" s="108" t="s">
        <v>47</v>
      </c>
      <c r="X850" s="114"/>
      <c r="Y850" s="113"/>
      <c r="Z850" s="108" t="s">
        <v>47</v>
      </c>
      <c r="AA850" s="114"/>
      <c r="AB850" s="113"/>
      <c r="AC850" s="105" t="s">
        <v>2126</v>
      </c>
      <c r="AD850" s="115" t="s">
        <v>107</v>
      </c>
    </row>
    <row r="851" spans="1:30" x14ac:dyDescent="0.2">
      <c r="A851" s="104" t="s">
        <v>2127</v>
      </c>
      <c r="B851" s="105" t="s">
        <v>805</v>
      </c>
      <c r="C851" s="105" t="s">
        <v>279</v>
      </c>
      <c r="D851" s="106" t="s">
        <v>105</v>
      </c>
      <c r="E851" s="107" t="s">
        <v>119</v>
      </c>
      <c r="F851" s="108" t="s">
        <v>11533</v>
      </c>
      <c r="G851" s="109">
        <v>4</v>
      </c>
      <c r="H851" s="108" t="s">
        <v>11534</v>
      </c>
      <c r="I851" s="110">
        <v>3</v>
      </c>
      <c r="J851" s="111" t="s">
        <v>55</v>
      </c>
      <c r="K851" s="108" t="s">
        <v>11535</v>
      </c>
      <c r="L851" s="110">
        <v>3</v>
      </c>
      <c r="M851" s="113"/>
      <c r="N851" s="108" t="s">
        <v>11533</v>
      </c>
      <c r="O851" s="112">
        <v>4</v>
      </c>
      <c r="P851" s="111" t="s">
        <v>46</v>
      </c>
      <c r="Q851" s="108" t="s">
        <v>11536</v>
      </c>
      <c r="R851" s="112">
        <v>4</v>
      </c>
      <c r="S851" s="113"/>
      <c r="T851" s="108" t="s">
        <v>11537</v>
      </c>
      <c r="U851" s="112">
        <v>4</v>
      </c>
      <c r="V851" s="113"/>
      <c r="W851" s="108" t="s">
        <v>11538</v>
      </c>
      <c r="X851" s="112">
        <v>4</v>
      </c>
      <c r="Y851" s="113"/>
      <c r="Z851" s="108" t="s">
        <v>47</v>
      </c>
      <c r="AA851" s="114"/>
      <c r="AB851" s="113"/>
      <c r="AC851" s="105" t="s">
        <v>2128</v>
      </c>
      <c r="AD851" s="115" t="s">
        <v>107</v>
      </c>
    </row>
    <row r="852" spans="1:30" x14ac:dyDescent="0.2">
      <c r="A852" s="104" t="s">
        <v>2129</v>
      </c>
      <c r="B852" s="105" t="s">
        <v>805</v>
      </c>
      <c r="C852" s="105" t="s">
        <v>279</v>
      </c>
      <c r="D852" s="106" t="s">
        <v>125</v>
      </c>
      <c r="E852" s="107" t="s">
        <v>119</v>
      </c>
      <c r="F852" s="108" t="s">
        <v>11539</v>
      </c>
      <c r="G852" s="118">
        <v>3</v>
      </c>
      <c r="H852" s="108" t="s">
        <v>11540</v>
      </c>
      <c r="I852" s="117">
        <v>2</v>
      </c>
      <c r="J852" s="111" t="s">
        <v>46</v>
      </c>
      <c r="K852" s="108" t="s">
        <v>11541</v>
      </c>
      <c r="L852" s="117">
        <v>2</v>
      </c>
      <c r="M852" s="113"/>
      <c r="N852" s="108" t="s">
        <v>11539</v>
      </c>
      <c r="O852" s="110">
        <v>3</v>
      </c>
      <c r="P852" s="111" t="s">
        <v>46</v>
      </c>
      <c r="Q852" s="108" t="s">
        <v>11542</v>
      </c>
      <c r="R852" s="110">
        <v>3</v>
      </c>
      <c r="S852" s="113"/>
      <c r="T852" s="108" t="s">
        <v>11543</v>
      </c>
      <c r="U852" s="110">
        <v>3</v>
      </c>
      <c r="V852" s="113"/>
      <c r="W852" s="108" t="s">
        <v>11544</v>
      </c>
      <c r="X852" s="117">
        <v>2</v>
      </c>
      <c r="Y852" s="113"/>
      <c r="Z852" s="108" t="s">
        <v>11545</v>
      </c>
      <c r="AA852" s="110">
        <v>3</v>
      </c>
      <c r="AB852" s="113"/>
      <c r="AC852" s="105" t="s">
        <v>2130</v>
      </c>
      <c r="AD852" s="115" t="s">
        <v>107</v>
      </c>
    </row>
    <row r="853" spans="1:30" x14ac:dyDescent="0.2">
      <c r="A853" s="104" t="s">
        <v>2131</v>
      </c>
      <c r="B853" s="105" t="s">
        <v>805</v>
      </c>
      <c r="C853" s="105" t="s">
        <v>279</v>
      </c>
      <c r="D853" s="106" t="s">
        <v>125</v>
      </c>
      <c r="E853" s="107" t="s">
        <v>119</v>
      </c>
      <c r="F853" s="108" t="s">
        <v>11546</v>
      </c>
      <c r="G853" s="118">
        <v>3</v>
      </c>
      <c r="H853" s="108" t="s">
        <v>11547</v>
      </c>
      <c r="I853" s="117">
        <v>2</v>
      </c>
      <c r="J853" s="111" t="s">
        <v>46</v>
      </c>
      <c r="K853" s="108" t="s">
        <v>11548</v>
      </c>
      <c r="L853" s="117">
        <v>2</v>
      </c>
      <c r="M853" s="113"/>
      <c r="N853" s="108" t="s">
        <v>11546</v>
      </c>
      <c r="O853" s="110">
        <v>3</v>
      </c>
      <c r="P853" s="111" t="s">
        <v>46</v>
      </c>
      <c r="Q853" s="108" t="s">
        <v>11549</v>
      </c>
      <c r="R853" s="110">
        <v>3</v>
      </c>
      <c r="S853" s="113"/>
      <c r="T853" s="108" t="s">
        <v>11550</v>
      </c>
      <c r="U853" s="110">
        <v>3</v>
      </c>
      <c r="V853" s="113"/>
      <c r="W853" s="108" t="s">
        <v>47</v>
      </c>
      <c r="X853" s="114"/>
      <c r="Y853" s="113"/>
      <c r="Z853" s="108" t="s">
        <v>47</v>
      </c>
      <c r="AA853" s="114"/>
      <c r="AB853" s="113"/>
      <c r="AC853" s="105" t="s">
        <v>2132</v>
      </c>
      <c r="AD853" s="115" t="s">
        <v>107</v>
      </c>
    </row>
    <row r="854" spans="1:30" x14ac:dyDescent="0.2">
      <c r="A854" s="104" t="s">
        <v>2133</v>
      </c>
      <c r="B854" s="105" t="s">
        <v>805</v>
      </c>
      <c r="C854" s="105" t="s">
        <v>279</v>
      </c>
      <c r="D854" s="106" t="s">
        <v>125</v>
      </c>
      <c r="E854" s="107" t="s">
        <v>119</v>
      </c>
      <c r="F854" s="108" t="s">
        <v>11551</v>
      </c>
      <c r="G854" s="118">
        <v>3</v>
      </c>
      <c r="H854" s="108" t="s">
        <v>11552</v>
      </c>
      <c r="I854" s="117">
        <v>2</v>
      </c>
      <c r="J854" s="111" t="s">
        <v>46</v>
      </c>
      <c r="K854" s="108" t="s">
        <v>11553</v>
      </c>
      <c r="L854" s="110">
        <v>3</v>
      </c>
      <c r="M854" s="111" t="s">
        <v>46</v>
      </c>
      <c r="N854" s="108" t="s">
        <v>11551</v>
      </c>
      <c r="O854" s="110">
        <v>3</v>
      </c>
      <c r="P854" s="113"/>
      <c r="Q854" s="108" t="s">
        <v>11554</v>
      </c>
      <c r="R854" s="110">
        <v>3</v>
      </c>
      <c r="S854" s="113"/>
      <c r="T854" s="108" t="s">
        <v>11555</v>
      </c>
      <c r="U854" s="110">
        <v>3</v>
      </c>
      <c r="V854" s="113"/>
      <c r="W854" s="108" t="s">
        <v>11556</v>
      </c>
      <c r="X854" s="110">
        <v>3</v>
      </c>
      <c r="Y854" s="111" t="s">
        <v>46</v>
      </c>
      <c r="Z854" s="108" t="s">
        <v>47</v>
      </c>
      <c r="AA854" s="114"/>
      <c r="AB854" s="113"/>
      <c r="AC854" s="105" t="s">
        <v>2134</v>
      </c>
      <c r="AD854" s="115" t="s">
        <v>107</v>
      </c>
    </row>
    <row r="855" spans="1:30" x14ac:dyDescent="0.2">
      <c r="A855" s="104" t="s">
        <v>2135</v>
      </c>
      <c r="B855" s="105" t="s">
        <v>805</v>
      </c>
      <c r="C855" s="105" t="s">
        <v>279</v>
      </c>
      <c r="D855" s="106" t="s">
        <v>105</v>
      </c>
      <c r="E855" s="107" t="s">
        <v>119</v>
      </c>
      <c r="F855" s="108" t="s">
        <v>11557</v>
      </c>
      <c r="G855" s="109">
        <v>4</v>
      </c>
      <c r="H855" s="108" t="s">
        <v>11558</v>
      </c>
      <c r="I855" s="117">
        <v>2</v>
      </c>
      <c r="J855" s="111" t="s">
        <v>46</v>
      </c>
      <c r="K855" s="108" t="s">
        <v>11559</v>
      </c>
      <c r="L855" s="110">
        <v>3</v>
      </c>
      <c r="M855" s="111" t="s">
        <v>46</v>
      </c>
      <c r="N855" s="108" t="s">
        <v>11557</v>
      </c>
      <c r="O855" s="112">
        <v>4</v>
      </c>
      <c r="P855" s="111" t="s">
        <v>46</v>
      </c>
      <c r="Q855" s="108" t="s">
        <v>11560</v>
      </c>
      <c r="R855" s="110">
        <v>3</v>
      </c>
      <c r="S855" s="111" t="s">
        <v>40</v>
      </c>
      <c r="T855" s="108" t="s">
        <v>11561</v>
      </c>
      <c r="U855" s="112">
        <v>4</v>
      </c>
      <c r="V855" s="113"/>
      <c r="W855" s="108" t="s">
        <v>11562</v>
      </c>
      <c r="X855" s="110">
        <v>3</v>
      </c>
      <c r="Y855" s="113"/>
      <c r="Z855" s="108" t="s">
        <v>11563</v>
      </c>
      <c r="AA855" s="112">
        <v>4</v>
      </c>
      <c r="AB855" s="113"/>
      <c r="AC855" s="105" t="s">
        <v>2136</v>
      </c>
      <c r="AD855" s="115" t="s">
        <v>107</v>
      </c>
    </row>
    <row r="856" spans="1:30" x14ac:dyDescent="0.2">
      <c r="A856" s="104" t="s">
        <v>2137</v>
      </c>
      <c r="B856" s="105" t="s">
        <v>805</v>
      </c>
      <c r="C856" s="105" t="s">
        <v>279</v>
      </c>
      <c r="D856" s="106" t="s">
        <v>514</v>
      </c>
      <c r="E856" s="107" t="s">
        <v>146</v>
      </c>
      <c r="F856" s="108" t="s">
        <v>11564</v>
      </c>
      <c r="G856" s="120">
        <v>2</v>
      </c>
      <c r="H856" s="108" t="s">
        <v>11565</v>
      </c>
      <c r="I856" s="112">
        <v>4</v>
      </c>
      <c r="J856" s="111" t="s">
        <v>44</v>
      </c>
      <c r="K856" s="108" t="s">
        <v>11566</v>
      </c>
      <c r="L856" s="117">
        <v>2</v>
      </c>
      <c r="M856" s="111" t="s">
        <v>40</v>
      </c>
      <c r="N856" s="108" t="s">
        <v>11564</v>
      </c>
      <c r="O856" s="117">
        <v>2</v>
      </c>
      <c r="P856" s="111" t="s">
        <v>40</v>
      </c>
      <c r="Q856" s="108" t="s">
        <v>11567</v>
      </c>
      <c r="R856" s="110">
        <v>3</v>
      </c>
      <c r="S856" s="111" t="s">
        <v>46</v>
      </c>
      <c r="T856" s="108" t="s">
        <v>11568</v>
      </c>
      <c r="U856" s="116">
        <v>1</v>
      </c>
      <c r="V856" s="113"/>
      <c r="W856" s="108" t="s">
        <v>47</v>
      </c>
      <c r="X856" s="114"/>
      <c r="Y856" s="113"/>
      <c r="Z856" s="108" t="s">
        <v>47</v>
      </c>
      <c r="AA856" s="114"/>
      <c r="AB856" s="113"/>
      <c r="AC856" s="105" t="s">
        <v>2138</v>
      </c>
      <c r="AD856" s="115" t="s">
        <v>107</v>
      </c>
    </row>
    <row r="857" spans="1:30" x14ac:dyDescent="0.2">
      <c r="A857" s="104" t="s">
        <v>2139</v>
      </c>
      <c r="B857" s="105" t="s">
        <v>805</v>
      </c>
      <c r="C857" s="105" t="s">
        <v>279</v>
      </c>
      <c r="D857" s="106" t="s">
        <v>514</v>
      </c>
      <c r="E857" s="107" t="s">
        <v>146</v>
      </c>
      <c r="F857" s="108" t="s">
        <v>11569</v>
      </c>
      <c r="G857" s="120">
        <v>2</v>
      </c>
      <c r="H857" s="108" t="s">
        <v>11570</v>
      </c>
      <c r="I857" s="112">
        <v>4</v>
      </c>
      <c r="J857" s="111" t="s">
        <v>44</v>
      </c>
      <c r="K857" s="108" t="s">
        <v>11571</v>
      </c>
      <c r="L857" s="117">
        <v>2</v>
      </c>
      <c r="M857" s="111" t="s">
        <v>40</v>
      </c>
      <c r="N857" s="108" t="s">
        <v>11569</v>
      </c>
      <c r="O857" s="117">
        <v>2</v>
      </c>
      <c r="P857" s="111" t="s">
        <v>40</v>
      </c>
      <c r="Q857" s="108" t="s">
        <v>11572</v>
      </c>
      <c r="R857" s="112">
        <v>4</v>
      </c>
      <c r="S857" s="111" t="s">
        <v>46</v>
      </c>
      <c r="T857" s="108" t="s">
        <v>11573</v>
      </c>
      <c r="U857" s="116">
        <v>1</v>
      </c>
      <c r="V857" s="113"/>
      <c r="W857" s="108" t="s">
        <v>47</v>
      </c>
      <c r="X857" s="114"/>
      <c r="Y857" s="113"/>
      <c r="Z857" s="108" t="s">
        <v>47</v>
      </c>
      <c r="AA857" s="114"/>
      <c r="AB857" s="113"/>
      <c r="AC857" s="105" t="s">
        <v>2140</v>
      </c>
      <c r="AD857" s="115" t="s">
        <v>107</v>
      </c>
    </row>
    <row r="858" spans="1:30" x14ac:dyDescent="0.2">
      <c r="A858" s="104" t="s">
        <v>2141</v>
      </c>
      <c r="B858" s="105" t="s">
        <v>805</v>
      </c>
      <c r="C858" s="105" t="s">
        <v>279</v>
      </c>
      <c r="D858" s="106" t="s">
        <v>94</v>
      </c>
      <c r="E858" s="107" t="s">
        <v>146</v>
      </c>
      <c r="F858" s="108" t="s">
        <v>11574</v>
      </c>
      <c r="G858" s="118">
        <v>3</v>
      </c>
      <c r="H858" s="108" t="s">
        <v>11575</v>
      </c>
      <c r="I858" s="112">
        <v>4</v>
      </c>
      <c r="J858" s="111" t="s">
        <v>44</v>
      </c>
      <c r="K858" s="108" t="s">
        <v>11576</v>
      </c>
      <c r="L858" s="110">
        <v>3</v>
      </c>
      <c r="M858" s="113"/>
      <c r="N858" s="108" t="s">
        <v>11574</v>
      </c>
      <c r="O858" s="110">
        <v>3</v>
      </c>
      <c r="P858" s="113"/>
      <c r="Q858" s="108" t="s">
        <v>11577</v>
      </c>
      <c r="R858" s="112">
        <v>4</v>
      </c>
      <c r="S858" s="111" t="s">
        <v>46</v>
      </c>
      <c r="T858" s="108" t="s">
        <v>2142</v>
      </c>
      <c r="U858" s="116">
        <v>1</v>
      </c>
      <c r="V858" s="113"/>
      <c r="W858" s="108" t="s">
        <v>47</v>
      </c>
      <c r="X858" s="114"/>
      <c r="Y858" s="113"/>
      <c r="Z858" s="108" t="s">
        <v>47</v>
      </c>
      <c r="AA858" s="114"/>
      <c r="AB858" s="113"/>
      <c r="AC858" s="105" t="s">
        <v>2143</v>
      </c>
      <c r="AD858" s="115" t="s">
        <v>107</v>
      </c>
    </row>
    <row r="859" spans="1:30" x14ac:dyDescent="0.2">
      <c r="A859" s="104" t="s">
        <v>2144</v>
      </c>
      <c r="B859" s="105" t="s">
        <v>805</v>
      </c>
      <c r="C859" s="105" t="s">
        <v>279</v>
      </c>
      <c r="D859" s="106"/>
      <c r="E859" s="107" t="s">
        <v>146</v>
      </c>
      <c r="F859" s="108" t="s">
        <v>11578</v>
      </c>
      <c r="G859" s="120">
        <v>2</v>
      </c>
      <c r="H859" s="108" t="s">
        <v>11579</v>
      </c>
      <c r="I859" s="112">
        <v>4</v>
      </c>
      <c r="J859" s="111" t="s">
        <v>44</v>
      </c>
      <c r="K859" s="108" t="s">
        <v>11580</v>
      </c>
      <c r="L859" s="117">
        <v>2</v>
      </c>
      <c r="M859" s="113"/>
      <c r="N859" s="108" t="s">
        <v>11578</v>
      </c>
      <c r="O859" s="117">
        <v>2</v>
      </c>
      <c r="P859" s="113"/>
      <c r="Q859" s="108" t="s">
        <v>11581</v>
      </c>
      <c r="R859" s="110">
        <v>3</v>
      </c>
      <c r="S859" s="111" t="s">
        <v>46</v>
      </c>
      <c r="T859" s="108" t="s">
        <v>47</v>
      </c>
      <c r="U859" s="114"/>
      <c r="V859" s="113"/>
      <c r="W859" s="108" t="s">
        <v>47</v>
      </c>
      <c r="X859" s="114"/>
      <c r="Y859" s="113"/>
      <c r="Z859" s="108" t="s">
        <v>47</v>
      </c>
      <c r="AA859" s="114"/>
      <c r="AB859" s="113"/>
      <c r="AC859" s="105" t="s">
        <v>2145</v>
      </c>
      <c r="AD859" s="115" t="s">
        <v>107</v>
      </c>
    </row>
    <row r="860" spans="1:30" x14ac:dyDescent="0.2">
      <c r="A860" s="104" t="s">
        <v>2146</v>
      </c>
      <c r="B860" s="105" t="s">
        <v>805</v>
      </c>
      <c r="C860" s="105" t="s">
        <v>279</v>
      </c>
      <c r="D860" s="106"/>
      <c r="E860" s="107" t="s">
        <v>146</v>
      </c>
      <c r="F860" s="108" t="s">
        <v>47</v>
      </c>
      <c r="G860" s="113"/>
      <c r="H860" s="108" t="s">
        <v>47</v>
      </c>
      <c r="I860" s="114"/>
      <c r="J860" s="113"/>
      <c r="K860" s="108" t="s">
        <v>47</v>
      </c>
      <c r="L860" s="114"/>
      <c r="M860" s="113"/>
      <c r="N860" s="108" t="s">
        <v>47</v>
      </c>
      <c r="O860" s="114"/>
      <c r="P860" s="113"/>
      <c r="Q860" s="108" t="s">
        <v>47</v>
      </c>
      <c r="R860" s="114"/>
      <c r="S860" s="113"/>
      <c r="T860" s="108" t="s">
        <v>47</v>
      </c>
      <c r="U860" s="114"/>
      <c r="V860" s="113"/>
      <c r="W860" s="108" t="s">
        <v>47</v>
      </c>
      <c r="X860" s="114"/>
      <c r="Y860" s="113"/>
      <c r="Z860" s="108" t="s">
        <v>47</v>
      </c>
      <c r="AA860" s="114"/>
      <c r="AB860" s="113"/>
      <c r="AC860" s="105" t="s">
        <v>2147</v>
      </c>
      <c r="AD860" s="115" t="s">
        <v>107</v>
      </c>
    </row>
    <row r="861" spans="1:30" x14ac:dyDescent="0.2">
      <c r="A861" s="104" t="s">
        <v>2148</v>
      </c>
      <c r="B861" s="105" t="s">
        <v>805</v>
      </c>
      <c r="C861" s="105" t="s">
        <v>279</v>
      </c>
      <c r="D861" s="106" t="s">
        <v>94</v>
      </c>
      <c r="E861" s="107" t="s">
        <v>146</v>
      </c>
      <c r="F861" s="108" t="s">
        <v>11582</v>
      </c>
      <c r="G861" s="120">
        <v>2</v>
      </c>
      <c r="H861" s="108" t="s">
        <v>11583</v>
      </c>
      <c r="I861" s="112">
        <v>4</v>
      </c>
      <c r="J861" s="111" t="s">
        <v>44</v>
      </c>
      <c r="K861" s="108" t="s">
        <v>11584</v>
      </c>
      <c r="L861" s="117">
        <v>2</v>
      </c>
      <c r="M861" s="113"/>
      <c r="N861" s="108" t="s">
        <v>11582</v>
      </c>
      <c r="O861" s="117">
        <v>2</v>
      </c>
      <c r="P861" s="113"/>
      <c r="Q861" s="108" t="s">
        <v>11585</v>
      </c>
      <c r="R861" s="110">
        <v>3</v>
      </c>
      <c r="S861" s="111" t="s">
        <v>46</v>
      </c>
      <c r="T861" s="108" t="s">
        <v>11586</v>
      </c>
      <c r="U861" s="116">
        <v>1</v>
      </c>
      <c r="V861" s="113"/>
      <c r="W861" s="108" t="s">
        <v>11587</v>
      </c>
      <c r="X861" s="116">
        <v>1</v>
      </c>
      <c r="Y861" s="113"/>
      <c r="Z861" s="108" t="s">
        <v>11588</v>
      </c>
      <c r="AA861" s="116">
        <v>1</v>
      </c>
      <c r="AB861" s="113"/>
      <c r="AC861" s="105" t="s">
        <v>2149</v>
      </c>
      <c r="AD861" s="115" t="s">
        <v>107</v>
      </c>
    </row>
    <row r="862" spans="1:30" x14ac:dyDescent="0.2">
      <c r="A862" s="104" t="s">
        <v>2150</v>
      </c>
      <c r="B862" s="105" t="s">
        <v>805</v>
      </c>
      <c r="C862" s="105" t="s">
        <v>279</v>
      </c>
      <c r="D862" s="106"/>
      <c r="E862" s="107" t="s">
        <v>146</v>
      </c>
      <c r="F862" s="108" t="s">
        <v>11589</v>
      </c>
      <c r="G862" s="120">
        <v>2</v>
      </c>
      <c r="H862" s="108" t="s">
        <v>11590</v>
      </c>
      <c r="I862" s="112">
        <v>4</v>
      </c>
      <c r="J862" s="111" t="s">
        <v>44</v>
      </c>
      <c r="K862" s="108" t="s">
        <v>11591</v>
      </c>
      <c r="L862" s="117">
        <v>2</v>
      </c>
      <c r="M862" s="113"/>
      <c r="N862" s="108" t="s">
        <v>11589</v>
      </c>
      <c r="O862" s="117">
        <v>2</v>
      </c>
      <c r="P862" s="113"/>
      <c r="Q862" s="108" t="s">
        <v>47</v>
      </c>
      <c r="R862" s="114"/>
      <c r="S862" s="113"/>
      <c r="T862" s="108" t="s">
        <v>47</v>
      </c>
      <c r="U862" s="114"/>
      <c r="V862" s="113"/>
      <c r="W862" s="108" t="s">
        <v>47</v>
      </c>
      <c r="X862" s="114"/>
      <c r="Y862" s="113"/>
      <c r="Z862" s="108" t="s">
        <v>47</v>
      </c>
      <c r="AA862" s="114"/>
      <c r="AB862" s="113"/>
      <c r="AC862" s="105" t="s">
        <v>2151</v>
      </c>
      <c r="AD862" s="115" t="s">
        <v>107</v>
      </c>
    </row>
    <row r="863" spans="1:30" x14ac:dyDescent="0.2">
      <c r="A863" s="104" t="s">
        <v>2152</v>
      </c>
      <c r="B863" s="105" t="s">
        <v>805</v>
      </c>
      <c r="C863" s="105" t="s">
        <v>279</v>
      </c>
      <c r="D863" s="106" t="s">
        <v>94</v>
      </c>
      <c r="E863" s="107" t="s">
        <v>146</v>
      </c>
      <c r="F863" s="108" t="s">
        <v>11592</v>
      </c>
      <c r="G863" s="120">
        <v>2</v>
      </c>
      <c r="H863" s="108" t="s">
        <v>11593</v>
      </c>
      <c r="I863" s="112">
        <v>4</v>
      </c>
      <c r="J863" s="111" t="s">
        <v>44</v>
      </c>
      <c r="K863" s="108" t="s">
        <v>11594</v>
      </c>
      <c r="L863" s="117">
        <v>2</v>
      </c>
      <c r="M863" s="113"/>
      <c r="N863" s="108" t="s">
        <v>11592</v>
      </c>
      <c r="O863" s="117">
        <v>2</v>
      </c>
      <c r="P863" s="113"/>
      <c r="Q863" s="108" t="s">
        <v>11595</v>
      </c>
      <c r="R863" s="110">
        <v>3</v>
      </c>
      <c r="S863" s="111" t="s">
        <v>46</v>
      </c>
      <c r="T863" s="108" t="s">
        <v>11596</v>
      </c>
      <c r="U863" s="116">
        <v>1</v>
      </c>
      <c r="V863" s="113"/>
      <c r="W863" s="108" t="s">
        <v>11597</v>
      </c>
      <c r="X863" s="117">
        <v>2</v>
      </c>
      <c r="Y863" s="113"/>
      <c r="Z863" s="108" t="s">
        <v>47</v>
      </c>
      <c r="AA863" s="114"/>
      <c r="AB863" s="113"/>
      <c r="AC863" s="105" t="s">
        <v>2153</v>
      </c>
      <c r="AD863" s="115" t="s">
        <v>107</v>
      </c>
    </row>
    <row r="864" spans="1:30" x14ac:dyDescent="0.2">
      <c r="A864" s="104" t="s">
        <v>2154</v>
      </c>
      <c r="B864" s="105" t="s">
        <v>805</v>
      </c>
      <c r="C864" s="105" t="s">
        <v>279</v>
      </c>
      <c r="D864" s="106"/>
      <c r="E864" s="107" t="s">
        <v>146</v>
      </c>
      <c r="F864" s="108" t="s">
        <v>47</v>
      </c>
      <c r="G864" s="113"/>
      <c r="H864" s="108" t="s">
        <v>11598</v>
      </c>
      <c r="I864" s="112">
        <v>4</v>
      </c>
      <c r="J864" s="111" t="s">
        <v>44</v>
      </c>
      <c r="K864" s="108" t="s">
        <v>11599</v>
      </c>
      <c r="L864" s="117">
        <v>2</v>
      </c>
      <c r="M864" s="113"/>
      <c r="N864" s="108" t="s">
        <v>47</v>
      </c>
      <c r="O864" s="114"/>
      <c r="P864" s="113"/>
      <c r="Q864" s="108" t="s">
        <v>47</v>
      </c>
      <c r="R864" s="114"/>
      <c r="S864" s="113"/>
      <c r="T864" s="108" t="s">
        <v>47</v>
      </c>
      <c r="U864" s="114"/>
      <c r="V864" s="113"/>
      <c r="W864" s="108" t="s">
        <v>47</v>
      </c>
      <c r="X864" s="114"/>
      <c r="Y864" s="113"/>
      <c r="Z864" s="108" t="s">
        <v>47</v>
      </c>
      <c r="AA864" s="114"/>
      <c r="AB864" s="113"/>
      <c r="AC864" s="105" t="s">
        <v>2155</v>
      </c>
      <c r="AD864" s="115" t="s">
        <v>107</v>
      </c>
    </row>
    <row r="865" spans="1:30" x14ac:dyDescent="0.2">
      <c r="A865" s="104" t="s">
        <v>2156</v>
      </c>
      <c r="B865" s="105" t="s">
        <v>805</v>
      </c>
      <c r="C865" s="105" t="s">
        <v>279</v>
      </c>
      <c r="D865" s="106" t="s">
        <v>514</v>
      </c>
      <c r="E865" s="107" t="s">
        <v>146</v>
      </c>
      <c r="F865" s="108" t="s">
        <v>11600</v>
      </c>
      <c r="G865" s="118">
        <v>3</v>
      </c>
      <c r="H865" s="108" t="s">
        <v>11601</v>
      </c>
      <c r="I865" s="112">
        <v>4</v>
      </c>
      <c r="J865" s="111" t="s">
        <v>44</v>
      </c>
      <c r="K865" s="108" t="s">
        <v>11602</v>
      </c>
      <c r="L865" s="117">
        <v>2</v>
      </c>
      <c r="M865" s="111" t="s">
        <v>40</v>
      </c>
      <c r="N865" s="108" t="s">
        <v>11600</v>
      </c>
      <c r="O865" s="110">
        <v>3</v>
      </c>
      <c r="P865" s="113"/>
      <c r="Q865" s="108" t="s">
        <v>11603</v>
      </c>
      <c r="R865" s="112">
        <v>4</v>
      </c>
      <c r="S865" s="111" t="s">
        <v>46</v>
      </c>
      <c r="T865" s="108" t="s">
        <v>11604</v>
      </c>
      <c r="U865" s="116">
        <v>1</v>
      </c>
      <c r="V865" s="113"/>
      <c r="W865" s="108" t="s">
        <v>47</v>
      </c>
      <c r="X865" s="114"/>
      <c r="Y865" s="113"/>
      <c r="Z865" s="108" t="s">
        <v>47</v>
      </c>
      <c r="AA865" s="114"/>
      <c r="AB865" s="113"/>
      <c r="AC865" s="105" t="s">
        <v>2157</v>
      </c>
      <c r="AD865" s="115" t="s">
        <v>107</v>
      </c>
    </row>
    <row r="866" spans="1:30" x14ac:dyDescent="0.2">
      <c r="A866" s="104" t="s">
        <v>11605</v>
      </c>
      <c r="B866" s="105" t="s">
        <v>805</v>
      </c>
      <c r="C866" s="105" t="s">
        <v>279</v>
      </c>
      <c r="D866" s="106"/>
      <c r="E866" s="107" t="s">
        <v>146</v>
      </c>
      <c r="F866" s="108" t="s">
        <v>47</v>
      </c>
      <c r="G866" s="113"/>
      <c r="H866" s="108" t="s">
        <v>11606</v>
      </c>
      <c r="I866" s="112">
        <v>4</v>
      </c>
      <c r="J866" s="113"/>
      <c r="K866" s="108" t="s">
        <v>47</v>
      </c>
      <c r="L866" s="114"/>
      <c r="M866" s="113"/>
      <c r="N866" s="108" t="s">
        <v>47</v>
      </c>
      <c r="O866" s="114"/>
      <c r="P866" s="113"/>
      <c r="Q866" s="108" t="s">
        <v>47</v>
      </c>
      <c r="R866" s="114"/>
      <c r="S866" s="113"/>
      <c r="T866" s="108" t="s">
        <v>47</v>
      </c>
      <c r="U866" s="114"/>
      <c r="V866" s="113"/>
      <c r="W866" s="108" t="s">
        <v>47</v>
      </c>
      <c r="X866" s="114"/>
      <c r="Y866" s="113"/>
      <c r="Z866" s="108" t="s">
        <v>47</v>
      </c>
      <c r="AA866" s="114"/>
      <c r="AB866" s="113"/>
      <c r="AC866" s="105" t="s">
        <v>11607</v>
      </c>
      <c r="AD866" s="115" t="s">
        <v>107</v>
      </c>
    </row>
    <row r="867" spans="1:30" x14ac:dyDescent="0.2">
      <c r="A867" s="104" t="s">
        <v>2158</v>
      </c>
      <c r="B867" s="105" t="s">
        <v>805</v>
      </c>
      <c r="C867" s="105" t="s">
        <v>279</v>
      </c>
      <c r="D867" s="106"/>
      <c r="E867" s="107" t="s">
        <v>146</v>
      </c>
      <c r="F867" s="108" t="s">
        <v>11608</v>
      </c>
      <c r="G867" s="120">
        <v>2</v>
      </c>
      <c r="H867" s="108" t="s">
        <v>11609</v>
      </c>
      <c r="I867" s="112">
        <v>4</v>
      </c>
      <c r="J867" s="111" t="s">
        <v>44</v>
      </c>
      <c r="K867" s="108" t="s">
        <v>11610</v>
      </c>
      <c r="L867" s="117">
        <v>2</v>
      </c>
      <c r="M867" s="113"/>
      <c r="N867" s="108" t="s">
        <v>11608</v>
      </c>
      <c r="O867" s="117">
        <v>2</v>
      </c>
      <c r="P867" s="113"/>
      <c r="Q867" s="108" t="s">
        <v>11611</v>
      </c>
      <c r="R867" s="110">
        <v>3</v>
      </c>
      <c r="S867" s="111" t="s">
        <v>46</v>
      </c>
      <c r="T867" s="108" t="s">
        <v>47</v>
      </c>
      <c r="U867" s="114"/>
      <c r="V867" s="113"/>
      <c r="W867" s="108" t="s">
        <v>47</v>
      </c>
      <c r="X867" s="114"/>
      <c r="Y867" s="113"/>
      <c r="Z867" s="108" t="s">
        <v>47</v>
      </c>
      <c r="AA867" s="114"/>
      <c r="AB867" s="113"/>
      <c r="AC867" s="105" t="s">
        <v>2159</v>
      </c>
      <c r="AD867" s="115" t="s">
        <v>107</v>
      </c>
    </row>
    <row r="868" spans="1:30" x14ac:dyDescent="0.2">
      <c r="A868" s="104" t="s">
        <v>2160</v>
      </c>
      <c r="B868" s="105" t="s">
        <v>805</v>
      </c>
      <c r="C868" s="105" t="s">
        <v>2161</v>
      </c>
      <c r="D868" s="106" t="s">
        <v>105</v>
      </c>
      <c r="E868" s="107" t="s">
        <v>146</v>
      </c>
      <c r="F868" s="108" t="s">
        <v>11612</v>
      </c>
      <c r="G868" s="118">
        <v>3</v>
      </c>
      <c r="H868" s="108" t="s">
        <v>11613</v>
      </c>
      <c r="I868" s="112">
        <v>4</v>
      </c>
      <c r="J868" s="111" t="s">
        <v>55</v>
      </c>
      <c r="K868" s="108" t="s">
        <v>11614</v>
      </c>
      <c r="L868" s="110">
        <v>3</v>
      </c>
      <c r="M868" s="111" t="s">
        <v>46</v>
      </c>
      <c r="N868" s="108" t="s">
        <v>11612</v>
      </c>
      <c r="O868" s="110">
        <v>3</v>
      </c>
      <c r="P868" s="113"/>
      <c r="Q868" s="108" t="s">
        <v>11615</v>
      </c>
      <c r="R868" s="117">
        <v>2</v>
      </c>
      <c r="S868" s="111" t="s">
        <v>40</v>
      </c>
      <c r="T868" s="108" t="s">
        <v>11616</v>
      </c>
      <c r="U868" s="112">
        <v>4</v>
      </c>
      <c r="V868" s="113"/>
      <c r="W868" s="108" t="s">
        <v>2162</v>
      </c>
      <c r="X868" s="112">
        <v>4</v>
      </c>
      <c r="Y868" s="113"/>
      <c r="Z868" s="108" t="s">
        <v>2163</v>
      </c>
      <c r="AA868" s="110">
        <v>3</v>
      </c>
      <c r="AB868" s="111" t="s">
        <v>40</v>
      </c>
      <c r="AC868" s="105" t="s">
        <v>2164</v>
      </c>
      <c r="AD868" s="115" t="s">
        <v>107</v>
      </c>
    </row>
    <row r="869" spans="1:30" x14ac:dyDescent="0.2">
      <c r="A869" s="104" t="s">
        <v>2165</v>
      </c>
      <c r="B869" s="105" t="s">
        <v>805</v>
      </c>
      <c r="C869" s="105" t="s">
        <v>2161</v>
      </c>
      <c r="D869" s="106" t="s">
        <v>105</v>
      </c>
      <c r="E869" s="107" t="s">
        <v>146</v>
      </c>
      <c r="F869" s="108" t="s">
        <v>11617</v>
      </c>
      <c r="G869" s="118">
        <v>3</v>
      </c>
      <c r="H869" s="108" t="s">
        <v>11618</v>
      </c>
      <c r="I869" s="112">
        <v>4</v>
      </c>
      <c r="J869" s="111" t="s">
        <v>55</v>
      </c>
      <c r="K869" s="108" t="s">
        <v>11619</v>
      </c>
      <c r="L869" s="110">
        <v>3</v>
      </c>
      <c r="M869" s="111" t="s">
        <v>46</v>
      </c>
      <c r="N869" s="108" t="s">
        <v>11617</v>
      </c>
      <c r="O869" s="110">
        <v>3</v>
      </c>
      <c r="P869" s="113"/>
      <c r="Q869" s="108" t="s">
        <v>2166</v>
      </c>
      <c r="R869" s="110">
        <v>3</v>
      </c>
      <c r="S869" s="113"/>
      <c r="T869" s="108" t="s">
        <v>11620</v>
      </c>
      <c r="U869" s="112">
        <v>4</v>
      </c>
      <c r="V869" s="113"/>
      <c r="W869" s="108" t="s">
        <v>2167</v>
      </c>
      <c r="X869" s="112">
        <v>4</v>
      </c>
      <c r="Y869" s="113"/>
      <c r="Z869" s="108" t="s">
        <v>11621</v>
      </c>
      <c r="AA869" s="110">
        <v>3</v>
      </c>
      <c r="AB869" s="111" t="s">
        <v>40</v>
      </c>
      <c r="AC869" s="105" t="s">
        <v>2168</v>
      </c>
      <c r="AD869" s="115" t="s">
        <v>107</v>
      </c>
    </row>
    <row r="870" spans="1:30" x14ac:dyDescent="0.2">
      <c r="A870" s="104" t="s">
        <v>2169</v>
      </c>
      <c r="B870" s="105" t="s">
        <v>805</v>
      </c>
      <c r="C870" s="105" t="s">
        <v>2161</v>
      </c>
      <c r="D870" s="106" t="s">
        <v>105</v>
      </c>
      <c r="E870" s="107" t="s">
        <v>146</v>
      </c>
      <c r="F870" s="108" t="s">
        <v>11622</v>
      </c>
      <c r="G870" s="118">
        <v>3</v>
      </c>
      <c r="H870" s="108" t="s">
        <v>11623</v>
      </c>
      <c r="I870" s="112">
        <v>4</v>
      </c>
      <c r="J870" s="111" t="s">
        <v>55</v>
      </c>
      <c r="K870" s="108" t="s">
        <v>11624</v>
      </c>
      <c r="L870" s="110">
        <v>3</v>
      </c>
      <c r="M870" s="111" t="s">
        <v>46</v>
      </c>
      <c r="N870" s="108" t="s">
        <v>11622</v>
      </c>
      <c r="O870" s="110">
        <v>3</v>
      </c>
      <c r="P870" s="113"/>
      <c r="Q870" s="108" t="s">
        <v>11625</v>
      </c>
      <c r="R870" s="110">
        <v>3</v>
      </c>
      <c r="S870" s="111" t="s">
        <v>40</v>
      </c>
      <c r="T870" s="108" t="s">
        <v>11626</v>
      </c>
      <c r="U870" s="112">
        <v>4</v>
      </c>
      <c r="V870" s="113"/>
      <c r="W870" s="108" t="s">
        <v>47</v>
      </c>
      <c r="X870" s="114"/>
      <c r="Y870" s="113"/>
      <c r="Z870" s="108" t="s">
        <v>47</v>
      </c>
      <c r="AA870" s="114"/>
      <c r="AB870" s="113"/>
      <c r="AC870" s="105" t="s">
        <v>2170</v>
      </c>
      <c r="AD870" s="115" t="s">
        <v>107</v>
      </c>
    </row>
    <row r="871" spans="1:30" x14ac:dyDescent="0.2">
      <c r="A871" s="104" t="s">
        <v>2171</v>
      </c>
      <c r="B871" s="105" t="s">
        <v>805</v>
      </c>
      <c r="C871" s="105" t="s">
        <v>2161</v>
      </c>
      <c r="D871" s="106" t="s">
        <v>125</v>
      </c>
      <c r="E871" s="107" t="s">
        <v>146</v>
      </c>
      <c r="F871" s="108" t="s">
        <v>11627</v>
      </c>
      <c r="G871" s="118">
        <v>3</v>
      </c>
      <c r="H871" s="108" t="s">
        <v>2172</v>
      </c>
      <c r="I871" s="112">
        <v>4</v>
      </c>
      <c r="J871" s="111" t="s">
        <v>55</v>
      </c>
      <c r="K871" s="108" t="s">
        <v>11628</v>
      </c>
      <c r="L871" s="110">
        <v>3</v>
      </c>
      <c r="M871" s="111" t="s">
        <v>46</v>
      </c>
      <c r="N871" s="108" t="s">
        <v>11627</v>
      </c>
      <c r="O871" s="110">
        <v>3</v>
      </c>
      <c r="P871" s="111" t="s">
        <v>46</v>
      </c>
      <c r="Q871" s="108" t="s">
        <v>11629</v>
      </c>
      <c r="R871" s="117">
        <v>2</v>
      </c>
      <c r="S871" s="113"/>
      <c r="T871" s="108" t="s">
        <v>11630</v>
      </c>
      <c r="U871" s="110">
        <v>3</v>
      </c>
      <c r="V871" s="113"/>
      <c r="W871" s="108" t="s">
        <v>11631</v>
      </c>
      <c r="X871" s="110">
        <v>3</v>
      </c>
      <c r="Y871" s="113"/>
      <c r="Z871" s="108" t="s">
        <v>11632</v>
      </c>
      <c r="AA871" s="110">
        <v>3</v>
      </c>
      <c r="AB871" s="113"/>
      <c r="AC871" s="105" t="s">
        <v>2173</v>
      </c>
      <c r="AD871" s="115" t="s">
        <v>107</v>
      </c>
    </row>
    <row r="872" spans="1:30" x14ac:dyDescent="0.2">
      <c r="A872" s="104" t="s">
        <v>2174</v>
      </c>
      <c r="B872" s="105" t="s">
        <v>805</v>
      </c>
      <c r="C872" s="105" t="s">
        <v>2161</v>
      </c>
      <c r="D872" s="106"/>
      <c r="E872" s="107" t="s">
        <v>146</v>
      </c>
      <c r="F872" s="108" t="s">
        <v>11633</v>
      </c>
      <c r="G872" s="119">
        <v>1</v>
      </c>
      <c r="H872" s="108" t="s">
        <v>11634</v>
      </c>
      <c r="I872" s="116">
        <v>1</v>
      </c>
      <c r="J872" s="113"/>
      <c r="K872" s="108" t="s">
        <v>11635</v>
      </c>
      <c r="L872" s="116">
        <v>1</v>
      </c>
      <c r="M872" s="113"/>
      <c r="N872" s="108" t="s">
        <v>11633</v>
      </c>
      <c r="O872" s="116">
        <v>1</v>
      </c>
      <c r="P872" s="113"/>
      <c r="Q872" s="108" t="s">
        <v>47</v>
      </c>
      <c r="R872" s="114"/>
      <c r="S872" s="113"/>
      <c r="T872" s="108" t="s">
        <v>47</v>
      </c>
      <c r="U872" s="114"/>
      <c r="V872" s="113"/>
      <c r="W872" s="108" t="s">
        <v>47</v>
      </c>
      <c r="X872" s="114"/>
      <c r="Y872" s="113"/>
      <c r="Z872" s="108" t="s">
        <v>47</v>
      </c>
      <c r="AA872" s="114"/>
      <c r="AB872" s="113"/>
      <c r="AC872" s="105" t="s">
        <v>2175</v>
      </c>
      <c r="AD872" s="115" t="s">
        <v>107</v>
      </c>
    </row>
    <row r="873" spans="1:30" x14ac:dyDescent="0.2">
      <c r="A873" s="104" t="s">
        <v>2176</v>
      </c>
      <c r="B873" s="105" t="s">
        <v>805</v>
      </c>
      <c r="C873" s="105" t="s">
        <v>2161</v>
      </c>
      <c r="D873" s="106" t="s">
        <v>125</v>
      </c>
      <c r="E873" s="107" t="s">
        <v>146</v>
      </c>
      <c r="F873" s="108" t="s">
        <v>11636</v>
      </c>
      <c r="G873" s="120">
        <v>2</v>
      </c>
      <c r="H873" s="108" t="s">
        <v>11637</v>
      </c>
      <c r="I873" s="112">
        <v>4</v>
      </c>
      <c r="J873" s="111" t="s">
        <v>55</v>
      </c>
      <c r="K873" s="108" t="s">
        <v>11638</v>
      </c>
      <c r="L873" s="110">
        <v>3</v>
      </c>
      <c r="M873" s="111" t="s">
        <v>46</v>
      </c>
      <c r="N873" s="108" t="s">
        <v>11636</v>
      </c>
      <c r="O873" s="117">
        <v>2</v>
      </c>
      <c r="P873" s="113"/>
      <c r="Q873" s="108" t="s">
        <v>11639</v>
      </c>
      <c r="R873" s="117">
        <v>2</v>
      </c>
      <c r="S873" s="113"/>
      <c r="T873" s="108" t="s">
        <v>11640</v>
      </c>
      <c r="U873" s="110">
        <v>3</v>
      </c>
      <c r="V873" s="113"/>
      <c r="W873" s="108" t="s">
        <v>47</v>
      </c>
      <c r="X873" s="114"/>
      <c r="Y873" s="113"/>
      <c r="Z873" s="108" t="s">
        <v>47</v>
      </c>
      <c r="AA873" s="114"/>
      <c r="AB873" s="113"/>
      <c r="AC873" s="105" t="s">
        <v>2177</v>
      </c>
      <c r="AD873" s="115" t="s">
        <v>107</v>
      </c>
    </row>
    <row r="874" spans="1:30" x14ac:dyDescent="0.2">
      <c r="A874" s="104" t="s">
        <v>2178</v>
      </c>
      <c r="B874" s="105" t="s">
        <v>805</v>
      </c>
      <c r="C874" s="105" t="s">
        <v>2161</v>
      </c>
      <c r="D874" s="106" t="s">
        <v>125</v>
      </c>
      <c r="E874" s="107" t="s">
        <v>146</v>
      </c>
      <c r="F874" s="108" t="s">
        <v>11641</v>
      </c>
      <c r="G874" s="118">
        <v>3</v>
      </c>
      <c r="H874" s="108" t="s">
        <v>11642</v>
      </c>
      <c r="I874" s="112">
        <v>4</v>
      </c>
      <c r="J874" s="111" t="s">
        <v>55</v>
      </c>
      <c r="K874" s="108" t="s">
        <v>11643</v>
      </c>
      <c r="L874" s="110">
        <v>3</v>
      </c>
      <c r="M874" s="111" t="s">
        <v>46</v>
      </c>
      <c r="N874" s="108" t="s">
        <v>11641</v>
      </c>
      <c r="O874" s="110">
        <v>3</v>
      </c>
      <c r="P874" s="111" t="s">
        <v>46</v>
      </c>
      <c r="Q874" s="108" t="s">
        <v>11644</v>
      </c>
      <c r="R874" s="117">
        <v>2</v>
      </c>
      <c r="S874" s="111" t="s">
        <v>40</v>
      </c>
      <c r="T874" s="108" t="s">
        <v>11645</v>
      </c>
      <c r="U874" s="110">
        <v>3</v>
      </c>
      <c r="V874" s="113"/>
      <c r="W874" s="108" t="s">
        <v>47</v>
      </c>
      <c r="X874" s="114"/>
      <c r="Y874" s="113"/>
      <c r="Z874" s="108" t="s">
        <v>47</v>
      </c>
      <c r="AA874" s="114"/>
      <c r="AB874" s="113"/>
      <c r="AC874" s="105" t="s">
        <v>2179</v>
      </c>
      <c r="AD874" s="115" t="s">
        <v>107</v>
      </c>
    </row>
    <row r="875" spans="1:30" x14ac:dyDescent="0.2">
      <c r="A875" s="104" t="s">
        <v>2180</v>
      </c>
      <c r="B875" s="105" t="s">
        <v>805</v>
      </c>
      <c r="C875" s="105" t="s">
        <v>2161</v>
      </c>
      <c r="D875" s="106" t="s">
        <v>125</v>
      </c>
      <c r="E875" s="107" t="s">
        <v>146</v>
      </c>
      <c r="F875" s="108" t="s">
        <v>11646</v>
      </c>
      <c r="G875" s="118">
        <v>3</v>
      </c>
      <c r="H875" s="108" t="s">
        <v>2181</v>
      </c>
      <c r="I875" s="112">
        <v>4</v>
      </c>
      <c r="J875" s="111" t="s">
        <v>55</v>
      </c>
      <c r="K875" s="108" t="s">
        <v>11647</v>
      </c>
      <c r="L875" s="110">
        <v>3</v>
      </c>
      <c r="M875" s="111" t="s">
        <v>46</v>
      </c>
      <c r="N875" s="108" t="s">
        <v>11646</v>
      </c>
      <c r="O875" s="110">
        <v>3</v>
      </c>
      <c r="P875" s="111" t="s">
        <v>46</v>
      </c>
      <c r="Q875" s="108" t="s">
        <v>11648</v>
      </c>
      <c r="R875" s="117">
        <v>2</v>
      </c>
      <c r="S875" s="111" t="s">
        <v>40</v>
      </c>
      <c r="T875" s="108" t="s">
        <v>11649</v>
      </c>
      <c r="U875" s="110">
        <v>3</v>
      </c>
      <c r="V875" s="113"/>
      <c r="W875" s="108" t="s">
        <v>47</v>
      </c>
      <c r="X875" s="114"/>
      <c r="Y875" s="113"/>
      <c r="Z875" s="108" t="s">
        <v>47</v>
      </c>
      <c r="AA875" s="114"/>
      <c r="AB875" s="113"/>
      <c r="AC875" s="105" t="s">
        <v>2182</v>
      </c>
      <c r="AD875" s="115" t="s">
        <v>107</v>
      </c>
    </row>
    <row r="876" spans="1:30" x14ac:dyDescent="0.2">
      <c r="A876" s="104" t="s">
        <v>2183</v>
      </c>
      <c r="B876" s="105" t="s">
        <v>805</v>
      </c>
      <c r="C876" s="105" t="s">
        <v>2161</v>
      </c>
      <c r="D876" s="106" t="s">
        <v>105</v>
      </c>
      <c r="E876" s="107" t="s">
        <v>146</v>
      </c>
      <c r="F876" s="108" t="s">
        <v>11650</v>
      </c>
      <c r="G876" s="118">
        <v>3</v>
      </c>
      <c r="H876" s="108" t="s">
        <v>11651</v>
      </c>
      <c r="I876" s="112">
        <v>4</v>
      </c>
      <c r="J876" s="111" t="s">
        <v>55</v>
      </c>
      <c r="K876" s="108" t="s">
        <v>11652</v>
      </c>
      <c r="L876" s="110">
        <v>3</v>
      </c>
      <c r="M876" s="111" t="s">
        <v>46</v>
      </c>
      <c r="N876" s="108" t="s">
        <v>11650</v>
      </c>
      <c r="O876" s="110">
        <v>3</v>
      </c>
      <c r="P876" s="113"/>
      <c r="Q876" s="108" t="s">
        <v>2184</v>
      </c>
      <c r="R876" s="110">
        <v>3</v>
      </c>
      <c r="S876" s="113"/>
      <c r="T876" s="108" t="s">
        <v>11653</v>
      </c>
      <c r="U876" s="112">
        <v>4</v>
      </c>
      <c r="V876" s="113"/>
      <c r="W876" s="108" t="s">
        <v>47</v>
      </c>
      <c r="X876" s="114"/>
      <c r="Y876" s="113"/>
      <c r="Z876" s="108" t="s">
        <v>47</v>
      </c>
      <c r="AA876" s="114"/>
      <c r="AB876" s="113"/>
      <c r="AC876" s="105" t="s">
        <v>2185</v>
      </c>
      <c r="AD876" s="115" t="s">
        <v>107</v>
      </c>
    </row>
    <row r="877" spans="1:30" x14ac:dyDescent="0.2">
      <c r="A877" s="104" t="s">
        <v>2186</v>
      </c>
      <c r="B877" s="105" t="s">
        <v>805</v>
      </c>
      <c r="C877" s="105" t="s">
        <v>2187</v>
      </c>
      <c r="D877" s="106" t="s">
        <v>94</v>
      </c>
      <c r="E877" s="107" t="s">
        <v>182</v>
      </c>
      <c r="F877" s="108" t="s">
        <v>11654</v>
      </c>
      <c r="G877" s="118">
        <v>3</v>
      </c>
      <c r="H877" s="108" t="s">
        <v>11655</v>
      </c>
      <c r="I877" s="117">
        <v>2</v>
      </c>
      <c r="J877" s="111" t="s">
        <v>40</v>
      </c>
      <c r="K877" s="108" t="s">
        <v>11656</v>
      </c>
      <c r="L877" s="110">
        <v>3</v>
      </c>
      <c r="M877" s="113"/>
      <c r="N877" s="108" t="s">
        <v>11654</v>
      </c>
      <c r="O877" s="110">
        <v>3</v>
      </c>
      <c r="P877" s="113"/>
      <c r="Q877" s="108" t="s">
        <v>2188</v>
      </c>
      <c r="R877" s="110">
        <v>3</v>
      </c>
      <c r="S877" s="111" t="s">
        <v>40</v>
      </c>
      <c r="T877" s="108" t="s">
        <v>2189</v>
      </c>
      <c r="U877" s="116">
        <v>1</v>
      </c>
      <c r="V877" s="113"/>
      <c r="W877" s="108" t="s">
        <v>2190</v>
      </c>
      <c r="X877" s="116">
        <v>1</v>
      </c>
      <c r="Y877" s="113"/>
      <c r="Z877" s="108" t="s">
        <v>1511</v>
      </c>
      <c r="AA877" s="116">
        <v>1</v>
      </c>
      <c r="AB877" s="113"/>
      <c r="AC877" s="105" t="s">
        <v>2191</v>
      </c>
      <c r="AD877" s="115" t="s">
        <v>107</v>
      </c>
    </row>
    <row r="878" spans="1:30" x14ac:dyDescent="0.2">
      <c r="A878" s="104" t="s">
        <v>2192</v>
      </c>
      <c r="B878" s="105" t="s">
        <v>805</v>
      </c>
      <c r="C878" s="105" t="s">
        <v>2187</v>
      </c>
      <c r="D878" s="106" t="s">
        <v>94</v>
      </c>
      <c r="E878" s="107" t="s">
        <v>182</v>
      </c>
      <c r="F878" s="108" t="s">
        <v>11657</v>
      </c>
      <c r="G878" s="118">
        <v>3</v>
      </c>
      <c r="H878" s="108" t="s">
        <v>11658</v>
      </c>
      <c r="I878" s="117">
        <v>2</v>
      </c>
      <c r="J878" s="111" t="s">
        <v>40</v>
      </c>
      <c r="K878" s="108" t="s">
        <v>11657</v>
      </c>
      <c r="L878" s="110">
        <v>3</v>
      </c>
      <c r="M878" s="113"/>
      <c r="N878" s="108" t="s">
        <v>11657</v>
      </c>
      <c r="O878" s="110">
        <v>3</v>
      </c>
      <c r="P878" s="113"/>
      <c r="Q878" s="108" t="s">
        <v>2193</v>
      </c>
      <c r="R878" s="110">
        <v>3</v>
      </c>
      <c r="S878" s="113"/>
      <c r="T878" s="108" t="s">
        <v>11659</v>
      </c>
      <c r="U878" s="116">
        <v>1</v>
      </c>
      <c r="V878" s="113"/>
      <c r="W878" s="108" t="s">
        <v>11660</v>
      </c>
      <c r="X878" s="116">
        <v>1</v>
      </c>
      <c r="Y878" s="113"/>
      <c r="Z878" s="108" t="s">
        <v>47</v>
      </c>
      <c r="AA878" s="114"/>
      <c r="AB878" s="113"/>
      <c r="AC878" s="105" t="s">
        <v>2194</v>
      </c>
      <c r="AD878" s="115" t="s">
        <v>107</v>
      </c>
    </row>
    <row r="879" spans="1:30" x14ac:dyDescent="0.2">
      <c r="A879" s="104" t="s">
        <v>2195</v>
      </c>
      <c r="B879" s="105" t="s">
        <v>805</v>
      </c>
      <c r="C879" s="105" t="s">
        <v>1787</v>
      </c>
      <c r="D879" s="106"/>
      <c r="E879" s="107" t="s">
        <v>119</v>
      </c>
      <c r="F879" s="108" t="s">
        <v>11661</v>
      </c>
      <c r="G879" s="118">
        <v>3</v>
      </c>
      <c r="H879" s="108" t="s">
        <v>11662</v>
      </c>
      <c r="I879" s="117">
        <v>2</v>
      </c>
      <c r="J879" s="113"/>
      <c r="K879" s="108" t="s">
        <v>11663</v>
      </c>
      <c r="L879" s="117">
        <v>2</v>
      </c>
      <c r="M879" s="113"/>
      <c r="N879" s="108" t="s">
        <v>11661</v>
      </c>
      <c r="O879" s="110">
        <v>3</v>
      </c>
      <c r="P879" s="113"/>
      <c r="Q879" s="108" t="s">
        <v>11664</v>
      </c>
      <c r="R879" s="110">
        <v>3</v>
      </c>
      <c r="S879" s="113"/>
      <c r="T879" s="108" t="s">
        <v>11665</v>
      </c>
      <c r="U879" s="110">
        <v>3</v>
      </c>
      <c r="V879" s="113"/>
      <c r="W879" s="108" t="s">
        <v>11666</v>
      </c>
      <c r="X879" s="110">
        <v>3</v>
      </c>
      <c r="Y879" s="111" t="s">
        <v>46</v>
      </c>
      <c r="Z879" s="108" t="s">
        <v>47</v>
      </c>
      <c r="AA879" s="114"/>
      <c r="AB879" s="113"/>
      <c r="AC879" s="105" t="s">
        <v>2196</v>
      </c>
      <c r="AD879" s="115" t="s">
        <v>107</v>
      </c>
    </row>
    <row r="880" spans="1:30" x14ac:dyDescent="0.2">
      <c r="A880" s="104" t="s">
        <v>2197</v>
      </c>
      <c r="B880" s="105" t="s">
        <v>805</v>
      </c>
      <c r="C880" s="105" t="s">
        <v>2187</v>
      </c>
      <c r="D880" s="106" t="s">
        <v>94</v>
      </c>
      <c r="E880" s="107" t="s">
        <v>182</v>
      </c>
      <c r="F880" s="108" t="s">
        <v>2198</v>
      </c>
      <c r="G880" s="118">
        <v>3</v>
      </c>
      <c r="H880" s="108" t="s">
        <v>11667</v>
      </c>
      <c r="I880" s="117">
        <v>2</v>
      </c>
      <c r="J880" s="111" t="s">
        <v>40</v>
      </c>
      <c r="K880" s="108" t="s">
        <v>2198</v>
      </c>
      <c r="L880" s="110">
        <v>3</v>
      </c>
      <c r="M880" s="113"/>
      <c r="N880" s="108" t="s">
        <v>2198</v>
      </c>
      <c r="O880" s="110">
        <v>3</v>
      </c>
      <c r="P880" s="113"/>
      <c r="Q880" s="108" t="s">
        <v>2199</v>
      </c>
      <c r="R880" s="110">
        <v>3</v>
      </c>
      <c r="S880" s="113"/>
      <c r="T880" s="108" t="s">
        <v>2200</v>
      </c>
      <c r="U880" s="116">
        <v>1</v>
      </c>
      <c r="V880" s="113"/>
      <c r="W880" s="108" t="s">
        <v>9983</v>
      </c>
      <c r="X880" s="116">
        <v>1</v>
      </c>
      <c r="Y880" s="113"/>
      <c r="Z880" s="108" t="s">
        <v>2201</v>
      </c>
      <c r="AA880" s="116">
        <v>1</v>
      </c>
      <c r="AB880" s="113"/>
      <c r="AC880" s="105" t="s">
        <v>2202</v>
      </c>
      <c r="AD880" s="115" t="s">
        <v>107</v>
      </c>
    </row>
    <row r="881" spans="1:30" x14ac:dyDescent="0.2">
      <c r="A881" s="104" t="s">
        <v>2203</v>
      </c>
      <c r="B881" s="105" t="s">
        <v>805</v>
      </c>
      <c r="C881" s="105" t="s">
        <v>2187</v>
      </c>
      <c r="D881" s="106" t="s">
        <v>94</v>
      </c>
      <c r="E881" s="107" t="s">
        <v>182</v>
      </c>
      <c r="F881" s="108" t="s">
        <v>11668</v>
      </c>
      <c r="G881" s="118">
        <v>3</v>
      </c>
      <c r="H881" s="108" t="s">
        <v>11669</v>
      </c>
      <c r="I881" s="117">
        <v>2</v>
      </c>
      <c r="J881" s="111" t="s">
        <v>40</v>
      </c>
      <c r="K881" s="108" t="s">
        <v>2204</v>
      </c>
      <c r="L881" s="110">
        <v>3</v>
      </c>
      <c r="M881" s="113"/>
      <c r="N881" s="108" t="s">
        <v>11668</v>
      </c>
      <c r="O881" s="110">
        <v>3</v>
      </c>
      <c r="P881" s="113"/>
      <c r="Q881" s="108" t="s">
        <v>2205</v>
      </c>
      <c r="R881" s="110">
        <v>3</v>
      </c>
      <c r="S881" s="113"/>
      <c r="T881" s="108" t="s">
        <v>2206</v>
      </c>
      <c r="U881" s="116">
        <v>1</v>
      </c>
      <c r="V881" s="113"/>
      <c r="W881" s="108" t="s">
        <v>11670</v>
      </c>
      <c r="X881" s="116">
        <v>1</v>
      </c>
      <c r="Y881" s="113"/>
      <c r="Z881" s="108" t="s">
        <v>1158</v>
      </c>
      <c r="AA881" s="116">
        <v>1</v>
      </c>
      <c r="AB881" s="113"/>
      <c r="AC881" s="105" t="s">
        <v>2207</v>
      </c>
      <c r="AD881" s="115" t="s">
        <v>107</v>
      </c>
    </row>
    <row r="882" spans="1:30" x14ac:dyDescent="0.2">
      <c r="A882" s="104" t="s">
        <v>2208</v>
      </c>
      <c r="B882" s="105" t="s">
        <v>805</v>
      </c>
      <c r="C882" s="105" t="s">
        <v>1787</v>
      </c>
      <c r="D882" s="106"/>
      <c r="E882" s="107" t="s">
        <v>119</v>
      </c>
      <c r="F882" s="108" t="s">
        <v>11671</v>
      </c>
      <c r="G882" s="118">
        <v>3</v>
      </c>
      <c r="H882" s="108" t="s">
        <v>11672</v>
      </c>
      <c r="I882" s="117">
        <v>2</v>
      </c>
      <c r="J882" s="113"/>
      <c r="K882" s="108" t="s">
        <v>11673</v>
      </c>
      <c r="L882" s="117">
        <v>2</v>
      </c>
      <c r="M882" s="113"/>
      <c r="N882" s="108" t="s">
        <v>11671</v>
      </c>
      <c r="O882" s="110">
        <v>3</v>
      </c>
      <c r="P882" s="113"/>
      <c r="Q882" s="108" t="s">
        <v>11674</v>
      </c>
      <c r="R882" s="110">
        <v>3</v>
      </c>
      <c r="S882" s="113"/>
      <c r="T882" s="108" t="s">
        <v>11675</v>
      </c>
      <c r="U882" s="110">
        <v>3</v>
      </c>
      <c r="V882" s="113"/>
      <c r="W882" s="108" t="s">
        <v>11676</v>
      </c>
      <c r="X882" s="110">
        <v>3</v>
      </c>
      <c r="Y882" s="113"/>
      <c r="Z882" s="108" t="s">
        <v>47</v>
      </c>
      <c r="AA882" s="114"/>
      <c r="AB882" s="113"/>
      <c r="AC882" s="105" t="s">
        <v>2209</v>
      </c>
      <c r="AD882" s="115" t="s">
        <v>107</v>
      </c>
    </row>
    <row r="883" spans="1:30" x14ac:dyDescent="0.2">
      <c r="A883" s="104" t="s">
        <v>2210</v>
      </c>
      <c r="B883" s="105" t="s">
        <v>805</v>
      </c>
      <c r="C883" s="105" t="s">
        <v>2187</v>
      </c>
      <c r="D883" s="106" t="s">
        <v>125</v>
      </c>
      <c r="E883" s="107" t="s">
        <v>182</v>
      </c>
      <c r="F883" s="108" t="s">
        <v>11677</v>
      </c>
      <c r="G883" s="118">
        <v>3</v>
      </c>
      <c r="H883" s="108" t="s">
        <v>11678</v>
      </c>
      <c r="I883" s="117">
        <v>2</v>
      </c>
      <c r="J883" s="111" t="s">
        <v>40</v>
      </c>
      <c r="K883" s="108" t="s">
        <v>11679</v>
      </c>
      <c r="L883" s="110">
        <v>3</v>
      </c>
      <c r="M883" s="113"/>
      <c r="N883" s="108" t="s">
        <v>11677</v>
      </c>
      <c r="O883" s="110">
        <v>3</v>
      </c>
      <c r="P883" s="113"/>
      <c r="Q883" s="108" t="s">
        <v>11680</v>
      </c>
      <c r="R883" s="112">
        <v>4</v>
      </c>
      <c r="S883" s="113"/>
      <c r="T883" s="108" t="s">
        <v>2211</v>
      </c>
      <c r="U883" s="117">
        <v>2</v>
      </c>
      <c r="V883" s="113"/>
      <c r="W883" s="108" t="s">
        <v>11681</v>
      </c>
      <c r="X883" s="110">
        <v>3</v>
      </c>
      <c r="Y883" s="111" t="s">
        <v>46</v>
      </c>
      <c r="Z883" s="108" t="s">
        <v>47</v>
      </c>
      <c r="AA883" s="114"/>
      <c r="AB883" s="113"/>
      <c r="AC883" s="105" t="s">
        <v>2212</v>
      </c>
      <c r="AD883" s="115" t="s">
        <v>107</v>
      </c>
    </row>
    <row r="884" spans="1:30" x14ac:dyDescent="0.2">
      <c r="A884" s="104" t="s">
        <v>2213</v>
      </c>
      <c r="B884" s="105" t="s">
        <v>805</v>
      </c>
      <c r="C884" s="105" t="s">
        <v>2187</v>
      </c>
      <c r="D884" s="106"/>
      <c r="E884" s="107" t="s">
        <v>182</v>
      </c>
      <c r="F884" s="108" t="s">
        <v>11682</v>
      </c>
      <c r="G884" s="120">
        <v>2</v>
      </c>
      <c r="H884" s="108" t="s">
        <v>11683</v>
      </c>
      <c r="I884" s="117">
        <v>2</v>
      </c>
      <c r="J884" s="113"/>
      <c r="K884" s="108" t="s">
        <v>2214</v>
      </c>
      <c r="L884" s="117">
        <v>2</v>
      </c>
      <c r="M884" s="113"/>
      <c r="N884" s="108" t="s">
        <v>11682</v>
      </c>
      <c r="O884" s="117">
        <v>2</v>
      </c>
      <c r="P884" s="111" t="s">
        <v>40</v>
      </c>
      <c r="Q884" s="108" t="s">
        <v>2215</v>
      </c>
      <c r="R884" s="110">
        <v>3</v>
      </c>
      <c r="S884" s="113"/>
      <c r="T884" s="108" t="s">
        <v>47</v>
      </c>
      <c r="U884" s="114"/>
      <c r="V884" s="113"/>
      <c r="W884" s="108" t="s">
        <v>47</v>
      </c>
      <c r="X884" s="114"/>
      <c r="Y884" s="113"/>
      <c r="Z884" s="108" t="s">
        <v>47</v>
      </c>
      <c r="AA884" s="114"/>
      <c r="AB884" s="113"/>
      <c r="AC884" s="105" t="s">
        <v>2216</v>
      </c>
      <c r="AD884" s="115" t="s">
        <v>107</v>
      </c>
    </row>
    <row r="885" spans="1:30" x14ac:dyDescent="0.2">
      <c r="A885" s="104" t="s">
        <v>2217</v>
      </c>
      <c r="B885" s="105" t="s">
        <v>805</v>
      </c>
      <c r="C885" s="105" t="s">
        <v>2187</v>
      </c>
      <c r="D885" s="106"/>
      <c r="E885" s="107" t="s">
        <v>182</v>
      </c>
      <c r="F885" s="108" t="s">
        <v>11667</v>
      </c>
      <c r="G885" s="120">
        <v>2</v>
      </c>
      <c r="H885" s="108" t="s">
        <v>11684</v>
      </c>
      <c r="I885" s="117">
        <v>2</v>
      </c>
      <c r="J885" s="113"/>
      <c r="K885" s="108" t="s">
        <v>11678</v>
      </c>
      <c r="L885" s="117">
        <v>2</v>
      </c>
      <c r="M885" s="113"/>
      <c r="N885" s="108" t="s">
        <v>11667</v>
      </c>
      <c r="O885" s="117">
        <v>2</v>
      </c>
      <c r="P885" s="111" t="s">
        <v>40</v>
      </c>
      <c r="Q885" s="108" t="s">
        <v>11685</v>
      </c>
      <c r="R885" s="110">
        <v>3</v>
      </c>
      <c r="S885" s="113"/>
      <c r="T885" s="108" t="s">
        <v>47</v>
      </c>
      <c r="U885" s="114"/>
      <c r="V885" s="113"/>
      <c r="W885" s="108" t="s">
        <v>47</v>
      </c>
      <c r="X885" s="114"/>
      <c r="Y885" s="113"/>
      <c r="Z885" s="108" t="s">
        <v>47</v>
      </c>
      <c r="AA885" s="114"/>
      <c r="AB885" s="113"/>
      <c r="AC885" s="105" t="s">
        <v>2218</v>
      </c>
      <c r="AD885" s="115" t="s">
        <v>107</v>
      </c>
    </row>
    <row r="886" spans="1:30" x14ac:dyDescent="0.2">
      <c r="A886" s="104" t="s">
        <v>2219</v>
      </c>
      <c r="B886" s="105" t="s">
        <v>805</v>
      </c>
      <c r="C886" s="105" t="s">
        <v>1787</v>
      </c>
      <c r="D886" s="106"/>
      <c r="E886" s="107" t="s">
        <v>119</v>
      </c>
      <c r="F886" s="108" t="s">
        <v>2220</v>
      </c>
      <c r="G886" s="118">
        <v>3</v>
      </c>
      <c r="H886" s="108" t="s">
        <v>11686</v>
      </c>
      <c r="I886" s="117">
        <v>2</v>
      </c>
      <c r="J886" s="113"/>
      <c r="K886" s="108" t="s">
        <v>11687</v>
      </c>
      <c r="L886" s="117">
        <v>2</v>
      </c>
      <c r="M886" s="113"/>
      <c r="N886" s="108" t="s">
        <v>2220</v>
      </c>
      <c r="O886" s="110">
        <v>3</v>
      </c>
      <c r="P886" s="113"/>
      <c r="Q886" s="108" t="s">
        <v>11688</v>
      </c>
      <c r="R886" s="117">
        <v>2</v>
      </c>
      <c r="S886" s="111" t="s">
        <v>40</v>
      </c>
      <c r="T886" s="108" t="s">
        <v>47</v>
      </c>
      <c r="U886" s="114"/>
      <c r="V886" s="113"/>
      <c r="W886" s="108" t="s">
        <v>47</v>
      </c>
      <c r="X886" s="114"/>
      <c r="Y886" s="113"/>
      <c r="Z886" s="108" t="s">
        <v>47</v>
      </c>
      <c r="AA886" s="114"/>
      <c r="AB886" s="113"/>
      <c r="AC886" s="105" t="s">
        <v>2221</v>
      </c>
      <c r="AD886" s="115" t="s">
        <v>107</v>
      </c>
    </row>
    <row r="887" spans="1:30" x14ac:dyDescent="0.2">
      <c r="A887" s="104" t="s">
        <v>2222</v>
      </c>
      <c r="B887" s="105" t="s">
        <v>805</v>
      </c>
      <c r="C887" s="105" t="s">
        <v>2187</v>
      </c>
      <c r="D887" s="106"/>
      <c r="E887" s="107" t="s">
        <v>182</v>
      </c>
      <c r="F887" s="108" t="s">
        <v>11689</v>
      </c>
      <c r="G887" s="120">
        <v>2</v>
      </c>
      <c r="H887" s="108" t="s">
        <v>11690</v>
      </c>
      <c r="I887" s="116">
        <v>1</v>
      </c>
      <c r="J887" s="111" t="s">
        <v>53</v>
      </c>
      <c r="K887" s="108" t="s">
        <v>2223</v>
      </c>
      <c r="L887" s="117">
        <v>2</v>
      </c>
      <c r="M887" s="111" t="s">
        <v>40</v>
      </c>
      <c r="N887" s="108" t="s">
        <v>11689</v>
      </c>
      <c r="O887" s="117">
        <v>2</v>
      </c>
      <c r="P887" s="111" t="s">
        <v>40</v>
      </c>
      <c r="Q887" s="108" t="s">
        <v>47</v>
      </c>
      <c r="R887" s="114"/>
      <c r="S887" s="113"/>
      <c r="T887" s="108" t="s">
        <v>47</v>
      </c>
      <c r="U887" s="114"/>
      <c r="V887" s="113"/>
      <c r="W887" s="108" t="s">
        <v>47</v>
      </c>
      <c r="X887" s="114"/>
      <c r="Y887" s="113"/>
      <c r="Z887" s="108" t="s">
        <v>47</v>
      </c>
      <c r="AA887" s="114"/>
      <c r="AB887" s="113"/>
      <c r="AC887" s="105" t="s">
        <v>2224</v>
      </c>
      <c r="AD887" s="115" t="s">
        <v>107</v>
      </c>
    </row>
    <row r="888" spans="1:30" x14ac:dyDescent="0.2">
      <c r="A888" s="104" t="s">
        <v>2225</v>
      </c>
      <c r="B888" s="105" t="s">
        <v>805</v>
      </c>
      <c r="C888" s="105" t="s">
        <v>2187</v>
      </c>
      <c r="D888" s="106" t="s">
        <v>514</v>
      </c>
      <c r="E888" s="107" t="s">
        <v>182</v>
      </c>
      <c r="F888" s="108" t="s">
        <v>2226</v>
      </c>
      <c r="G888" s="120">
        <v>2</v>
      </c>
      <c r="H888" s="108" t="s">
        <v>11691</v>
      </c>
      <c r="I888" s="117">
        <v>2</v>
      </c>
      <c r="J888" s="113"/>
      <c r="K888" s="108" t="s">
        <v>11692</v>
      </c>
      <c r="L888" s="117">
        <v>2</v>
      </c>
      <c r="M888" s="113"/>
      <c r="N888" s="108" t="s">
        <v>2226</v>
      </c>
      <c r="O888" s="117">
        <v>2</v>
      </c>
      <c r="P888" s="111" t="s">
        <v>40</v>
      </c>
      <c r="Q888" s="108" t="s">
        <v>11693</v>
      </c>
      <c r="R888" s="110">
        <v>3</v>
      </c>
      <c r="S888" s="113"/>
      <c r="T888" s="108" t="s">
        <v>2227</v>
      </c>
      <c r="U888" s="116">
        <v>1</v>
      </c>
      <c r="V888" s="113"/>
      <c r="W888" s="108" t="s">
        <v>11694</v>
      </c>
      <c r="X888" s="116">
        <v>1</v>
      </c>
      <c r="Y888" s="113"/>
      <c r="Z888" s="108" t="s">
        <v>47</v>
      </c>
      <c r="AA888" s="114"/>
      <c r="AB888" s="113"/>
      <c r="AC888" s="105" t="s">
        <v>2228</v>
      </c>
      <c r="AD888" s="115" t="s">
        <v>107</v>
      </c>
    </row>
    <row r="889" spans="1:30" x14ac:dyDescent="0.2">
      <c r="A889" s="104" t="s">
        <v>2229</v>
      </c>
      <c r="B889" s="105" t="s">
        <v>805</v>
      </c>
      <c r="C889" s="105" t="s">
        <v>2187</v>
      </c>
      <c r="D889" s="106"/>
      <c r="E889" s="107" t="s">
        <v>182</v>
      </c>
      <c r="F889" s="108" t="s">
        <v>11669</v>
      </c>
      <c r="G889" s="120">
        <v>2</v>
      </c>
      <c r="H889" s="108" t="s">
        <v>11695</v>
      </c>
      <c r="I889" s="116">
        <v>1</v>
      </c>
      <c r="J889" s="111" t="s">
        <v>53</v>
      </c>
      <c r="K889" s="108" t="s">
        <v>2226</v>
      </c>
      <c r="L889" s="117">
        <v>2</v>
      </c>
      <c r="M889" s="111" t="s">
        <v>40</v>
      </c>
      <c r="N889" s="108" t="s">
        <v>11669</v>
      </c>
      <c r="O889" s="117">
        <v>2</v>
      </c>
      <c r="P889" s="111" t="s">
        <v>40</v>
      </c>
      <c r="Q889" s="108" t="s">
        <v>47</v>
      </c>
      <c r="R889" s="114"/>
      <c r="S889" s="113"/>
      <c r="T889" s="108" t="s">
        <v>47</v>
      </c>
      <c r="U889" s="114"/>
      <c r="V889" s="113"/>
      <c r="W889" s="108" t="s">
        <v>47</v>
      </c>
      <c r="X889" s="114"/>
      <c r="Y889" s="113"/>
      <c r="Z889" s="108" t="s">
        <v>47</v>
      </c>
      <c r="AA889" s="114"/>
      <c r="AB889" s="113"/>
      <c r="AC889" s="105" t="s">
        <v>2230</v>
      </c>
      <c r="AD889" s="115" t="s">
        <v>107</v>
      </c>
    </row>
    <row r="890" spans="1:30" x14ac:dyDescent="0.2">
      <c r="A890" s="104" t="s">
        <v>2231</v>
      </c>
      <c r="B890" s="105" t="s">
        <v>805</v>
      </c>
      <c r="C890" s="105" t="s">
        <v>2187</v>
      </c>
      <c r="D890" s="106"/>
      <c r="E890" s="107" t="s">
        <v>182</v>
      </c>
      <c r="F890" s="108" t="s">
        <v>2223</v>
      </c>
      <c r="G890" s="120">
        <v>2</v>
      </c>
      <c r="H890" s="108" t="s">
        <v>11696</v>
      </c>
      <c r="I890" s="117">
        <v>2</v>
      </c>
      <c r="J890" s="111" t="s">
        <v>40</v>
      </c>
      <c r="K890" s="108" t="s">
        <v>2232</v>
      </c>
      <c r="L890" s="110">
        <v>3</v>
      </c>
      <c r="M890" s="111" t="s">
        <v>46</v>
      </c>
      <c r="N890" s="108" t="s">
        <v>2223</v>
      </c>
      <c r="O890" s="117">
        <v>2</v>
      </c>
      <c r="P890" s="111" t="s">
        <v>40</v>
      </c>
      <c r="Q890" s="108" t="s">
        <v>2233</v>
      </c>
      <c r="R890" s="110">
        <v>3</v>
      </c>
      <c r="S890" s="113"/>
      <c r="T890" s="108" t="s">
        <v>47</v>
      </c>
      <c r="U890" s="114"/>
      <c r="V890" s="113"/>
      <c r="W890" s="108" t="s">
        <v>47</v>
      </c>
      <c r="X890" s="114"/>
      <c r="Y890" s="113"/>
      <c r="Z890" s="108" t="s">
        <v>47</v>
      </c>
      <c r="AA890" s="114"/>
      <c r="AB890" s="113"/>
      <c r="AC890" s="105" t="s">
        <v>2234</v>
      </c>
      <c r="AD890" s="115" t="s">
        <v>107</v>
      </c>
    </row>
    <row r="891" spans="1:30" x14ac:dyDescent="0.2">
      <c r="A891" s="104" t="s">
        <v>2235</v>
      </c>
      <c r="B891" s="105" t="s">
        <v>805</v>
      </c>
      <c r="C891" s="105" t="s">
        <v>1787</v>
      </c>
      <c r="D891" s="106"/>
      <c r="E891" s="107" t="s">
        <v>119</v>
      </c>
      <c r="F891" s="108" t="s">
        <v>11697</v>
      </c>
      <c r="G891" s="118">
        <v>3</v>
      </c>
      <c r="H891" s="108" t="s">
        <v>11698</v>
      </c>
      <c r="I891" s="117">
        <v>2</v>
      </c>
      <c r="J891" s="113"/>
      <c r="K891" s="108" t="s">
        <v>11699</v>
      </c>
      <c r="L891" s="117">
        <v>2</v>
      </c>
      <c r="M891" s="113"/>
      <c r="N891" s="108" t="s">
        <v>11697</v>
      </c>
      <c r="O891" s="110">
        <v>3</v>
      </c>
      <c r="P891" s="113"/>
      <c r="Q891" s="108" t="s">
        <v>11700</v>
      </c>
      <c r="R891" s="110">
        <v>3</v>
      </c>
      <c r="S891" s="113"/>
      <c r="T891" s="108" t="s">
        <v>11701</v>
      </c>
      <c r="U891" s="110">
        <v>3</v>
      </c>
      <c r="V891" s="113"/>
      <c r="W891" s="108" t="s">
        <v>11702</v>
      </c>
      <c r="X891" s="110">
        <v>3</v>
      </c>
      <c r="Y891" s="113"/>
      <c r="Z891" s="108" t="s">
        <v>47</v>
      </c>
      <c r="AA891" s="114"/>
      <c r="AB891" s="113"/>
      <c r="AC891" s="105" t="s">
        <v>2236</v>
      </c>
      <c r="AD891" s="115" t="s">
        <v>107</v>
      </c>
    </row>
    <row r="892" spans="1:30" x14ac:dyDescent="0.2">
      <c r="A892" s="104" t="s">
        <v>2237</v>
      </c>
      <c r="B892" s="105" t="s">
        <v>805</v>
      </c>
      <c r="C892" s="105" t="s">
        <v>2187</v>
      </c>
      <c r="D892" s="106" t="s">
        <v>94</v>
      </c>
      <c r="E892" s="107" t="s">
        <v>182</v>
      </c>
      <c r="F892" s="108" t="s">
        <v>11703</v>
      </c>
      <c r="G892" s="118">
        <v>3</v>
      </c>
      <c r="H892" s="108" t="s">
        <v>11692</v>
      </c>
      <c r="I892" s="117">
        <v>2</v>
      </c>
      <c r="J892" s="111" t="s">
        <v>40</v>
      </c>
      <c r="K892" s="108" t="s">
        <v>11703</v>
      </c>
      <c r="L892" s="110">
        <v>3</v>
      </c>
      <c r="M892" s="113"/>
      <c r="N892" s="108" t="s">
        <v>11703</v>
      </c>
      <c r="O892" s="110">
        <v>3</v>
      </c>
      <c r="P892" s="113"/>
      <c r="Q892" s="108" t="s">
        <v>2238</v>
      </c>
      <c r="R892" s="110">
        <v>3</v>
      </c>
      <c r="S892" s="111" t="s">
        <v>40</v>
      </c>
      <c r="T892" s="108" t="s">
        <v>11704</v>
      </c>
      <c r="U892" s="117">
        <v>2</v>
      </c>
      <c r="V892" s="113"/>
      <c r="W892" s="108" t="s">
        <v>1272</v>
      </c>
      <c r="X892" s="117">
        <v>2</v>
      </c>
      <c r="Y892" s="113"/>
      <c r="Z892" s="108" t="s">
        <v>2239</v>
      </c>
      <c r="AA892" s="117">
        <v>2</v>
      </c>
      <c r="AB892" s="113"/>
      <c r="AC892" s="105" t="s">
        <v>2240</v>
      </c>
      <c r="AD892" s="115" t="s">
        <v>107</v>
      </c>
    </row>
    <row r="893" spans="1:30" x14ac:dyDescent="0.2">
      <c r="A893" s="104" t="s">
        <v>2241</v>
      </c>
      <c r="B893" s="105" t="s">
        <v>805</v>
      </c>
      <c r="C893" s="105" t="s">
        <v>332</v>
      </c>
      <c r="D893" s="106"/>
      <c r="E893" s="107" t="s">
        <v>182</v>
      </c>
      <c r="F893" s="108" t="s">
        <v>11705</v>
      </c>
      <c r="G893" s="109">
        <v>4</v>
      </c>
      <c r="H893" s="108" t="s">
        <v>11706</v>
      </c>
      <c r="I893" s="112">
        <v>4</v>
      </c>
      <c r="J893" s="111" t="s">
        <v>55</v>
      </c>
      <c r="K893" s="108" t="s">
        <v>11707</v>
      </c>
      <c r="L893" s="112">
        <v>4</v>
      </c>
      <c r="M893" s="111" t="s">
        <v>46</v>
      </c>
      <c r="N893" s="108" t="s">
        <v>11705</v>
      </c>
      <c r="O893" s="112">
        <v>4</v>
      </c>
      <c r="P893" s="111" t="s">
        <v>55</v>
      </c>
      <c r="Q893" s="108" t="s">
        <v>11708</v>
      </c>
      <c r="R893" s="110">
        <v>3</v>
      </c>
      <c r="S893" s="111" t="s">
        <v>46</v>
      </c>
      <c r="T893" s="108" t="s">
        <v>47</v>
      </c>
      <c r="U893" s="114"/>
      <c r="V893" s="113"/>
      <c r="W893" s="108" t="s">
        <v>47</v>
      </c>
      <c r="X893" s="114"/>
      <c r="Y893" s="113"/>
      <c r="Z893" s="108" t="s">
        <v>47</v>
      </c>
      <c r="AA893" s="114"/>
      <c r="AB893" s="113"/>
      <c r="AC893" s="105" t="s">
        <v>2242</v>
      </c>
      <c r="AD893" s="115" t="s">
        <v>107</v>
      </c>
    </row>
    <row r="894" spans="1:30" x14ac:dyDescent="0.2">
      <c r="A894" s="104" t="s">
        <v>2243</v>
      </c>
      <c r="B894" s="105" t="s">
        <v>805</v>
      </c>
      <c r="C894" s="105" t="s">
        <v>332</v>
      </c>
      <c r="D894" s="106"/>
      <c r="E894" s="107" t="s">
        <v>182</v>
      </c>
      <c r="F894" s="108" t="s">
        <v>11709</v>
      </c>
      <c r="G894" s="118">
        <v>3</v>
      </c>
      <c r="H894" s="108" t="s">
        <v>11710</v>
      </c>
      <c r="I894" s="112">
        <v>4</v>
      </c>
      <c r="J894" s="111" t="s">
        <v>55</v>
      </c>
      <c r="K894" s="108" t="s">
        <v>11711</v>
      </c>
      <c r="L894" s="112">
        <v>4</v>
      </c>
      <c r="M894" s="111" t="s">
        <v>46</v>
      </c>
      <c r="N894" s="108" t="s">
        <v>11709</v>
      </c>
      <c r="O894" s="110">
        <v>3</v>
      </c>
      <c r="P894" s="111" t="s">
        <v>46</v>
      </c>
      <c r="Q894" s="108" t="s">
        <v>11712</v>
      </c>
      <c r="R894" s="110">
        <v>3</v>
      </c>
      <c r="S894" s="111" t="s">
        <v>46</v>
      </c>
      <c r="T894" s="108" t="s">
        <v>47</v>
      </c>
      <c r="U894" s="114"/>
      <c r="V894" s="113"/>
      <c r="W894" s="108" t="s">
        <v>47</v>
      </c>
      <c r="X894" s="114"/>
      <c r="Y894" s="113"/>
      <c r="Z894" s="108" t="s">
        <v>47</v>
      </c>
      <c r="AA894" s="114"/>
      <c r="AB894" s="113"/>
      <c r="AC894" s="105" t="s">
        <v>2244</v>
      </c>
      <c r="AD894" s="115" t="s">
        <v>107</v>
      </c>
    </row>
    <row r="895" spans="1:30" x14ac:dyDescent="0.2">
      <c r="A895" s="104" t="s">
        <v>2245</v>
      </c>
      <c r="B895" s="105" t="s">
        <v>805</v>
      </c>
      <c r="C895" s="105" t="s">
        <v>332</v>
      </c>
      <c r="D895" s="106"/>
      <c r="E895" s="107" t="s">
        <v>182</v>
      </c>
      <c r="F895" s="108" t="s">
        <v>11713</v>
      </c>
      <c r="G895" s="118">
        <v>3</v>
      </c>
      <c r="H895" s="108" t="s">
        <v>11714</v>
      </c>
      <c r="I895" s="112">
        <v>4</v>
      </c>
      <c r="J895" s="111" t="s">
        <v>55</v>
      </c>
      <c r="K895" s="108" t="s">
        <v>11715</v>
      </c>
      <c r="L895" s="112">
        <v>4</v>
      </c>
      <c r="M895" s="111" t="s">
        <v>46</v>
      </c>
      <c r="N895" s="108" t="s">
        <v>11713</v>
      </c>
      <c r="O895" s="110">
        <v>3</v>
      </c>
      <c r="P895" s="111" t="s">
        <v>46</v>
      </c>
      <c r="Q895" s="108" t="s">
        <v>11716</v>
      </c>
      <c r="R895" s="110">
        <v>3</v>
      </c>
      <c r="S895" s="111" t="s">
        <v>46</v>
      </c>
      <c r="T895" s="108" t="s">
        <v>47</v>
      </c>
      <c r="U895" s="114"/>
      <c r="V895" s="113"/>
      <c r="W895" s="108" t="s">
        <v>47</v>
      </c>
      <c r="X895" s="114"/>
      <c r="Y895" s="113"/>
      <c r="Z895" s="108" t="s">
        <v>47</v>
      </c>
      <c r="AA895" s="114"/>
      <c r="AB895" s="113"/>
      <c r="AC895" s="105" t="s">
        <v>2246</v>
      </c>
      <c r="AD895" s="115" t="s">
        <v>107</v>
      </c>
    </row>
    <row r="896" spans="1:30" x14ac:dyDescent="0.2">
      <c r="A896" s="104" t="s">
        <v>2247</v>
      </c>
      <c r="B896" s="105" t="s">
        <v>805</v>
      </c>
      <c r="C896" s="105" t="s">
        <v>2248</v>
      </c>
      <c r="D896" s="106"/>
      <c r="E896" s="107" t="s">
        <v>182</v>
      </c>
      <c r="F896" s="108" t="s">
        <v>11717</v>
      </c>
      <c r="G896" s="120">
        <v>2</v>
      </c>
      <c r="H896" s="108" t="s">
        <v>11718</v>
      </c>
      <c r="I896" s="112">
        <v>4</v>
      </c>
      <c r="J896" s="111" t="s">
        <v>44</v>
      </c>
      <c r="K896" s="108" t="s">
        <v>11719</v>
      </c>
      <c r="L896" s="117">
        <v>2</v>
      </c>
      <c r="M896" s="111" t="s">
        <v>46</v>
      </c>
      <c r="N896" s="108" t="s">
        <v>11717</v>
      </c>
      <c r="O896" s="117">
        <v>2</v>
      </c>
      <c r="P896" s="111" t="s">
        <v>46</v>
      </c>
      <c r="Q896" s="108" t="s">
        <v>11720</v>
      </c>
      <c r="R896" s="117">
        <v>2</v>
      </c>
      <c r="S896" s="113"/>
      <c r="T896" s="108" t="s">
        <v>47</v>
      </c>
      <c r="U896" s="114"/>
      <c r="V896" s="113"/>
      <c r="W896" s="108" t="s">
        <v>47</v>
      </c>
      <c r="X896" s="114"/>
      <c r="Y896" s="113"/>
      <c r="Z896" s="108" t="s">
        <v>47</v>
      </c>
      <c r="AA896" s="114"/>
      <c r="AB896" s="113"/>
      <c r="AC896" s="105" t="s">
        <v>2249</v>
      </c>
      <c r="AD896" s="115" t="s">
        <v>107</v>
      </c>
    </row>
    <row r="897" spans="1:30" x14ac:dyDescent="0.2">
      <c r="A897" s="104" t="s">
        <v>2250</v>
      </c>
      <c r="B897" s="105" t="s">
        <v>805</v>
      </c>
      <c r="C897" s="105" t="s">
        <v>2248</v>
      </c>
      <c r="D897" s="106"/>
      <c r="E897" s="107" t="s">
        <v>182</v>
      </c>
      <c r="F897" s="108" t="s">
        <v>11721</v>
      </c>
      <c r="G897" s="120">
        <v>2</v>
      </c>
      <c r="H897" s="108" t="s">
        <v>11722</v>
      </c>
      <c r="I897" s="112">
        <v>4</v>
      </c>
      <c r="J897" s="111" t="s">
        <v>44</v>
      </c>
      <c r="K897" s="108" t="s">
        <v>11723</v>
      </c>
      <c r="L897" s="117">
        <v>2</v>
      </c>
      <c r="M897" s="111" t="s">
        <v>46</v>
      </c>
      <c r="N897" s="108" t="s">
        <v>11721</v>
      </c>
      <c r="O897" s="117">
        <v>2</v>
      </c>
      <c r="P897" s="111" t="s">
        <v>46</v>
      </c>
      <c r="Q897" s="108" t="s">
        <v>11724</v>
      </c>
      <c r="R897" s="117">
        <v>2</v>
      </c>
      <c r="S897" s="113"/>
      <c r="T897" s="108" t="s">
        <v>47</v>
      </c>
      <c r="U897" s="114"/>
      <c r="V897" s="113"/>
      <c r="W897" s="108" t="s">
        <v>47</v>
      </c>
      <c r="X897" s="114"/>
      <c r="Y897" s="113"/>
      <c r="Z897" s="108" t="s">
        <v>47</v>
      </c>
      <c r="AA897" s="114"/>
      <c r="AB897" s="113"/>
      <c r="AC897" s="105" t="s">
        <v>2251</v>
      </c>
      <c r="AD897" s="115" t="s">
        <v>107</v>
      </c>
    </row>
    <row r="898" spans="1:30" x14ac:dyDescent="0.2">
      <c r="A898" s="104" t="s">
        <v>2252</v>
      </c>
      <c r="B898" s="105" t="s">
        <v>805</v>
      </c>
      <c r="C898" s="105" t="s">
        <v>332</v>
      </c>
      <c r="D898" s="106" t="s">
        <v>94</v>
      </c>
      <c r="E898" s="107" t="s">
        <v>182</v>
      </c>
      <c r="F898" s="108" t="s">
        <v>11725</v>
      </c>
      <c r="G898" s="118">
        <v>3</v>
      </c>
      <c r="H898" s="108" t="s">
        <v>11726</v>
      </c>
      <c r="I898" s="112">
        <v>4</v>
      </c>
      <c r="J898" s="111" t="s">
        <v>55</v>
      </c>
      <c r="K898" s="108" t="s">
        <v>11727</v>
      </c>
      <c r="L898" s="112">
        <v>4</v>
      </c>
      <c r="M898" s="111" t="s">
        <v>46</v>
      </c>
      <c r="N898" s="108" t="s">
        <v>11725</v>
      </c>
      <c r="O898" s="110">
        <v>3</v>
      </c>
      <c r="P898" s="111" t="s">
        <v>46</v>
      </c>
      <c r="Q898" s="108" t="s">
        <v>11728</v>
      </c>
      <c r="R898" s="110">
        <v>3</v>
      </c>
      <c r="S898" s="111" t="s">
        <v>46</v>
      </c>
      <c r="T898" s="108" t="s">
        <v>11729</v>
      </c>
      <c r="U898" s="117">
        <v>2</v>
      </c>
      <c r="V898" s="113"/>
      <c r="W898" s="108" t="s">
        <v>47</v>
      </c>
      <c r="X898" s="114"/>
      <c r="Y898" s="113"/>
      <c r="Z898" s="108" t="s">
        <v>47</v>
      </c>
      <c r="AA898" s="114"/>
      <c r="AB898" s="113"/>
      <c r="AC898" s="105" t="s">
        <v>2253</v>
      </c>
      <c r="AD898" s="115" t="s">
        <v>107</v>
      </c>
    </row>
    <row r="899" spans="1:30" x14ac:dyDescent="0.2">
      <c r="A899" s="104" t="s">
        <v>2254</v>
      </c>
      <c r="B899" s="105" t="s">
        <v>805</v>
      </c>
      <c r="C899" s="105" t="s">
        <v>332</v>
      </c>
      <c r="D899" s="106"/>
      <c r="E899" s="107" t="s">
        <v>182</v>
      </c>
      <c r="F899" s="108" t="s">
        <v>11730</v>
      </c>
      <c r="G899" s="118">
        <v>3</v>
      </c>
      <c r="H899" s="108" t="s">
        <v>11731</v>
      </c>
      <c r="I899" s="112">
        <v>4</v>
      </c>
      <c r="J899" s="111" t="s">
        <v>55</v>
      </c>
      <c r="K899" s="108" t="s">
        <v>11732</v>
      </c>
      <c r="L899" s="112">
        <v>4</v>
      </c>
      <c r="M899" s="111" t="s">
        <v>46</v>
      </c>
      <c r="N899" s="108" t="s">
        <v>11730</v>
      </c>
      <c r="O899" s="110">
        <v>3</v>
      </c>
      <c r="P899" s="111" t="s">
        <v>46</v>
      </c>
      <c r="Q899" s="108" t="s">
        <v>11733</v>
      </c>
      <c r="R899" s="110">
        <v>3</v>
      </c>
      <c r="S899" s="111" t="s">
        <v>46</v>
      </c>
      <c r="T899" s="108" t="s">
        <v>47</v>
      </c>
      <c r="U899" s="114"/>
      <c r="V899" s="113"/>
      <c r="W899" s="108" t="s">
        <v>47</v>
      </c>
      <c r="X899" s="114"/>
      <c r="Y899" s="113"/>
      <c r="Z899" s="108" t="s">
        <v>47</v>
      </c>
      <c r="AA899" s="114"/>
      <c r="AB899" s="113"/>
      <c r="AC899" s="105" t="s">
        <v>2255</v>
      </c>
      <c r="AD899" s="115" t="s">
        <v>107</v>
      </c>
    </row>
    <row r="900" spans="1:30" x14ac:dyDescent="0.2">
      <c r="A900" s="104" t="s">
        <v>2256</v>
      </c>
      <c r="B900" s="105" t="s">
        <v>805</v>
      </c>
      <c r="C900" s="105" t="s">
        <v>2248</v>
      </c>
      <c r="D900" s="106"/>
      <c r="E900" s="107" t="s">
        <v>182</v>
      </c>
      <c r="F900" s="108" t="s">
        <v>11734</v>
      </c>
      <c r="G900" s="120">
        <v>2</v>
      </c>
      <c r="H900" s="108" t="s">
        <v>11735</v>
      </c>
      <c r="I900" s="112">
        <v>4</v>
      </c>
      <c r="J900" s="111" t="s">
        <v>44</v>
      </c>
      <c r="K900" s="108" t="s">
        <v>11736</v>
      </c>
      <c r="L900" s="117">
        <v>2</v>
      </c>
      <c r="M900" s="111" t="s">
        <v>46</v>
      </c>
      <c r="N900" s="108" t="s">
        <v>11734</v>
      </c>
      <c r="O900" s="117">
        <v>2</v>
      </c>
      <c r="P900" s="111" t="s">
        <v>46</v>
      </c>
      <c r="Q900" s="108" t="s">
        <v>11737</v>
      </c>
      <c r="R900" s="110">
        <v>3</v>
      </c>
      <c r="S900" s="111" t="s">
        <v>46</v>
      </c>
      <c r="T900" s="108" t="s">
        <v>47</v>
      </c>
      <c r="U900" s="114"/>
      <c r="V900" s="113"/>
      <c r="W900" s="108" t="s">
        <v>47</v>
      </c>
      <c r="X900" s="114"/>
      <c r="Y900" s="113"/>
      <c r="Z900" s="108" t="s">
        <v>47</v>
      </c>
      <c r="AA900" s="114"/>
      <c r="AB900" s="113"/>
      <c r="AC900" s="105" t="s">
        <v>2257</v>
      </c>
      <c r="AD900" s="115" t="s">
        <v>107</v>
      </c>
    </row>
    <row r="901" spans="1:30" x14ac:dyDescent="0.2">
      <c r="A901" s="104" t="s">
        <v>2258</v>
      </c>
      <c r="B901" s="105" t="s">
        <v>805</v>
      </c>
      <c r="C901" s="105" t="s">
        <v>332</v>
      </c>
      <c r="D901" s="106"/>
      <c r="E901" s="107" t="s">
        <v>182</v>
      </c>
      <c r="F901" s="108" t="s">
        <v>11738</v>
      </c>
      <c r="G901" s="109">
        <v>4</v>
      </c>
      <c r="H901" s="108" t="s">
        <v>11739</v>
      </c>
      <c r="I901" s="112">
        <v>4</v>
      </c>
      <c r="J901" s="111" t="s">
        <v>55</v>
      </c>
      <c r="K901" s="108" t="s">
        <v>11740</v>
      </c>
      <c r="L901" s="112">
        <v>4</v>
      </c>
      <c r="M901" s="111" t="s">
        <v>46</v>
      </c>
      <c r="N901" s="108" t="s">
        <v>11738</v>
      </c>
      <c r="O901" s="112">
        <v>4</v>
      </c>
      <c r="P901" s="111" t="s">
        <v>46</v>
      </c>
      <c r="Q901" s="108" t="s">
        <v>11741</v>
      </c>
      <c r="R901" s="112">
        <v>4</v>
      </c>
      <c r="S901" s="111" t="s">
        <v>46</v>
      </c>
      <c r="T901" s="108" t="s">
        <v>47</v>
      </c>
      <c r="U901" s="114"/>
      <c r="V901" s="113"/>
      <c r="W901" s="108" t="s">
        <v>47</v>
      </c>
      <c r="X901" s="114"/>
      <c r="Y901" s="113"/>
      <c r="Z901" s="108" t="s">
        <v>47</v>
      </c>
      <c r="AA901" s="114"/>
      <c r="AB901" s="113"/>
      <c r="AC901" s="105" t="s">
        <v>2259</v>
      </c>
      <c r="AD901" s="115" t="s">
        <v>107</v>
      </c>
    </row>
    <row r="902" spans="1:30" x14ac:dyDescent="0.2">
      <c r="A902" s="104" t="s">
        <v>2260</v>
      </c>
      <c r="B902" s="105" t="s">
        <v>805</v>
      </c>
      <c r="C902" s="105" t="s">
        <v>332</v>
      </c>
      <c r="D902" s="106" t="s">
        <v>94</v>
      </c>
      <c r="E902" s="107" t="s">
        <v>182</v>
      </c>
      <c r="F902" s="108" t="s">
        <v>11742</v>
      </c>
      <c r="G902" s="118">
        <v>3</v>
      </c>
      <c r="H902" s="108" t="s">
        <v>11743</v>
      </c>
      <c r="I902" s="112">
        <v>4</v>
      </c>
      <c r="J902" s="111" t="s">
        <v>55</v>
      </c>
      <c r="K902" s="108" t="s">
        <v>11744</v>
      </c>
      <c r="L902" s="112">
        <v>4</v>
      </c>
      <c r="M902" s="111" t="s">
        <v>55</v>
      </c>
      <c r="N902" s="108" t="s">
        <v>11742</v>
      </c>
      <c r="O902" s="110">
        <v>3</v>
      </c>
      <c r="P902" s="111" t="s">
        <v>46</v>
      </c>
      <c r="Q902" s="108" t="s">
        <v>11745</v>
      </c>
      <c r="R902" s="110">
        <v>3</v>
      </c>
      <c r="S902" s="111" t="s">
        <v>55</v>
      </c>
      <c r="T902" s="108" t="s">
        <v>11746</v>
      </c>
      <c r="U902" s="116">
        <v>1</v>
      </c>
      <c r="V902" s="113"/>
      <c r="W902" s="108" t="s">
        <v>47</v>
      </c>
      <c r="X902" s="114"/>
      <c r="Y902" s="113"/>
      <c r="Z902" s="108" t="s">
        <v>47</v>
      </c>
      <c r="AA902" s="114"/>
      <c r="AB902" s="113"/>
      <c r="AC902" s="105" t="s">
        <v>2261</v>
      </c>
      <c r="AD902" s="115" t="s">
        <v>107</v>
      </c>
    </row>
    <row r="903" spans="1:30" x14ac:dyDescent="0.2">
      <c r="A903" s="104" t="s">
        <v>2262</v>
      </c>
      <c r="B903" s="105" t="s">
        <v>805</v>
      </c>
      <c r="C903" s="105" t="s">
        <v>2248</v>
      </c>
      <c r="D903" s="106"/>
      <c r="E903" s="107" t="s">
        <v>182</v>
      </c>
      <c r="F903" s="108" t="s">
        <v>47</v>
      </c>
      <c r="G903" s="113"/>
      <c r="H903" s="108" t="s">
        <v>47</v>
      </c>
      <c r="I903" s="114"/>
      <c r="J903" s="113"/>
      <c r="K903" s="108" t="s">
        <v>47</v>
      </c>
      <c r="L903" s="114"/>
      <c r="M903" s="113"/>
      <c r="N903" s="108" t="s">
        <v>47</v>
      </c>
      <c r="O903" s="114"/>
      <c r="P903" s="113"/>
      <c r="Q903" s="108" t="s">
        <v>47</v>
      </c>
      <c r="R903" s="114"/>
      <c r="S903" s="113"/>
      <c r="T903" s="108" t="s">
        <v>47</v>
      </c>
      <c r="U903" s="114"/>
      <c r="V903" s="113"/>
      <c r="W903" s="108" t="s">
        <v>47</v>
      </c>
      <c r="X903" s="114"/>
      <c r="Y903" s="113"/>
      <c r="Z903" s="108" t="s">
        <v>47</v>
      </c>
      <c r="AA903" s="114"/>
      <c r="AB903" s="113"/>
      <c r="AC903" s="105" t="s">
        <v>2263</v>
      </c>
      <c r="AD903" s="115" t="s">
        <v>107</v>
      </c>
    </row>
    <row r="904" spans="1:30" x14ac:dyDescent="0.2">
      <c r="A904" s="104" t="s">
        <v>2264</v>
      </c>
      <c r="B904" s="105" t="s">
        <v>805</v>
      </c>
      <c r="C904" s="105" t="s">
        <v>332</v>
      </c>
      <c r="D904" s="106"/>
      <c r="E904" s="107" t="s">
        <v>182</v>
      </c>
      <c r="F904" s="108" t="s">
        <v>11747</v>
      </c>
      <c r="G904" s="118">
        <v>3</v>
      </c>
      <c r="H904" s="108" t="s">
        <v>11748</v>
      </c>
      <c r="I904" s="112">
        <v>4</v>
      </c>
      <c r="J904" s="111" t="s">
        <v>55</v>
      </c>
      <c r="K904" s="108" t="s">
        <v>11749</v>
      </c>
      <c r="L904" s="112">
        <v>4</v>
      </c>
      <c r="M904" s="111" t="s">
        <v>55</v>
      </c>
      <c r="N904" s="108" t="s">
        <v>11747</v>
      </c>
      <c r="O904" s="110">
        <v>3</v>
      </c>
      <c r="P904" s="111" t="s">
        <v>46</v>
      </c>
      <c r="Q904" s="108" t="s">
        <v>11750</v>
      </c>
      <c r="R904" s="110">
        <v>3</v>
      </c>
      <c r="S904" s="111" t="s">
        <v>55</v>
      </c>
      <c r="T904" s="108" t="s">
        <v>47</v>
      </c>
      <c r="U904" s="114"/>
      <c r="V904" s="113"/>
      <c r="W904" s="108" t="s">
        <v>47</v>
      </c>
      <c r="X904" s="114"/>
      <c r="Y904" s="113"/>
      <c r="Z904" s="108" t="s">
        <v>47</v>
      </c>
      <c r="AA904" s="114"/>
      <c r="AB904" s="113"/>
      <c r="AC904" s="105" t="s">
        <v>2265</v>
      </c>
      <c r="AD904" s="115" t="s">
        <v>107</v>
      </c>
    </row>
    <row r="905" spans="1:30" x14ac:dyDescent="0.2">
      <c r="A905" s="104" t="s">
        <v>2266</v>
      </c>
      <c r="B905" s="105" t="s">
        <v>805</v>
      </c>
      <c r="C905" s="105" t="s">
        <v>332</v>
      </c>
      <c r="D905" s="106"/>
      <c r="E905" s="107" t="s">
        <v>182</v>
      </c>
      <c r="F905" s="108" t="s">
        <v>47</v>
      </c>
      <c r="G905" s="113"/>
      <c r="H905" s="108" t="s">
        <v>47</v>
      </c>
      <c r="I905" s="114"/>
      <c r="J905" s="113"/>
      <c r="K905" s="108" t="s">
        <v>47</v>
      </c>
      <c r="L905" s="114"/>
      <c r="M905" s="113"/>
      <c r="N905" s="108" t="s">
        <v>47</v>
      </c>
      <c r="O905" s="114"/>
      <c r="P905" s="113"/>
      <c r="Q905" s="108" t="s">
        <v>47</v>
      </c>
      <c r="R905" s="114"/>
      <c r="S905" s="113"/>
      <c r="T905" s="108" t="s">
        <v>47</v>
      </c>
      <c r="U905" s="114"/>
      <c r="V905" s="113"/>
      <c r="W905" s="108" t="s">
        <v>47</v>
      </c>
      <c r="X905" s="114"/>
      <c r="Y905" s="113"/>
      <c r="Z905" s="108" t="s">
        <v>47</v>
      </c>
      <c r="AA905" s="114"/>
      <c r="AB905" s="113"/>
      <c r="AC905" s="105" t="s">
        <v>2267</v>
      </c>
      <c r="AD905" s="115" t="s">
        <v>107</v>
      </c>
    </row>
    <row r="906" spans="1:30" x14ac:dyDescent="0.2">
      <c r="A906" s="104" t="s">
        <v>2268</v>
      </c>
      <c r="B906" s="105" t="s">
        <v>805</v>
      </c>
      <c r="C906" s="105" t="s">
        <v>2248</v>
      </c>
      <c r="D906" s="106"/>
      <c r="E906" s="107" t="s">
        <v>182</v>
      </c>
      <c r="F906" s="108" t="s">
        <v>11751</v>
      </c>
      <c r="G906" s="119">
        <v>1</v>
      </c>
      <c r="H906" s="108" t="s">
        <v>11752</v>
      </c>
      <c r="I906" s="110">
        <v>3</v>
      </c>
      <c r="J906" s="111" t="s">
        <v>55</v>
      </c>
      <c r="K906" s="108" t="s">
        <v>11753</v>
      </c>
      <c r="L906" s="117">
        <v>2</v>
      </c>
      <c r="M906" s="111" t="s">
        <v>46</v>
      </c>
      <c r="N906" s="108" t="s">
        <v>11751</v>
      </c>
      <c r="O906" s="116">
        <v>1</v>
      </c>
      <c r="P906" s="113"/>
      <c r="Q906" s="108" t="s">
        <v>11754</v>
      </c>
      <c r="R906" s="117">
        <v>2</v>
      </c>
      <c r="S906" s="111" t="s">
        <v>46</v>
      </c>
      <c r="T906" s="108" t="s">
        <v>47</v>
      </c>
      <c r="U906" s="114"/>
      <c r="V906" s="113"/>
      <c r="W906" s="108" t="s">
        <v>47</v>
      </c>
      <c r="X906" s="114"/>
      <c r="Y906" s="113"/>
      <c r="Z906" s="108" t="s">
        <v>47</v>
      </c>
      <c r="AA906" s="114"/>
      <c r="AB906" s="113"/>
      <c r="AC906" s="105" t="s">
        <v>2269</v>
      </c>
      <c r="AD906" s="115" t="s">
        <v>107</v>
      </c>
    </row>
    <row r="907" spans="1:30" x14ac:dyDescent="0.2">
      <c r="A907" s="104" t="s">
        <v>2270</v>
      </c>
      <c r="B907" s="105" t="s">
        <v>805</v>
      </c>
      <c r="C907" s="105" t="s">
        <v>332</v>
      </c>
      <c r="D907" s="106"/>
      <c r="E907" s="107" t="s">
        <v>182</v>
      </c>
      <c r="F907" s="108" t="s">
        <v>47</v>
      </c>
      <c r="G907" s="113"/>
      <c r="H907" s="108" t="s">
        <v>47</v>
      </c>
      <c r="I907" s="114"/>
      <c r="J907" s="113"/>
      <c r="K907" s="108" t="s">
        <v>47</v>
      </c>
      <c r="L907" s="114"/>
      <c r="M907" s="113"/>
      <c r="N907" s="108" t="s">
        <v>47</v>
      </c>
      <c r="O907" s="114"/>
      <c r="P907" s="113"/>
      <c r="Q907" s="108" t="s">
        <v>47</v>
      </c>
      <c r="R907" s="114"/>
      <c r="S907" s="113"/>
      <c r="T907" s="108" t="s">
        <v>47</v>
      </c>
      <c r="U907" s="114"/>
      <c r="V907" s="113"/>
      <c r="W907" s="108" t="s">
        <v>47</v>
      </c>
      <c r="X907" s="114"/>
      <c r="Y907" s="113"/>
      <c r="Z907" s="108" t="s">
        <v>47</v>
      </c>
      <c r="AA907" s="114"/>
      <c r="AB907" s="113"/>
      <c r="AC907" s="105" t="s">
        <v>2271</v>
      </c>
      <c r="AD907" s="115" t="s">
        <v>107</v>
      </c>
    </row>
    <row r="908" spans="1:30" x14ac:dyDescent="0.2">
      <c r="A908" s="104" t="s">
        <v>2272</v>
      </c>
      <c r="B908" s="105" t="s">
        <v>805</v>
      </c>
      <c r="C908" s="105" t="s">
        <v>332</v>
      </c>
      <c r="D908" s="106"/>
      <c r="E908" s="107" t="s">
        <v>182</v>
      </c>
      <c r="F908" s="108" t="s">
        <v>11755</v>
      </c>
      <c r="G908" s="109">
        <v>4</v>
      </c>
      <c r="H908" s="108" t="s">
        <v>11756</v>
      </c>
      <c r="I908" s="112">
        <v>4</v>
      </c>
      <c r="J908" s="111" t="s">
        <v>55</v>
      </c>
      <c r="K908" s="108" t="s">
        <v>11757</v>
      </c>
      <c r="L908" s="112">
        <v>4</v>
      </c>
      <c r="M908" s="111" t="s">
        <v>46</v>
      </c>
      <c r="N908" s="108" t="s">
        <v>11755</v>
      </c>
      <c r="O908" s="112">
        <v>4</v>
      </c>
      <c r="P908" s="111" t="s">
        <v>55</v>
      </c>
      <c r="Q908" s="108" t="s">
        <v>11758</v>
      </c>
      <c r="R908" s="110">
        <v>3</v>
      </c>
      <c r="S908" s="111" t="s">
        <v>46</v>
      </c>
      <c r="T908" s="108" t="s">
        <v>47</v>
      </c>
      <c r="U908" s="114"/>
      <c r="V908" s="113"/>
      <c r="W908" s="108" t="s">
        <v>47</v>
      </c>
      <c r="X908" s="114"/>
      <c r="Y908" s="113"/>
      <c r="Z908" s="108" t="s">
        <v>47</v>
      </c>
      <c r="AA908" s="114"/>
      <c r="AB908" s="113"/>
      <c r="AC908" s="105" t="s">
        <v>2273</v>
      </c>
      <c r="AD908" s="115" t="s">
        <v>107</v>
      </c>
    </row>
    <row r="909" spans="1:30" x14ac:dyDescent="0.2">
      <c r="A909" s="104" t="s">
        <v>2274</v>
      </c>
      <c r="B909" s="105" t="s">
        <v>805</v>
      </c>
      <c r="C909" s="105" t="s">
        <v>2248</v>
      </c>
      <c r="D909" s="106"/>
      <c r="E909" s="107" t="s">
        <v>182</v>
      </c>
      <c r="F909" s="108" t="s">
        <v>11759</v>
      </c>
      <c r="G909" s="120">
        <v>2</v>
      </c>
      <c r="H909" s="108" t="s">
        <v>11760</v>
      </c>
      <c r="I909" s="112">
        <v>4</v>
      </c>
      <c r="J909" s="111" t="s">
        <v>44</v>
      </c>
      <c r="K909" s="108" t="s">
        <v>11761</v>
      </c>
      <c r="L909" s="117">
        <v>2</v>
      </c>
      <c r="M909" s="111" t="s">
        <v>46</v>
      </c>
      <c r="N909" s="108" t="s">
        <v>11759</v>
      </c>
      <c r="O909" s="117">
        <v>2</v>
      </c>
      <c r="P909" s="111" t="s">
        <v>46</v>
      </c>
      <c r="Q909" s="108" t="s">
        <v>11762</v>
      </c>
      <c r="R909" s="117">
        <v>2</v>
      </c>
      <c r="S909" s="113"/>
      <c r="T909" s="108" t="s">
        <v>47</v>
      </c>
      <c r="U909" s="114"/>
      <c r="V909" s="113"/>
      <c r="W909" s="108" t="s">
        <v>47</v>
      </c>
      <c r="X909" s="114"/>
      <c r="Y909" s="113"/>
      <c r="Z909" s="108" t="s">
        <v>47</v>
      </c>
      <c r="AA909" s="114"/>
      <c r="AB909" s="113"/>
      <c r="AC909" s="105" t="s">
        <v>2275</v>
      </c>
      <c r="AD909" s="115" t="s">
        <v>107</v>
      </c>
    </row>
    <row r="910" spans="1:30" x14ac:dyDescent="0.2">
      <c r="A910" s="104" t="s">
        <v>2276</v>
      </c>
      <c r="B910" s="105" t="s">
        <v>805</v>
      </c>
      <c r="C910" s="105" t="s">
        <v>332</v>
      </c>
      <c r="D910" s="106" t="s">
        <v>125</v>
      </c>
      <c r="E910" s="107" t="s">
        <v>182</v>
      </c>
      <c r="F910" s="108" t="s">
        <v>11763</v>
      </c>
      <c r="G910" s="109">
        <v>4</v>
      </c>
      <c r="H910" s="108" t="s">
        <v>11764</v>
      </c>
      <c r="I910" s="112">
        <v>4</v>
      </c>
      <c r="J910" s="111" t="s">
        <v>55</v>
      </c>
      <c r="K910" s="108" t="s">
        <v>11765</v>
      </c>
      <c r="L910" s="112">
        <v>4</v>
      </c>
      <c r="M910" s="111" t="s">
        <v>46</v>
      </c>
      <c r="N910" s="108" t="s">
        <v>11763</v>
      </c>
      <c r="O910" s="112">
        <v>4</v>
      </c>
      <c r="P910" s="111" t="s">
        <v>55</v>
      </c>
      <c r="Q910" s="108" t="s">
        <v>11766</v>
      </c>
      <c r="R910" s="110">
        <v>3</v>
      </c>
      <c r="S910" s="111" t="s">
        <v>46</v>
      </c>
      <c r="T910" s="108" t="s">
        <v>11767</v>
      </c>
      <c r="U910" s="117">
        <v>2</v>
      </c>
      <c r="V910" s="113"/>
      <c r="W910" s="108" t="s">
        <v>47</v>
      </c>
      <c r="X910" s="114"/>
      <c r="Y910" s="113"/>
      <c r="Z910" s="108" t="s">
        <v>47</v>
      </c>
      <c r="AA910" s="114"/>
      <c r="AB910" s="113"/>
      <c r="AC910" s="105" t="s">
        <v>2277</v>
      </c>
      <c r="AD910" s="115" t="s">
        <v>107</v>
      </c>
    </row>
    <row r="911" spans="1:30" x14ac:dyDescent="0.2">
      <c r="A911" s="104" t="s">
        <v>2278</v>
      </c>
      <c r="B911" s="105" t="s">
        <v>805</v>
      </c>
      <c r="C911" s="105" t="s">
        <v>332</v>
      </c>
      <c r="D911" s="106" t="s">
        <v>94</v>
      </c>
      <c r="E911" s="107" t="s">
        <v>146</v>
      </c>
      <c r="F911" s="108" t="s">
        <v>11768</v>
      </c>
      <c r="G911" s="109">
        <v>4</v>
      </c>
      <c r="H911" s="108" t="s">
        <v>11769</v>
      </c>
      <c r="I911" s="112">
        <v>4</v>
      </c>
      <c r="J911" s="111" t="s">
        <v>55</v>
      </c>
      <c r="K911" s="108" t="s">
        <v>11770</v>
      </c>
      <c r="L911" s="112">
        <v>4</v>
      </c>
      <c r="M911" s="111" t="s">
        <v>46</v>
      </c>
      <c r="N911" s="108" t="s">
        <v>11768</v>
      </c>
      <c r="O911" s="112">
        <v>4</v>
      </c>
      <c r="P911" s="111" t="s">
        <v>46</v>
      </c>
      <c r="Q911" s="108" t="s">
        <v>11771</v>
      </c>
      <c r="R911" s="112">
        <v>4</v>
      </c>
      <c r="S911" s="111" t="s">
        <v>46</v>
      </c>
      <c r="T911" s="108" t="s">
        <v>11772</v>
      </c>
      <c r="U911" s="117">
        <v>2</v>
      </c>
      <c r="V911" s="111" t="s">
        <v>46</v>
      </c>
      <c r="W911" s="108" t="s">
        <v>47</v>
      </c>
      <c r="X911" s="114"/>
      <c r="Y911" s="113"/>
      <c r="Z911" s="108" t="s">
        <v>47</v>
      </c>
      <c r="AA911" s="114"/>
      <c r="AB911" s="113"/>
      <c r="AC911" s="105" t="s">
        <v>2279</v>
      </c>
      <c r="AD911" s="115" t="s">
        <v>107</v>
      </c>
    </row>
    <row r="912" spans="1:30" x14ac:dyDescent="0.2">
      <c r="A912" s="104" t="s">
        <v>2280</v>
      </c>
      <c r="B912" s="105" t="s">
        <v>805</v>
      </c>
      <c r="C912" s="105" t="s">
        <v>332</v>
      </c>
      <c r="D912" s="106"/>
      <c r="E912" s="107" t="s">
        <v>146</v>
      </c>
      <c r="F912" s="108" t="s">
        <v>11773</v>
      </c>
      <c r="G912" s="109">
        <v>4</v>
      </c>
      <c r="H912" s="108" t="s">
        <v>11774</v>
      </c>
      <c r="I912" s="112">
        <v>4</v>
      </c>
      <c r="J912" s="111" t="s">
        <v>55</v>
      </c>
      <c r="K912" s="108" t="s">
        <v>11775</v>
      </c>
      <c r="L912" s="112">
        <v>4</v>
      </c>
      <c r="M912" s="111" t="s">
        <v>46</v>
      </c>
      <c r="N912" s="108" t="s">
        <v>11773</v>
      </c>
      <c r="O912" s="112">
        <v>4</v>
      </c>
      <c r="P912" s="111" t="s">
        <v>46</v>
      </c>
      <c r="Q912" s="108" t="s">
        <v>11776</v>
      </c>
      <c r="R912" s="112">
        <v>4</v>
      </c>
      <c r="S912" s="111" t="s">
        <v>46</v>
      </c>
      <c r="T912" s="108" t="s">
        <v>47</v>
      </c>
      <c r="U912" s="114"/>
      <c r="V912" s="113"/>
      <c r="W912" s="108" t="s">
        <v>47</v>
      </c>
      <c r="X912" s="114"/>
      <c r="Y912" s="113"/>
      <c r="Z912" s="108" t="s">
        <v>47</v>
      </c>
      <c r="AA912" s="114"/>
      <c r="AB912" s="113"/>
      <c r="AC912" s="105" t="s">
        <v>2281</v>
      </c>
      <c r="AD912" s="115" t="s">
        <v>107</v>
      </c>
    </row>
    <row r="913" spans="1:30" x14ac:dyDescent="0.2">
      <c r="A913" s="104" t="s">
        <v>11777</v>
      </c>
      <c r="B913" s="105" t="s">
        <v>805</v>
      </c>
      <c r="C913" s="105" t="s">
        <v>2248</v>
      </c>
      <c r="D913" s="106"/>
      <c r="E913" s="107" t="s">
        <v>99</v>
      </c>
      <c r="F913" s="108" t="s">
        <v>47</v>
      </c>
      <c r="G913" s="113"/>
      <c r="H913" s="108" t="s">
        <v>11778</v>
      </c>
      <c r="I913" s="110">
        <v>3</v>
      </c>
      <c r="J913" s="111" t="s">
        <v>55</v>
      </c>
      <c r="K913" s="108" t="s">
        <v>47</v>
      </c>
      <c r="L913" s="114"/>
      <c r="M913" s="113"/>
      <c r="N913" s="108" t="s">
        <v>47</v>
      </c>
      <c r="O913" s="114"/>
      <c r="P913" s="113"/>
      <c r="Q913" s="108" t="s">
        <v>47</v>
      </c>
      <c r="R913" s="114"/>
      <c r="S913" s="113"/>
      <c r="T913" s="108" t="s">
        <v>47</v>
      </c>
      <c r="U913" s="114"/>
      <c r="V913" s="113"/>
      <c r="W913" s="108" t="s">
        <v>47</v>
      </c>
      <c r="X913" s="114"/>
      <c r="Y913" s="113"/>
      <c r="Z913" s="108" t="s">
        <v>47</v>
      </c>
      <c r="AA913" s="114"/>
      <c r="AB913" s="113"/>
      <c r="AC913" s="105" t="s">
        <v>11779</v>
      </c>
      <c r="AD913" s="115" t="s">
        <v>107</v>
      </c>
    </row>
    <row r="914" spans="1:30" x14ac:dyDescent="0.2">
      <c r="A914" s="104" t="s">
        <v>2282</v>
      </c>
      <c r="B914" s="105" t="s">
        <v>805</v>
      </c>
      <c r="C914" s="105" t="s">
        <v>332</v>
      </c>
      <c r="D914" s="106" t="s">
        <v>94</v>
      </c>
      <c r="E914" s="107" t="s">
        <v>146</v>
      </c>
      <c r="F914" s="108" t="s">
        <v>11780</v>
      </c>
      <c r="G914" s="109">
        <v>4</v>
      </c>
      <c r="H914" s="108" t="s">
        <v>11781</v>
      </c>
      <c r="I914" s="112">
        <v>4</v>
      </c>
      <c r="J914" s="111" t="s">
        <v>55</v>
      </c>
      <c r="K914" s="108" t="s">
        <v>11782</v>
      </c>
      <c r="L914" s="112">
        <v>4</v>
      </c>
      <c r="M914" s="111" t="s">
        <v>46</v>
      </c>
      <c r="N914" s="108" t="s">
        <v>11780</v>
      </c>
      <c r="O914" s="112">
        <v>4</v>
      </c>
      <c r="P914" s="111" t="s">
        <v>46</v>
      </c>
      <c r="Q914" s="108" t="s">
        <v>11783</v>
      </c>
      <c r="R914" s="112">
        <v>4</v>
      </c>
      <c r="S914" s="111" t="s">
        <v>46</v>
      </c>
      <c r="T914" s="108" t="s">
        <v>11784</v>
      </c>
      <c r="U914" s="117">
        <v>2</v>
      </c>
      <c r="V914" s="111" t="s">
        <v>46</v>
      </c>
      <c r="W914" s="108" t="s">
        <v>47</v>
      </c>
      <c r="X914" s="114"/>
      <c r="Y914" s="113"/>
      <c r="Z914" s="108" t="s">
        <v>47</v>
      </c>
      <c r="AA914" s="114"/>
      <c r="AB914" s="113"/>
      <c r="AC914" s="105" t="s">
        <v>2283</v>
      </c>
      <c r="AD914" s="115" t="s">
        <v>107</v>
      </c>
    </row>
    <row r="915" spans="1:30" x14ac:dyDescent="0.2">
      <c r="A915" s="104" t="s">
        <v>2284</v>
      </c>
      <c r="B915" s="105" t="s">
        <v>805</v>
      </c>
      <c r="C915" s="105" t="s">
        <v>332</v>
      </c>
      <c r="D915" s="106" t="s">
        <v>94</v>
      </c>
      <c r="E915" s="107" t="s">
        <v>146</v>
      </c>
      <c r="F915" s="108" t="s">
        <v>11785</v>
      </c>
      <c r="G915" s="109">
        <v>4</v>
      </c>
      <c r="H915" s="108" t="s">
        <v>11786</v>
      </c>
      <c r="I915" s="112">
        <v>4</v>
      </c>
      <c r="J915" s="111" t="s">
        <v>55</v>
      </c>
      <c r="K915" s="108" t="s">
        <v>11787</v>
      </c>
      <c r="L915" s="112">
        <v>4</v>
      </c>
      <c r="M915" s="111" t="s">
        <v>46</v>
      </c>
      <c r="N915" s="108" t="s">
        <v>11785</v>
      </c>
      <c r="O915" s="112">
        <v>4</v>
      </c>
      <c r="P915" s="111" t="s">
        <v>46</v>
      </c>
      <c r="Q915" s="108" t="s">
        <v>11788</v>
      </c>
      <c r="R915" s="112">
        <v>4</v>
      </c>
      <c r="S915" s="111" t="s">
        <v>46</v>
      </c>
      <c r="T915" s="108" t="s">
        <v>11789</v>
      </c>
      <c r="U915" s="117">
        <v>2</v>
      </c>
      <c r="V915" s="111" t="s">
        <v>46</v>
      </c>
      <c r="W915" s="108" t="s">
        <v>47</v>
      </c>
      <c r="X915" s="114"/>
      <c r="Y915" s="113"/>
      <c r="Z915" s="108" t="s">
        <v>47</v>
      </c>
      <c r="AA915" s="114"/>
      <c r="AB915" s="113"/>
      <c r="AC915" s="105" t="s">
        <v>2285</v>
      </c>
      <c r="AD915" s="115" t="s">
        <v>107</v>
      </c>
    </row>
    <row r="916" spans="1:30" x14ac:dyDescent="0.2">
      <c r="A916" s="104" t="s">
        <v>2286</v>
      </c>
      <c r="B916" s="105" t="s">
        <v>805</v>
      </c>
      <c r="C916" s="105" t="s">
        <v>332</v>
      </c>
      <c r="D916" s="106" t="s">
        <v>94</v>
      </c>
      <c r="E916" s="107" t="s">
        <v>146</v>
      </c>
      <c r="F916" s="108" t="s">
        <v>11790</v>
      </c>
      <c r="G916" s="109">
        <v>4</v>
      </c>
      <c r="H916" s="108" t="s">
        <v>11791</v>
      </c>
      <c r="I916" s="112">
        <v>4</v>
      </c>
      <c r="J916" s="111" t="s">
        <v>55</v>
      </c>
      <c r="K916" s="108" t="s">
        <v>11792</v>
      </c>
      <c r="L916" s="112">
        <v>4</v>
      </c>
      <c r="M916" s="111" t="s">
        <v>46</v>
      </c>
      <c r="N916" s="108" t="s">
        <v>11790</v>
      </c>
      <c r="O916" s="112">
        <v>4</v>
      </c>
      <c r="P916" s="113"/>
      <c r="Q916" s="108" t="s">
        <v>11793</v>
      </c>
      <c r="R916" s="112">
        <v>4</v>
      </c>
      <c r="S916" s="113"/>
      <c r="T916" s="108" t="s">
        <v>11794</v>
      </c>
      <c r="U916" s="117">
        <v>2</v>
      </c>
      <c r="V916" s="113"/>
      <c r="W916" s="108" t="s">
        <v>47</v>
      </c>
      <c r="X916" s="114"/>
      <c r="Y916" s="113"/>
      <c r="Z916" s="108" t="s">
        <v>47</v>
      </c>
      <c r="AA916" s="114"/>
      <c r="AB916" s="113"/>
      <c r="AC916" s="105" t="s">
        <v>2287</v>
      </c>
      <c r="AD916" s="115" t="s">
        <v>107</v>
      </c>
    </row>
    <row r="917" spans="1:30" x14ac:dyDescent="0.2">
      <c r="A917" s="104" t="s">
        <v>2288</v>
      </c>
      <c r="B917" s="105" t="s">
        <v>805</v>
      </c>
      <c r="C917" s="105" t="s">
        <v>332</v>
      </c>
      <c r="D917" s="106" t="s">
        <v>514</v>
      </c>
      <c r="E917" s="107" t="s">
        <v>146</v>
      </c>
      <c r="F917" s="108" t="s">
        <v>11795</v>
      </c>
      <c r="G917" s="109">
        <v>4</v>
      </c>
      <c r="H917" s="108" t="s">
        <v>11796</v>
      </c>
      <c r="I917" s="112">
        <v>4</v>
      </c>
      <c r="J917" s="111" t="s">
        <v>55</v>
      </c>
      <c r="K917" s="108" t="s">
        <v>11797</v>
      </c>
      <c r="L917" s="110">
        <v>3</v>
      </c>
      <c r="M917" s="113"/>
      <c r="N917" s="108" t="s">
        <v>11795</v>
      </c>
      <c r="O917" s="112">
        <v>4</v>
      </c>
      <c r="P917" s="111" t="s">
        <v>46</v>
      </c>
      <c r="Q917" s="108" t="s">
        <v>11798</v>
      </c>
      <c r="R917" s="112">
        <v>4</v>
      </c>
      <c r="S917" s="111" t="s">
        <v>46</v>
      </c>
      <c r="T917" s="108" t="s">
        <v>11799</v>
      </c>
      <c r="U917" s="116">
        <v>1</v>
      </c>
      <c r="V917" s="113"/>
      <c r="W917" s="108" t="s">
        <v>47</v>
      </c>
      <c r="X917" s="114"/>
      <c r="Y917" s="113"/>
      <c r="Z917" s="108" t="s">
        <v>47</v>
      </c>
      <c r="AA917" s="114"/>
      <c r="AB917" s="113"/>
      <c r="AC917" s="105" t="s">
        <v>2289</v>
      </c>
      <c r="AD917" s="115" t="s">
        <v>107</v>
      </c>
    </row>
    <row r="918" spans="1:30" x14ac:dyDescent="0.2">
      <c r="A918" s="104" t="s">
        <v>2290</v>
      </c>
      <c r="B918" s="105" t="s">
        <v>805</v>
      </c>
      <c r="C918" s="105" t="s">
        <v>2248</v>
      </c>
      <c r="D918" s="106"/>
      <c r="E918" s="107" t="s">
        <v>99</v>
      </c>
      <c r="F918" s="108" t="s">
        <v>47</v>
      </c>
      <c r="G918" s="113"/>
      <c r="H918" s="108" t="s">
        <v>47</v>
      </c>
      <c r="I918" s="114"/>
      <c r="J918" s="113"/>
      <c r="K918" s="108" t="s">
        <v>47</v>
      </c>
      <c r="L918" s="114"/>
      <c r="M918" s="113"/>
      <c r="N918" s="108" t="s">
        <v>47</v>
      </c>
      <c r="O918" s="114"/>
      <c r="P918" s="113"/>
      <c r="Q918" s="108" t="s">
        <v>47</v>
      </c>
      <c r="R918" s="114"/>
      <c r="S918" s="113"/>
      <c r="T918" s="108" t="s">
        <v>47</v>
      </c>
      <c r="U918" s="114"/>
      <c r="V918" s="113"/>
      <c r="W918" s="108" t="s">
        <v>47</v>
      </c>
      <c r="X918" s="114"/>
      <c r="Y918" s="113"/>
      <c r="Z918" s="108" t="s">
        <v>47</v>
      </c>
      <c r="AA918" s="114"/>
      <c r="AB918" s="113"/>
      <c r="AC918" s="105" t="s">
        <v>2291</v>
      </c>
      <c r="AD918" s="115" t="s">
        <v>107</v>
      </c>
    </row>
    <row r="919" spans="1:30" x14ac:dyDescent="0.2">
      <c r="A919" s="104" t="s">
        <v>2292</v>
      </c>
      <c r="B919" s="105" t="s">
        <v>805</v>
      </c>
      <c r="C919" s="105" t="s">
        <v>332</v>
      </c>
      <c r="D919" s="106" t="s">
        <v>514</v>
      </c>
      <c r="E919" s="107" t="s">
        <v>146</v>
      </c>
      <c r="F919" s="108" t="s">
        <v>11800</v>
      </c>
      <c r="G919" s="109">
        <v>4</v>
      </c>
      <c r="H919" s="108" t="s">
        <v>11801</v>
      </c>
      <c r="I919" s="112">
        <v>4</v>
      </c>
      <c r="J919" s="111" t="s">
        <v>55</v>
      </c>
      <c r="K919" s="108" t="s">
        <v>11802</v>
      </c>
      <c r="L919" s="110">
        <v>3</v>
      </c>
      <c r="M919" s="113"/>
      <c r="N919" s="108" t="s">
        <v>11800</v>
      </c>
      <c r="O919" s="112">
        <v>4</v>
      </c>
      <c r="P919" s="111" t="s">
        <v>46</v>
      </c>
      <c r="Q919" s="108" t="s">
        <v>11803</v>
      </c>
      <c r="R919" s="112">
        <v>4</v>
      </c>
      <c r="S919" s="111" t="s">
        <v>46</v>
      </c>
      <c r="T919" s="108" t="s">
        <v>11804</v>
      </c>
      <c r="U919" s="116">
        <v>1</v>
      </c>
      <c r="V919" s="113"/>
      <c r="W919" s="108" t="s">
        <v>47</v>
      </c>
      <c r="X919" s="114"/>
      <c r="Y919" s="113"/>
      <c r="Z919" s="108" t="s">
        <v>47</v>
      </c>
      <c r="AA919" s="114"/>
      <c r="AB919" s="113"/>
      <c r="AC919" s="105" t="s">
        <v>2293</v>
      </c>
      <c r="AD919" s="115" t="s">
        <v>107</v>
      </c>
    </row>
    <row r="920" spans="1:30" x14ac:dyDescent="0.2">
      <c r="A920" s="104" t="s">
        <v>2294</v>
      </c>
      <c r="B920" s="105" t="s">
        <v>805</v>
      </c>
      <c r="C920" s="105" t="s">
        <v>2248</v>
      </c>
      <c r="D920" s="106"/>
      <c r="E920" s="107" t="s">
        <v>99</v>
      </c>
      <c r="F920" s="108" t="s">
        <v>11805</v>
      </c>
      <c r="G920" s="120">
        <v>2</v>
      </c>
      <c r="H920" s="108" t="s">
        <v>11806</v>
      </c>
      <c r="I920" s="110">
        <v>3</v>
      </c>
      <c r="J920" s="111" t="s">
        <v>55</v>
      </c>
      <c r="K920" s="108" t="s">
        <v>11807</v>
      </c>
      <c r="L920" s="116">
        <v>1</v>
      </c>
      <c r="M920" s="113"/>
      <c r="N920" s="108" t="s">
        <v>11805</v>
      </c>
      <c r="O920" s="117">
        <v>2</v>
      </c>
      <c r="P920" s="111" t="s">
        <v>46</v>
      </c>
      <c r="Q920" s="108" t="s">
        <v>11808</v>
      </c>
      <c r="R920" s="110">
        <v>3</v>
      </c>
      <c r="S920" s="113"/>
      <c r="T920" s="108" t="s">
        <v>11809</v>
      </c>
      <c r="U920" s="110">
        <v>3</v>
      </c>
      <c r="V920" s="113"/>
      <c r="W920" s="108" t="s">
        <v>47</v>
      </c>
      <c r="X920" s="114"/>
      <c r="Y920" s="113"/>
      <c r="Z920" s="108" t="s">
        <v>47</v>
      </c>
      <c r="AA920" s="114"/>
      <c r="AB920" s="113"/>
      <c r="AC920" s="105" t="s">
        <v>2295</v>
      </c>
      <c r="AD920" s="115" t="s">
        <v>107</v>
      </c>
    </row>
    <row r="921" spans="1:30" x14ac:dyDescent="0.2">
      <c r="A921" s="104" t="s">
        <v>11810</v>
      </c>
      <c r="B921" s="105" t="s">
        <v>805</v>
      </c>
      <c r="C921" s="105" t="s">
        <v>2248</v>
      </c>
      <c r="D921" s="106"/>
      <c r="E921" s="107" t="s">
        <v>99</v>
      </c>
      <c r="F921" s="108" t="s">
        <v>47</v>
      </c>
      <c r="G921" s="113"/>
      <c r="H921" s="108" t="s">
        <v>47</v>
      </c>
      <c r="I921" s="114"/>
      <c r="J921" s="113"/>
      <c r="K921" s="108" t="s">
        <v>47</v>
      </c>
      <c r="L921" s="114"/>
      <c r="M921" s="113"/>
      <c r="N921" s="108" t="s">
        <v>47</v>
      </c>
      <c r="O921" s="114"/>
      <c r="P921" s="113"/>
      <c r="Q921" s="108" t="s">
        <v>47</v>
      </c>
      <c r="R921" s="114"/>
      <c r="S921" s="113"/>
      <c r="T921" s="108" t="s">
        <v>47</v>
      </c>
      <c r="U921" s="114"/>
      <c r="V921" s="113"/>
      <c r="W921" s="108" t="s">
        <v>47</v>
      </c>
      <c r="X921" s="114"/>
      <c r="Y921" s="113"/>
      <c r="Z921" s="108" t="s">
        <v>47</v>
      </c>
      <c r="AA921" s="114"/>
      <c r="AB921" s="113"/>
      <c r="AC921" s="105" t="s">
        <v>11811</v>
      </c>
      <c r="AD921" s="115" t="s">
        <v>107</v>
      </c>
    </row>
    <row r="922" spans="1:30" x14ac:dyDescent="0.2">
      <c r="A922" s="104" t="s">
        <v>2296</v>
      </c>
      <c r="B922" s="105" t="s">
        <v>805</v>
      </c>
      <c r="C922" s="105" t="s">
        <v>332</v>
      </c>
      <c r="D922" s="106" t="s">
        <v>94</v>
      </c>
      <c r="E922" s="107" t="s">
        <v>146</v>
      </c>
      <c r="F922" s="108" t="s">
        <v>11812</v>
      </c>
      <c r="G922" s="109">
        <v>4</v>
      </c>
      <c r="H922" s="108" t="s">
        <v>11813</v>
      </c>
      <c r="I922" s="112">
        <v>4</v>
      </c>
      <c r="J922" s="111" t="s">
        <v>55</v>
      </c>
      <c r="K922" s="108" t="s">
        <v>11814</v>
      </c>
      <c r="L922" s="112">
        <v>4</v>
      </c>
      <c r="M922" s="111" t="s">
        <v>46</v>
      </c>
      <c r="N922" s="108" t="s">
        <v>11812</v>
      </c>
      <c r="O922" s="112">
        <v>4</v>
      </c>
      <c r="P922" s="111" t="s">
        <v>46</v>
      </c>
      <c r="Q922" s="108" t="s">
        <v>11815</v>
      </c>
      <c r="R922" s="112">
        <v>4</v>
      </c>
      <c r="S922" s="113"/>
      <c r="T922" s="108" t="s">
        <v>11816</v>
      </c>
      <c r="U922" s="117">
        <v>2</v>
      </c>
      <c r="V922" s="111" t="s">
        <v>46</v>
      </c>
      <c r="W922" s="108" t="s">
        <v>47</v>
      </c>
      <c r="X922" s="114"/>
      <c r="Y922" s="113"/>
      <c r="Z922" s="108" t="s">
        <v>47</v>
      </c>
      <c r="AA922" s="114"/>
      <c r="AB922" s="113"/>
      <c r="AC922" s="105" t="s">
        <v>2297</v>
      </c>
      <c r="AD922" s="115" t="s">
        <v>107</v>
      </c>
    </row>
    <row r="923" spans="1:30" x14ac:dyDescent="0.2">
      <c r="A923" s="104" t="s">
        <v>2298</v>
      </c>
      <c r="B923" s="105" t="s">
        <v>805</v>
      </c>
      <c r="C923" s="105" t="s">
        <v>2299</v>
      </c>
      <c r="D923" s="106"/>
      <c r="E923" s="107" t="s">
        <v>146</v>
      </c>
      <c r="F923" s="108" t="s">
        <v>11817</v>
      </c>
      <c r="G923" s="109">
        <v>4</v>
      </c>
      <c r="H923" s="108" t="s">
        <v>11818</v>
      </c>
      <c r="I923" s="112">
        <v>4</v>
      </c>
      <c r="J923" s="113"/>
      <c r="K923" s="108" t="s">
        <v>11819</v>
      </c>
      <c r="L923" s="112">
        <v>4</v>
      </c>
      <c r="M923" s="111" t="s">
        <v>46</v>
      </c>
      <c r="N923" s="108" t="s">
        <v>11817</v>
      </c>
      <c r="O923" s="112">
        <v>4</v>
      </c>
      <c r="P923" s="113"/>
      <c r="Q923" s="108" t="s">
        <v>11820</v>
      </c>
      <c r="R923" s="112">
        <v>4</v>
      </c>
      <c r="S923" s="113"/>
      <c r="T923" s="108" t="s">
        <v>47</v>
      </c>
      <c r="U923" s="114"/>
      <c r="V923" s="113"/>
      <c r="W923" s="108" t="s">
        <v>47</v>
      </c>
      <c r="X923" s="114"/>
      <c r="Y923" s="113"/>
      <c r="Z923" s="108" t="s">
        <v>47</v>
      </c>
      <c r="AA923" s="114"/>
      <c r="AB923" s="113"/>
      <c r="AC923" s="105" t="s">
        <v>2300</v>
      </c>
      <c r="AD923" s="115" t="s">
        <v>107</v>
      </c>
    </row>
    <row r="924" spans="1:30" x14ac:dyDescent="0.2">
      <c r="A924" s="104" t="s">
        <v>2301</v>
      </c>
      <c r="B924" s="105" t="s">
        <v>805</v>
      </c>
      <c r="C924" s="105" t="s">
        <v>2299</v>
      </c>
      <c r="D924" s="106"/>
      <c r="E924" s="107" t="s">
        <v>146</v>
      </c>
      <c r="F924" s="108" t="s">
        <v>11821</v>
      </c>
      <c r="G924" s="109">
        <v>4</v>
      </c>
      <c r="H924" s="108" t="s">
        <v>11822</v>
      </c>
      <c r="I924" s="112">
        <v>4</v>
      </c>
      <c r="J924" s="111" t="s">
        <v>46</v>
      </c>
      <c r="K924" s="108" t="s">
        <v>11823</v>
      </c>
      <c r="L924" s="110">
        <v>3</v>
      </c>
      <c r="M924" s="113"/>
      <c r="N924" s="108" t="s">
        <v>11821</v>
      </c>
      <c r="O924" s="112">
        <v>4</v>
      </c>
      <c r="P924" s="111" t="s">
        <v>46</v>
      </c>
      <c r="Q924" s="108" t="s">
        <v>11824</v>
      </c>
      <c r="R924" s="112">
        <v>4</v>
      </c>
      <c r="S924" s="113"/>
      <c r="T924" s="108" t="s">
        <v>47</v>
      </c>
      <c r="U924" s="114"/>
      <c r="V924" s="113"/>
      <c r="W924" s="108" t="s">
        <v>47</v>
      </c>
      <c r="X924" s="114"/>
      <c r="Y924" s="113"/>
      <c r="Z924" s="108" t="s">
        <v>47</v>
      </c>
      <c r="AA924" s="114"/>
      <c r="AB924" s="113"/>
      <c r="AC924" s="105" t="s">
        <v>2302</v>
      </c>
      <c r="AD924" s="115" t="s">
        <v>107</v>
      </c>
    </row>
    <row r="925" spans="1:30" x14ac:dyDescent="0.2">
      <c r="A925" s="104" t="s">
        <v>2303</v>
      </c>
      <c r="B925" s="105" t="s">
        <v>805</v>
      </c>
      <c r="C925" s="105" t="s">
        <v>2304</v>
      </c>
      <c r="D925" s="106" t="s">
        <v>125</v>
      </c>
      <c r="E925" s="107" t="s">
        <v>99</v>
      </c>
      <c r="F925" s="108" t="s">
        <v>11825</v>
      </c>
      <c r="G925" s="109">
        <v>4</v>
      </c>
      <c r="H925" s="108" t="s">
        <v>11826</v>
      </c>
      <c r="I925" s="112">
        <v>4</v>
      </c>
      <c r="J925" s="111" t="s">
        <v>46</v>
      </c>
      <c r="K925" s="108" t="s">
        <v>11827</v>
      </c>
      <c r="L925" s="112">
        <v>4</v>
      </c>
      <c r="M925" s="113"/>
      <c r="N925" s="108" t="s">
        <v>11825</v>
      </c>
      <c r="O925" s="112">
        <v>4</v>
      </c>
      <c r="P925" s="113"/>
      <c r="Q925" s="108" t="s">
        <v>2305</v>
      </c>
      <c r="R925" s="112">
        <v>4</v>
      </c>
      <c r="S925" s="113"/>
      <c r="T925" s="108" t="s">
        <v>11828</v>
      </c>
      <c r="U925" s="112">
        <v>4</v>
      </c>
      <c r="V925" s="113"/>
      <c r="W925" s="108" t="s">
        <v>11829</v>
      </c>
      <c r="X925" s="110">
        <v>3</v>
      </c>
      <c r="Y925" s="113"/>
      <c r="Z925" s="108" t="s">
        <v>11830</v>
      </c>
      <c r="AA925" s="110">
        <v>3</v>
      </c>
      <c r="AB925" s="113"/>
      <c r="AC925" s="105" t="s">
        <v>2306</v>
      </c>
      <c r="AD925" s="115" t="s">
        <v>107</v>
      </c>
    </row>
    <row r="926" spans="1:30" x14ac:dyDescent="0.2">
      <c r="A926" s="104" t="s">
        <v>2307</v>
      </c>
      <c r="B926" s="105" t="s">
        <v>805</v>
      </c>
      <c r="C926" s="105" t="s">
        <v>2304</v>
      </c>
      <c r="D926" s="106" t="s">
        <v>125</v>
      </c>
      <c r="E926" s="107" t="s">
        <v>99</v>
      </c>
      <c r="F926" s="108" t="s">
        <v>11831</v>
      </c>
      <c r="G926" s="109">
        <v>4</v>
      </c>
      <c r="H926" s="108" t="s">
        <v>11832</v>
      </c>
      <c r="I926" s="112">
        <v>4</v>
      </c>
      <c r="J926" s="111" t="s">
        <v>46</v>
      </c>
      <c r="K926" s="108" t="s">
        <v>11833</v>
      </c>
      <c r="L926" s="112">
        <v>4</v>
      </c>
      <c r="M926" s="113"/>
      <c r="N926" s="108" t="s">
        <v>11831</v>
      </c>
      <c r="O926" s="112">
        <v>4</v>
      </c>
      <c r="P926" s="113"/>
      <c r="Q926" s="108" t="s">
        <v>11834</v>
      </c>
      <c r="R926" s="112">
        <v>4</v>
      </c>
      <c r="S926" s="113"/>
      <c r="T926" s="108" t="s">
        <v>11835</v>
      </c>
      <c r="U926" s="112">
        <v>4</v>
      </c>
      <c r="V926" s="113"/>
      <c r="W926" s="108" t="s">
        <v>47</v>
      </c>
      <c r="X926" s="114"/>
      <c r="Y926" s="113"/>
      <c r="Z926" s="108" t="s">
        <v>47</v>
      </c>
      <c r="AA926" s="114"/>
      <c r="AB926" s="113"/>
      <c r="AC926" s="105" t="s">
        <v>2308</v>
      </c>
      <c r="AD926" s="115" t="s">
        <v>107</v>
      </c>
    </row>
    <row r="927" spans="1:30" x14ac:dyDescent="0.2">
      <c r="A927" s="104" t="s">
        <v>2309</v>
      </c>
      <c r="B927" s="105" t="s">
        <v>805</v>
      </c>
      <c r="C927" s="105" t="s">
        <v>2304</v>
      </c>
      <c r="D927" s="106" t="s">
        <v>125</v>
      </c>
      <c r="E927" s="107" t="s">
        <v>99</v>
      </c>
      <c r="F927" s="108" t="s">
        <v>11836</v>
      </c>
      <c r="G927" s="109">
        <v>4</v>
      </c>
      <c r="H927" s="108" t="s">
        <v>11837</v>
      </c>
      <c r="I927" s="112">
        <v>4</v>
      </c>
      <c r="J927" s="111" t="s">
        <v>46</v>
      </c>
      <c r="K927" s="108" t="s">
        <v>11838</v>
      </c>
      <c r="L927" s="112">
        <v>4</v>
      </c>
      <c r="M927" s="113"/>
      <c r="N927" s="108" t="s">
        <v>11836</v>
      </c>
      <c r="O927" s="112">
        <v>4</v>
      </c>
      <c r="P927" s="113"/>
      <c r="Q927" s="108" t="s">
        <v>11839</v>
      </c>
      <c r="R927" s="112">
        <v>4</v>
      </c>
      <c r="S927" s="111" t="s">
        <v>46</v>
      </c>
      <c r="T927" s="108" t="s">
        <v>11840</v>
      </c>
      <c r="U927" s="112">
        <v>4</v>
      </c>
      <c r="V927" s="113"/>
      <c r="W927" s="108" t="s">
        <v>11841</v>
      </c>
      <c r="X927" s="110">
        <v>3</v>
      </c>
      <c r="Y927" s="113"/>
      <c r="Z927" s="108" t="s">
        <v>47</v>
      </c>
      <c r="AA927" s="114"/>
      <c r="AB927" s="113"/>
      <c r="AC927" s="105" t="s">
        <v>2310</v>
      </c>
      <c r="AD927" s="115" t="s">
        <v>107</v>
      </c>
    </row>
    <row r="928" spans="1:30" x14ac:dyDescent="0.2">
      <c r="A928" s="104" t="s">
        <v>2311</v>
      </c>
      <c r="B928" s="105" t="s">
        <v>805</v>
      </c>
      <c r="C928" s="105" t="s">
        <v>2304</v>
      </c>
      <c r="D928" s="106" t="s">
        <v>125</v>
      </c>
      <c r="E928" s="107" t="s">
        <v>99</v>
      </c>
      <c r="F928" s="108" t="s">
        <v>11842</v>
      </c>
      <c r="G928" s="109">
        <v>4</v>
      </c>
      <c r="H928" s="108" t="s">
        <v>11843</v>
      </c>
      <c r="I928" s="112">
        <v>4</v>
      </c>
      <c r="J928" s="111" t="s">
        <v>46</v>
      </c>
      <c r="K928" s="108" t="s">
        <v>11844</v>
      </c>
      <c r="L928" s="112">
        <v>4</v>
      </c>
      <c r="M928" s="113"/>
      <c r="N928" s="108" t="s">
        <v>11842</v>
      </c>
      <c r="O928" s="112">
        <v>4</v>
      </c>
      <c r="P928" s="113"/>
      <c r="Q928" s="108" t="s">
        <v>11845</v>
      </c>
      <c r="R928" s="112">
        <v>4</v>
      </c>
      <c r="S928" s="113"/>
      <c r="T928" s="108" t="s">
        <v>11846</v>
      </c>
      <c r="U928" s="110">
        <v>3</v>
      </c>
      <c r="V928" s="113"/>
      <c r="W928" s="108" t="s">
        <v>11847</v>
      </c>
      <c r="X928" s="110">
        <v>3</v>
      </c>
      <c r="Y928" s="111" t="s">
        <v>46</v>
      </c>
      <c r="Z928" s="108" t="s">
        <v>47</v>
      </c>
      <c r="AA928" s="114"/>
      <c r="AB928" s="113"/>
      <c r="AC928" s="105" t="s">
        <v>2312</v>
      </c>
      <c r="AD928" s="115" t="s">
        <v>107</v>
      </c>
    </row>
    <row r="929" spans="1:30" x14ac:dyDescent="0.2">
      <c r="A929" s="104" t="s">
        <v>2313</v>
      </c>
      <c r="B929" s="105" t="s">
        <v>805</v>
      </c>
      <c r="C929" s="105" t="s">
        <v>2304</v>
      </c>
      <c r="D929" s="106" t="s">
        <v>125</v>
      </c>
      <c r="E929" s="107" t="s">
        <v>99</v>
      </c>
      <c r="F929" s="108" t="s">
        <v>11848</v>
      </c>
      <c r="G929" s="109">
        <v>4</v>
      </c>
      <c r="H929" s="108" t="s">
        <v>11849</v>
      </c>
      <c r="I929" s="112">
        <v>4</v>
      </c>
      <c r="J929" s="111" t="s">
        <v>46</v>
      </c>
      <c r="K929" s="108" t="s">
        <v>11850</v>
      </c>
      <c r="L929" s="112">
        <v>4</v>
      </c>
      <c r="M929" s="113"/>
      <c r="N929" s="108" t="s">
        <v>11848</v>
      </c>
      <c r="O929" s="112">
        <v>4</v>
      </c>
      <c r="P929" s="113"/>
      <c r="Q929" s="108" t="s">
        <v>11851</v>
      </c>
      <c r="R929" s="112">
        <v>4</v>
      </c>
      <c r="S929" s="113"/>
      <c r="T929" s="108" t="s">
        <v>11852</v>
      </c>
      <c r="U929" s="112">
        <v>4</v>
      </c>
      <c r="V929" s="113"/>
      <c r="W929" s="108" t="s">
        <v>11853</v>
      </c>
      <c r="X929" s="110">
        <v>3</v>
      </c>
      <c r="Y929" s="113"/>
      <c r="Z929" s="108" t="s">
        <v>2314</v>
      </c>
      <c r="AA929" s="110">
        <v>3</v>
      </c>
      <c r="AB929" s="113"/>
      <c r="AC929" s="105" t="s">
        <v>2315</v>
      </c>
      <c r="AD929" s="115" t="s">
        <v>107</v>
      </c>
    </row>
    <row r="930" spans="1:30" x14ac:dyDescent="0.2">
      <c r="A930" s="104" t="s">
        <v>2316</v>
      </c>
      <c r="B930" s="105" t="s">
        <v>805</v>
      </c>
      <c r="C930" s="105" t="s">
        <v>2304</v>
      </c>
      <c r="D930" s="106" t="s">
        <v>125</v>
      </c>
      <c r="E930" s="107" t="s">
        <v>99</v>
      </c>
      <c r="F930" s="108" t="s">
        <v>11854</v>
      </c>
      <c r="G930" s="109">
        <v>4</v>
      </c>
      <c r="H930" s="108" t="s">
        <v>11855</v>
      </c>
      <c r="I930" s="112">
        <v>4</v>
      </c>
      <c r="J930" s="111" t="s">
        <v>46</v>
      </c>
      <c r="K930" s="108" t="s">
        <v>11856</v>
      </c>
      <c r="L930" s="112">
        <v>4</v>
      </c>
      <c r="M930" s="113"/>
      <c r="N930" s="108" t="s">
        <v>11854</v>
      </c>
      <c r="O930" s="112">
        <v>4</v>
      </c>
      <c r="P930" s="113"/>
      <c r="Q930" s="108" t="s">
        <v>11857</v>
      </c>
      <c r="R930" s="112">
        <v>4</v>
      </c>
      <c r="S930" s="111" t="s">
        <v>46</v>
      </c>
      <c r="T930" s="108" t="s">
        <v>8872</v>
      </c>
      <c r="U930" s="112">
        <v>4</v>
      </c>
      <c r="V930" s="113"/>
      <c r="W930" s="108" t="s">
        <v>11858</v>
      </c>
      <c r="X930" s="110">
        <v>3</v>
      </c>
      <c r="Y930" s="113"/>
      <c r="Z930" s="108" t="s">
        <v>11859</v>
      </c>
      <c r="AA930" s="110">
        <v>3</v>
      </c>
      <c r="AB930" s="111" t="s">
        <v>46</v>
      </c>
      <c r="AC930" s="105" t="s">
        <v>2317</v>
      </c>
      <c r="AD930" s="115" t="s">
        <v>107</v>
      </c>
    </row>
    <row r="931" spans="1:30" x14ac:dyDescent="0.2">
      <c r="A931" s="104" t="s">
        <v>2318</v>
      </c>
      <c r="B931" s="105" t="s">
        <v>805</v>
      </c>
      <c r="C931" s="105" t="s">
        <v>2304</v>
      </c>
      <c r="D931" s="106" t="s">
        <v>105</v>
      </c>
      <c r="E931" s="107" t="s">
        <v>99</v>
      </c>
      <c r="F931" s="108" t="s">
        <v>11860</v>
      </c>
      <c r="G931" s="109">
        <v>4</v>
      </c>
      <c r="H931" s="108" t="s">
        <v>11861</v>
      </c>
      <c r="I931" s="112">
        <v>4</v>
      </c>
      <c r="J931" s="111" t="s">
        <v>46</v>
      </c>
      <c r="K931" s="108" t="s">
        <v>11862</v>
      </c>
      <c r="L931" s="112">
        <v>4</v>
      </c>
      <c r="M931" s="113"/>
      <c r="N931" s="108" t="s">
        <v>11860</v>
      </c>
      <c r="O931" s="112">
        <v>4</v>
      </c>
      <c r="P931" s="113"/>
      <c r="Q931" s="108" t="s">
        <v>11863</v>
      </c>
      <c r="R931" s="112">
        <v>4</v>
      </c>
      <c r="S931" s="113"/>
      <c r="T931" s="108" t="s">
        <v>11864</v>
      </c>
      <c r="U931" s="112">
        <v>4</v>
      </c>
      <c r="V931" s="113"/>
      <c r="W931" s="108" t="s">
        <v>11865</v>
      </c>
      <c r="X931" s="110">
        <v>3</v>
      </c>
      <c r="Y931" s="113"/>
      <c r="Z931" s="108" t="s">
        <v>2319</v>
      </c>
      <c r="AA931" s="112">
        <v>4</v>
      </c>
      <c r="AB931" s="113"/>
      <c r="AC931" s="105" t="s">
        <v>2320</v>
      </c>
      <c r="AD931" s="115" t="s">
        <v>107</v>
      </c>
    </row>
    <row r="932" spans="1:30" x14ac:dyDescent="0.2">
      <c r="A932" s="104" t="s">
        <v>2321</v>
      </c>
      <c r="B932" s="105" t="s">
        <v>805</v>
      </c>
      <c r="C932" s="105" t="s">
        <v>2304</v>
      </c>
      <c r="D932" s="106" t="s">
        <v>125</v>
      </c>
      <c r="E932" s="107" t="s">
        <v>99</v>
      </c>
      <c r="F932" s="108" t="s">
        <v>11866</v>
      </c>
      <c r="G932" s="109">
        <v>4</v>
      </c>
      <c r="H932" s="108" t="s">
        <v>11867</v>
      </c>
      <c r="I932" s="112">
        <v>4</v>
      </c>
      <c r="J932" s="111" t="s">
        <v>46</v>
      </c>
      <c r="K932" s="108" t="s">
        <v>11826</v>
      </c>
      <c r="L932" s="112">
        <v>4</v>
      </c>
      <c r="M932" s="111" t="s">
        <v>46</v>
      </c>
      <c r="N932" s="108" t="s">
        <v>11866</v>
      </c>
      <c r="O932" s="112">
        <v>4</v>
      </c>
      <c r="P932" s="111" t="s">
        <v>46</v>
      </c>
      <c r="Q932" s="108" t="s">
        <v>11868</v>
      </c>
      <c r="R932" s="110">
        <v>3</v>
      </c>
      <c r="S932" s="113"/>
      <c r="T932" s="108" t="s">
        <v>11869</v>
      </c>
      <c r="U932" s="110">
        <v>3</v>
      </c>
      <c r="V932" s="113"/>
      <c r="W932" s="108" t="s">
        <v>11870</v>
      </c>
      <c r="X932" s="110">
        <v>3</v>
      </c>
      <c r="Y932" s="111" t="s">
        <v>46</v>
      </c>
      <c r="Z932" s="108" t="s">
        <v>11871</v>
      </c>
      <c r="AA932" s="110">
        <v>3</v>
      </c>
      <c r="AB932" s="111" t="s">
        <v>46</v>
      </c>
      <c r="AC932" s="105" t="s">
        <v>2322</v>
      </c>
      <c r="AD932" s="115" t="s">
        <v>107</v>
      </c>
    </row>
    <row r="933" spans="1:30" x14ac:dyDescent="0.2">
      <c r="A933" s="104" t="s">
        <v>2323</v>
      </c>
      <c r="B933" s="105" t="s">
        <v>805</v>
      </c>
      <c r="C933" s="105" t="s">
        <v>2304</v>
      </c>
      <c r="D933" s="106" t="s">
        <v>125</v>
      </c>
      <c r="E933" s="107" t="s">
        <v>99</v>
      </c>
      <c r="F933" s="108" t="s">
        <v>11872</v>
      </c>
      <c r="G933" s="109">
        <v>4</v>
      </c>
      <c r="H933" s="108" t="s">
        <v>11873</v>
      </c>
      <c r="I933" s="112">
        <v>4</v>
      </c>
      <c r="J933" s="111" t="s">
        <v>46</v>
      </c>
      <c r="K933" s="108" t="s">
        <v>11832</v>
      </c>
      <c r="L933" s="112">
        <v>4</v>
      </c>
      <c r="M933" s="111" t="s">
        <v>46</v>
      </c>
      <c r="N933" s="108" t="s">
        <v>11872</v>
      </c>
      <c r="O933" s="112">
        <v>4</v>
      </c>
      <c r="P933" s="111" t="s">
        <v>46</v>
      </c>
      <c r="Q933" s="108" t="s">
        <v>11874</v>
      </c>
      <c r="R933" s="110">
        <v>3</v>
      </c>
      <c r="S933" s="113"/>
      <c r="T933" s="108" t="s">
        <v>11875</v>
      </c>
      <c r="U933" s="110">
        <v>3</v>
      </c>
      <c r="V933" s="113"/>
      <c r="W933" s="108" t="s">
        <v>11876</v>
      </c>
      <c r="X933" s="117">
        <v>2</v>
      </c>
      <c r="Y933" s="113"/>
      <c r="Z933" s="108" t="s">
        <v>11877</v>
      </c>
      <c r="AA933" s="110">
        <v>3</v>
      </c>
      <c r="AB933" s="113"/>
      <c r="AC933" s="105" t="s">
        <v>2324</v>
      </c>
      <c r="AD933" s="115" t="s">
        <v>107</v>
      </c>
    </row>
    <row r="934" spans="1:30" x14ac:dyDescent="0.2">
      <c r="A934" s="104" t="s">
        <v>2325</v>
      </c>
      <c r="B934" s="105" t="s">
        <v>805</v>
      </c>
      <c r="C934" s="105" t="s">
        <v>2304</v>
      </c>
      <c r="D934" s="106" t="s">
        <v>125</v>
      </c>
      <c r="E934" s="107" t="s">
        <v>99</v>
      </c>
      <c r="F934" s="108" t="s">
        <v>11878</v>
      </c>
      <c r="G934" s="109">
        <v>4</v>
      </c>
      <c r="H934" s="108" t="s">
        <v>2326</v>
      </c>
      <c r="I934" s="112">
        <v>4</v>
      </c>
      <c r="J934" s="111" t="s">
        <v>46</v>
      </c>
      <c r="K934" s="108" t="s">
        <v>11879</v>
      </c>
      <c r="L934" s="112">
        <v>4</v>
      </c>
      <c r="M934" s="111" t="s">
        <v>46</v>
      </c>
      <c r="N934" s="108" t="s">
        <v>11878</v>
      </c>
      <c r="O934" s="112">
        <v>4</v>
      </c>
      <c r="P934" s="113"/>
      <c r="Q934" s="108" t="s">
        <v>11880</v>
      </c>
      <c r="R934" s="110">
        <v>3</v>
      </c>
      <c r="S934" s="113"/>
      <c r="T934" s="108" t="s">
        <v>11881</v>
      </c>
      <c r="U934" s="110">
        <v>3</v>
      </c>
      <c r="V934" s="113"/>
      <c r="W934" s="108" t="s">
        <v>11882</v>
      </c>
      <c r="X934" s="110">
        <v>3</v>
      </c>
      <c r="Y934" s="111" t="s">
        <v>46</v>
      </c>
      <c r="Z934" s="108" t="s">
        <v>11883</v>
      </c>
      <c r="AA934" s="110">
        <v>3</v>
      </c>
      <c r="AB934" s="111" t="s">
        <v>46</v>
      </c>
      <c r="AC934" s="105" t="s">
        <v>2327</v>
      </c>
      <c r="AD934" s="115" t="s">
        <v>107</v>
      </c>
    </row>
    <row r="935" spans="1:30" x14ac:dyDescent="0.2">
      <c r="A935" s="104" t="s">
        <v>2328</v>
      </c>
      <c r="B935" s="105" t="s">
        <v>805</v>
      </c>
      <c r="C935" s="105" t="s">
        <v>2304</v>
      </c>
      <c r="D935" s="106" t="s">
        <v>125</v>
      </c>
      <c r="E935" s="107" t="s">
        <v>99</v>
      </c>
      <c r="F935" s="108" t="s">
        <v>11884</v>
      </c>
      <c r="G935" s="109">
        <v>4</v>
      </c>
      <c r="H935" s="108" t="s">
        <v>11885</v>
      </c>
      <c r="I935" s="112">
        <v>4</v>
      </c>
      <c r="J935" s="111" t="s">
        <v>46</v>
      </c>
      <c r="K935" s="108" t="s">
        <v>11886</v>
      </c>
      <c r="L935" s="112">
        <v>4</v>
      </c>
      <c r="M935" s="113"/>
      <c r="N935" s="108" t="s">
        <v>11884</v>
      </c>
      <c r="O935" s="112">
        <v>4</v>
      </c>
      <c r="P935" s="113"/>
      <c r="Q935" s="108" t="s">
        <v>11887</v>
      </c>
      <c r="R935" s="112">
        <v>4</v>
      </c>
      <c r="S935" s="113"/>
      <c r="T935" s="108" t="s">
        <v>11888</v>
      </c>
      <c r="U935" s="112">
        <v>4</v>
      </c>
      <c r="V935" s="113"/>
      <c r="W935" s="108" t="s">
        <v>11889</v>
      </c>
      <c r="X935" s="110">
        <v>3</v>
      </c>
      <c r="Y935" s="113"/>
      <c r="Z935" s="108" t="s">
        <v>11890</v>
      </c>
      <c r="AA935" s="110">
        <v>3</v>
      </c>
      <c r="AB935" s="113"/>
      <c r="AC935" s="105" t="s">
        <v>2329</v>
      </c>
      <c r="AD935" s="115" t="s">
        <v>107</v>
      </c>
    </row>
    <row r="936" spans="1:30" x14ac:dyDescent="0.2">
      <c r="A936" s="104" t="s">
        <v>2330</v>
      </c>
      <c r="B936" s="105" t="s">
        <v>805</v>
      </c>
      <c r="C936" s="105" t="s">
        <v>2304</v>
      </c>
      <c r="D936" s="106" t="s">
        <v>125</v>
      </c>
      <c r="E936" s="107" t="s">
        <v>99</v>
      </c>
      <c r="F936" s="108" t="s">
        <v>11891</v>
      </c>
      <c r="G936" s="109">
        <v>4</v>
      </c>
      <c r="H936" s="108" t="s">
        <v>2331</v>
      </c>
      <c r="I936" s="110">
        <v>3</v>
      </c>
      <c r="J936" s="113"/>
      <c r="K936" s="108" t="s">
        <v>11837</v>
      </c>
      <c r="L936" s="112">
        <v>4</v>
      </c>
      <c r="M936" s="111" t="s">
        <v>46</v>
      </c>
      <c r="N936" s="108" t="s">
        <v>11891</v>
      </c>
      <c r="O936" s="112">
        <v>4</v>
      </c>
      <c r="P936" s="111" t="s">
        <v>46</v>
      </c>
      <c r="Q936" s="108" t="s">
        <v>2332</v>
      </c>
      <c r="R936" s="110">
        <v>3</v>
      </c>
      <c r="S936" s="113"/>
      <c r="T936" s="108" t="s">
        <v>11892</v>
      </c>
      <c r="U936" s="110">
        <v>3</v>
      </c>
      <c r="V936" s="113"/>
      <c r="W936" s="108" t="s">
        <v>11893</v>
      </c>
      <c r="X936" s="117">
        <v>2</v>
      </c>
      <c r="Y936" s="113"/>
      <c r="Z936" s="108" t="s">
        <v>2333</v>
      </c>
      <c r="AA936" s="110">
        <v>3</v>
      </c>
      <c r="AB936" s="111" t="s">
        <v>46</v>
      </c>
      <c r="AC936" s="105" t="s">
        <v>2334</v>
      </c>
      <c r="AD936" s="115" t="s">
        <v>107</v>
      </c>
    </row>
    <row r="937" spans="1:30" x14ac:dyDescent="0.2">
      <c r="A937" s="104" t="s">
        <v>2335</v>
      </c>
      <c r="B937" s="105" t="s">
        <v>805</v>
      </c>
      <c r="C937" s="105" t="s">
        <v>2336</v>
      </c>
      <c r="D937" s="106"/>
      <c r="E937" s="107"/>
      <c r="F937" s="108" t="s">
        <v>47</v>
      </c>
      <c r="G937" s="113"/>
      <c r="H937" s="108" t="s">
        <v>11894</v>
      </c>
      <c r="I937" s="112">
        <v>4</v>
      </c>
      <c r="J937" s="111" t="s">
        <v>44</v>
      </c>
      <c r="K937" s="108" t="s">
        <v>11895</v>
      </c>
      <c r="L937" s="110">
        <v>3</v>
      </c>
      <c r="M937" s="113"/>
      <c r="N937" s="108" t="s">
        <v>47</v>
      </c>
      <c r="O937" s="114"/>
      <c r="P937" s="113"/>
      <c r="Q937" s="108" t="s">
        <v>47</v>
      </c>
      <c r="R937" s="114"/>
      <c r="S937" s="113"/>
      <c r="T937" s="108" t="s">
        <v>47</v>
      </c>
      <c r="U937" s="114"/>
      <c r="V937" s="113"/>
      <c r="W937" s="108" t="s">
        <v>47</v>
      </c>
      <c r="X937" s="114"/>
      <c r="Y937" s="113"/>
      <c r="Z937" s="108" t="s">
        <v>47</v>
      </c>
      <c r="AA937" s="114"/>
      <c r="AB937" s="113"/>
      <c r="AC937" s="105" t="s">
        <v>2337</v>
      </c>
      <c r="AD937" s="115" t="s">
        <v>107</v>
      </c>
    </row>
    <row r="938" spans="1:30" x14ac:dyDescent="0.2">
      <c r="A938" s="104" t="s">
        <v>2338</v>
      </c>
      <c r="B938" s="105" t="s">
        <v>805</v>
      </c>
      <c r="C938" s="105" t="s">
        <v>2336</v>
      </c>
      <c r="D938" s="106"/>
      <c r="E938" s="107"/>
      <c r="F938" s="108" t="s">
        <v>47</v>
      </c>
      <c r="G938" s="113"/>
      <c r="H938" s="108" t="s">
        <v>11896</v>
      </c>
      <c r="I938" s="112">
        <v>4</v>
      </c>
      <c r="J938" s="111" t="s">
        <v>44</v>
      </c>
      <c r="K938" s="108" t="s">
        <v>2339</v>
      </c>
      <c r="L938" s="110">
        <v>3</v>
      </c>
      <c r="M938" s="113"/>
      <c r="N938" s="108" t="s">
        <v>47</v>
      </c>
      <c r="O938" s="114"/>
      <c r="P938" s="113"/>
      <c r="Q938" s="108" t="s">
        <v>47</v>
      </c>
      <c r="R938" s="114"/>
      <c r="S938" s="113"/>
      <c r="T938" s="108" t="s">
        <v>47</v>
      </c>
      <c r="U938" s="114"/>
      <c r="V938" s="113"/>
      <c r="W938" s="108" t="s">
        <v>47</v>
      </c>
      <c r="X938" s="114"/>
      <c r="Y938" s="113"/>
      <c r="Z938" s="108" t="s">
        <v>47</v>
      </c>
      <c r="AA938" s="114"/>
      <c r="AB938" s="113"/>
      <c r="AC938" s="105" t="s">
        <v>2340</v>
      </c>
      <c r="AD938" s="115" t="s">
        <v>107</v>
      </c>
    </row>
    <row r="939" spans="1:30" x14ac:dyDescent="0.2">
      <c r="A939" s="104" t="s">
        <v>2341</v>
      </c>
      <c r="B939" s="105" t="s">
        <v>805</v>
      </c>
      <c r="C939" s="105" t="s">
        <v>2336</v>
      </c>
      <c r="D939" s="106"/>
      <c r="E939" s="107"/>
      <c r="F939" s="108" t="s">
        <v>47</v>
      </c>
      <c r="G939" s="113"/>
      <c r="H939" s="108" t="s">
        <v>11897</v>
      </c>
      <c r="I939" s="112">
        <v>4</v>
      </c>
      <c r="J939" s="111" t="s">
        <v>44</v>
      </c>
      <c r="K939" s="108" t="s">
        <v>11898</v>
      </c>
      <c r="L939" s="110">
        <v>3</v>
      </c>
      <c r="M939" s="113"/>
      <c r="N939" s="108" t="s">
        <v>47</v>
      </c>
      <c r="O939" s="114"/>
      <c r="P939" s="113"/>
      <c r="Q939" s="108" t="s">
        <v>47</v>
      </c>
      <c r="R939" s="114"/>
      <c r="S939" s="113"/>
      <c r="T939" s="108" t="s">
        <v>47</v>
      </c>
      <c r="U939" s="114"/>
      <c r="V939" s="113"/>
      <c r="W939" s="108" t="s">
        <v>47</v>
      </c>
      <c r="X939" s="114"/>
      <c r="Y939" s="113"/>
      <c r="Z939" s="108" t="s">
        <v>47</v>
      </c>
      <c r="AA939" s="114"/>
      <c r="AB939" s="113"/>
      <c r="AC939" s="105" t="s">
        <v>2342</v>
      </c>
      <c r="AD939" s="115" t="s">
        <v>107</v>
      </c>
    </row>
    <row r="940" spans="1:30" x14ac:dyDescent="0.2">
      <c r="A940" s="104" t="s">
        <v>2343</v>
      </c>
      <c r="B940" s="105" t="s">
        <v>805</v>
      </c>
      <c r="C940" s="105" t="s">
        <v>2336</v>
      </c>
      <c r="D940" s="106"/>
      <c r="E940" s="107"/>
      <c r="F940" s="108" t="s">
        <v>47</v>
      </c>
      <c r="G940" s="113"/>
      <c r="H940" s="108" t="s">
        <v>11899</v>
      </c>
      <c r="I940" s="112">
        <v>4</v>
      </c>
      <c r="J940" s="111" t="s">
        <v>44</v>
      </c>
      <c r="K940" s="108" t="s">
        <v>11900</v>
      </c>
      <c r="L940" s="110">
        <v>3</v>
      </c>
      <c r="M940" s="113"/>
      <c r="N940" s="108" t="s">
        <v>47</v>
      </c>
      <c r="O940" s="114"/>
      <c r="P940" s="113"/>
      <c r="Q940" s="108" t="s">
        <v>47</v>
      </c>
      <c r="R940" s="114"/>
      <c r="S940" s="113"/>
      <c r="T940" s="108" t="s">
        <v>47</v>
      </c>
      <c r="U940" s="114"/>
      <c r="V940" s="113"/>
      <c r="W940" s="108" t="s">
        <v>47</v>
      </c>
      <c r="X940" s="114"/>
      <c r="Y940" s="113"/>
      <c r="Z940" s="108" t="s">
        <v>47</v>
      </c>
      <c r="AA940" s="114"/>
      <c r="AB940" s="113"/>
      <c r="AC940" s="105" t="s">
        <v>2344</v>
      </c>
      <c r="AD940" s="115" t="s">
        <v>107</v>
      </c>
    </row>
    <row r="941" spans="1:30" x14ac:dyDescent="0.2">
      <c r="A941" s="104" t="s">
        <v>2345</v>
      </c>
      <c r="B941" s="105" t="s">
        <v>805</v>
      </c>
      <c r="C941" s="105" t="s">
        <v>2346</v>
      </c>
      <c r="D941" s="106" t="s">
        <v>94</v>
      </c>
      <c r="E941" s="107"/>
      <c r="F941" s="108" t="s">
        <v>11901</v>
      </c>
      <c r="G941" s="119">
        <v>1</v>
      </c>
      <c r="H941" s="108" t="s">
        <v>11902</v>
      </c>
      <c r="I941" s="110">
        <v>3</v>
      </c>
      <c r="J941" s="111" t="s">
        <v>40</v>
      </c>
      <c r="K941" s="108" t="s">
        <v>11903</v>
      </c>
      <c r="L941" s="116">
        <v>1</v>
      </c>
      <c r="M941" s="113"/>
      <c r="N941" s="108" t="s">
        <v>11901</v>
      </c>
      <c r="O941" s="116">
        <v>1</v>
      </c>
      <c r="P941" s="113"/>
      <c r="Q941" s="108" t="s">
        <v>11904</v>
      </c>
      <c r="R941" s="116">
        <v>1</v>
      </c>
      <c r="S941" s="113"/>
      <c r="T941" s="108" t="s">
        <v>11905</v>
      </c>
      <c r="U941" s="116">
        <v>1</v>
      </c>
      <c r="V941" s="113"/>
      <c r="W941" s="108" t="s">
        <v>11906</v>
      </c>
      <c r="X941" s="116">
        <v>1</v>
      </c>
      <c r="Y941" s="113"/>
      <c r="Z941" s="108" t="s">
        <v>9182</v>
      </c>
      <c r="AA941" s="110">
        <v>3</v>
      </c>
      <c r="AB941" s="113"/>
      <c r="AC941" s="105" t="s">
        <v>2347</v>
      </c>
      <c r="AD941" s="115" t="s">
        <v>107</v>
      </c>
    </row>
    <row r="942" spans="1:30" x14ac:dyDescent="0.2">
      <c r="A942" s="104" t="s">
        <v>2348</v>
      </c>
      <c r="B942" s="105" t="s">
        <v>805</v>
      </c>
      <c r="C942" s="105" t="s">
        <v>2346</v>
      </c>
      <c r="D942" s="106" t="s">
        <v>125</v>
      </c>
      <c r="E942" s="107"/>
      <c r="F942" s="108" t="s">
        <v>11907</v>
      </c>
      <c r="G942" s="119">
        <v>1</v>
      </c>
      <c r="H942" s="108" t="s">
        <v>11908</v>
      </c>
      <c r="I942" s="110">
        <v>3</v>
      </c>
      <c r="J942" s="111" t="s">
        <v>40</v>
      </c>
      <c r="K942" s="108" t="s">
        <v>11909</v>
      </c>
      <c r="L942" s="116">
        <v>1</v>
      </c>
      <c r="M942" s="113"/>
      <c r="N942" s="108" t="s">
        <v>11907</v>
      </c>
      <c r="O942" s="116">
        <v>1</v>
      </c>
      <c r="P942" s="113"/>
      <c r="Q942" s="108" t="s">
        <v>11910</v>
      </c>
      <c r="R942" s="116">
        <v>1</v>
      </c>
      <c r="S942" s="113"/>
      <c r="T942" s="108" t="s">
        <v>11911</v>
      </c>
      <c r="U942" s="116">
        <v>1</v>
      </c>
      <c r="V942" s="113"/>
      <c r="W942" s="108" t="s">
        <v>11912</v>
      </c>
      <c r="X942" s="116">
        <v>1</v>
      </c>
      <c r="Y942" s="113"/>
      <c r="Z942" s="108" t="s">
        <v>9123</v>
      </c>
      <c r="AA942" s="110">
        <v>3</v>
      </c>
      <c r="AB942" s="113"/>
      <c r="AC942" s="105" t="s">
        <v>2349</v>
      </c>
      <c r="AD942" s="115" t="s">
        <v>107</v>
      </c>
    </row>
    <row r="943" spans="1:30" x14ac:dyDescent="0.2">
      <c r="A943" s="104" t="s">
        <v>2350</v>
      </c>
      <c r="B943" s="105" t="s">
        <v>805</v>
      </c>
      <c r="C943" s="105" t="s">
        <v>2346</v>
      </c>
      <c r="D943" s="106" t="s">
        <v>125</v>
      </c>
      <c r="E943" s="107"/>
      <c r="F943" s="108" t="s">
        <v>11913</v>
      </c>
      <c r="G943" s="119">
        <v>1</v>
      </c>
      <c r="H943" s="108" t="s">
        <v>11914</v>
      </c>
      <c r="I943" s="110">
        <v>3</v>
      </c>
      <c r="J943" s="111" t="s">
        <v>40</v>
      </c>
      <c r="K943" s="108" t="s">
        <v>11915</v>
      </c>
      <c r="L943" s="116">
        <v>1</v>
      </c>
      <c r="M943" s="113"/>
      <c r="N943" s="108" t="s">
        <v>11913</v>
      </c>
      <c r="O943" s="116">
        <v>1</v>
      </c>
      <c r="P943" s="113"/>
      <c r="Q943" s="108" t="s">
        <v>11916</v>
      </c>
      <c r="R943" s="116">
        <v>1</v>
      </c>
      <c r="S943" s="113"/>
      <c r="T943" s="108" t="s">
        <v>11917</v>
      </c>
      <c r="U943" s="116">
        <v>1</v>
      </c>
      <c r="V943" s="113"/>
      <c r="W943" s="108" t="s">
        <v>11918</v>
      </c>
      <c r="X943" s="116">
        <v>1</v>
      </c>
      <c r="Y943" s="113"/>
      <c r="Z943" s="108" t="s">
        <v>47</v>
      </c>
      <c r="AA943" s="114"/>
      <c r="AB943" s="113"/>
      <c r="AC943" s="105" t="s">
        <v>2351</v>
      </c>
      <c r="AD943" s="115" t="s">
        <v>107</v>
      </c>
    </row>
    <row r="944" spans="1:30" x14ac:dyDescent="0.2">
      <c r="A944" s="104" t="s">
        <v>2352</v>
      </c>
      <c r="B944" s="105" t="s">
        <v>805</v>
      </c>
      <c r="C944" s="105" t="s">
        <v>2346</v>
      </c>
      <c r="D944" s="106" t="s">
        <v>125</v>
      </c>
      <c r="E944" s="107"/>
      <c r="F944" s="108" t="s">
        <v>11919</v>
      </c>
      <c r="G944" s="119">
        <v>1</v>
      </c>
      <c r="H944" s="108" t="s">
        <v>11920</v>
      </c>
      <c r="I944" s="112">
        <v>4</v>
      </c>
      <c r="J944" s="113"/>
      <c r="K944" s="108" t="s">
        <v>11921</v>
      </c>
      <c r="L944" s="117">
        <v>2</v>
      </c>
      <c r="M944" s="111" t="s">
        <v>46</v>
      </c>
      <c r="N944" s="108" t="s">
        <v>11919</v>
      </c>
      <c r="O944" s="116">
        <v>1</v>
      </c>
      <c r="P944" s="113"/>
      <c r="Q944" s="108" t="s">
        <v>11922</v>
      </c>
      <c r="R944" s="116">
        <v>1</v>
      </c>
      <c r="S944" s="113"/>
      <c r="T944" s="108" t="s">
        <v>11923</v>
      </c>
      <c r="U944" s="116">
        <v>1</v>
      </c>
      <c r="V944" s="113"/>
      <c r="W944" s="108" t="s">
        <v>2353</v>
      </c>
      <c r="X944" s="116">
        <v>1</v>
      </c>
      <c r="Y944" s="113"/>
      <c r="Z944" s="108" t="s">
        <v>47</v>
      </c>
      <c r="AA944" s="114"/>
      <c r="AB944" s="113"/>
      <c r="AC944" s="105" t="s">
        <v>2354</v>
      </c>
      <c r="AD944" s="115" t="s">
        <v>107</v>
      </c>
    </row>
    <row r="945" spans="1:30" x14ac:dyDescent="0.2">
      <c r="A945" s="104" t="s">
        <v>2355</v>
      </c>
      <c r="B945" s="105" t="s">
        <v>805</v>
      </c>
      <c r="C945" s="105" t="s">
        <v>2346</v>
      </c>
      <c r="D945" s="106" t="s">
        <v>514</v>
      </c>
      <c r="E945" s="107"/>
      <c r="F945" s="108" t="s">
        <v>11924</v>
      </c>
      <c r="G945" s="119">
        <v>1</v>
      </c>
      <c r="H945" s="108" t="s">
        <v>11925</v>
      </c>
      <c r="I945" s="110">
        <v>3</v>
      </c>
      <c r="J945" s="111" t="s">
        <v>40</v>
      </c>
      <c r="K945" s="108" t="s">
        <v>2356</v>
      </c>
      <c r="L945" s="116">
        <v>1</v>
      </c>
      <c r="M945" s="113"/>
      <c r="N945" s="108" t="s">
        <v>11924</v>
      </c>
      <c r="O945" s="116">
        <v>1</v>
      </c>
      <c r="P945" s="113"/>
      <c r="Q945" s="108" t="s">
        <v>11926</v>
      </c>
      <c r="R945" s="116">
        <v>1</v>
      </c>
      <c r="S945" s="113"/>
      <c r="T945" s="108" t="s">
        <v>11927</v>
      </c>
      <c r="U945" s="116">
        <v>1</v>
      </c>
      <c r="V945" s="113"/>
      <c r="W945" s="108" t="s">
        <v>47</v>
      </c>
      <c r="X945" s="114"/>
      <c r="Y945" s="113"/>
      <c r="Z945" s="108" t="s">
        <v>47</v>
      </c>
      <c r="AA945" s="114"/>
      <c r="AB945" s="113"/>
      <c r="AC945" s="105" t="s">
        <v>2357</v>
      </c>
      <c r="AD945" s="115" t="s">
        <v>107</v>
      </c>
    </row>
    <row r="946" spans="1:30" x14ac:dyDescent="0.2">
      <c r="A946" s="104" t="s">
        <v>2358</v>
      </c>
      <c r="B946" s="105" t="s">
        <v>805</v>
      </c>
      <c r="C946" s="105" t="s">
        <v>2346</v>
      </c>
      <c r="D946" s="106" t="s">
        <v>125</v>
      </c>
      <c r="E946" s="107"/>
      <c r="F946" s="108" t="s">
        <v>11928</v>
      </c>
      <c r="G946" s="119">
        <v>1</v>
      </c>
      <c r="H946" s="108" t="s">
        <v>11929</v>
      </c>
      <c r="I946" s="110">
        <v>3</v>
      </c>
      <c r="J946" s="111" t="s">
        <v>40</v>
      </c>
      <c r="K946" s="108" t="s">
        <v>11930</v>
      </c>
      <c r="L946" s="117">
        <v>2</v>
      </c>
      <c r="M946" s="111" t="s">
        <v>46</v>
      </c>
      <c r="N946" s="108" t="s">
        <v>11928</v>
      </c>
      <c r="O946" s="116">
        <v>1</v>
      </c>
      <c r="P946" s="113"/>
      <c r="Q946" s="108" t="s">
        <v>11931</v>
      </c>
      <c r="R946" s="116">
        <v>1</v>
      </c>
      <c r="S946" s="113"/>
      <c r="T946" s="108" t="s">
        <v>11932</v>
      </c>
      <c r="U946" s="116">
        <v>1</v>
      </c>
      <c r="V946" s="113"/>
      <c r="W946" s="108" t="s">
        <v>11933</v>
      </c>
      <c r="X946" s="116">
        <v>1</v>
      </c>
      <c r="Y946" s="113"/>
      <c r="Z946" s="108" t="s">
        <v>9062</v>
      </c>
      <c r="AA946" s="110">
        <v>3</v>
      </c>
      <c r="AB946" s="113"/>
      <c r="AC946" s="105" t="s">
        <v>2359</v>
      </c>
      <c r="AD946" s="115" t="s">
        <v>107</v>
      </c>
    </row>
    <row r="947" spans="1:30" x14ac:dyDescent="0.2">
      <c r="A947" s="104" t="s">
        <v>2360</v>
      </c>
      <c r="B947" s="105" t="s">
        <v>805</v>
      </c>
      <c r="C947" s="105" t="s">
        <v>2361</v>
      </c>
      <c r="D947" s="106" t="s">
        <v>298</v>
      </c>
      <c r="E947" s="107"/>
      <c r="F947" s="108" t="s">
        <v>11934</v>
      </c>
      <c r="G947" s="109">
        <v>4</v>
      </c>
      <c r="H947" s="108" t="s">
        <v>11935</v>
      </c>
      <c r="I947" s="117">
        <v>2</v>
      </c>
      <c r="J947" s="111" t="s">
        <v>40</v>
      </c>
      <c r="K947" s="108" t="s">
        <v>11936</v>
      </c>
      <c r="L947" s="110">
        <v>3</v>
      </c>
      <c r="M947" s="113"/>
      <c r="N947" s="108" t="s">
        <v>11934</v>
      </c>
      <c r="O947" s="112">
        <v>4</v>
      </c>
      <c r="P947" s="113"/>
      <c r="Q947" s="108" t="s">
        <v>11937</v>
      </c>
      <c r="R947" s="116">
        <v>1</v>
      </c>
      <c r="S947" s="111" t="s">
        <v>40</v>
      </c>
      <c r="T947" s="108" t="s">
        <v>11938</v>
      </c>
      <c r="U947" s="112">
        <v>4</v>
      </c>
      <c r="V947" s="113"/>
      <c r="W947" s="108" t="s">
        <v>2362</v>
      </c>
      <c r="X947" s="112">
        <v>4</v>
      </c>
      <c r="Y947" s="113"/>
      <c r="Z947" s="108" t="s">
        <v>2363</v>
      </c>
      <c r="AA947" s="112">
        <v>4</v>
      </c>
      <c r="AB947" s="113"/>
      <c r="AC947" s="105" t="s">
        <v>2364</v>
      </c>
      <c r="AD947" s="115" t="s">
        <v>107</v>
      </c>
    </row>
    <row r="948" spans="1:30" x14ac:dyDescent="0.2">
      <c r="A948" s="104" t="s">
        <v>2365</v>
      </c>
      <c r="B948" s="105" t="s">
        <v>805</v>
      </c>
      <c r="C948" s="105" t="s">
        <v>2361</v>
      </c>
      <c r="D948" s="106" t="s">
        <v>298</v>
      </c>
      <c r="E948" s="107"/>
      <c r="F948" s="108" t="s">
        <v>11939</v>
      </c>
      <c r="G948" s="109">
        <v>4</v>
      </c>
      <c r="H948" s="108" t="s">
        <v>2366</v>
      </c>
      <c r="I948" s="117">
        <v>2</v>
      </c>
      <c r="J948" s="111" t="s">
        <v>40</v>
      </c>
      <c r="K948" s="108" t="s">
        <v>11940</v>
      </c>
      <c r="L948" s="110">
        <v>3</v>
      </c>
      <c r="M948" s="113"/>
      <c r="N948" s="108" t="s">
        <v>11939</v>
      </c>
      <c r="O948" s="112">
        <v>4</v>
      </c>
      <c r="P948" s="113"/>
      <c r="Q948" s="108" t="s">
        <v>11941</v>
      </c>
      <c r="R948" s="116">
        <v>1</v>
      </c>
      <c r="S948" s="111" t="s">
        <v>40</v>
      </c>
      <c r="T948" s="108" t="s">
        <v>9107</v>
      </c>
      <c r="U948" s="112">
        <v>4</v>
      </c>
      <c r="V948" s="113"/>
      <c r="W948" s="108" t="s">
        <v>47</v>
      </c>
      <c r="X948" s="114"/>
      <c r="Y948" s="113"/>
      <c r="Z948" s="108" t="s">
        <v>47</v>
      </c>
      <c r="AA948" s="114"/>
      <c r="AB948" s="113"/>
      <c r="AC948" s="105" t="s">
        <v>2367</v>
      </c>
      <c r="AD948" s="115" t="s">
        <v>107</v>
      </c>
    </row>
    <row r="949" spans="1:30" x14ac:dyDescent="0.2">
      <c r="A949" s="104" t="s">
        <v>2368</v>
      </c>
      <c r="B949" s="105" t="s">
        <v>805</v>
      </c>
      <c r="C949" s="105" t="s">
        <v>2369</v>
      </c>
      <c r="D949" s="106"/>
      <c r="E949" s="107"/>
      <c r="F949" s="108" t="s">
        <v>11942</v>
      </c>
      <c r="G949" s="119">
        <v>1</v>
      </c>
      <c r="H949" s="108" t="s">
        <v>11943</v>
      </c>
      <c r="I949" s="116">
        <v>1</v>
      </c>
      <c r="J949" s="111" t="s">
        <v>40</v>
      </c>
      <c r="K949" s="108" t="s">
        <v>2370</v>
      </c>
      <c r="L949" s="116">
        <v>1</v>
      </c>
      <c r="M949" s="111" t="s">
        <v>40</v>
      </c>
      <c r="N949" s="108" t="s">
        <v>11942</v>
      </c>
      <c r="O949" s="116">
        <v>1</v>
      </c>
      <c r="P949" s="113"/>
      <c r="Q949" s="108" t="s">
        <v>11944</v>
      </c>
      <c r="R949" s="116">
        <v>1</v>
      </c>
      <c r="S949" s="111" t="s">
        <v>40</v>
      </c>
      <c r="T949" s="108" t="s">
        <v>11945</v>
      </c>
      <c r="U949" s="110">
        <v>3</v>
      </c>
      <c r="V949" s="113"/>
      <c r="W949" s="108" t="s">
        <v>11946</v>
      </c>
      <c r="X949" s="110">
        <v>3</v>
      </c>
      <c r="Y949" s="113"/>
      <c r="Z949" s="108" t="s">
        <v>2371</v>
      </c>
      <c r="AA949" s="110">
        <v>3</v>
      </c>
      <c r="AB949" s="111" t="s">
        <v>55</v>
      </c>
      <c r="AC949" s="105" t="s">
        <v>2372</v>
      </c>
      <c r="AD949" s="115" t="s">
        <v>107</v>
      </c>
    </row>
    <row r="950" spans="1:30" x14ac:dyDescent="0.2">
      <c r="A950" s="104" t="s">
        <v>2373</v>
      </c>
      <c r="B950" s="105" t="s">
        <v>805</v>
      </c>
      <c r="C950" s="105" t="s">
        <v>2369</v>
      </c>
      <c r="D950" s="106"/>
      <c r="E950" s="107"/>
      <c r="F950" s="108" t="s">
        <v>11947</v>
      </c>
      <c r="G950" s="109">
        <v>4</v>
      </c>
      <c r="H950" s="108" t="s">
        <v>11948</v>
      </c>
      <c r="I950" s="117">
        <v>2</v>
      </c>
      <c r="J950" s="111" t="s">
        <v>53</v>
      </c>
      <c r="K950" s="108" t="s">
        <v>11949</v>
      </c>
      <c r="L950" s="110">
        <v>3</v>
      </c>
      <c r="M950" s="111" t="s">
        <v>40</v>
      </c>
      <c r="N950" s="108" t="s">
        <v>11947</v>
      </c>
      <c r="O950" s="112">
        <v>4</v>
      </c>
      <c r="P950" s="111" t="s">
        <v>46</v>
      </c>
      <c r="Q950" s="108" t="s">
        <v>11950</v>
      </c>
      <c r="R950" s="116">
        <v>1</v>
      </c>
      <c r="S950" s="113"/>
      <c r="T950" s="108" t="s">
        <v>47</v>
      </c>
      <c r="U950" s="114"/>
      <c r="V950" s="113"/>
      <c r="W950" s="108" t="s">
        <v>47</v>
      </c>
      <c r="X950" s="114"/>
      <c r="Y950" s="113"/>
      <c r="Z950" s="108" t="s">
        <v>47</v>
      </c>
      <c r="AA950" s="114"/>
      <c r="AB950" s="113"/>
      <c r="AC950" s="105" t="s">
        <v>2374</v>
      </c>
      <c r="AD950" s="115" t="s">
        <v>107</v>
      </c>
    </row>
    <row r="951" spans="1:30" x14ac:dyDescent="0.2">
      <c r="A951" s="104" t="s">
        <v>2375</v>
      </c>
      <c r="B951" s="105" t="s">
        <v>805</v>
      </c>
      <c r="C951" s="105" t="s">
        <v>2361</v>
      </c>
      <c r="D951" s="106" t="s">
        <v>105</v>
      </c>
      <c r="E951" s="107"/>
      <c r="F951" s="108" t="s">
        <v>11951</v>
      </c>
      <c r="G951" s="109">
        <v>4</v>
      </c>
      <c r="H951" s="108" t="s">
        <v>2376</v>
      </c>
      <c r="I951" s="117">
        <v>2</v>
      </c>
      <c r="J951" s="111" t="s">
        <v>40</v>
      </c>
      <c r="K951" s="108" t="s">
        <v>11952</v>
      </c>
      <c r="L951" s="110">
        <v>3</v>
      </c>
      <c r="M951" s="113"/>
      <c r="N951" s="108" t="s">
        <v>11951</v>
      </c>
      <c r="O951" s="112">
        <v>4</v>
      </c>
      <c r="P951" s="113"/>
      <c r="Q951" s="108" t="s">
        <v>11953</v>
      </c>
      <c r="R951" s="117">
        <v>2</v>
      </c>
      <c r="S951" s="111" t="s">
        <v>40</v>
      </c>
      <c r="T951" s="108" t="s">
        <v>11954</v>
      </c>
      <c r="U951" s="112">
        <v>4</v>
      </c>
      <c r="V951" s="113"/>
      <c r="W951" s="108" t="s">
        <v>11955</v>
      </c>
      <c r="X951" s="112">
        <v>4</v>
      </c>
      <c r="Y951" s="113"/>
      <c r="Z951" s="108" t="s">
        <v>2377</v>
      </c>
      <c r="AA951" s="112">
        <v>4</v>
      </c>
      <c r="AB951" s="111" t="s">
        <v>46</v>
      </c>
      <c r="AC951" s="105" t="s">
        <v>2378</v>
      </c>
      <c r="AD951" s="115" t="s">
        <v>107</v>
      </c>
    </row>
    <row r="952" spans="1:30" x14ac:dyDescent="0.2">
      <c r="A952" s="104" t="s">
        <v>2379</v>
      </c>
      <c r="B952" s="105" t="s">
        <v>805</v>
      </c>
      <c r="C952" s="105" t="s">
        <v>2361</v>
      </c>
      <c r="D952" s="106" t="s">
        <v>298</v>
      </c>
      <c r="E952" s="107"/>
      <c r="F952" s="108" t="s">
        <v>11956</v>
      </c>
      <c r="G952" s="109">
        <v>4</v>
      </c>
      <c r="H952" s="108" t="s">
        <v>11957</v>
      </c>
      <c r="I952" s="117">
        <v>2</v>
      </c>
      <c r="J952" s="111" t="s">
        <v>40</v>
      </c>
      <c r="K952" s="108" t="s">
        <v>11958</v>
      </c>
      <c r="L952" s="110">
        <v>3</v>
      </c>
      <c r="M952" s="113"/>
      <c r="N952" s="108" t="s">
        <v>11956</v>
      </c>
      <c r="O952" s="112">
        <v>4</v>
      </c>
      <c r="P952" s="113"/>
      <c r="Q952" s="108" t="s">
        <v>11959</v>
      </c>
      <c r="R952" s="116">
        <v>1</v>
      </c>
      <c r="S952" s="111" t="s">
        <v>40</v>
      </c>
      <c r="T952" s="108" t="s">
        <v>11960</v>
      </c>
      <c r="U952" s="112">
        <v>4</v>
      </c>
      <c r="V952" s="113"/>
      <c r="W952" s="108" t="s">
        <v>11961</v>
      </c>
      <c r="X952" s="112">
        <v>4</v>
      </c>
      <c r="Y952" s="113"/>
      <c r="Z952" s="108" t="s">
        <v>47</v>
      </c>
      <c r="AA952" s="114"/>
      <c r="AB952" s="113"/>
      <c r="AC952" s="105" t="s">
        <v>2380</v>
      </c>
      <c r="AD952" s="115" t="s">
        <v>107</v>
      </c>
    </row>
    <row r="953" spans="1:30" x14ac:dyDescent="0.2">
      <c r="A953" s="104" t="s">
        <v>2381</v>
      </c>
      <c r="B953" s="105" t="s">
        <v>805</v>
      </c>
      <c r="C953" s="105" t="s">
        <v>2369</v>
      </c>
      <c r="D953" s="106"/>
      <c r="E953" s="107"/>
      <c r="F953" s="108" t="s">
        <v>11962</v>
      </c>
      <c r="G953" s="120">
        <v>2</v>
      </c>
      <c r="H953" s="108" t="s">
        <v>11963</v>
      </c>
      <c r="I953" s="116">
        <v>1</v>
      </c>
      <c r="J953" s="111" t="s">
        <v>40</v>
      </c>
      <c r="K953" s="108" t="s">
        <v>11964</v>
      </c>
      <c r="L953" s="116">
        <v>1</v>
      </c>
      <c r="M953" s="111" t="s">
        <v>40</v>
      </c>
      <c r="N953" s="108" t="s">
        <v>11962</v>
      </c>
      <c r="O953" s="117">
        <v>2</v>
      </c>
      <c r="P953" s="111" t="s">
        <v>46</v>
      </c>
      <c r="Q953" s="108" t="s">
        <v>11965</v>
      </c>
      <c r="R953" s="116">
        <v>1</v>
      </c>
      <c r="S953" s="111" t="s">
        <v>40</v>
      </c>
      <c r="T953" s="108" t="s">
        <v>11966</v>
      </c>
      <c r="U953" s="112">
        <v>4</v>
      </c>
      <c r="V953" s="111" t="s">
        <v>46</v>
      </c>
      <c r="W953" s="108" t="s">
        <v>11967</v>
      </c>
      <c r="X953" s="112">
        <v>4</v>
      </c>
      <c r="Y953" s="113"/>
      <c r="Z953" s="108" t="s">
        <v>2382</v>
      </c>
      <c r="AA953" s="117">
        <v>2</v>
      </c>
      <c r="AB953" s="111" t="s">
        <v>40</v>
      </c>
      <c r="AC953" s="105" t="s">
        <v>2383</v>
      </c>
      <c r="AD953" s="115" t="s">
        <v>107</v>
      </c>
    </row>
    <row r="954" spans="1:30" x14ac:dyDescent="0.2">
      <c r="A954" s="104" t="s">
        <v>2384</v>
      </c>
      <c r="B954" s="105" t="s">
        <v>805</v>
      </c>
      <c r="C954" s="105" t="s">
        <v>2361</v>
      </c>
      <c r="D954" s="106" t="s">
        <v>105</v>
      </c>
      <c r="E954" s="107"/>
      <c r="F954" s="108" t="s">
        <v>11968</v>
      </c>
      <c r="G954" s="109">
        <v>4</v>
      </c>
      <c r="H954" s="108" t="s">
        <v>11969</v>
      </c>
      <c r="I954" s="117">
        <v>2</v>
      </c>
      <c r="J954" s="111" t="s">
        <v>40</v>
      </c>
      <c r="K954" s="108" t="s">
        <v>11970</v>
      </c>
      <c r="L954" s="110">
        <v>3</v>
      </c>
      <c r="M954" s="111" t="s">
        <v>40</v>
      </c>
      <c r="N954" s="108" t="s">
        <v>11968</v>
      </c>
      <c r="O954" s="112">
        <v>4</v>
      </c>
      <c r="P954" s="113"/>
      <c r="Q954" s="108" t="s">
        <v>11971</v>
      </c>
      <c r="R954" s="117">
        <v>2</v>
      </c>
      <c r="S954" s="111" t="s">
        <v>40</v>
      </c>
      <c r="T954" s="108" t="s">
        <v>11972</v>
      </c>
      <c r="U954" s="112">
        <v>4</v>
      </c>
      <c r="V954" s="113"/>
      <c r="W954" s="108" t="s">
        <v>11973</v>
      </c>
      <c r="X954" s="112">
        <v>4</v>
      </c>
      <c r="Y954" s="113"/>
      <c r="Z954" s="108" t="s">
        <v>2385</v>
      </c>
      <c r="AA954" s="112">
        <v>4</v>
      </c>
      <c r="AB954" s="113"/>
      <c r="AC954" s="105" t="s">
        <v>2386</v>
      </c>
      <c r="AD954" s="115" t="s">
        <v>107</v>
      </c>
    </row>
    <row r="955" spans="1:30" x14ac:dyDescent="0.2">
      <c r="A955" s="104" t="s">
        <v>2387</v>
      </c>
      <c r="B955" s="105" t="s">
        <v>805</v>
      </c>
      <c r="C955" s="105" t="s">
        <v>2369</v>
      </c>
      <c r="D955" s="106"/>
      <c r="E955" s="107"/>
      <c r="F955" s="108" t="s">
        <v>11974</v>
      </c>
      <c r="G955" s="119">
        <v>1</v>
      </c>
      <c r="H955" s="108" t="s">
        <v>11975</v>
      </c>
      <c r="I955" s="116">
        <v>1</v>
      </c>
      <c r="J955" s="111" t="s">
        <v>40</v>
      </c>
      <c r="K955" s="108" t="s">
        <v>2388</v>
      </c>
      <c r="L955" s="116">
        <v>1</v>
      </c>
      <c r="M955" s="111" t="s">
        <v>40</v>
      </c>
      <c r="N955" s="108" t="s">
        <v>11974</v>
      </c>
      <c r="O955" s="116">
        <v>1</v>
      </c>
      <c r="P955" s="113"/>
      <c r="Q955" s="108" t="s">
        <v>11976</v>
      </c>
      <c r="R955" s="116">
        <v>1</v>
      </c>
      <c r="S955" s="113"/>
      <c r="T955" s="108" t="s">
        <v>11977</v>
      </c>
      <c r="U955" s="110">
        <v>3</v>
      </c>
      <c r="V955" s="113"/>
      <c r="W955" s="108" t="s">
        <v>11978</v>
      </c>
      <c r="X955" s="117">
        <v>2</v>
      </c>
      <c r="Y955" s="113"/>
      <c r="Z955" s="108" t="s">
        <v>47</v>
      </c>
      <c r="AA955" s="114"/>
      <c r="AB955" s="113"/>
      <c r="AC955" s="105" t="s">
        <v>2389</v>
      </c>
      <c r="AD955" s="115" t="s">
        <v>107</v>
      </c>
    </row>
    <row r="956" spans="1:30" x14ac:dyDescent="0.2">
      <c r="A956" s="104" t="s">
        <v>2390</v>
      </c>
      <c r="B956" s="105" t="s">
        <v>805</v>
      </c>
      <c r="C956" s="105" t="s">
        <v>2361</v>
      </c>
      <c r="D956" s="106" t="s">
        <v>105</v>
      </c>
      <c r="E956" s="107"/>
      <c r="F956" s="108" t="s">
        <v>11979</v>
      </c>
      <c r="G956" s="109">
        <v>4</v>
      </c>
      <c r="H956" s="108" t="s">
        <v>11980</v>
      </c>
      <c r="I956" s="117">
        <v>2</v>
      </c>
      <c r="J956" s="111" t="s">
        <v>40</v>
      </c>
      <c r="K956" s="108" t="s">
        <v>11981</v>
      </c>
      <c r="L956" s="110">
        <v>3</v>
      </c>
      <c r="M956" s="113"/>
      <c r="N956" s="108" t="s">
        <v>11979</v>
      </c>
      <c r="O956" s="112">
        <v>4</v>
      </c>
      <c r="P956" s="111" t="s">
        <v>46</v>
      </c>
      <c r="Q956" s="108" t="s">
        <v>11982</v>
      </c>
      <c r="R956" s="116">
        <v>1</v>
      </c>
      <c r="S956" s="111" t="s">
        <v>40</v>
      </c>
      <c r="T956" s="108" t="s">
        <v>9145</v>
      </c>
      <c r="U956" s="112">
        <v>4</v>
      </c>
      <c r="V956" s="113"/>
      <c r="W956" s="108" t="s">
        <v>11983</v>
      </c>
      <c r="X956" s="112">
        <v>4</v>
      </c>
      <c r="Y956" s="113"/>
      <c r="Z956" s="108" t="s">
        <v>2391</v>
      </c>
      <c r="AA956" s="112">
        <v>4</v>
      </c>
      <c r="AB956" s="111" t="s">
        <v>46</v>
      </c>
      <c r="AC956" s="105" t="s">
        <v>2392</v>
      </c>
      <c r="AD956" s="115" t="s">
        <v>107</v>
      </c>
    </row>
    <row r="957" spans="1:30" x14ac:dyDescent="0.2">
      <c r="A957" s="104" t="s">
        <v>2393</v>
      </c>
      <c r="B957" s="105" t="s">
        <v>805</v>
      </c>
      <c r="C957" s="105" t="s">
        <v>2361</v>
      </c>
      <c r="D957" s="106" t="s">
        <v>105</v>
      </c>
      <c r="E957" s="107"/>
      <c r="F957" s="108" t="s">
        <v>11984</v>
      </c>
      <c r="G957" s="109">
        <v>4</v>
      </c>
      <c r="H957" s="108" t="s">
        <v>11985</v>
      </c>
      <c r="I957" s="117">
        <v>2</v>
      </c>
      <c r="J957" s="111" t="s">
        <v>40</v>
      </c>
      <c r="K957" s="108" t="s">
        <v>11986</v>
      </c>
      <c r="L957" s="110">
        <v>3</v>
      </c>
      <c r="M957" s="113"/>
      <c r="N957" s="108" t="s">
        <v>11984</v>
      </c>
      <c r="O957" s="112">
        <v>4</v>
      </c>
      <c r="P957" s="111" t="s">
        <v>46</v>
      </c>
      <c r="Q957" s="108" t="s">
        <v>11987</v>
      </c>
      <c r="R957" s="116">
        <v>1</v>
      </c>
      <c r="S957" s="111" t="s">
        <v>40</v>
      </c>
      <c r="T957" s="108" t="s">
        <v>11988</v>
      </c>
      <c r="U957" s="112">
        <v>4</v>
      </c>
      <c r="V957" s="113"/>
      <c r="W957" s="108" t="s">
        <v>2394</v>
      </c>
      <c r="X957" s="112">
        <v>4</v>
      </c>
      <c r="Y957" s="113"/>
      <c r="Z957" s="108" t="s">
        <v>47</v>
      </c>
      <c r="AA957" s="114"/>
      <c r="AB957" s="113"/>
      <c r="AC957" s="105" t="s">
        <v>2395</v>
      </c>
      <c r="AD957" s="115" t="s">
        <v>107</v>
      </c>
    </row>
    <row r="958" spans="1:30" x14ac:dyDescent="0.2">
      <c r="A958" s="104" t="s">
        <v>2396</v>
      </c>
      <c r="B958" s="105" t="s">
        <v>805</v>
      </c>
      <c r="C958" s="105" t="s">
        <v>2369</v>
      </c>
      <c r="D958" s="106"/>
      <c r="E958" s="107"/>
      <c r="F958" s="108" t="s">
        <v>11989</v>
      </c>
      <c r="G958" s="119">
        <v>1</v>
      </c>
      <c r="H958" s="108" t="s">
        <v>11990</v>
      </c>
      <c r="I958" s="116">
        <v>1</v>
      </c>
      <c r="J958" s="111" t="s">
        <v>40</v>
      </c>
      <c r="K958" s="108" t="s">
        <v>11991</v>
      </c>
      <c r="L958" s="116">
        <v>1</v>
      </c>
      <c r="M958" s="111" t="s">
        <v>40</v>
      </c>
      <c r="N958" s="108" t="s">
        <v>11989</v>
      </c>
      <c r="O958" s="116">
        <v>1</v>
      </c>
      <c r="P958" s="113"/>
      <c r="Q958" s="108" t="s">
        <v>11992</v>
      </c>
      <c r="R958" s="116">
        <v>1</v>
      </c>
      <c r="S958" s="113"/>
      <c r="T958" s="108" t="s">
        <v>11993</v>
      </c>
      <c r="U958" s="117">
        <v>2</v>
      </c>
      <c r="V958" s="113"/>
      <c r="W958" s="108" t="s">
        <v>2397</v>
      </c>
      <c r="X958" s="117">
        <v>2</v>
      </c>
      <c r="Y958" s="113"/>
      <c r="Z958" s="108" t="s">
        <v>47</v>
      </c>
      <c r="AA958" s="114"/>
      <c r="AB958" s="113"/>
      <c r="AC958" s="105" t="s">
        <v>2398</v>
      </c>
      <c r="AD958" s="115" t="s">
        <v>107</v>
      </c>
    </row>
    <row r="959" spans="1:30" x14ac:dyDescent="0.2">
      <c r="A959" s="104" t="s">
        <v>2399</v>
      </c>
      <c r="B959" s="105" t="s">
        <v>805</v>
      </c>
      <c r="C959" s="105" t="s">
        <v>2361</v>
      </c>
      <c r="D959" s="106" t="s">
        <v>105</v>
      </c>
      <c r="E959" s="107"/>
      <c r="F959" s="108" t="s">
        <v>11994</v>
      </c>
      <c r="G959" s="109">
        <v>4</v>
      </c>
      <c r="H959" s="108" t="s">
        <v>11995</v>
      </c>
      <c r="I959" s="117">
        <v>2</v>
      </c>
      <c r="J959" s="111" t="s">
        <v>40</v>
      </c>
      <c r="K959" s="108" t="s">
        <v>11996</v>
      </c>
      <c r="L959" s="110">
        <v>3</v>
      </c>
      <c r="M959" s="113"/>
      <c r="N959" s="108" t="s">
        <v>11994</v>
      </c>
      <c r="O959" s="112">
        <v>4</v>
      </c>
      <c r="P959" s="111" t="s">
        <v>46</v>
      </c>
      <c r="Q959" s="108" t="s">
        <v>11997</v>
      </c>
      <c r="R959" s="116">
        <v>1</v>
      </c>
      <c r="S959" s="111" t="s">
        <v>40</v>
      </c>
      <c r="T959" s="108" t="s">
        <v>9093</v>
      </c>
      <c r="U959" s="112">
        <v>4</v>
      </c>
      <c r="V959" s="113"/>
      <c r="W959" s="108" t="s">
        <v>2400</v>
      </c>
      <c r="X959" s="112">
        <v>4</v>
      </c>
      <c r="Y959" s="113"/>
      <c r="Z959" s="108" t="s">
        <v>47</v>
      </c>
      <c r="AA959" s="114"/>
      <c r="AB959" s="113"/>
      <c r="AC959" s="105" t="s">
        <v>2401</v>
      </c>
      <c r="AD959" s="115" t="s">
        <v>107</v>
      </c>
    </row>
    <row r="960" spans="1:30" x14ac:dyDescent="0.2">
      <c r="A960" s="104" t="s">
        <v>2402</v>
      </c>
      <c r="B960" s="105" t="s">
        <v>805</v>
      </c>
      <c r="C960" s="105" t="s">
        <v>2369</v>
      </c>
      <c r="D960" s="106"/>
      <c r="E960" s="107"/>
      <c r="F960" s="108" t="s">
        <v>11998</v>
      </c>
      <c r="G960" s="119">
        <v>1</v>
      </c>
      <c r="H960" s="108" t="s">
        <v>11999</v>
      </c>
      <c r="I960" s="116">
        <v>1</v>
      </c>
      <c r="J960" s="111" t="s">
        <v>40</v>
      </c>
      <c r="K960" s="108" t="s">
        <v>2403</v>
      </c>
      <c r="L960" s="116">
        <v>1</v>
      </c>
      <c r="M960" s="111" t="s">
        <v>40</v>
      </c>
      <c r="N960" s="108" t="s">
        <v>11998</v>
      </c>
      <c r="O960" s="116">
        <v>1</v>
      </c>
      <c r="P960" s="113"/>
      <c r="Q960" s="108" t="s">
        <v>12000</v>
      </c>
      <c r="R960" s="116">
        <v>1</v>
      </c>
      <c r="S960" s="113"/>
      <c r="T960" s="108" t="s">
        <v>12001</v>
      </c>
      <c r="U960" s="110">
        <v>3</v>
      </c>
      <c r="V960" s="113"/>
      <c r="W960" s="108" t="s">
        <v>12002</v>
      </c>
      <c r="X960" s="117">
        <v>2</v>
      </c>
      <c r="Y960" s="113"/>
      <c r="Z960" s="108" t="s">
        <v>2404</v>
      </c>
      <c r="AA960" s="117">
        <v>2</v>
      </c>
      <c r="AB960" s="113"/>
      <c r="AC960" s="105" t="s">
        <v>2405</v>
      </c>
      <c r="AD960" s="115" t="s">
        <v>107</v>
      </c>
    </row>
    <row r="961" spans="1:30" x14ac:dyDescent="0.2">
      <c r="A961" s="104" t="s">
        <v>2406</v>
      </c>
      <c r="B961" s="105" t="s">
        <v>805</v>
      </c>
      <c r="C961" s="105" t="s">
        <v>2361</v>
      </c>
      <c r="D961" s="106" t="s">
        <v>105</v>
      </c>
      <c r="E961" s="107"/>
      <c r="F961" s="108" t="s">
        <v>12003</v>
      </c>
      <c r="G961" s="109">
        <v>4</v>
      </c>
      <c r="H961" s="108" t="s">
        <v>12004</v>
      </c>
      <c r="I961" s="117">
        <v>2</v>
      </c>
      <c r="J961" s="111" t="s">
        <v>40</v>
      </c>
      <c r="K961" s="108" t="s">
        <v>12005</v>
      </c>
      <c r="L961" s="110">
        <v>3</v>
      </c>
      <c r="M961" s="113"/>
      <c r="N961" s="108" t="s">
        <v>12003</v>
      </c>
      <c r="O961" s="112">
        <v>4</v>
      </c>
      <c r="P961" s="111" t="s">
        <v>46</v>
      </c>
      <c r="Q961" s="108" t="s">
        <v>12006</v>
      </c>
      <c r="R961" s="116">
        <v>1</v>
      </c>
      <c r="S961" s="111" t="s">
        <v>40</v>
      </c>
      <c r="T961" s="108" t="s">
        <v>12007</v>
      </c>
      <c r="U961" s="112">
        <v>4</v>
      </c>
      <c r="V961" s="113"/>
      <c r="W961" s="108" t="s">
        <v>12008</v>
      </c>
      <c r="X961" s="112">
        <v>4</v>
      </c>
      <c r="Y961" s="113"/>
      <c r="Z961" s="108" t="s">
        <v>12009</v>
      </c>
      <c r="AA961" s="112">
        <v>4</v>
      </c>
      <c r="AB961" s="111" t="s">
        <v>46</v>
      </c>
      <c r="AC961" s="105" t="s">
        <v>2407</v>
      </c>
      <c r="AD961" s="115" t="s">
        <v>107</v>
      </c>
    </row>
    <row r="962" spans="1:30" x14ac:dyDescent="0.2">
      <c r="A962" s="104" t="s">
        <v>2408</v>
      </c>
      <c r="B962" s="105" t="s">
        <v>805</v>
      </c>
      <c r="C962" s="105" t="s">
        <v>2369</v>
      </c>
      <c r="D962" s="106"/>
      <c r="E962" s="107"/>
      <c r="F962" s="108" t="s">
        <v>12010</v>
      </c>
      <c r="G962" s="119">
        <v>1</v>
      </c>
      <c r="H962" s="108" t="s">
        <v>12011</v>
      </c>
      <c r="I962" s="116">
        <v>1</v>
      </c>
      <c r="J962" s="111" t="s">
        <v>40</v>
      </c>
      <c r="K962" s="108" t="s">
        <v>2409</v>
      </c>
      <c r="L962" s="116">
        <v>1</v>
      </c>
      <c r="M962" s="111" t="s">
        <v>40</v>
      </c>
      <c r="N962" s="108" t="s">
        <v>12010</v>
      </c>
      <c r="O962" s="116">
        <v>1</v>
      </c>
      <c r="P962" s="113"/>
      <c r="Q962" s="108" t="s">
        <v>12012</v>
      </c>
      <c r="R962" s="116">
        <v>1</v>
      </c>
      <c r="S962" s="113"/>
      <c r="T962" s="108" t="s">
        <v>12013</v>
      </c>
      <c r="U962" s="110">
        <v>3</v>
      </c>
      <c r="V962" s="113"/>
      <c r="W962" s="108" t="s">
        <v>12014</v>
      </c>
      <c r="X962" s="110">
        <v>3</v>
      </c>
      <c r="Y962" s="113"/>
      <c r="Z962" s="108" t="s">
        <v>47</v>
      </c>
      <c r="AA962" s="114"/>
      <c r="AB962" s="113"/>
      <c r="AC962" s="105" t="s">
        <v>2410</v>
      </c>
      <c r="AD962" s="115" t="s">
        <v>107</v>
      </c>
    </row>
    <row r="963" spans="1:30" x14ac:dyDescent="0.2">
      <c r="A963" s="104" t="s">
        <v>2411</v>
      </c>
      <c r="B963" s="105" t="s">
        <v>805</v>
      </c>
      <c r="C963" s="105" t="s">
        <v>2361</v>
      </c>
      <c r="D963" s="106" t="s">
        <v>298</v>
      </c>
      <c r="E963" s="107"/>
      <c r="F963" s="108" t="s">
        <v>12015</v>
      </c>
      <c r="G963" s="109">
        <v>4</v>
      </c>
      <c r="H963" s="108" t="s">
        <v>12016</v>
      </c>
      <c r="I963" s="117">
        <v>2</v>
      </c>
      <c r="J963" s="111" t="s">
        <v>40</v>
      </c>
      <c r="K963" s="108" t="s">
        <v>12017</v>
      </c>
      <c r="L963" s="110">
        <v>3</v>
      </c>
      <c r="M963" s="111" t="s">
        <v>40</v>
      </c>
      <c r="N963" s="108" t="s">
        <v>12015</v>
      </c>
      <c r="O963" s="112">
        <v>4</v>
      </c>
      <c r="P963" s="113"/>
      <c r="Q963" s="108" t="s">
        <v>12018</v>
      </c>
      <c r="R963" s="116">
        <v>1</v>
      </c>
      <c r="S963" s="111" t="s">
        <v>40</v>
      </c>
      <c r="T963" s="108" t="s">
        <v>12019</v>
      </c>
      <c r="U963" s="112">
        <v>4</v>
      </c>
      <c r="V963" s="113"/>
      <c r="W963" s="108" t="s">
        <v>12020</v>
      </c>
      <c r="X963" s="112">
        <v>4</v>
      </c>
      <c r="Y963" s="113"/>
      <c r="Z963" s="108" t="s">
        <v>47</v>
      </c>
      <c r="AA963" s="114"/>
      <c r="AB963" s="113"/>
      <c r="AC963" s="105" t="s">
        <v>2412</v>
      </c>
      <c r="AD963" s="115" t="s">
        <v>107</v>
      </c>
    </row>
    <row r="964" spans="1:30" x14ac:dyDescent="0.2">
      <c r="A964" s="104" t="s">
        <v>2413</v>
      </c>
      <c r="B964" s="105" t="s">
        <v>805</v>
      </c>
      <c r="C964" s="105" t="s">
        <v>2414</v>
      </c>
      <c r="D964" s="106" t="s">
        <v>125</v>
      </c>
      <c r="E964" s="107" t="s">
        <v>376</v>
      </c>
      <c r="F964" s="108" t="s">
        <v>12021</v>
      </c>
      <c r="G964" s="120">
        <v>2</v>
      </c>
      <c r="H964" s="108" t="s">
        <v>12022</v>
      </c>
      <c r="I964" s="110">
        <v>3</v>
      </c>
      <c r="J964" s="111" t="s">
        <v>46</v>
      </c>
      <c r="K964" s="108" t="s">
        <v>12023</v>
      </c>
      <c r="L964" s="117">
        <v>2</v>
      </c>
      <c r="M964" s="113"/>
      <c r="N964" s="108" t="s">
        <v>12021</v>
      </c>
      <c r="O964" s="117">
        <v>2</v>
      </c>
      <c r="P964" s="111" t="s">
        <v>46</v>
      </c>
      <c r="Q964" s="108" t="s">
        <v>12024</v>
      </c>
      <c r="R964" s="116">
        <v>1</v>
      </c>
      <c r="S964" s="113"/>
      <c r="T964" s="108" t="s">
        <v>12025</v>
      </c>
      <c r="U964" s="116">
        <v>1</v>
      </c>
      <c r="V964" s="113"/>
      <c r="W964" s="108" t="s">
        <v>12026</v>
      </c>
      <c r="X964" s="110">
        <v>3</v>
      </c>
      <c r="Y964" s="113"/>
      <c r="Z964" s="108" t="s">
        <v>47</v>
      </c>
      <c r="AA964" s="114"/>
      <c r="AB964" s="113"/>
      <c r="AC964" s="105" t="s">
        <v>2415</v>
      </c>
      <c r="AD964" s="115" t="s">
        <v>107</v>
      </c>
    </row>
    <row r="965" spans="1:30" x14ac:dyDescent="0.2">
      <c r="A965" s="104" t="s">
        <v>2416</v>
      </c>
      <c r="B965" s="105" t="s">
        <v>805</v>
      </c>
      <c r="C965" s="105" t="s">
        <v>2414</v>
      </c>
      <c r="D965" s="106"/>
      <c r="E965" s="107" t="s">
        <v>376</v>
      </c>
      <c r="F965" s="108" t="s">
        <v>12027</v>
      </c>
      <c r="G965" s="120">
        <v>2</v>
      </c>
      <c r="H965" s="108" t="s">
        <v>12028</v>
      </c>
      <c r="I965" s="110">
        <v>3</v>
      </c>
      <c r="J965" s="111" t="s">
        <v>46</v>
      </c>
      <c r="K965" s="108" t="s">
        <v>12029</v>
      </c>
      <c r="L965" s="117">
        <v>2</v>
      </c>
      <c r="M965" s="113"/>
      <c r="N965" s="108" t="s">
        <v>12027</v>
      </c>
      <c r="O965" s="117">
        <v>2</v>
      </c>
      <c r="P965" s="111" t="s">
        <v>46</v>
      </c>
      <c r="Q965" s="108" t="s">
        <v>12030</v>
      </c>
      <c r="R965" s="116">
        <v>1</v>
      </c>
      <c r="S965" s="113"/>
      <c r="T965" s="108" t="s">
        <v>47</v>
      </c>
      <c r="U965" s="114"/>
      <c r="V965" s="113"/>
      <c r="W965" s="108" t="s">
        <v>47</v>
      </c>
      <c r="X965" s="114"/>
      <c r="Y965" s="113"/>
      <c r="Z965" s="108" t="s">
        <v>47</v>
      </c>
      <c r="AA965" s="114"/>
      <c r="AB965" s="113"/>
      <c r="AC965" s="105" t="s">
        <v>2417</v>
      </c>
      <c r="AD965" s="115" t="s">
        <v>107</v>
      </c>
    </row>
    <row r="966" spans="1:30" x14ac:dyDescent="0.2">
      <c r="A966" s="104" t="s">
        <v>2418</v>
      </c>
      <c r="B966" s="105" t="s">
        <v>805</v>
      </c>
      <c r="C966" s="105" t="s">
        <v>2369</v>
      </c>
      <c r="D966" s="106"/>
      <c r="E966" s="107" t="s">
        <v>376</v>
      </c>
      <c r="F966" s="108" t="s">
        <v>12031</v>
      </c>
      <c r="G966" s="120">
        <v>2</v>
      </c>
      <c r="H966" s="108" t="s">
        <v>12032</v>
      </c>
      <c r="I966" s="117">
        <v>2</v>
      </c>
      <c r="J966" s="111" t="s">
        <v>46</v>
      </c>
      <c r="K966" s="108" t="s">
        <v>12033</v>
      </c>
      <c r="L966" s="116">
        <v>1</v>
      </c>
      <c r="M966" s="113"/>
      <c r="N966" s="108" t="s">
        <v>12031</v>
      </c>
      <c r="O966" s="117">
        <v>2</v>
      </c>
      <c r="P966" s="111" t="s">
        <v>46</v>
      </c>
      <c r="Q966" s="108" t="s">
        <v>8374</v>
      </c>
      <c r="R966" s="116">
        <v>1</v>
      </c>
      <c r="S966" s="113"/>
      <c r="T966" s="108" t="s">
        <v>2419</v>
      </c>
      <c r="U966" s="110">
        <v>3</v>
      </c>
      <c r="V966" s="113"/>
      <c r="W966" s="108" t="s">
        <v>47</v>
      </c>
      <c r="X966" s="114"/>
      <c r="Y966" s="113"/>
      <c r="Z966" s="108" t="s">
        <v>47</v>
      </c>
      <c r="AA966" s="114"/>
      <c r="AB966" s="113"/>
      <c r="AC966" s="105" t="s">
        <v>2420</v>
      </c>
      <c r="AD966" s="115" t="s">
        <v>107</v>
      </c>
    </row>
    <row r="967" spans="1:30" x14ac:dyDescent="0.2">
      <c r="A967" s="104" t="s">
        <v>2421</v>
      </c>
      <c r="B967" s="105" t="s">
        <v>805</v>
      </c>
      <c r="C967" s="105" t="s">
        <v>2369</v>
      </c>
      <c r="D967" s="106"/>
      <c r="E967" s="107" t="s">
        <v>376</v>
      </c>
      <c r="F967" s="108" t="s">
        <v>12034</v>
      </c>
      <c r="G967" s="119">
        <v>1</v>
      </c>
      <c r="H967" s="108" t="s">
        <v>12035</v>
      </c>
      <c r="I967" s="116">
        <v>1</v>
      </c>
      <c r="J967" s="113"/>
      <c r="K967" s="108" t="s">
        <v>12036</v>
      </c>
      <c r="L967" s="116">
        <v>1</v>
      </c>
      <c r="M967" s="113"/>
      <c r="N967" s="108" t="s">
        <v>12034</v>
      </c>
      <c r="O967" s="116">
        <v>1</v>
      </c>
      <c r="P967" s="113"/>
      <c r="Q967" s="108" t="s">
        <v>12037</v>
      </c>
      <c r="R967" s="116">
        <v>1</v>
      </c>
      <c r="S967" s="113"/>
      <c r="T967" s="108" t="s">
        <v>12038</v>
      </c>
      <c r="U967" s="117">
        <v>2</v>
      </c>
      <c r="V967" s="111" t="s">
        <v>40</v>
      </c>
      <c r="W967" s="108" t="s">
        <v>47</v>
      </c>
      <c r="X967" s="114"/>
      <c r="Y967" s="113"/>
      <c r="Z967" s="108" t="s">
        <v>47</v>
      </c>
      <c r="AA967" s="114"/>
      <c r="AB967" s="113"/>
      <c r="AC967" s="105" t="s">
        <v>2422</v>
      </c>
      <c r="AD967" s="115" t="s">
        <v>107</v>
      </c>
    </row>
    <row r="968" spans="1:30" x14ac:dyDescent="0.2">
      <c r="A968" s="104" t="s">
        <v>2423</v>
      </c>
      <c r="B968" s="105" t="s">
        <v>805</v>
      </c>
      <c r="C968" s="105" t="s">
        <v>2414</v>
      </c>
      <c r="D968" s="106" t="s">
        <v>94</v>
      </c>
      <c r="E968" s="107" t="s">
        <v>376</v>
      </c>
      <c r="F968" s="108" t="s">
        <v>12039</v>
      </c>
      <c r="G968" s="120">
        <v>2</v>
      </c>
      <c r="H968" s="108" t="s">
        <v>12040</v>
      </c>
      <c r="I968" s="110">
        <v>3</v>
      </c>
      <c r="J968" s="111" t="s">
        <v>46</v>
      </c>
      <c r="K968" s="108" t="s">
        <v>12041</v>
      </c>
      <c r="L968" s="117">
        <v>2</v>
      </c>
      <c r="M968" s="113"/>
      <c r="N968" s="108" t="s">
        <v>12039</v>
      </c>
      <c r="O968" s="117">
        <v>2</v>
      </c>
      <c r="P968" s="111" t="s">
        <v>46</v>
      </c>
      <c r="Q968" s="108" t="s">
        <v>12042</v>
      </c>
      <c r="R968" s="116">
        <v>1</v>
      </c>
      <c r="S968" s="113"/>
      <c r="T968" s="108" t="s">
        <v>12043</v>
      </c>
      <c r="U968" s="116">
        <v>1</v>
      </c>
      <c r="V968" s="113"/>
      <c r="W968" s="108" t="s">
        <v>12044</v>
      </c>
      <c r="X968" s="110">
        <v>3</v>
      </c>
      <c r="Y968" s="113"/>
      <c r="Z968" s="108" t="s">
        <v>12045</v>
      </c>
      <c r="AA968" s="110">
        <v>3</v>
      </c>
      <c r="AB968" s="111" t="s">
        <v>55</v>
      </c>
      <c r="AC968" s="105" t="s">
        <v>2424</v>
      </c>
      <c r="AD968" s="115" t="s">
        <v>107</v>
      </c>
    </row>
    <row r="969" spans="1:30" x14ac:dyDescent="0.2">
      <c r="A969" s="104" t="s">
        <v>2425</v>
      </c>
      <c r="B969" s="105" t="s">
        <v>805</v>
      </c>
      <c r="C969" s="105" t="s">
        <v>2414</v>
      </c>
      <c r="D969" s="106" t="s">
        <v>125</v>
      </c>
      <c r="E969" s="107" t="s">
        <v>376</v>
      </c>
      <c r="F969" s="108" t="s">
        <v>12046</v>
      </c>
      <c r="G969" s="120">
        <v>2</v>
      </c>
      <c r="H969" s="108" t="s">
        <v>12047</v>
      </c>
      <c r="I969" s="110">
        <v>3</v>
      </c>
      <c r="J969" s="111" t="s">
        <v>46</v>
      </c>
      <c r="K969" s="108" t="s">
        <v>12048</v>
      </c>
      <c r="L969" s="117">
        <v>2</v>
      </c>
      <c r="M969" s="113"/>
      <c r="N969" s="108" t="s">
        <v>12046</v>
      </c>
      <c r="O969" s="117">
        <v>2</v>
      </c>
      <c r="P969" s="111" t="s">
        <v>46</v>
      </c>
      <c r="Q969" s="108" t="s">
        <v>12049</v>
      </c>
      <c r="R969" s="116">
        <v>1</v>
      </c>
      <c r="S969" s="113"/>
      <c r="T969" s="108" t="s">
        <v>12050</v>
      </c>
      <c r="U969" s="116">
        <v>1</v>
      </c>
      <c r="V969" s="113"/>
      <c r="W969" s="108" t="s">
        <v>12051</v>
      </c>
      <c r="X969" s="110">
        <v>3</v>
      </c>
      <c r="Y969" s="113"/>
      <c r="Z969" s="108" t="s">
        <v>12052</v>
      </c>
      <c r="AA969" s="110">
        <v>3</v>
      </c>
      <c r="AB969" s="113"/>
      <c r="AC969" s="105" t="s">
        <v>2426</v>
      </c>
      <c r="AD969" s="115" t="s">
        <v>107</v>
      </c>
    </row>
    <row r="970" spans="1:30" x14ac:dyDescent="0.2">
      <c r="A970" s="104" t="s">
        <v>2427</v>
      </c>
      <c r="B970" s="105" t="s">
        <v>805</v>
      </c>
      <c r="C970" s="105" t="s">
        <v>2369</v>
      </c>
      <c r="D970" s="106"/>
      <c r="E970" s="107" t="s">
        <v>376</v>
      </c>
      <c r="F970" s="108" t="s">
        <v>12053</v>
      </c>
      <c r="G970" s="120">
        <v>2</v>
      </c>
      <c r="H970" s="108" t="s">
        <v>12054</v>
      </c>
      <c r="I970" s="117">
        <v>2</v>
      </c>
      <c r="J970" s="111" t="s">
        <v>46</v>
      </c>
      <c r="K970" s="108" t="s">
        <v>12055</v>
      </c>
      <c r="L970" s="116">
        <v>1</v>
      </c>
      <c r="M970" s="111" t="s">
        <v>40</v>
      </c>
      <c r="N970" s="108" t="s">
        <v>12053</v>
      </c>
      <c r="O970" s="117">
        <v>2</v>
      </c>
      <c r="P970" s="113"/>
      <c r="Q970" s="108" t="s">
        <v>12056</v>
      </c>
      <c r="R970" s="117">
        <v>2</v>
      </c>
      <c r="S970" s="113"/>
      <c r="T970" s="108" t="s">
        <v>12057</v>
      </c>
      <c r="U970" s="110">
        <v>3</v>
      </c>
      <c r="V970" s="113"/>
      <c r="W970" s="108" t="s">
        <v>47</v>
      </c>
      <c r="X970" s="114"/>
      <c r="Y970" s="113"/>
      <c r="Z970" s="108" t="s">
        <v>47</v>
      </c>
      <c r="AA970" s="114"/>
      <c r="AB970" s="113"/>
      <c r="AC970" s="105" t="s">
        <v>2428</v>
      </c>
      <c r="AD970" s="115" t="s">
        <v>107</v>
      </c>
    </row>
    <row r="971" spans="1:30" x14ac:dyDescent="0.2">
      <c r="A971" s="104" t="s">
        <v>2429</v>
      </c>
      <c r="B971" s="105" t="s">
        <v>805</v>
      </c>
      <c r="C971" s="105" t="s">
        <v>2414</v>
      </c>
      <c r="D971" s="106" t="s">
        <v>105</v>
      </c>
      <c r="E971" s="107" t="s">
        <v>376</v>
      </c>
      <c r="F971" s="108" t="s">
        <v>12058</v>
      </c>
      <c r="G971" s="118">
        <v>3</v>
      </c>
      <c r="H971" s="108" t="s">
        <v>12059</v>
      </c>
      <c r="I971" s="110">
        <v>3</v>
      </c>
      <c r="J971" s="111" t="s">
        <v>46</v>
      </c>
      <c r="K971" s="108" t="s">
        <v>12060</v>
      </c>
      <c r="L971" s="117">
        <v>2</v>
      </c>
      <c r="M971" s="113"/>
      <c r="N971" s="108" t="s">
        <v>12058</v>
      </c>
      <c r="O971" s="110">
        <v>3</v>
      </c>
      <c r="P971" s="111" t="s">
        <v>46</v>
      </c>
      <c r="Q971" s="108" t="s">
        <v>12061</v>
      </c>
      <c r="R971" s="117">
        <v>2</v>
      </c>
      <c r="S971" s="111" t="s">
        <v>46</v>
      </c>
      <c r="T971" s="108" t="s">
        <v>12062</v>
      </c>
      <c r="U971" s="110">
        <v>3</v>
      </c>
      <c r="V971" s="111" t="s">
        <v>46</v>
      </c>
      <c r="W971" s="108" t="s">
        <v>12063</v>
      </c>
      <c r="X971" s="112">
        <v>4</v>
      </c>
      <c r="Y971" s="113"/>
      <c r="Z971" s="108" t="s">
        <v>47</v>
      </c>
      <c r="AA971" s="114"/>
      <c r="AB971" s="113"/>
      <c r="AC971" s="105" t="s">
        <v>2430</v>
      </c>
      <c r="AD971" s="115" t="s">
        <v>107</v>
      </c>
    </row>
    <row r="972" spans="1:30" x14ac:dyDescent="0.2">
      <c r="A972" s="104" t="s">
        <v>2431</v>
      </c>
      <c r="B972" s="105" t="s">
        <v>805</v>
      </c>
      <c r="C972" s="105" t="s">
        <v>2369</v>
      </c>
      <c r="D972" s="106"/>
      <c r="E972" s="107" t="s">
        <v>376</v>
      </c>
      <c r="F972" s="108" t="s">
        <v>12064</v>
      </c>
      <c r="G972" s="120">
        <v>2</v>
      </c>
      <c r="H972" s="108" t="s">
        <v>12065</v>
      </c>
      <c r="I972" s="117">
        <v>2</v>
      </c>
      <c r="J972" s="111" t="s">
        <v>46</v>
      </c>
      <c r="K972" s="108" t="s">
        <v>12066</v>
      </c>
      <c r="L972" s="116">
        <v>1</v>
      </c>
      <c r="M972" s="113"/>
      <c r="N972" s="108" t="s">
        <v>12064</v>
      </c>
      <c r="O972" s="117">
        <v>2</v>
      </c>
      <c r="P972" s="111" t="s">
        <v>46</v>
      </c>
      <c r="Q972" s="108" t="s">
        <v>12067</v>
      </c>
      <c r="R972" s="116">
        <v>1</v>
      </c>
      <c r="S972" s="113"/>
      <c r="T972" s="108" t="s">
        <v>12068</v>
      </c>
      <c r="U972" s="117">
        <v>2</v>
      </c>
      <c r="V972" s="113"/>
      <c r="W972" s="108" t="s">
        <v>47</v>
      </c>
      <c r="X972" s="114"/>
      <c r="Y972" s="113"/>
      <c r="Z972" s="108" t="s">
        <v>47</v>
      </c>
      <c r="AA972" s="114"/>
      <c r="AB972" s="113"/>
      <c r="AC972" s="105" t="s">
        <v>2432</v>
      </c>
      <c r="AD972" s="115" t="s">
        <v>107</v>
      </c>
    </row>
    <row r="973" spans="1:30" x14ac:dyDescent="0.2">
      <c r="A973" s="104" t="s">
        <v>2433</v>
      </c>
      <c r="B973" s="105" t="s">
        <v>805</v>
      </c>
      <c r="C973" s="105" t="s">
        <v>2414</v>
      </c>
      <c r="D973" s="106" t="s">
        <v>94</v>
      </c>
      <c r="E973" s="107" t="s">
        <v>376</v>
      </c>
      <c r="F973" s="108" t="s">
        <v>12069</v>
      </c>
      <c r="G973" s="120">
        <v>2</v>
      </c>
      <c r="H973" s="108" t="s">
        <v>2434</v>
      </c>
      <c r="I973" s="110">
        <v>3</v>
      </c>
      <c r="J973" s="111" t="s">
        <v>46</v>
      </c>
      <c r="K973" s="108" t="s">
        <v>12070</v>
      </c>
      <c r="L973" s="116">
        <v>1</v>
      </c>
      <c r="M973" s="111" t="s">
        <v>40</v>
      </c>
      <c r="N973" s="108" t="s">
        <v>12069</v>
      </c>
      <c r="O973" s="117">
        <v>2</v>
      </c>
      <c r="P973" s="111" t="s">
        <v>46</v>
      </c>
      <c r="Q973" s="108" t="s">
        <v>12071</v>
      </c>
      <c r="R973" s="116">
        <v>1</v>
      </c>
      <c r="S973" s="113"/>
      <c r="T973" s="108" t="s">
        <v>12072</v>
      </c>
      <c r="U973" s="116">
        <v>1</v>
      </c>
      <c r="V973" s="113"/>
      <c r="W973" s="108" t="s">
        <v>12073</v>
      </c>
      <c r="X973" s="117">
        <v>2</v>
      </c>
      <c r="Y973" s="113"/>
      <c r="Z973" s="108" t="s">
        <v>2435</v>
      </c>
      <c r="AA973" s="117">
        <v>2</v>
      </c>
      <c r="AB973" s="111" t="s">
        <v>46</v>
      </c>
      <c r="AC973" s="105" t="s">
        <v>2436</v>
      </c>
      <c r="AD973" s="115" t="s">
        <v>107</v>
      </c>
    </row>
    <row r="974" spans="1:30" x14ac:dyDescent="0.2">
      <c r="A974" s="104" t="s">
        <v>2437</v>
      </c>
      <c r="B974" s="105" t="s">
        <v>805</v>
      </c>
      <c r="C974" s="105" t="s">
        <v>2414</v>
      </c>
      <c r="D974" s="106" t="s">
        <v>94</v>
      </c>
      <c r="E974" s="107" t="s">
        <v>376</v>
      </c>
      <c r="F974" s="108" t="s">
        <v>12074</v>
      </c>
      <c r="G974" s="120">
        <v>2</v>
      </c>
      <c r="H974" s="108" t="s">
        <v>12075</v>
      </c>
      <c r="I974" s="110">
        <v>3</v>
      </c>
      <c r="J974" s="111" t="s">
        <v>46</v>
      </c>
      <c r="K974" s="108" t="s">
        <v>12076</v>
      </c>
      <c r="L974" s="116">
        <v>1</v>
      </c>
      <c r="M974" s="111" t="s">
        <v>40</v>
      </c>
      <c r="N974" s="108" t="s">
        <v>12074</v>
      </c>
      <c r="O974" s="117">
        <v>2</v>
      </c>
      <c r="P974" s="111" t="s">
        <v>46</v>
      </c>
      <c r="Q974" s="108" t="s">
        <v>12077</v>
      </c>
      <c r="R974" s="116">
        <v>1</v>
      </c>
      <c r="S974" s="113"/>
      <c r="T974" s="108" t="s">
        <v>12078</v>
      </c>
      <c r="U974" s="116">
        <v>1</v>
      </c>
      <c r="V974" s="113"/>
      <c r="W974" s="108" t="s">
        <v>12079</v>
      </c>
      <c r="X974" s="117">
        <v>2</v>
      </c>
      <c r="Y974" s="113"/>
      <c r="Z974" s="108" t="s">
        <v>47</v>
      </c>
      <c r="AA974" s="114"/>
      <c r="AB974" s="113"/>
      <c r="AC974" s="105" t="s">
        <v>2438</v>
      </c>
      <c r="AD974" s="115" t="s">
        <v>107</v>
      </c>
    </row>
    <row r="975" spans="1:30" x14ac:dyDescent="0.2">
      <c r="A975" s="104" t="s">
        <v>2439</v>
      </c>
      <c r="B975" s="105" t="s">
        <v>805</v>
      </c>
      <c r="C975" s="105" t="s">
        <v>2414</v>
      </c>
      <c r="D975" s="106"/>
      <c r="E975" s="107" t="s">
        <v>376</v>
      </c>
      <c r="F975" s="108" t="s">
        <v>47</v>
      </c>
      <c r="G975" s="113"/>
      <c r="H975" s="108" t="s">
        <v>47</v>
      </c>
      <c r="I975" s="114"/>
      <c r="J975" s="113"/>
      <c r="K975" s="108" t="s">
        <v>47</v>
      </c>
      <c r="L975" s="114"/>
      <c r="M975" s="113"/>
      <c r="N975" s="108" t="s">
        <v>47</v>
      </c>
      <c r="O975" s="114"/>
      <c r="P975" s="113"/>
      <c r="Q975" s="108" t="s">
        <v>47</v>
      </c>
      <c r="R975" s="114"/>
      <c r="S975" s="113"/>
      <c r="T975" s="108" t="s">
        <v>47</v>
      </c>
      <c r="U975" s="114"/>
      <c r="V975" s="113"/>
      <c r="W975" s="108" t="s">
        <v>47</v>
      </c>
      <c r="X975" s="114"/>
      <c r="Y975" s="113"/>
      <c r="Z975" s="108" t="s">
        <v>47</v>
      </c>
      <c r="AA975" s="114"/>
      <c r="AB975" s="113"/>
      <c r="AC975" s="105" t="s">
        <v>2440</v>
      </c>
      <c r="AD975" s="115" t="s">
        <v>107</v>
      </c>
    </row>
    <row r="976" spans="1:30" x14ac:dyDescent="0.2">
      <c r="A976" s="104" t="s">
        <v>2441</v>
      </c>
      <c r="B976" s="105" t="s">
        <v>805</v>
      </c>
      <c r="C976" s="105" t="s">
        <v>2414</v>
      </c>
      <c r="D976" s="106"/>
      <c r="E976" s="107" t="s">
        <v>376</v>
      </c>
      <c r="F976" s="108" t="s">
        <v>47</v>
      </c>
      <c r="G976" s="113"/>
      <c r="H976" s="108" t="s">
        <v>47</v>
      </c>
      <c r="I976" s="114"/>
      <c r="J976" s="113"/>
      <c r="K976" s="108" t="s">
        <v>47</v>
      </c>
      <c r="L976" s="114"/>
      <c r="M976" s="113"/>
      <c r="N976" s="108" t="s">
        <v>47</v>
      </c>
      <c r="O976" s="114"/>
      <c r="P976" s="113"/>
      <c r="Q976" s="108" t="s">
        <v>47</v>
      </c>
      <c r="R976" s="114"/>
      <c r="S976" s="113"/>
      <c r="T976" s="108" t="s">
        <v>47</v>
      </c>
      <c r="U976" s="114"/>
      <c r="V976" s="113"/>
      <c r="W976" s="108" t="s">
        <v>47</v>
      </c>
      <c r="X976" s="114"/>
      <c r="Y976" s="113"/>
      <c r="Z976" s="108" t="s">
        <v>47</v>
      </c>
      <c r="AA976" s="114"/>
      <c r="AB976" s="113"/>
      <c r="AC976" s="105" t="s">
        <v>2442</v>
      </c>
      <c r="AD976" s="115" t="s">
        <v>107</v>
      </c>
    </row>
    <row r="977" spans="1:30" x14ac:dyDescent="0.2">
      <c r="A977" s="104" t="s">
        <v>2443</v>
      </c>
      <c r="B977" s="105" t="s">
        <v>805</v>
      </c>
      <c r="C977" s="105" t="s">
        <v>2369</v>
      </c>
      <c r="D977" s="106"/>
      <c r="E977" s="107" t="s">
        <v>376</v>
      </c>
      <c r="F977" s="108" t="s">
        <v>12080</v>
      </c>
      <c r="G977" s="120">
        <v>2</v>
      </c>
      <c r="H977" s="108" t="s">
        <v>12081</v>
      </c>
      <c r="I977" s="117">
        <v>2</v>
      </c>
      <c r="J977" s="111" t="s">
        <v>46</v>
      </c>
      <c r="K977" s="108" t="s">
        <v>12082</v>
      </c>
      <c r="L977" s="116">
        <v>1</v>
      </c>
      <c r="M977" s="113"/>
      <c r="N977" s="108" t="s">
        <v>12080</v>
      </c>
      <c r="O977" s="117">
        <v>2</v>
      </c>
      <c r="P977" s="111" t="s">
        <v>46</v>
      </c>
      <c r="Q977" s="108" t="s">
        <v>12083</v>
      </c>
      <c r="R977" s="117">
        <v>2</v>
      </c>
      <c r="S977" s="111" t="s">
        <v>46</v>
      </c>
      <c r="T977" s="108" t="s">
        <v>12084</v>
      </c>
      <c r="U977" s="110">
        <v>3</v>
      </c>
      <c r="V977" s="113"/>
      <c r="W977" s="108" t="s">
        <v>47</v>
      </c>
      <c r="X977" s="114"/>
      <c r="Y977" s="113"/>
      <c r="Z977" s="108" t="s">
        <v>47</v>
      </c>
      <c r="AA977" s="114"/>
      <c r="AB977" s="113"/>
      <c r="AC977" s="105" t="s">
        <v>2444</v>
      </c>
      <c r="AD977" s="115" t="s">
        <v>107</v>
      </c>
    </row>
    <row r="978" spans="1:30" x14ac:dyDescent="0.2">
      <c r="A978" s="104" t="s">
        <v>2445</v>
      </c>
      <c r="B978" s="105" t="s">
        <v>805</v>
      </c>
      <c r="C978" s="105" t="s">
        <v>2414</v>
      </c>
      <c r="D978" s="106" t="s">
        <v>94</v>
      </c>
      <c r="E978" s="107" t="s">
        <v>376</v>
      </c>
      <c r="F978" s="108" t="s">
        <v>12085</v>
      </c>
      <c r="G978" s="120">
        <v>2</v>
      </c>
      <c r="H978" s="108" t="s">
        <v>12086</v>
      </c>
      <c r="I978" s="110">
        <v>3</v>
      </c>
      <c r="J978" s="111" t="s">
        <v>46</v>
      </c>
      <c r="K978" s="108" t="s">
        <v>12087</v>
      </c>
      <c r="L978" s="117">
        <v>2</v>
      </c>
      <c r="M978" s="113"/>
      <c r="N978" s="108" t="s">
        <v>12085</v>
      </c>
      <c r="O978" s="117">
        <v>2</v>
      </c>
      <c r="P978" s="111" t="s">
        <v>46</v>
      </c>
      <c r="Q978" s="108" t="s">
        <v>12088</v>
      </c>
      <c r="R978" s="116">
        <v>1</v>
      </c>
      <c r="S978" s="113"/>
      <c r="T978" s="108" t="s">
        <v>12089</v>
      </c>
      <c r="U978" s="117">
        <v>2</v>
      </c>
      <c r="V978" s="113"/>
      <c r="W978" s="108" t="s">
        <v>12090</v>
      </c>
      <c r="X978" s="110">
        <v>3</v>
      </c>
      <c r="Y978" s="113"/>
      <c r="Z978" s="108" t="s">
        <v>12091</v>
      </c>
      <c r="AA978" s="110">
        <v>3</v>
      </c>
      <c r="AB978" s="111" t="s">
        <v>46</v>
      </c>
      <c r="AC978" s="105" t="s">
        <v>2446</v>
      </c>
      <c r="AD978" s="115" t="s">
        <v>107</v>
      </c>
    </row>
    <row r="979" spans="1:30" x14ac:dyDescent="0.2">
      <c r="A979" s="104" t="s">
        <v>2447</v>
      </c>
      <c r="B979" s="105" t="s">
        <v>805</v>
      </c>
      <c r="C979" s="105" t="s">
        <v>2448</v>
      </c>
      <c r="D979" s="106" t="s">
        <v>125</v>
      </c>
      <c r="E979" s="107" t="s">
        <v>182</v>
      </c>
      <c r="F979" s="108" t="s">
        <v>2449</v>
      </c>
      <c r="G979" s="120">
        <v>2</v>
      </c>
      <c r="H979" s="108" t="s">
        <v>2450</v>
      </c>
      <c r="I979" s="117">
        <v>2</v>
      </c>
      <c r="J979" s="113"/>
      <c r="K979" s="108" t="s">
        <v>12092</v>
      </c>
      <c r="L979" s="117">
        <v>2</v>
      </c>
      <c r="M979" s="111" t="s">
        <v>53</v>
      </c>
      <c r="N979" s="108" t="s">
        <v>2449</v>
      </c>
      <c r="O979" s="117">
        <v>2</v>
      </c>
      <c r="P979" s="111" t="s">
        <v>53</v>
      </c>
      <c r="Q979" s="108" t="s">
        <v>9600</v>
      </c>
      <c r="R979" s="117">
        <v>2</v>
      </c>
      <c r="S979" s="113"/>
      <c r="T979" s="108" t="s">
        <v>12093</v>
      </c>
      <c r="U979" s="110">
        <v>3</v>
      </c>
      <c r="V979" s="113"/>
      <c r="W979" s="108" t="s">
        <v>12094</v>
      </c>
      <c r="X979" s="110">
        <v>3</v>
      </c>
      <c r="Y979" s="113"/>
      <c r="Z979" s="108" t="s">
        <v>2451</v>
      </c>
      <c r="AA979" s="110">
        <v>3</v>
      </c>
      <c r="AB979" s="111" t="s">
        <v>40</v>
      </c>
      <c r="AC979" s="105" t="s">
        <v>2452</v>
      </c>
      <c r="AD979" s="115" t="s">
        <v>107</v>
      </c>
    </row>
    <row r="980" spans="1:30" x14ac:dyDescent="0.2">
      <c r="A980" s="104" t="s">
        <v>2453</v>
      </c>
      <c r="B980" s="105" t="s">
        <v>805</v>
      </c>
      <c r="C980" s="105" t="s">
        <v>2448</v>
      </c>
      <c r="D980" s="106" t="s">
        <v>125</v>
      </c>
      <c r="E980" s="107" t="s">
        <v>182</v>
      </c>
      <c r="F980" s="108" t="s">
        <v>12095</v>
      </c>
      <c r="G980" s="120">
        <v>2</v>
      </c>
      <c r="H980" s="108" t="s">
        <v>12096</v>
      </c>
      <c r="I980" s="116">
        <v>1</v>
      </c>
      <c r="J980" s="111" t="s">
        <v>40</v>
      </c>
      <c r="K980" s="108" t="s">
        <v>12095</v>
      </c>
      <c r="L980" s="117">
        <v>2</v>
      </c>
      <c r="M980" s="111" t="s">
        <v>53</v>
      </c>
      <c r="N980" s="108" t="s">
        <v>12095</v>
      </c>
      <c r="O980" s="117">
        <v>2</v>
      </c>
      <c r="P980" s="111" t="s">
        <v>53</v>
      </c>
      <c r="Q980" s="108" t="s">
        <v>9603</v>
      </c>
      <c r="R980" s="117">
        <v>2</v>
      </c>
      <c r="S980" s="113"/>
      <c r="T980" s="108" t="s">
        <v>2454</v>
      </c>
      <c r="U980" s="110">
        <v>3</v>
      </c>
      <c r="V980" s="113"/>
      <c r="W980" s="108" t="s">
        <v>12097</v>
      </c>
      <c r="X980" s="110">
        <v>3</v>
      </c>
      <c r="Y980" s="113"/>
      <c r="Z980" s="108" t="s">
        <v>12098</v>
      </c>
      <c r="AA980" s="110">
        <v>3</v>
      </c>
      <c r="AB980" s="111" t="s">
        <v>40</v>
      </c>
      <c r="AC980" s="105" t="s">
        <v>2455</v>
      </c>
      <c r="AD980" s="115" t="s">
        <v>107</v>
      </c>
    </row>
    <row r="981" spans="1:30" x14ac:dyDescent="0.2">
      <c r="A981" s="104" t="s">
        <v>2456</v>
      </c>
      <c r="B981" s="105" t="s">
        <v>805</v>
      </c>
      <c r="C981" s="105" t="s">
        <v>2448</v>
      </c>
      <c r="D981" s="106" t="s">
        <v>298</v>
      </c>
      <c r="E981" s="107" t="s">
        <v>182</v>
      </c>
      <c r="F981" s="108" t="s">
        <v>12099</v>
      </c>
      <c r="G981" s="118">
        <v>3</v>
      </c>
      <c r="H981" s="108" t="s">
        <v>12100</v>
      </c>
      <c r="I981" s="117">
        <v>2</v>
      </c>
      <c r="J981" s="111" t="s">
        <v>40</v>
      </c>
      <c r="K981" s="108" t="s">
        <v>12101</v>
      </c>
      <c r="L981" s="117">
        <v>2</v>
      </c>
      <c r="M981" s="111" t="s">
        <v>53</v>
      </c>
      <c r="N981" s="108" t="s">
        <v>12099</v>
      </c>
      <c r="O981" s="110">
        <v>3</v>
      </c>
      <c r="P981" s="111" t="s">
        <v>40</v>
      </c>
      <c r="Q981" s="108" t="s">
        <v>12102</v>
      </c>
      <c r="R981" s="117">
        <v>2</v>
      </c>
      <c r="S981" s="113"/>
      <c r="T981" s="108" t="s">
        <v>12103</v>
      </c>
      <c r="U981" s="112">
        <v>4</v>
      </c>
      <c r="V981" s="113"/>
      <c r="W981" s="108" t="s">
        <v>12104</v>
      </c>
      <c r="X981" s="112">
        <v>4</v>
      </c>
      <c r="Y981" s="113"/>
      <c r="Z981" s="108" t="s">
        <v>47</v>
      </c>
      <c r="AA981" s="114"/>
      <c r="AB981" s="113"/>
      <c r="AC981" s="105" t="s">
        <v>2457</v>
      </c>
      <c r="AD981" s="115" t="s">
        <v>107</v>
      </c>
    </row>
    <row r="982" spans="1:30" x14ac:dyDescent="0.2">
      <c r="A982" s="104" t="s">
        <v>2458</v>
      </c>
      <c r="B982" s="105" t="s">
        <v>805</v>
      </c>
      <c r="C982" s="105" t="s">
        <v>2448</v>
      </c>
      <c r="D982" s="106" t="s">
        <v>125</v>
      </c>
      <c r="E982" s="107" t="s">
        <v>182</v>
      </c>
      <c r="F982" s="108" t="s">
        <v>2459</v>
      </c>
      <c r="G982" s="120">
        <v>2</v>
      </c>
      <c r="H982" s="108" t="s">
        <v>12105</v>
      </c>
      <c r="I982" s="117">
        <v>2</v>
      </c>
      <c r="J982" s="113"/>
      <c r="K982" s="108" t="s">
        <v>12106</v>
      </c>
      <c r="L982" s="117">
        <v>2</v>
      </c>
      <c r="M982" s="111" t="s">
        <v>40</v>
      </c>
      <c r="N982" s="108" t="s">
        <v>2459</v>
      </c>
      <c r="O982" s="117">
        <v>2</v>
      </c>
      <c r="P982" s="111" t="s">
        <v>53</v>
      </c>
      <c r="Q982" s="108" t="s">
        <v>12107</v>
      </c>
      <c r="R982" s="117">
        <v>2</v>
      </c>
      <c r="S982" s="113"/>
      <c r="T982" s="108" t="s">
        <v>12108</v>
      </c>
      <c r="U982" s="110">
        <v>3</v>
      </c>
      <c r="V982" s="113"/>
      <c r="W982" s="108" t="s">
        <v>2460</v>
      </c>
      <c r="X982" s="110">
        <v>3</v>
      </c>
      <c r="Y982" s="113"/>
      <c r="Z982" s="108" t="s">
        <v>12109</v>
      </c>
      <c r="AA982" s="117">
        <v>2</v>
      </c>
      <c r="AB982" s="111" t="s">
        <v>40</v>
      </c>
      <c r="AC982" s="105" t="s">
        <v>2461</v>
      </c>
      <c r="AD982" s="115" t="s">
        <v>107</v>
      </c>
    </row>
    <row r="983" spans="1:30" x14ac:dyDescent="0.2">
      <c r="A983" s="104" t="s">
        <v>2462</v>
      </c>
      <c r="B983" s="105" t="s">
        <v>805</v>
      </c>
      <c r="C983" s="105" t="s">
        <v>2448</v>
      </c>
      <c r="D983" s="106" t="s">
        <v>105</v>
      </c>
      <c r="E983" s="107" t="s">
        <v>182</v>
      </c>
      <c r="F983" s="108" t="s">
        <v>2463</v>
      </c>
      <c r="G983" s="120">
        <v>2</v>
      </c>
      <c r="H983" s="108" t="s">
        <v>12110</v>
      </c>
      <c r="I983" s="117">
        <v>2</v>
      </c>
      <c r="J983" s="113"/>
      <c r="K983" s="108" t="s">
        <v>2449</v>
      </c>
      <c r="L983" s="117">
        <v>2</v>
      </c>
      <c r="M983" s="111" t="s">
        <v>53</v>
      </c>
      <c r="N983" s="108" t="s">
        <v>2463</v>
      </c>
      <c r="O983" s="117">
        <v>2</v>
      </c>
      <c r="P983" s="111" t="s">
        <v>53</v>
      </c>
      <c r="Q983" s="108" t="s">
        <v>10347</v>
      </c>
      <c r="R983" s="117">
        <v>2</v>
      </c>
      <c r="S983" s="113"/>
      <c r="T983" s="108" t="s">
        <v>2464</v>
      </c>
      <c r="U983" s="112">
        <v>4</v>
      </c>
      <c r="V983" s="113"/>
      <c r="W983" s="108" t="s">
        <v>12111</v>
      </c>
      <c r="X983" s="110">
        <v>3</v>
      </c>
      <c r="Y983" s="111" t="s">
        <v>40</v>
      </c>
      <c r="Z983" s="108" t="s">
        <v>800</v>
      </c>
      <c r="AA983" s="112">
        <v>4</v>
      </c>
      <c r="AB983" s="113"/>
      <c r="AC983" s="105" t="s">
        <v>2465</v>
      </c>
      <c r="AD983" s="115" t="s">
        <v>107</v>
      </c>
    </row>
    <row r="984" spans="1:30" x14ac:dyDescent="0.2">
      <c r="A984" s="104" t="s">
        <v>2466</v>
      </c>
      <c r="B984" s="105" t="s">
        <v>805</v>
      </c>
      <c r="C984" s="105" t="s">
        <v>2467</v>
      </c>
      <c r="D984" s="106" t="s">
        <v>105</v>
      </c>
      <c r="E984" s="107" t="s">
        <v>182</v>
      </c>
      <c r="F984" s="108" t="s">
        <v>12112</v>
      </c>
      <c r="G984" s="118">
        <v>3</v>
      </c>
      <c r="H984" s="108" t="s">
        <v>12113</v>
      </c>
      <c r="I984" s="117">
        <v>2</v>
      </c>
      <c r="J984" s="111" t="s">
        <v>53</v>
      </c>
      <c r="K984" s="108" t="s">
        <v>12114</v>
      </c>
      <c r="L984" s="112">
        <v>4</v>
      </c>
      <c r="M984" s="113"/>
      <c r="N984" s="108" t="s">
        <v>12112</v>
      </c>
      <c r="O984" s="110">
        <v>3</v>
      </c>
      <c r="P984" s="111" t="s">
        <v>40</v>
      </c>
      <c r="Q984" s="108" t="s">
        <v>12115</v>
      </c>
      <c r="R984" s="117">
        <v>2</v>
      </c>
      <c r="S984" s="113"/>
      <c r="T984" s="108" t="s">
        <v>12116</v>
      </c>
      <c r="U984" s="112">
        <v>4</v>
      </c>
      <c r="V984" s="113"/>
      <c r="W984" s="108" t="s">
        <v>12117</v>
      </c>
      <c r="X984" s="112">
        <v>4</v>
      </c>
      <c r="Y984" s="113"/>
      <c r="Z984" s="108" t="s">
        <v>12118</v>
      </c>
      <c r="AA984" s="110">
        <v>3</v>
      </c>
      <c r="AB984" s="113"/>
      <c r="AC984" s="105" t="s">
        <v>2468</v>
      </c>
      <c r="AD984" s="115" t="s">
        <v>107</v>
      </c>
    </row>
    <row r="985" spans="1:30" x14ac:dyDescent="0.2">
      <c r="A985" s="104" t="s">
        <v>2469</v>
      </c>
      <c r="B985" s="105" t="s">
        <v>805</v>
      </c>
      <c r="C985" s="105" t="s">
        <v>2467</v>
      </c>
      <c r="D985" s="106" t="s">
        <v>298</v>
      </c>
      <c r="E985" s="107" t="s">
        <v>182</v>
      </c>
      <c r="F985" s="108" t="s">
        <v>12119</v>
      </c>
      <c r="G985" s="118">
        <v>3</v>
      </c>
      <c r="H985" s="108" t="s">
        <v>2470</v>
      </c>
      <c r="I985" s="117">
        <v>2</v>
      </c>
      <c r="J985" s="111" t="s">
        <v>53</v>
      </c>
      <c r="K985" s="108" t="s">
        <v>10421</v>
      </c>
      <c r="L985" s="112">
        <v>4</v>
      </c>
      <c r="M985" s="113"/>
      <c r="N985" s="108" t="s">
        <v>12119</v>
      </c>
      <c r="O985" s="110">
        <v>3</v>
      </c>
      <c r="P985" s="111" t="s">
        <v>40</v>
      </c>
      <c r="Q985" s="108" t="s">
        <v>12120</v>
      </c>
      <c r="R985" s="117">
        <v>2</v>
      </c>
      <c r="S985" s="113"/>
      <c r="T985" s="108" t="s">
        <v>12121</v>
      </c>
      <c r="U985" s="112">
        <v>4</v>
      </c>
      <c r="V985" s="113"/>
      <c r="W985" s="108" t="s">
        <v>47</v>
      </c>
      <c r="X985" s="114"/>
      <c r="Y985" s="113"/>
      <c r="Z985" s="108" t="s">
        <v>47</v>
      </c>
      <c r="AA985" s="114"/>
      <c r="AB985" s="113"/>
      <c r="AC985" s="105" t="s">
        <v>2471</v>
      </c>
      <c r="AD985" s="115" t="s">
        <v>107</v>
      </c>
    </row>
    <row r="986" spans="1:30" x14ac:dyDescent="0.2">
      <c r="A986" s="104" t="s">
        <v>2472</v>
      </c>
      <c r="B986" s="105" t="s">
        <v>805</v>
      </c>
      <c r="C986" s="105" t="s">
        <v>2467</v>
      </c>
      <c r="D986" s="106" t="s">
        <v>298</v>
      </c>
      <c r="E986" s="107" t="s">
        <v>182</v>
      </c>
      <c r="F986" s="108" t="s">
        <v>12122</v>
      </c>
      <c r="G986" s="118">
        <v>3</v>
      </c>
      <c r="H986" s="108" t="s">
        <v>2473</v>
      </c>
      <c r="I986" s="117">
        <v>2</v>
      </c>
      <c r="J986" s="111" t="s">
        <v>53</v>
      </c>
      <c r="K986" s="108" t="s">
        <v>12123</v>
      </c>
      <c r="L986" s="112">
        <v>4</v>
      </c>
      <c r="M986" s="113"/>
      <c r="N986" s="108" t="s">
        <v>12122</v>
      </c>
      <c r="O986" s="110">
        <v>3</v>
      </c>
      <c r="P986" s="111" t="s">
        <v>40</v>
      </c>
      <c r="Q986" s="108" t="s">
        <v>12124</v>
      </c>
      <c r="R986" s="117">
        <v>2</v>
      </c>
      <c r="S986" s="113"/>
      <c r="T986" s="108" t="s">
        <v>12125</v>
      </c>
      <c r="U986" s="112">
        <v>4</v>
      </c>
      <c r="V986" s="113"/>
      <c r="W986" s="108" t="s">
        <v>12126</v>
      </c>
      <c r="X986" s="112">
        <v>4</v>
      </c>
      <c r="Y986" s="113"/>
      <c r="Z986" s="108" t="s">
        <v>47</v>
      </c>
      <c r="AA986" s="114"/>
      <c r="AB986" s="113"/>
      <c r="AC986" s="105" t="s">
        <v>2474</v>
      </c>
      <c r="AD986" s="115" t="s">
        <v>107</v>
      </c>
    </row>
    <row r="987" spans="1:30" x14ac:dyDescent="0.2">
      <c r="A987" s="104" t="s">
        <v>2475</v>
      </c>
      <c r="B987" s="105" t="s">
        <v>805</v>
      </c>
      <c r="C987" s="105" t="s">
        <v>2467</v>
      </c>
      <c r="D987" s="106" t="s">
        <v>298</v>
      </c>
      <c r="E987" s="107" t="s">
        <v>182</v>
      </c>
      <c r="F987" s="108" t="s">
        <v>12127</v>
      </c>
      <c r="G987" s="118">
        <v>3</v>
      </c>
      <c r="H987" s="108" t="s">
        <v>2476</v>
      </c>
      <c r="I987" s="117">
        <v>2</v>
      </c>
      <c r="J987" s="111" t="s">
        <v>53</v>
      </c>
      <c r="K987" s="108" t="s">
        <v>12128</v>
      </c>
      <c r="L987" s="112">
        <v>4</v>
      </c>
      <c r="M987" s="113"/>
      <c r="N987" s="108" t="s">
        <v>12127</v>
      </c>
      <c r="O987" s="110">
        <v>3</v>
      </c>
      <c r="P987" s="111" t="s">
        <v>40</v>
      </c>
      <c r="Q987" s="108" t="s">
        <v>12129</v>
      </c>
      <c r="R987" s="117">
        <v>2</v>
      </c>
      <c r="S987" s="113"/>
      <c r="T987" s="108" t="s">
        <v>12130</v>
      </c>
      <c r="U987" s="112">
        <v>4</v>
      </c>
      <c r="V987" s="113"/>
      <c r="W987" s="108" t="s">
        <v>12131</v>
      </c>
      <c r="X987" s="112">
        <v>4</v>
      </c>
      <c r="Y987" s="113"/>
      <c r="Z987" s="108" t="s">
        <v>47</v>
      </c>
      <c r="AA987" s="114"/>
      <c r="AB987" s="113"/>
      <c r="AC987" s="105" t="s">
        <v>2477</v>
      </c>
      <c r="AD987" s="115" t="s">
        <v>107</v>
      </c>
    </row>
    <row r="988" spans="1:30" x14ac:dyDescent="0.2">
      <c r="A988" s="104" t="s">
        <v>2478</v>
      </c>
      <c r="B988" s="105" t="s">
        <v>805</v>
      </c>
      <c r="C988" s="105" t="s">
        <v>2467</v>
      </c>
      <c r="D988" s="106" t="s">
        <v>105</v>
      </c>
      <c r="E988" s="107" t="s">
        <v>182</v>
      </c>
      <c r="F988" s="108" t="s">
        <v>12132</v>
      </c>
      <c r="G988" s="118">
        <v>3</v>
      </c>
      <c r="H988" s="108" t="s">
        <v>12133</v>
      </c>
      <c r="I988" s="117">
        <v>2</v>
      </c>
      <c r="J988" s="111" t="s">
        <v>53</v>
      </c>
      <c r="K988" s="108" t="s">
        <v>12134</v>
      </c>
      <c r="L988" s="112">
        <v>4</v>
      </c>
      <c r="M988" s="113"/>
      <c r="N988" s="108" t="s">
        <v>12132</v>
      </c>
      <c r="O988" s="110">
        <v>3</v>
      </c>
      <c r="P988" s="111" t="s">
        <v>40</v>
      </c>
      <c r="Q988" s="108" t="s">
        <v>12135</v>
      </c>
      <c r="R988" s="117">
        <v>2</v>
      </c>
      <c r="S988" s="113"/>
      <c r="T988" s="108" t="s">
        <v>12136</v>
      </c>
      <c r="U988" s="112">
        <v>4</v>
      </c>
      <c r="V988" s="113"/>
      <c r="W988" s="108" t="s">
        <v>2479</v>
      </c>
      <c r="X988" s="112">
        <v>4</v>
      </c>
      <c r="Y988" s="113"/>
      <c r="Z988" s="108" t="s">
        <v>12137</v>
      </c>
      <c r="AA988" s="110">
        <v>3</v>
      </c>
      <c r="AB988" s="111" t="s">
        <v>46</v>
      </c>
      <c r="AC988" s="105" t="s">
        <v>2480</v>
      </c>
      <c r="AD988" s="115" t="s">
        <v>107</v>
      </c>
    </row>
    <row r="989" spans="1:30" x14ac:dyDescent="0.2">
      <c r="A989" s="104" t="s">
        <v>2481</v>
      </c>
      <c r="B989" s="105" t="s">
        <v>805</v>
      </c>
      <c r="C989" s="105" t="s">
        <v>2467</v>
      </c>
      <c r="D989" s="106" t="s">
        <v>105</v>
      </c>
      <c r="E989" s="107" t="s">
        <v>182</v>
      </c>
      <c r="F989" s="108" t="s">
        <v>12138</v>
      </c>
      <c r="G989" s="118">
        <v>3</v>
      </c>
      <c r="H989" s="108" t="s">
        <v>12139</v>
      </c>
      <c r="I989" s="117">
        <v>2</v>
      </c>
      <c r="J989" s="111" t="s">
        <v>53</v>
      </c>
      <c r="K989" s="108" t="s">
        <v>12140</v>
      </c>
      <c r="L989" s="112">
        <v>4</v>
      </c>
      <c r="M989" s="113"/>
      <c r="N989" s="108" t="s">
        <v>12138</v>
      </c>
      <c r="O989" s="110">
        <v>3</v>
      </c>
      <c r="P989" s="111" t="s">
        <v>40</v>
      </c>
      <c r="Q989" s="108" t="s">
        <v>12141</v>
      </c>
      <c r="R989" s="117">
        <v>2</v>
      </c>
      <c r="S989" s="113"/>
      <c r="T989" s="108" t="s">
        <v>12142</v>
      </c>
      <c r="U989" s="112">
        <v>4</v>
      </c>
      <c r="V989" s="113"/>
      <c r="W989" s="108" t="s">
        <v>12143</v>
      </c>
      <c r="X989" s="112">
        <v>4</v>
      </c>
      <c r="Y989" s="113"/>
      <c r="Z989" s="108" t="s">
        <v>2482</v>
      </c>
      <c r="AA989" s="110">
        <v>3</v>
      </c>
      <c r="AB989" s="111" t="s">
        <v>46</v>
      </c>
      <c r="AC989" s="105" t="s">
        <v>2483</v>
      </c>
      <c r="AD989" s="115" t="s">
        <v>107</v>
      </c>
    </row>
    <row r="990" spans="1:30" x14ac:dyDescent="0.2">
      <c r="A990" s="104" t="s">
        <v>2484</v>
      </c>
      <c r="B990" s="105" t="s">
        <v>805</v>
      </c>
      <c r="C990" s="105" t="s">
        <v>2467</v>
      </c>
      <c r="D990" s="106" t="s">
        <v>298</v>
      </c>
      <c r="E990" s="107" t="s">
        <v>182</v>
      </c>
      <c r="F990" s="108" t="s">
        <v>12144</v>
      </c>
      <c r="G990" s="109">
        <v>4</v>
      </c>
      <c r="H990" s="108" t="s">
        <v>12145</v>
      </c>
      <c r="I990" s="117">
        <v>2</v>
      </c>
      <c r="J990" s="111" t="s">
        <v>53</v>
      </c>
      <c r="K990" s="108" t="s">
        <v>10234</v>
      </c>
      <c r="L990" s="112">
        <v>4</v>
      </c>
      <c r="M990" s="113"/>
      <c r="N990" s="108" t="s">
        <v>12144</v>
      </c>
      <c r="O990" s="112">
        <v>4</v>
      </c>
      <c r="P990" s="113"/>
      <c r="Q990" s="108" t="s">
        <v>12146</v>
      </c>
      <c r="R990" s="110">
        <v>3</v>
      </c>
      <c r="S990" s="111" t="s">
        <v>46</v>
      </c>
      <c r="T990" s="108" t="s">
        <v>12147</v>
      </c>
      <c r="U990" s="112">
        <v>4</v>
      </c>
      <c r="V990" s="113"/>
      <c r="W990" s="108" t="s">
        <v>12148</v>
      </c>
      <c r="X990" s="112">
        <v>4</v>
      </c>
      <c r="Y990" s="113"/>
      <c r="Z990" s="108" t="s">
        <v>47</v>
      </c>
      <c r="AA990" s="114"/>
      <c r="AB990" s="113"/>
      <c r="AC990" s="105" t="s">
        <v>2485</v>
      </c>
      <c r="AD990" s="115" t="s">
        <v>107</v>
      </c>
    </row>
    <row r="991" spans="1:30" x14ac:dyDescent="0.2">
      <c r="A991" s="104" t="s">
        <v>2486</v>
      </c>
      <c r="B991" s="105" t="s">
        <v>805</v>
      </c>
      <c r="C991" s="105" t="s">
        <v>2467</v>
      </c>
      <c r="D991" s="106" t="s">
        <v>125</v>
      </c>
      <c r="E991" s="107" t="s">
        <v>182</v>
      </c>
      <c r="F991" s="108" t="s">
        <v>12149</v>
      </c>
      <c r="G991" s="118">
        <v>3</v>
      </c>
      <c r="H991" s="108" t="s">
        <v>12150</v>
      </c>
      <c r="I991" s="117">
        <v>2</v>
      </c>
      <c r="J991" s="111" t="s">
        <v>53</v>
      </c>
      <c r="K991" s="108" t="s">
        <v>10428</v>
      </c>
      <c r="L991" s="112">
        <v>4</v>
      </c>
      <c r="M991" s="113"/>
      <c r="N991" s="108" t="s">
        <v>12149</v>
      </c>
      <c r="O991" s="110">
        <v>3</v>
      </c>
      <c r="P991" s="113"/>
      <c r="Q991" s="108" t="s">
        <v>12151</v>
      </c>
      <c r="R991" s="117">
        <v>2</v>
      </c>
      <c r="S991" s="113"/>
      <c r="T991" s="108" t="s">
        <v>12152</v>
      </c>
      <c r="U991" s="112">
        <v>4</v>
      </c>
      <c r="V991" s="111" t="s">
        <v>46</v>
      </c>
      <c r="W991" s="108" t="s">
        <v>2487</v>
      </c>
      <c r="X991" s="110">
        <v>3</v>
      </c>
      <c r="Y991" s="113"/>
      <c r="Z991" s="108" t="s">
        <v>12153</v>
      </c>
      <c r="AA991" s="117">
        <v>2</v>
      </c>
      <c r="AB991" s="111" t="s">
        <v>46</v>
      </c>
      <c r="AC991" s="105" t="s">
        <v>2488</v>
      </c>
      <c r="AD991" s="115" t="s">
        <v>107</v>
      </c>
    </row>
    <row r="992" spans="1:30" x14ac:dyDescent="0.2">
      <c r="A992" s="104" t="s">
        <v>2489</v>
      </c>
      <c r="B992" s="105" t="s">
        <v>805</v>
      </c>
      <c r="C992" s="105" t="s">
        <v>2467</v>
      </c>
      <c r="D992" s="106"/>
      <c r="E992" s="107" t="s">
        <v>182</v>
      </c>
      <c r="F992" s="108" t="s">
        <v>12013</v>
      </c>
      <c r="G992" s="118">
        <v>3</v>
      </c>
      <c r="H992" s="108" t="s">
        <v>12154</v>
      </c>
      <c r="I992" s="117">
        <v>2</v>
      </c>
      <c r="J992" s="111" t="s">
        <v>53</v>
      </c>
      <c r="K992" s="108" t="s">
        <v>12155</v>
      </c>
      <c r="L992" s="112">
        <v>4</v>
      </c>
      <c r="M992" s="113"/>
      <c r="N992" s="108" t="s">
        <v>12013</v>
      </c>
      <c r="O992" s="110">
        <v>3</v>
      </c>
      <c r="P992" s="113"/>
      <c r="Q992" s="108" t="s">
        <v>12156</v>
      </c>
      <c r="R992" s="117">
        <v>2</v>
      </c>
      <c r="S992" s="113"/>
      <c r="T992" s="108" t="s">
        <v>47</v>
      </c>
      <c r="U992" s="114"/>
      <c r="V992" s="113"/>
      <c r="W992" s="108" t="s">
        <v>47</v>
      </c>
      <c r="X992" s="114"/>
      <c r="Y992" s="113"/>
      <c r="Z992" s="108" t="s">
        <v>47</v>
      </c>
      <c r="AA992" s="114"/>
      <c r="AB992" s="113"/>
      <c r="AC992" s="105" t="s">
        <v>2490</v>
      </c>
      <c r="AD992" s="115" t="s">
        <v>107</v>
      </c>
    </row>
    <row r="993" spans="1:30" x14ac:dyDescent="0.2">
      <c r="A993" s="104" t="s">
        <v>2491</v>
      </c>
      <c r="B993" s="105" t="s">
        <v>805</v>
      </c>
      <c r="C993" s="105" t="s">
        <v>2467</v>
      </c>
      <c r="D993" s="106" t="s">
        <v>105</v>
      </c>
      <c r="E993" s="107" t="s">
        <v>182</v>
      </c>
      <c r="F993" s="108" t="s">
        <v>12157</v>
      </c>
      <c r="G993" s="118">
        <v>3</v>
      </c>
      <c r="H993" s="108" t="s">
        <v>12158</v>
      </c>
      <c r="I993" s="117">
        <v>2</v>
      </c>
      <c r="J993" s="111" t="s">
        <v>53</v>
      </c>
      <c r="K993" s="108" t="s">
        <v>12159</v>
      </c>
      <c r="L993" s="112">
        <v>4</v>
      </c>
      <c r="M993" s="113"/>
      <c r="N993" s="108" t="s">
        <v>12157</v>
      </c>
      <c r="O993" s="110">
        <v>3</v>
      </c>
      <c r="P993" s="113"/>
      <c r="Q993" s="108" t="s">
        <v>12160</v>
      </c>
      <c r="R993" s="117">
        <v>2</v>
      </c>
      <c r="S993" s="113"/>
      <c r="T993" s="108" t="s">
        <v>12161</v>
      </c>
      <c r="U993" s="112">
        <v>4</v>
      </c>
      <c r="V993" s="111" t="s">
        <v>46</v>
      </c>
      <c r="W993" s="108" t="s">
        <v>12162</v>
      </c>
      <c r="X993" s="110">
        <v>3</v>
      </c>
      <c r="Y993" s="113"/>
      <c r="Z993" s="108" t="s">
        <v>12163</v>
      </c>
      <c r="AA993" s="110">
        <v>3</v>
      </c>
      <c r="AB993" s="113"/>
      <c r="AC993" s="105" t="s">
        <v>2492</v>
      </c>
      <c r="AD993" s="115" t="s">
        <v>107</v>
      </c>
    </row>
    <row r="994" spans="1:30" x14ac:dyDescent="0.2">
      <c r="A994" s="104" t="s">
        <v>2493</v>
      </c>
      <c r="B994" s="105" t="s">
        <v>805</v>
      </c>
      <c r="C994" s="105" t="s">
        <v>2467</v>
      </c>
      <c r="D994" s="106" t="s">
        <v>125</v>
      </c>
      <c r="E994" s="107" t="s">
        <v>182</v>
      </c>
      <c r="F994" s="108" t="s">
        <v>12164</v>
      </c>
      <c r="G994" s="118">
        <v>3</v>
      </c>
      <c r="H994" s="108" t="s">
        <v>12165</v>
      </c>
      <c r="I994" s="117">
        <v>2</v>
      </c>
      <c r="J994" s="111" t="s">
        <v>53</v>
      </c>
      <c r="K994" s="108" t="s">
        <v>12166</v>
      </c>
      <c r="L994" s="112">
        <v>4</v>
      </c>
      <c r="M994" s="113"/>
      <c r="N994" s="108" t="s">
        <v>12164</v>
      </c>
      <c r="O994" s="110">
        <v>3</v>
      </c>
      <c r="P994" s="113"/>
      <c r="Q994" s="108" t="s">
        <v>12167</v>
      </c>
      <c r="R994" s="117">
        <v>2</v>
      </c>
      <c r="S994" s="113"/>
      <c r="T994" s="108" t="s">
        <v>12168</v>
      </c>
      <c r="U994" s="112">
        <v>4</v>
      </c>
      <c r="V994" s="111" t="s">
        <v>46</v>
      </c>
      <c r="W994" s="108" t="s">
        <v>12169</v>
      </c>
      <c r="X994" s="112">
        <v>4</v>
      </c>
      <c r="Y994" s="113"/>
      <c r="Z994" s="108" t="s">
        <v>12170</v>
      </c>
      <c r="AA994" s="110">
        <v>3</v>
      </c>
      <c r="AB994" s="111" t="s">
        <v>46</v>
      </c>
      <c r="AC994" s="105" t="s">
        <v>2494</v>
      </c>
      <c r="AD994" s="115" t="s">
        <v>107</v>
      </c>
    </row>
    <row r="995" spans="1:30" x14ac:dyDescent="0.2">
      <c r="A995" s="104" t="s">
        <v>2495</v>
      </c>
      <c r="B995" s="105" t="s">
        <v>805</v>
      </c>
      <c r="C995" s="105" t="s">
        <v>2467</v>
      </c>
      <c r="D995" s="106" t="s">
        <v>125</v>
      </c>
      <c r="E995" s="107" t="s">
        <v>182</v>
      </c>
      <c r="F995" s="108" t="s">
        <v>12171</v>
      </c>
      <c r="G995" s="118">
        <v>3</v>
      </c>
      <c r="H995" s="108" t="s">
        <v>2496</v>
      </c>
      <c r="I995" s="117">
        <v>2</v>
      </c>
      <c r="J995" s="111" t="s">
        <v>53</v>
      </c>
      <c r="K995" s="108" t="s">
        <v>12172</v>
      </c>
      <c r="L995" s="112">
        <v>4</v>
      </c>
      <c r="M995" s="113"/>
      <c r="N995" s="108" t="s">
        <v>12171</v>
      </c>
      <c r="O995" s="110">
        <v>3</v>
      </c>
      <c r="P995" s="113"/>
      <c r="Q995" s="108" t="s">
        <v>12173</v>
      </c>
      <c r="R995" s="117">
        <v>2</v>
      </c>
      <c r="S995" s="113"/>
      <c r="T995" s="108" t="s">
        <v>12174</v>
      </c>
      <c r="U995" s="112">
        <v>4</v>
      </c>
      <c r="V995" s="113"/>
      <c r="W995" s="108" t="s">
        <v>2497</v>
      </c>
      <c r="X995" s="112">
        <v>4</v>
      </c>
      <c r="Y995" s="113"/>
      <c r="Z995" s="108" t="s">
        <v>12175</v>
      </c>
      <c r="AA995" s="110">
        <v>3</v>
      </c>
      <c r="AB995" s="111" t="s">
        <v>46</v>
      </c>
      <c r="AC995" s="105" t="s">
        <v>2498</v>
      </c>
      <c r="AD995" s="115" t="s">
        <v>107</v>
      </c>
    </row>
    <row r="996" spans="1:30" x14ac:dyDescent="0.2">
      <c r="A996" s="104" t="s">
        <v>2499</v>
      </c>
      <c r="B996" s="105" t="s">
        <v>805</v>
      </c>
      <c r="C996" s="105" t="s">
        <v>2467</v>
      </c>
      <c r="D996" s="106" t="s">
        <v>298</v>
      </c>
      <c r="E996" s="107" t="s">
        <v>182</v>
      </c>
      <c r="F996" s="108" t="s">
        <v>12176</v>
      </c>
      <c r="G996" s="118">
        <v>3</v>
      </c>
      <c r="H996" s="108" t="s">
        <v>2500</v>
      </c>
      <c r="I996" s="117">
        <v>2</v>
      </c>
      <c r="J996" s="111" t="s">
        <v>53</v>
      </c>
      <c r="K996" s="108" t="s">
        <v>12177</v>
      </c>
      <c r="L996" s="112">
        <v>4</v>
      </c>
      <c r="M996" s="113"/>
      <c r="N996" s="108" t="s">
        <v>12176</v>
      </c>
      <c r="O996" s="110">
        <v>3</v>
      </c>
      <c r="P996" s="111" t="s">
        <v>40</v>
      </c>
      <c r="Q996" s="108" t="s">
        <v>2501</v>
      </c>
      <c r="R996" s="117">
        <v>2</v>
      </c>
      <c r="S996" s="113"/>
      <c r="T996" s="108" t="s">
        <v>12178</v>
      </c>
      <c r="U996" s="112">
        <v>4</v>
      </c>
      <c r="V996" s="113"/>
      <c r="W996" s="108" t="s">
        <v>12179</v>
      </c>
      <c r="X996" s="112">
        <v>4</v>
      </c>
      <c r="Y996" s="113"/>
      <c r="Z996" s="108" t="s">
        <v>47</v>
      </c>
      <c r="AA996" s="114"/>
      <c r="AB996" s="113"/>
      <c r="AC996" s="105" t="s">
        <v>2502</v>
      </c>
      <c r="AD996" s="115" t="s">
        <v>107</v>
      </c>
    </row>
    <row r="997" spans="1:30" x14ac:dyDescent="0.2">
      <c r="A997" s="104" t="s">
        <v>2503</v>
      </c>
      <c r="B997" s="105" t="s">
        <v>805</v>
      </c>
      <c r="C997" s="105" t="s">
        <v>2467</v>
      </c>
      <c r="D997" s="106" t="s">
        <v>105</v>
      </c>
      <c r="E997" s="107" t="s">
        <v>182</v>
      </c>
      <c r="F997" s="108" t="s">
        <v>12180</v>
      </c>
      <c r="G997" s="118">
        <v>3</v>
      </c>
      <c r="H997" s="108" t="s">
        <v>2504</v>
      </c>
      <c r="I997" s="117">
        <v>2</v>
      </c>
      <c r="J997" s="111" t="s">
        <v>53</v>
      </c>
      <c r="K997" s="108" t="s">
        <v>12181</v>
      </c>
      <c r="L997" s="112">
        <v>4</v>
      </c>
      <c r="M997" s="113"/>
      <c r="N997" s="108" t="s">
        <v>12180</v>
      </c>
      <c r="O997" s="110">
        <v>3</v>
      </c>
      <c r="P997" s="111" t="s">
        <v>40</v>
      </c>
      <c r="Q997" s="108" t="s">
        <v>12182</v>
      </c>
      <c r="R997" s="117">
        <v>2</v>
      </c>
      <c r="S997" s="113"/>
      <c r="T997" s="108" t="s">
        <v>12183</v>
      </c>
      <c r="U997" s="112">
        <v>4</v>
      </c>
      <c r="V997" s="113"/>
      <c r="W997" s="108" t="s">
        <v>12184</v>
      </c>
      <c r="X997" s="112">
        <v>4</v>
      </c>
      <c r="Y997" s="113"/>
      <c r="Z997" s="108" t="s">
        <v>12185</v>
      </c>
      <c r="AA997" s="112">
        <v>4</v>
      </c>
      <c r="AB997" s="111" t="s">
        <v>46</v>
      </c>
      <c r="AC997" s="105" t="s">
        <v>2505</v>
      </c>
      <c r="AD997" s="115" t="s">
        <v>107</v>
      </c>
    </row>
    <row r="998" spans="1:30" x14ac:dyDescent="0.2">
      <c r="A998" s="104" t="s">
        <v>2506</v>
      </c>
      <c r="B998" s="105" t="s">
        <v>805</v>
      </c>
      <c r="C998" s="105" t="s">
        <v>2507</v>
      </c>
      <c r="D998" s="106" t="s">
        <v>125</v>
      </c>
      <c r="E998" s="107"/>
      <c r="F998" s="108" t="s">
        <v>12186</v>
      </c>
      <c r="G998" s="120">
        <v>2</v>
      </c>
      <c r="H998" s="108" t="s">
        <v>12187</v>
      </c>
      <c r="I998" s="116">
        <v>1</v>
      </c>
      <c r="J998" s="111" t="s">
        <v>53</v>
      </c>
      <c r="K998" s="108" t="s">
        <v>2508</v>
      </c>
      <c r="L998" s="117">
        <v>2</v>
      </c>
      <c r="M998" s="111" t="s">
        <v>40</v>
      </c>
      <c r="N998" s="108" t="s">
        <v>12186</v>
      </c>
      <c r="O998" s="117">
        <v>2</v>
      </c>
      <c r="P998" s="111" t="s">
        <v>53</v>
      </c>
      <c r="Q998" s="108" t="s">
        <v>12188</v>
      </c>
      <c r="R998" s="117">
        <v>2</v>
      </c>
      <c r="S998" s="111" t="s">
        <v>40</v>
      </c>
      <c r="T998" s="108" t="s">
        <v>2509</v>
      </c>
      <c r="U998" s="117">
        <v>2</v>
      </c>
      <c r="V998" s="113"/>
      <c r="W998" s="108" t="s">
        <v>12189</v>
      </c>
      <c r="X998" s="117">
        <v>2</v>
      </c>
      <c r="Y998" s="113"/>
      <c r="Z998" s="108" t="s">
        <v>12190</v>
      </c>
      <c r="AA998" s="117">
        <v>2</v>
      </c>
      <c r="AB998" s="113"/>
      <c r="AC998" s="105" t="s">
        <v>2510</v>
      </c>
      <c r="AD998" s="115" t="s">
        <v>107</v>
      </c>
    </row>
    <row r="999" spans="1:30" x14ac:dyDescent="0.2">
      <c r="A999" s="104" t="s">
        <v>2511</v>
      </c>
      <c r="B999" s="105" t="s">
        <v>805</v>
      </c>
      <c r="C999" s="105" t="s">
        <v>2507</v>
      </c>
      <c r="D999" s="106" t="s">
        <v>125</v>
      </c>
      <c r="E999" s="107"/>
      <c r="F999" s="108" t="s">
        <v>12191</v>
      </c>
      <c r="G999" s="120">
        <v>2</v>
      </c>
      <c r="H999" s="108" t="s">
        <v>12192</v>
      </c>
      <c r="I999" s="116">
        <v>1</v>
      </c>
      <c r="J999" s="111" t="s">
        <v>53</v>
      </c>
      <c r="K999" s="108" t="s">
        <v>12193</v>
      </c>
      <c r="L999" s="116">
        <v>1</v>
      </c>
      <c r="M999" s="111" t="s">
        <v>53</v>
      </c>
      <c r="N999" s="108" t="s">
        <v>12191</v>
      </c>
      <c r="O999" s="117">
        <v>2</v>
      </c>
      <c r="P999" s="111" t="s">
        <v>53</v>
      </c>
      <c r="Q999" s="108" t="s">
        <v>12194</v>
      </c>
      <c r="R999" s="116">
        <v>1</v>
      </c>
      <c r="S999" s="111" t="s">
        <v>53</v>
      </c>
      <c r="T999" s="108" t="s">
        <v>12195</v>
      </c>
      <c r="U999" s="117">
        <v>2</v>
      </c>
      <c r="V999" s="111" t="s">
        <v>40</v>
      </c>
      <c r="W999" s="108" t="s">
        <v>12196</v>
      </c>
      <c r="X999" s="117">
        <v>2</v>
      </c>
      <c r="Y999" s="111" t="s">
        <v>40</v>
      </c>
      <c r="Z999" s="108" t="s">
        <v>9829</v>
      </c>
      <c r="AA999" s="117">
        <v>2</v>
      </c>
      <c r="AB999" s="113"/>
      <c r="AC999" s="105" t="s">
        <v>2512</v>
      </c>
      <c r="AD999" s="115" t="s">
        <v>107</v>
      </c>
    </row>
    <row r="1000" spans="1:30" x14ac:dyDescent="0.2">
      <c r="A1000" s="104" t="s">
        <v>2513</v>
      </c>
      <c r="B1000" s="105" t="s">
        <v>805</v>
      </c>
      <c r="C1000" s="105" t="s">
        <v>2507</v>
      </c>
      <c r="D1000" s="106" t="s">
        <v>125</v>
      </c>
      <c r="E1000" s="107"/>
      <c r="F1000" s="108" t="s">
        <v>12197</v>
      </c>
      <c r="G1000" s="120">
        <v>2</v>
      </c>
      <c r="H1000" s="108" t="s">
        <v>12198</v>
      </c>
      <c r="I1000" s="116">
        <v>1</v>
      </c>
      <c r="J1000" s="111" t="s">
        <v>53</v>
      </c>
      <c r="K1000" s="108" t="s">
        <v>2514</v>
      </c>
      <c r="L1000" s="116">
        <v>1</v>
      </c>
      <c r="M1000" s="111" t="s">
        <v>53</v>
      </c>
      <c r="N1000" s="108" t="s">
        <v>12197</v>
      </c>
      <c r="O1000" s="117">
        <v>2</v>
      </c>
      <c r="P1000" s="111" t="s">
        <v>53</v>
      </c>
      <c r="Q1000" s="108" t="s">
        <v>12199</v>
      </c>
      <c r="R1000" s="116">
        <v>1</v>
      </c>
      <c r="S1000" s="111" t="s">
        <v>53</v>
      </c>
      <c r="T1000" s="108" t="s">
        <v>12200</v>
      </c>
      <c r="U1000" s="117">
        <v>2</v>
      </c>
      <c r="V1000" s="111" t="s">
        <v>40</v>
      </c>
      <c r="W1000" s="108" t="s">
        <v>47</v>
      </c>
      <c r="X1000" s="114"/>
      <c r="Y1000" s="113"/>
      <c r="Z1000" s="108" t="s">
        <v>47</v>
      </c>
      <c r="AA1000" s="114"/>
      <c r="AB1000" s="113"/>
      <c r="AC1000" s="105" t="s">
        <v>2515</v>
      </c>
      <c r="AD1000" s="115" t="s">
        <v>107</v>
      </c>
    </row>
    <row r="1001" spans="1:30" x14ac:dyDescent="0.2">
      <c r="A1001" s="104" t="s">
        <v>2516</v>
      </c>
      <c r="B1001" s="105" t="s">
        <v>805</v>
      </c>
      <c r="C1001" s="105" t="s">
        <v>1971</v>
      </c>
      <c r="D1001" s="106"/>
      <c r="E1001" s="107"/>
      <c r="F1001" s="108" t="s">
        <v>12201</v>
      </c>
      <c r="G1001" s="109">
        <v>4</v>
      </c>
      <c r="H1001" s="108" t="s">
        <v>12202</v>
      </c>
      <c r="I1001" s="116">
        <v>1</v>
      </c>
      <c r="J1001" s="111" t="s">
        <v>40</v>
      </c>
      <c r="K1001" s="108" t="s">
        <v>12203</v>
      </c>
      <c r="L1001" s="116">
        <v>1</v>
      </c>
      <c r="M1001" s="111" t="s">
        <v>157</v>
      </c>
      <c r="N1001" s="108" t="s">
        <v>12201</v>
      </c>
      <c r="O1001" s="112">
        <v>4</v>
      </c>
      <c r="P1001" s="113"/>
      <c r="Q1001" s="108" t="s">
        <v>12204</v>
      </c>
      <c r="R1001" s="110">
        <v>3</v>
      </c>
      <c r="S1001" s="111" t="s">
        <v>40</v>
      </c>
      <c r="T1001" s="108" t="s">
        <v>9137</v>
      </c>
      <c r="U1001" s="112">
        <v>4</v>
      </c>
      <c r="V1001" s="113"/>
      <c r="W1001" s="108" t="s">
        <v>12205</v>
      </c>
      <c r="X1001" s="116">
        <v>1</v>
      </c>
      <c r="Y1001" s="111" t="s">
        <v>40</v>
      </c>
      <c r="Z1001" s="108" t="s">
        <v>12206</v>
      </c>
      <c r="AA1001" s="117">
        <v>2</v>
      </c>
      <c r="AB1001" s="113"/>
      <c r="AC1001" s="105" t="s">
        <v>2517</v>
      </c>
      <c r="AD1001" s="115" t="s">
        <v>107</v>
      </c>
    </row>
    <row r="1002" spans="1:30" x14ac:dyDescent="0.2">
      <c r="A1002" s="104" t="s">
        <v>2518</v>
      </c>
      <c r="B1002" s="105" t="s">
        <v>805</v>
      </c>
      <c r="C1002" s="105" t="s">
        <v>2507</v>
      </c>
      <c r="D1002" s="106" t="s">
        <v>125</v>
      </c>
      <c r="E1002" s="107"/>
      <c r="F1002" s="108" t="s">
        <v>12207</v>
      </c>
      <c r="G1002" s="120">
        <v>2</v>
      </c>
      <c r="H1002" s="108" t="s">
        <v>2519</v>
      </c>
      <c r="I1002" s="116">
        <v>1</v>
      </c>
      <c r="J1002" s="111" t="s">
        <v>53</v>
      </c>
      <c r="K1002" s="108" t="s">
        <v>2520</v>
      </c>
      <c r="L1002" s="117">
        <v>2</v>
      </c>
      <c r="M1002" s="111" t="s">
        <v>40</v>
      </c>
      <c r="N1002" s="108" t="s">
        <v>12207</v>
      </c>
      <c r="O1002" s="117">
        <v>2</v>
      </c>
      <c r="P1002" s="111" t="s">
        <v>53</v>
      </c>
      <c r="Q1002" s="108" t="s">
        <v>12208</v>
      </c>
      <c r="R1002" s="117">
        <v>2</v>
      </c>
      <c r="S1002" s="111" t="s">
        <v>40</v>
      </c>
      <c r="T1002" s="108" t="s">
        <v>12209</v>
      </c>
      <c r="U1002" s="117">
        <v>2</v>
      </c>
      <c r="V1002" s="111" t="s">
        <v>40</v>
      </c>
      <c r="W1002" s="108" t="s">
        <v>2521</v>
      </c>
      <c r="X1002" s="117">
        <v>2</v>
      </c>
      <c r="Y1002" s="111" t="s">
        <v>40</v>
      </c>
      <c r="Z1002" s="108" t="s">
        <v>12210</v>
      </c>
      <c r="AA1002" s="117">
        <v>2</v>
      </c>
      <c r="AB1002" s="113"/>
      <c r="AC1002" s="105" t="s">
        <v>2522</v>
      </c>
      <c r="AD1002" s="115" t="s">
        <v>107</v>
      </c>
    </row>
    <row r="1003" spans="1:30" x14ac:dyDescent="0.2">
      <c r="A1003" s="104" t="s">
        <v>2523</v>
      </c>
      <c r="B1003" s="105" t="s">
        <v>805</v>
      </c>
      <c r="C1003" s="105" t="s">
        <v>2507</v>
      </c>
      <c r="D1003" s="106" t="s">
        <v>125</v>
      </c>
      <c r="E1003" s="107"/>
      <c r="F1003" s="108" t="s">
        <v>12211</v>
      </c>
      <c r="G1003" s="120">
        <v>2</v>
      </c>
      <c r="H1003" s="108" t="s">
        <v>12212</v>
      </c>
      <c r="I1003" s="116">
        <v>1</v>
      </c>
      <c r="J1003" s="111" t="s">
        <v>53</v>
      </c>
      <c r="K1003" s="108" t="s">
        <v>12213</v>
      </c>
      <c r="L1003" s="117">
        <v>2</v>
      </c>
      <c r="M1003" s="111" t="s">
        <v>40</v>
      </c>
      <c r="N1003" s="108" t="s">
        <v>12211</v>
      </c>
      <c r="O1003" s="117">
        <v>2</v>
      </c>
      <c r="P1003" s="111" t="s">
        <v>53</v>
      </c>
      <c r="Q1003" s="108" t="s">
        <v>12214</v>
      </c>
      <c r="R1003" s="117">
        <v>2</v>
      </c>
      <c r="S1003" s="111" t="s">
        <v>40</v>
      </c>
      <c r="T1003" s="108" t="s">
        <v>12215</v>
      </c>
      <c r="U1003" s="117">
        <v>2</v>
      </c>
      <c r="V1003" s="111" t="s">
        <v>40</v>
      </c>
      <c r="W1003" s="108" t="s">
        <v>12216</v>
      </c>
      <c r="X1003" s="117">
        <v>2</v>
      </c>
      <c r="Y1003" s="111" t="s">
        <v>40</v>
      </c>
      <c r="Z1003" s="108" t="s">
        <v>12217</v>
      </c>
      <c r="AA1003" s="110">
        <v>3</v>
      </c>
      <c r="AB1003" s="113"/>
      <c r="AC1003" s="105" t="s">
        <v>2524</v>
      </c>
      <c r="AD1003" s="115" t="s">
        <v>107</v>
      </c>
    </row>
    <row r="1004" spans="1:30" x14ac:dyDescent="0.2">
      <c r="A1004" s="104" t="s">
        <v>2525</v>
      </c>
      <c r="B1004" s="105" t="s">
        <v>805</v>
      </c>
      <c r="C1004" s="105" t="s">
        <v>1971</v>
      </c>
      <c r="D1004" s="106"/>
      <c r="E1004" s="107"/>
      <c r="F1004" s="108" t="s">
        <v>12218</v>
      </c>
      <c r="G1004" s="109">
        <v>4</v>
      </c>
      <c r="H1004" s="108" t="s">
        <v>12219</v>
      </c>
      <c r="I1004" s="116">
        <v>1</v>
      </c>
      <c r="J1004" s="111" t="s">
        <v>53</v>
      </c>
      <c r="K1004" s="108" t="s">
        <v>12220</v>
      </c>
      <c r="L1004" s="116">
        <v>1</v>
      </c>
      <c r="M1004" s="111" t="s">
        <v>157</v>
      </c>
      <c r="N1004" s="108" t="s">
        <v>12218</v>
      </c>
      <c r="O1004" s="112">
        <v>4</v>
      </c>
      <c r="P1004" s="113"/>
      <c r="Q1004" s="108" t="s">
        <v>12221</v>
      </c>
      <c r="R1004" s="112">
        <v>4</v>
      </c>
      <c r="S1004" s="113"/>
      <c r="T1004" s="108" t="s">
        <v>9161</v>
      </c>
      <c r="U1004" s="112">
        <v>4</v>
      </c>
      <c r="V1004" s="113"/>
      <c r="W1004" s="108" t="s">
        <v>2526</v>
      </c>
      <c r="X1004" s="116">
        <v>1</v>
      </c>
      <c r="Y1004" s="111" t="s">
        <v>53</v>
      </c>
      <c r="Z1004" s="108" t="s">
        <v>2527</v>
      </c>
      <c r="AA1004" s="117">
        <v>2</v>
      </c>
      <c r="AB1004" s="113"/>
      <c r="AC1004" s="105" t="s">
        <v>2528</v>
      </c>
      <c r="AD1004" s="115" t="s">
        <v>107</v>
      </c>
    </row>
    <row r="1005" spans="1:30" x14ac:dyDescent="0.2">
      <c r="A1005" s="104" t="s">
        <v>2529</v>
      </c>
      <c r="B1005" s="105" t="s">
        <v>805</v>
      </c>
      <c r="C1005" s="105" t="s">
        <v>2507</v>
      </c>
      <c r="D1005" s="106" t="s">
        <v>125</v>
      </c>
      <c r="E1005" s="107"/>
      <c r="F1005" s="108" t="s">
        <v>12222</v>
      </c>
      <c r="G1005" s="118">
        <v>3</v>
      </c>
      <c r="H1005" s="108" t="s">
        <v>12223</v>
      </c>
      <c r="I1005" s="116">
        <v>1</v>
      </c>
      <c r="J1005" s="111" t="s">
        <v>53</v>
      </c>
      <c r="K1005" s="108" t="s">
        <v>12224</v>
      </c>
      <c r="L1005" s="117">
        <v>2</v>
      </c>
      <c r="M1005" s="111" t="s">
        <v>40</v>
      </c>
      <c r="N1005" s="108" t="s">
        <v>12222</v>
      </c>
      <c r="O1005" s="110">
        <v>3</v>
      </c>
      <c r="P1005" s="111" t="s">
        <v>40</v>
      </c>
      <c r="Q1005" s="108" t="s">
        <v>12225</v>
      </c>
      <c r="R1005" s="110">
        <v>3</v>
      </c>
      <c r="S1005" s="113"/>
      <c r="T1005" s="108" t="s">
        <v>12226</v>
      </c>
      <c r="U1005" s="110">
        <v>3</v>
      </c>
      <c r="V1005" s="111" t="s">
        <v>40</v>
      </c>
      <c r="W1005" s="108" t="s">
        <v>2530</v>
      </c>
      <c r="X1005" s="110">
        <v>3</v>
      </c>
      <c r="Y1005" s="113"/>
      <c r="Z1005" s="108" t="s">
        <v>12227</v>
      </c>
      <c r="AA1005" s="110">
        <v>3</v>
      </c>
      <c r="AB1005" s="113"/>
      <c r="AC1005" s="105" t="s">
        <v>2531</v>
      </c>
      <c r="AD1005" s="115" t="s">
        <v>107</v>
      </c>
    </row>
    <row r="1006" spans="1:30" x14ac:dyDescent="0.2">
      <c r="A1006" s="104" t="s">
        <v>2532</v>
      </c>
      <c r="B1006" s="105" t="s">
        <v>805</v>
      </c>
      <c r="C1006" s="105" t="s">
        <v>1971</v>
      </c>
      <c r="D1006" s="106"/>
      <c r="E1006" s="107"/>
      <c r="F1006" s="108" t="s">
        <v>12228</v>
      </c>
      <c r="G1006" s="109">
        <v>4</v>
      </c>
      <c r="H1006" s="108" t="s">
        <v>12229</v>
      </c>
      <c r="I1006" s="116">
        <v>1</v>
      </c>
      <c r="J1006" s="111" t="s">
        <v>40</v>
      </c>
      <c r="K1006" s="108" t="s">
        <v>12230</v>
      </c>
      <c r="L1006" s="116">
        <v>1</v>
      </c>
      <c r="M1006" s="111" t="s">
        <v>157</v>
      </c>
      <c r="N1006" s="108" t="s">
        <v>12228</v>
      </c>
      <c r="O1006" s="112">
        <v>4</v>
      </c>
      <c r="P1006" s="113"/>
      <c r="Q1006" s="108" t="s">
        <v>12231</v>
      </c>
      <c r="R1006" s="110">
        <v>3</v>
      </c>
      <c r="S1006" s="111" t="s">
        <v>40</v>
      </c>
      <c r="T1006" s="108" t="s">
        <v>946</v>
      </c>
      <c r="U1006" s="112">
        <v>4</v>
      </c>
      <c r="V1006" s="113"/>
      <c r="W1006" s="108" t="s">
        <v>12232</v>
      </c>
      <c r="X1006" s="116">
        <v>1</v>
      </c>
      <c r="Y1006" s="113"/>
      <c r="Z1006" s="108" t="s">
        <v>2533</v>
      </c>
      <c r="AA1006" s="116">
        <v>1</v>
      </c>
      <c r="AB1006" s="113"/>
      <c r="AC1006" s="105" t="s">
        <v>2534</v>
      </c>
      <c r="AD1006" s="115" t="s">
        <v>107</v>
      </c>
    </row>
    <row r="1007" spans="1:30" x14ac:dyDescent="0.2">
      <c r="A1007" s="104" t="s">
        <v>2535</v>
      </c>
      <c r="B1007" s="105" t="s">
        <v>805</v>
      </c>
      <c r="C1007" s="105" t="s">
        <v>2507</v>
      </c>
      <c r="D1007" s="106" t="s">
        <v>94</v>
      </c>
      <c r="E1007" s="107"/>
      <c r="F1007" s="108" t="s">
        <v>12233</v>
      </c>
      <c r="G1007" s="120">
        <v>2</v>
      </c>
      <c r="H1007" s="108" t="s">
        <v>12234</v>
      </c>
      <c r="I1007" s="116">
        <v>1</v>
      </c>
      <c r="J1007" s="111" t="s">
        <v>53</v>
      </c>
      <c r="K1007" s="108" t="s">
        <v>2536</v>
      </c>
      <c r="L1007" s="116">
        <v>1</v>
      </c>
      <c r="M1007" s="111" t="s">
        <v>53</v>
      </c>
      <c r="N1007" s="108" t="s">
        <v>12233</v>
      </c>
      <c r="O1007" s="117">
        <v>2</v>
      </c>
      <c r="P1007" s="111" t="s">
        <v>40</v>
      </c>
      <c r="Q1007" s="108" t="s">
        <v>12235</v>
      </c>
      <c r="R1007" s="117">
        <v>2</v>
      </c>
      <c r="S1007" s="113"/>
      <c r="T1007" s="108" t="s">
        <v>12236</v>
      </c>
      <c r="U1007" s="117">
        <v>2</v>
      </c>
      <c r="V1007" s="113"/>
      <c r="W1007" s="108" t="s">
        <v>12237</v>
      </c>
      <c r="X1007" s="117">
        <v>2</v>
      </c>
      <c r="Y1007" s="113"/>
      <c r="Z1007" s="108" t="s">
        <v>12238</v>
      </c>
      <c r="AA1007" s="117">
        <v>2</v>
      </c>
      <c r="AB1007" s="113"/>
      <c r="AC1007" s="105" t="s">
        <v>2537</v>
      </c>
      <c r="AD1007" s="115" t="s">
        <v>107</v>
      </c>
    </row>
    <row r="1008" spans="1:30" x14ac:dyDescent="0.2">
      <c r="A1008" s="104" t="s">
        <v>2538</v>
      </c>
      <c r="B1008" s="105" t="s">
        <v>805</v>
      </c>
      <c r="C1008" s="105" t="s">
        <v>2507</v>
      </c>
      <c r="D1008" s="106" t="s">
        <v>94</v>
      </c>
      <c r="E1008" s="107"/>
      <c r="F1008" s="108" t="s">
        <v>12239</v>
      </c>
      <c r="G1008" s="120">
        <v>2</v>
      </c>
      <c r="H1008" s="108" t="s">
        <v>12240</v>
      </c>
      <c r="I1008" s="116">
        <v>1</v>
      </c>
      <c r="J1008" s="111" t="s">
        <v>53</v>
      </c>
      <c r="K1008" s="108" t="s">
        <v>2539</v>
      </c>
      <c r="L1008" s="116">
        <v>1</v>
      </c>
      <c r="M1008" s="111" t="s">
        <v>53</v>
      </c>
      <c r="N1008" s="108" t="s">
        <v>12239</v>
      </c>
      <c r="O1008" s="117">
        <v>2</v>
      </c>
      <c r="P1008" s="111" t="s">
        <v>40</v>
      </c>
      <c r="Q1008" s="108" t="s">
        <v>12241</v>
      </c>
      <c r="R1008" s="117">
        <v>2</v>
      </c>
      <c r="S1008" s="113"/>
      <c r="T1008" s="108" t="s">
        <v>12242</v>
      </c>
      <c r="U1008" s="117">
        <v>2</v>
      </c>
      <c r="V1008" s="113"/>
      <c r="W1008" s="108" t="s">
        <v>2540</v>
      </c>
      <c r="X1008" s="117">
        <v>2</v>
      </c>
      <c r="Y1008" s="113"/>
      <c r="Z1008" s="108" t="s">
        <v>2541</v>
      </c>
      <c r="AA1008" s="117">
        <v>2</v>
      </c>
      <c r="AB1008" s="113"/>
      <c r="AC1008" s="105" t="s">
        <v>2542</v>
      </c>
      <c r="AD1008" s="115" t="s">
        <v>107</v>
      </c>
    </row>
    <row r="1009" spans="1:30" x14ac:dyDescent="0.2">
      <c r="A1009" s="104" t="s">
        <v>2543</v>
      </c>
      <c r="B1009" s="105" t="s">
        <v>805</v>
      </c>
      <c r="C1009" s="105" t="s">
        <v>1971</v>
      </c>
      <c r="D1009" s="106"/>
      <c r="E1009" s="107"/>
      <c r="F1009" s="108" t="s">
        <v>12243</v>
      </c>
      <c r="G1009" s="109">
        <v>4</v>
      </c>
      <c r="H1009" s="108" t="s">
        <v>12244</v>
      </c>
      <c r="I1009" s="116">
        <v>1</v>
      </c>
      <c r="J1009" s="111" t="s">
        <v>40</v>
      </c>
      <c r="K1009" s="108" t="s">
        <v>12245</v>
      </c>
      <c r="L1009" s="116">
        <v>1</v>
      </c>
      <c r="M1009" s="111" t="s">
        <v>157</v>
      </c>
      <c r="N1009" s="108" t="s">
        <v>12243</v>
      </c>
      <c r="O1009" s="112">
        <v>4</v>
      </c>
      <c r="P1009" s="113"/>
      <c r="Q1009" s="108" t="s">
        <v>12246</v>
      </c>
      <c r="R1009" s="110">
        <v>3</v>
      </c>
      <c r="S1009" s="111" t="s">
        <v>40</v>
      </c>
      <c r="T1009" s="108" t="s">
        <v>9095</v>
      </c>
      <c r="U1009" s="112">
        <v>4</v>
      </c>
      <c r="V1009" s="113"/>
      <c r="W1009" s="108" t="s">
        <v>47</v>
      </c>
      <c r="X1009" s="114"/>
      <c r="Y1009" s="113"/>
      <c r="Z1009" s="108" t="s">
        <v>47</v>
      </c>
      <c r="AA1009" s="114"/>
      <c r="AB1009" s="113"/>
      <c r="AC1009" s="105" t="s">
        <v>2544</v>
      </c>
      <c r="AD1009" s="115" t="s">
        <v>107</v>
      </c>
    </row>
    <row r="1010" spans="1:30" x14ac:dyDescent="0.2">
      <c r="A1010" s="104" t="s">
        <v>2545</v>
      </c>
      <c r="B1010" s="105" t="s">
        <v>805</v>
      </c>
      <c r="C1010" s="105" t="s">
        <v>2507</v>
      </c>
      <c r="D1010" s="106" t="s">
        <v>125</v>
      </c>
      <c r="E1010" s="107"/>
      <c r="F1010" s="108" t="s">
        <v>12247</v>
      </c>
      <c r="G1010" s="120">
        <v>2</v>
      </c>
      <c r="H1010" s="108" t="s">
        <v>12248</v>
      </c>
      <c r="I1010" s="116">
        <v>1</v>
      </c>
      <c r="J1010" s="111" t="s">
        <v>53</v>
      </c>
      <c r="K1010" s="108" t="s">
        <v>12249</v>
      </c>
      <c r="L1010" s="117">
        <v>2</v>
      </c>
      <c r="M1010" s="111" t="s">
        <v>40</v>
      </c>
      <c r="N1010" s="108" t="s">
        <v>12247</v>
      </c>
      <c r="O1010" s="117">
        <v>2</v>
      </c>
      <c r="P1010" s="111" t="s">
        <v>40</v>
      </c>
      <c r="Q1010" s="108" t="s">
        <v>12250</v>
      </c>
      <c r="R1010" s="117">
        <v>2</v>
      </c>
      <c r="S1010" s="113"/>
      <c r="T1010" s="108" t="s">
        <v>2546</v>
      </c>
      <c r="U1010" s="117">
        <v>2</v>
      </c>
      <c r="V1010" s="113"/>
      <c r="W1010" s="108" t="s">
        <v>47</v>
      </c>
      <c r="X1010" s="114"/>
      <c r="Y1010" s="113"/>
      <c r="Z1010" s="108" t="s">
        <v>47</v>
      </c>
      <c r="AA1010" s="114"/>
      <c r="AB1010" s="113"/>
      <c r="AC1010" s="105" t="s">
        <v>2547</v>
      </c>
      <c r="AD1010" s="115" t="s">
        <v>107</v>
      </c>
    </row>
    <row r="1011" spans="1:30" x14ac:dyDescent="0.2">
      <c r="A1011" s="104" t="s">
        <v>2548</v>
      </c>
      <c r="B1011" s="105" t="s">
        <v>805</v>
      </c>
      <c r="C1011" s="105" t="s">
        <v>2507</v>
      </c>
      <c r="D1011" s="106"/>
      <c r="E1011" s="107"/>
      <c r="F1011" s="108" t="s">
        <v>47</v>
      </c>
      <c r="G1011" s="113"/>
      <c r="H1011" s="108" t="s">
        <v>47</v>
      </c>
      <c r="I1011" s="114"/>
      <c r="J1011" s="113"/>
      <c r="K1011" s="108" t="s">
        <v>47</v>
      </c>
      <c r="L1011" s="114"/>
      <c r="M1011" s="113"/>
      <c r="N1011" s="108" t="s">
        <v>47</v>
      </c>
      <c r="O1011" s="114"/>
      <c r="P1011" s="113"/>
      <c r="Q1011" s="108" t="s">
        <v>47</v>
      </c>
      <c r="R1011" s="114"/>
      <c r="S1011" s="113"/>
      <c r="T1011" s="108" t="s">
        <v>47</v>
      </c>
      <c r="U1011" s="114"/>
      <c r="V1011" s="113"/>
      <c r="W1011" s="108" t="s">
        <v>47</v>
      </c>
      <c r="X1011" s="114"/>
      <c r="Y1011" s="113"/>
      <c r="Z1011" s="108" t="s">
        <v>47</v>
      </c>
      <c r="AA1011" s="114"/>
      <c r="AB1011" s="113"/>
      <c r="AC1011" s="105" t="s">
        <v>2549</v>
      </c>
      <c r="AD1011" s="115" t="s">
        <v>107</v>
      </c>
    </row>
    <row r="1012" spans="1:30" x14ac:dyDescent="0.2">
      <c r="A1012" s="104" t="s">
        <v>2550</v>
      </c>
      <c r="B1012" s="105" t="s">
        <v>805</v>
      </c>
      <c r="C1012" s="105" t="s">
        <v>1971</v>
      </c>
      <c r="D1012" s="106"/>
      <c r="E1012" s="107"/>
      <c r="F1012" s="108" t="s">
        <v>12251</v>
      </c>
      <c r="G1012" s="109">
        <v>4</v>
      </c>
      <c r="H1012" s="108" t="s">
        <v>12252</v>
      </c>
      <c r="I1012" s="116">
        <v>1</v>
      </c>
      <c r="J1012" s="111" t="s">
        <v>40</v>
      </c>
      <c r="K1012" s="108" t="s">
        <v>12253</v>
      </c>
      <c r="L1012" s="116">
        <v>1</v>
      </c>
      <c r="M1012" s="111" t="s">
        <v>157</v>
      </c>
      <c r="N1012" s="108" t="s">
        <v>12251</v>
      </c>
      <c r="O1012" s="112">
        <v>4</v>
      </c>
      <c r="P1012" s="113"/>
      <c r="Q1012" s="108" t="s">
        <v>12254</v>
      </c>
      <c r="R1012" s="110">
        <v>3</v>
      </c>
      <c r="S1012" s="111" t="s">
        <v>40</v>
      </c>
      <c r="T1012" s="108" t="s">
        <v>9089</v>
      </c>
      <c r="U1012" s="112">
        <v>4</v>
      </c>
      <c r="V1012" s="113"/>
      <c r="W1012" s="108" t="s">
        <v>1374</v>
      </c>
      <c r="X1012" s="116">
        <v>1</v>
      </c>
      <c r="Y1012" s="111" t="s">
        <v>40</v>
      </c>
      <c r="Z1012" s="108" t="s">
        <v>47</v>
      </c>
      <c r="AA1012" s="114"/>
      <c r="AB1012" s="113"/>
      <c r="AC1012" s="105" t="s">
        <v>2551</v>
      </c>
      <c r="AD1012" s="115" t="s">
        <v>107</v>
      </c>
    </row>
    <row r="1013" spans="1:30" x14ac:dyDescent="0.2">
      <c r="A1013" s="104" t="s">
        <v>2552</v>
      </c>
      <c r="B1013" s="105" t="s">
        <v>805</v>
      </c>
      <c r="C1013" s="105" t="s">
        <v>2507</v>
      </c>
      <c r="D1013" s="106" t="s">
        <v>125</v>
      </c>
      <c r="E1013" s="107"/>
      <c r="F1013" s="108" t="s">
        <v>12255</v>
      </c>
      <c r="G1013" s="120">
        <v>2</v>
      </c>
      <c r="H1013" s="108" t="s">
        <v>12256</v>
      </c>
      <c r="I1013" s="116">
        <v>1</v>
      </c>
      <c r="J1013" s="111" t="s">
        <v>53</v>
      </c>
      <c r="K1013" s="108" t="s">
        <v>12257</v>
      </c>
      <c r="L1013" s="117">
        <v>2</v>
      </c>
      <c r="M1013" s="111" t="s">
        <v>40</v>
      </c>
      <c r="N1013" s="108" t="s">
        <v>12255</v>
      </c>
      <c r="O1013" s="117">
        <v>2</v>
      </c>
      <c r="P1013" s="111" t="s">
        <v>53</v>
      </c>
      <c r="Q1013" s="108" t="s">
        <v>12258</v>
      </c>
      <c r="R1013" s="110">
        <v>3</v>
      </c>
      <c r="S1013" s="113"/>
      <c r="T1013" s="108" t="s">
        <v>11632</v>
      </c>
      <c r="U1013" s="110">
        <v>3</v>
      </c>
      <c r="V1013" s="113"/>
      <c r="W1013" s="108" t="s">
        <v>2553</v>
      </c>
      <c r="X1013" s="110">
        <v>3</v>
      </c>
      <c r="Y1013" s="113"/>
      <c r="Z1013" s="108" t="s">
        <v>47</v>
      </c>
      <c r="AA1013" s="114"/>
      <c r="AB1013" s="113"/>
      <c r="AC1013" s="105" t="s">
        <v>2554</v>
      </c>
      <c r="AD1013" s="115" t="s">
        <v>107</v>
      </c>
    </row>
    <row r="1014" spans="1:30" x14ac:dyDescent="0.2">
      <c r="A1014" s="104" t="s">
        <v>2555</v>
      </c>
      <c r="B1014" s="105" t="s">
        <v>805</v>
      </c>
      <c r="C1014" s="105" t="s">
        <v>2556</v>
      </c>
      <c r="D1014" s="106" t="s">
        <v>125</v>
      </c>
      <c r="E1014" s="107" t="s">
        <v>376</v>
      </c>
      <c r="F1014" s="108" t="s">
        <v>2557</v>
      </c>
      <c r="G1014" s="118">
        <v>3</v>
      </c>
      <c r="H1014" s="108" t="s">
        <v>12259</v>
      </c>
      <c r="I1014" s="117">
        <v>2</v>
      </c>
      <c r="J1014" s="113"/>
      <c r="K1014" s="108" t="s">
        <v>12260</v>
      </c>
      <c r="L1014" s="116">
        <v>1</v>
      </c>
      <c r="M1014" s="111" t="s">
        <v>40</v>
      </c>
      <c r="N1014" s="108" t="s">
        <v>2557</v>
      </c>
      <c r="O1014" s="110">
        <v>3</v>
      </c>
      <c r="P1014" s="113"/>
      <c r="Q1014" s="108" t="s">
        <v>2558</v>
      </c>
      <c r="R1014" s="117">
        <v>2</v>
      </c>
      <c r="S1014" s="111" t="s">
        <v>40</v>
      </c>
      <c r="T1014" s="108" t="s">
        <v>12261</v>
      </c>
      <c r="U1014" s="117">
        <v>2</v>
      </c>
      <c r="V1014" s="113"/>
      <c r="W1014" s="108" t="s">
        <v>2559</v>
      </c>
      <c r="X1014" s="117">
        <v>2</v>
      </c>
      <c r="Y1014" s="113"/>
      <c r="Z1014" s="108" t="s">
        <v>2560</v>
      </c>
      <c r="AA1014" s="117">
        <v>2</v>
      </c>
      <c r="AB1014" s="113"/>
      <c r="AC1014" s="105" t="s">
        <v>2561</v>
      </c>
      <c r="AD1014" s="115" t="s">
        <v>107</v>
      </c>
    </row>
    <row r="1015" spans="1:30" x14ac:dyDescent="0.2">
      <c r="A1015" s="104" t="s">
        <v>2562</v>
      </c>
      <c r="B1015" s="105" t="s">
        <v>805</v>
      </c>
      <c r="C1015" s="105" t="s">
        <v>2556</v>
      </c>
      <c r="D1015" s="106" t="s">
        <v>125</v>
      </c>
      <c r="E1015" s="107" t="s">
        <v>376</v>
      </c>
      <c r="F1015" s="108" t="s">
        <v>12262</v>
      </c>
      <c r="G1015" s="118">
        <v>3</v>
      </c>
      <c r="H1015" s="108" t="s">
        <v>12263</v>
      </c>
      <c r="I1015" s="116">
        <v>1</v>
      </c>
      <c r="J1015" s="111" t="s">
        <v>40</v>
      </c>
      <c r="K1015" s="108" t="s">
        <v>12264</v>
      </c>
      <c r="L1015" s="116">
        <v>1</v>
      </c>
      <c r="M1015" s="111" t="s">
        <v>40</v>
      </c>
      <c r="N1015" s="108" t="s">
        <v>12262</v>
      </c>
      <c r="O1015" s="110">
        <v>3</v>
      </c>
      <c r="P1015" s="113"/>
      <c r="Q1015" s="108" t="s">
        <v>2563</v>
      </c>
      <c r="R1015" s="117">
        <v>2</v>
      </c>
      <c r="S1015" s="111" t="s">
        <v>40</v>
      </c>
      <c r="T1015" s="108" t="s">
        <v>8312</v>
      </c>
      <c r="U1015" s="117">
        <v>2</v>
      </c>
      <c r="V1015" s="113"/>
      <c r="W1015" s="108" t="s">
        <v>2564</v>
      </c>
      <c r="X1015" s="110">
        <v>3</v>
      </c>
      <c r="Y1015" s="113"/>
      <c r="Z1015" s="108" t="s">
        <v>2565</v>
      </c>
      <c r="AA1015" s="117">
        <v>2</v>
      </c>
      <c r="AB1015" s="113"/>
      <c r="AC1015" s="105" t="s">
        <v>2566</v>
      </c>
      <c r="AD1015" s="115" t="s">
        <v>107</v>
      </c>
    </row>
    <row r="1016" spans="1:30" x14ac:dyDescent="0.2">
      <c r="A1016" s="104" t="s">
        <v>2567</v>
      </c>
      <c r="B1016" s="105" t="s">
        <v>805</v>
      </c>
      <c r="C1016" s="105" t="s">
        <v>2556</v>
      </c>
      <c r="D1016" s="106" t="s">
        <v>125</v>
      </c>
      <c r="E1016" s="107" t="s">
        <v>376</v>
      </c>
      <c r="F1016" s="108" t="s">
        <v>2568</v>
      </c>
      <c r="G1016" s="109">
        <v>4</v>
      </c>
      <c r="H1016" s="108" t="s">
        <v>2569</v>
      </c>
      <c r="I1016" s="117">
        <v>2</v>
      </c>
      <c r="J1016" s="113"/>
      <c r="K1016" s="108" t="s">
        <v>12265</v>
      </c>
      <c r="L1016" s="117">
        <v>2</v>
      </c>
      <c r="M1016" s="111" t="s">
        <v>40</v>
      </c>
      <c r="N1016" s="108" t="s">
        <v>2568</v>
      </c>
      <c r="O1016" s="112">
        <v>4</v>
      </c>
      <c r="P1016" s="113"/>
      <c r="Q1016" s="108" t="s">
        <v>2570</v>
      </c>
      <c r="R1016" s="110">
        <v>3</v>
      </c>
      <c r="S1016" s="111" t="s">
        <v>40</v>
      </c>
      <c r="T1016" s="108" t="s">
        <v>406</v>
      </c>
      <c r="U1016" s="110">
        <v>3</v>
      </c>
      <c r="V1016" s="111" t="s">
        <v>40</v>
      </c>
      <c r="W1016" s="108" t="s">
        <v>47</v>
      </c>
      <c r="X1016" s="114"/>
      <c r="Y1016" s="113"/>
      <c r="Z1016" s="108" t="s">
        <v>47</v>
      </c>
      <c r="AA1016" s="114"/>
      <c r="AB1016" s="113"/>
      <c r="AC1016" s="105" t="s">
        <v>2571</v>
      </c>
      <c r="AD1016" s="115" t="s">
        <v>107</v>
      </c>
    </row>
    <row r="1017" spans="1:30" x14ac:dyDescent="0.2">
      <c r="A1017" s="104" t="s">
        <v>2572</v>
      </c>
      <c r="B1017" s="105" t="s">
        <v>805</v>
      </c>
      <c r="C1017" s="105" t="s">
        <v>2556</v>
      </c>
      <c r="D1017" s="106" t="s">
        <v>94</v>
      </c>
      <c r="E1017" s="107" t="s">
        <v>376</v>
      </c>
      <c r="F1017" s="108" t="s">
        <v>2563</v>
      </c>
      <c r="G1017" s="120">
        <v>2</v>
      </c>
      <c r="H1017" s="108" t="s">
        <v>12266</v>
      </c>
      <c r="I1017" s="116">
        <v>1</v>
      </c>
      <c r="J1017" s="113"/>
      <c r="K1017" s="108" t="s">
        <v>12267</v>
      </c>
      <c r="L1017" s="116">
        <v>1</v>
      </c>
      <c r="M1017" s="111" t="s">
        <v>40</v>
      </c>
      <c r="N1017" s="108" t="s">
        <v>2563</v>
      </c>
      <c r="O1017" s="117">
        <v>2</v>
      </c>
      <c r="P1017" s="111" t="s">
        <v>40</v>
      </c>
      <c r="Q1017" s="108" t="s">
        <v>12268</v>
      </c>
      <c r="R1017" s="117">
        <v>2</v>
      </c>
      <c r="S1017" s="113"/>
      <c r="T1017" s="108" t="s">
        <v>12269</v>
      </c>
      <c r="U1017" s="116">
        <v>1</v>
      </c>
      <c r="V1017" s="111" t="s">
        <v>40</v>
      </c>
      <c r="W1017" s="108" t="s">
        <v>2573</v>
      </c>
      <c r="X1017" s="117">
        <v>2</v>
      </c>
      <c r="Y1017" s="113"/>
      <c r="Z1017" s="108" t="s">
        <v>2574</v>
      </c>
      <c r="AA1017" s="116">
        <v>1</v>
      </c>
      <c r="AB1017" s="111" t="s">
        <v>40</v>
      </c>
      <c r="AC1017" s="105" t="s">
        <v>2575</v>
      </c>
      <c r="AD1017" s="115" t="s">
        <v>107</v>
      </c>
    </row>
    <row r="1018" spans="1:30" x14ac:dyDescent="0.2">
      <c r="A1018" s="104" t="s">
        <v>2576</v>
      </c>
      <c r="B1018" s="105" t="s">
        <v>805</v>
      </c>
      <c r="C1018" s="105" t="s">
        <v>2556</v>
      </c>
      <c r="D1018" s="106" t="s">
        <v>125</v>
      </c>
      <c r="E1018" s="107" t="s">
        <v>376</v>
      </c>
      <c r="F1018" s="108" t="s">
        <v>2577</v>
      </c>
      <c r="G1018" s="118">
        <v>3</v>
      </c>
      <c r="H1018" s="108" t="s">
        <v>12268</v>
      </c>
      <c r="I1018" s="117">
        <v>2</v>
      </c>
      <c r="J1018" s="113"/>
      <c r="K1018" s="108" t="s">
        <v>12263</v>
      </c>
      <c r="L1018" s="116">
        <v>1</v>
      </c>
      <c r="M1018" s="111" t="s">
        <v>40</v>
      </c>
      <c r="N1018" s="108" t="s">
        <v>2577</v>
      </c>
      <c r="O1018" s="110">
        <v>3</v>
      </c>
      <c r="P1018" s="113"/>
      <c r="Q1018" s="108" t="s">
        <v>2578</v>
      </c>
      <c r="R1018" s="110">
        <v>3</v>
      </c>
      <c r="S1018" s="113"/>
      <c r="T1018" s="108" t="s">
        <v>2579</v>
      </c>
      <c r="U1018" s="116">
        <v>1</v>
      </c>
      <c r="V1018" s="111" t="s">
        <v>40</v>
      </c>
      <c r="W1018" s="108" t="s">
        <v>12270</v>
      </c>
      <c r="X1018" s="117">
        <v>2</v>
      </c>
      <c r="Y1018" s="113"/>
      <c r="Z1018" s="108" t="s">
        <v>12271</v>
      </c>
      <c r="AA1018" s="116">
        <v>1</v>
      </c>
      <c r="AB1018" s="113"/>
      <c r="AC1018" s="105" t="s">
        <v>2580</v>
      </c>
      <c r="AD1018" s="115" t="s">
        <v>107</v>
      </c>
    </row>
    <row r="1019" spans="1:30" x14ac:dyDescent="0.2">
      <c r="A1019" s="104" t="s">
        <v>2581</v>
      </c>
      <c r="B1019" s="105" t="s">
        <v>805</v>
      </c>
      <c r="C1019" s="105" t="s">
        <v>2556</v>
      </c>
      <c r="D1019" s="106" t="s">
        <v>125</v>
      </c>
      <c r="E1019" s="107" t="s">
        <v>376</v>
      </c>
      <c r="F1019" s="108" t="s">
        <v>2582</v>
      </c>
      <c r="G1019" s="109">
        <v>4</v>
      </c>
      <c r="H1019" s="108" t="s">
        <v>12265</v>
      </c>
      <c r="I1019" s="117">
        <v>2</v>
      </c>
      <c r="J1019" s="113"/>
      <c r="K1019" s="108" t="s">
        <v>12272</v>
      </c>
      <c r="L1019" s="116">
        <v>1</v>
      </c>
      <c r="M1019" s="111" t="s">
        <v>40</v>
      </c>
      <c r="N1019" s="108" t="s">
        <v>2582</v>
      </c>
      <c r="O1019" s="112">
        <v>4</v>
      </c>
      <c r="P1019" s="111" t="s">
        <v>46</v>
      </c>
      <c r="Q1019" s="108" t="s">
        <v>2583</v>
      </c>
      <c r="R1019" s="110">
        <v>3</v>
      </c>
      <c r="S1019" s="113"/>
      <c r="T1019" s="108" t="s">
        <v>12273</v>
      </c>
      <c r="U1019" s="117">
        <v>2</v>
      </c>
      <c r="V1019" s="111" t="s">
        <v>40</v>
      </c>
      <c r="W1019" s="108" t="s">
        <v>12274</v>
      </c>
      <c r="X1019" s="110">
        <v>3</v>
      </c>
      <c r="Y1019" s="113"/>
      <c r="Z1019" s="108" t="s">
        <v>12275</v>
      </c>
      <c r="AA1019" s="117">
        <v>2</v>
      </c>
      <c r="AB1019" s="111" t="s">
        <v>40</v>
      </c>
      <c r="AC1019" s="105" t="s">
        <v>2584</v>
      </c>
      <c r="AD1019" s="115" t="s">
        <v>107</v>
      </c>
    </row>
    <row r="1020" spans="1:30" x14ac:dyDescent="0.2">
      <c r="A1020" s="104" t="s">
        <v>2585</v>
      </c>
      <c r="B1020" s="105" t="s">
        <v>805</v>
      </c>
      <c r="C1020" s="105" t="s">
        <v>2586</v>
      </c>
      <c r="D1020" s="106" t="s">
        <v>105</v>
      </c>
      <c r="E1020" s="107" t="s">
        <v>376</v>
      </c>
      <c r="F1020" s="108" t="s">
        <v>12276</v>
      </c>
      <c r="G1020" s="120">
        <v>2</v>
      </c>
      <c r="H1020" s="108" t="s">
        <v>2587</v>
      </c>
      <c r="I1020" s="116">
        <v>1</v>
      </c>
      <c r="J1020" s="111" t="s">
        <v>53</v>
      </c>
      <c r="K1020" s="108" t="s">
        <v>12277</v>
      </c>
      <c r="L1020" s="117">
        <v>2</v>
      </c>
      <c r="M1020" s="113"/>
      <c r="N1020" s="108" t="s">
        <v>12276</v>
      </c>
      <c r="O1020" s="117">
        <v>2</v>
      </c>
      <c r="P1020" s="111" t="s">
        <v>40</v>
      </c>
      <c r="Q1020" s="108" t="s">
        <v>12278</v>
      </c>
      <c r="R1020" s="117">
        <v>2</v>
      </c>
      <c r="S1020" s="111" t="s">
        <v>46</v>
      </c>
      <c r="T1020" s="108" t="s">
        <v>12279</v>
      </c>
      <c r="U1020" s="110">
        <v>3</v>
      </c>
      <c r="V1020" s="113"/>
      <c r="W1020" s="108" t="s">
        <v>12280</v>
      </c>
      <c r="X1020" s="110">
        <v>3</v>
      </c>
      <c r="Y1020" s="111" t="s">
        <v>46</v>
      </c>
      <c r="Z1020" s="108" t="s">
        <v>12281</v>
      </c>
      <c r="AA1020" s="110">
        <v>3</v>
      </c>
      <c r="AB1020" s="111" t="s">
        <v>40</v>
      </c>
      <c r="AC1020" s="105" t="s">
        <v>2588</v>
      </c>
      <c r="AD1020" s="115" t="s">
        <v>107</v>
      </c>
    </row>
    <row r="1021" spans="1:30" x14ac:dyDescent="0.2">
      <c r="A1021" s="104" t="s">
        <v>2589</v>
      </c>
      <c r="B1021" s="105" t="s">
        <v>805</v>
      </c>
      <c r="C1021" s="105" t="s">
        <v>2586</v>
      </c>
      <c r="D1021" s="106" t="s">
        <v>105</v>
      </c>
      <c r="E1021" s="107" t="s">
        <v>376</v>
      </c>
      <c r="F1021" s="108" t="s">
        <v>12282</v>
      </c>
      <c r="G1021" s="120">
        <v>2</v>
      </c>
      <c r="H1021" s="108" t="s">
        <v>12283</v>
      </c>
      <c r="I1021" s="116">
        <v>1</v>
      </c>
      <c r="J1021" s="111" t="s">
        <v>53</v>
      </c>
      <c r="K1021" s="108" t="s">
        <v>12284</v>
      </c>
      <c r="L1021" s="117">
        <v>2</v>
      </c>
      <c r="M1021" s="113"/>
      <c r="N1021" s="108" t="s">
        <v>12282</v>
      </c>
      <c r="O1021" s="117">
        <v>2</v>
      </c>
      <c r="P1021" s="111" t="s">
        <v>40</v>
      </c>
      <c r="Q1021" s="108" t="s">
        <v>12285</v>
      </c>
      <c r="R1021" s="117">
        <v>2</v>
      </c>
      <c r="S1021" s="113"/>
      <c r="T1021" s="108" t="s">
        <v>12286</v>
      </c>
      <c r="U1021" s="110">
        <v>3</v>
      </c>
      <c r="V1021" s="113"/>
      <c r="W1021" s="108" t="s">
        <v>47</v>
      </c>
      <c r="X1021" s="114"/>
      <c r="Y1021" s="113"/>
      <c r="Z1021" s="108" t="s">
        <v>47</v>
      </c>
      <c r="AA1021" s="114"/>
      <c r="AB1021" s="113"/>
      <c r="AC1021" s="105" t="s">
        <v>2590</v>
      </c>
      <c r="AD1021" s="115" t="s">
        <v>107</v>
      </c>
    </row>
    <row r="1022" spans="1:30" x14ac:dyDescent="0.2">
      <c r="A1022" s="104" t="s">
        <v>2591</v>
      </c>
      <c r="B1022" s="105" t="s">
        <v>805</v>
      </c>
      <c r="C1022" s="105" t="s">
        <v>2592</v>
      </c>
      <c r="D1022" s="106"/>
      <c r="E1022" s="107" t="s">
        <v>376</v>
      </c>
      <c r="F1022" s="108" t="s">
        <v>12287</v>
      </c>
      <c r="G1022" s="118">
        <v>3</v>
      </c>
      <c r="H1022" s="108" t="s">
        <v>12288</v>
      </c>
      <c r="I1022" s="116">
        <v>1</v>
      </c>
      <c r="J1022" s="111" t="s">
        <v>53</v>
      </c>
      <c r="K1022" s="108" t="s">
        <v>12289</v>
      </c>
      <c r="L1022" s="117">
        <v>2</v>
      </c>
      <c r="M1022" s="111" t="s">
        <v>40</v>
      </c>
      <c r="N1022" s="108" t="s">
        <v>12287</v>
      </c>
      <c r="O1022" s="110">
        <v>3</v>
      </c>
      <c r="P1022" s="111" t="s">
        <v>40</v>
      </c>
      <c r="Q1022" s="108" t="s">
        <v>12290</v>
      </c>
      <c r="R1022" s="117">
        <v>2</v>
      </c>
      <c r="S1022" s="113"/>
      <c r="T1022" s="108" t="s">
        <v>12291</v>
      </c>
      <c r="U1022" s="112">
        <v>4</v>
      </c>
      <c r="V1022" s="113"/>
      <c r="W1022" s="108" t="s">
        <v>12292</v>
      </c>
      <c r="X1022" s="110">
        <v>3</v>
      </c>
      <c r="Y1022" s="113"/>
      <c r="Z1022" s="108" t="s">
        <v>12293</v>
      </c>
      <c r="AA1022" s="110">
        <v>3</v>
      </c>
      <c r="AB1022" s="111" t="s">
        <v>40</v>
      </c>
      <c r="AC1022" s="105" t="s">
        <v>2593</v>
      </c>
      <c r="AD1022" s="115" t="s">
        <v>107</v>
      </c>
    </row>
    <row r="1023" spans="1:30" x14ac:dyDescent="0.2">
      <c r="A1023" s="104" t="s">
        <v>2594</v>
      </c>
      <c r="B1023" s="105" t="s">
        <v>805</v>
      </c>
      <c r="C1023" s="105" t="s">
        <v>2592</v>
      </c>
      <c r="D1023" s="106"/>
      <c r="E1023" s="107" t="s">
        <v>376</v>
      </c>
      <c r="F1023" s="108" t="s">
        <v>12294</v>
      </c>
      <c r="G1023" s="120">
        <v>2</v>
      </c>
      <c r="H1023" s="108" t="s">
        <v>12295</v>
      </c>
      <c r="I1023" s="116">
        <v>1</v>
      </c>
      <c r="J1023" s="113"/>
      <c r="K1023" s="108" t="s">
        <v>12296</v>
      </c>
      <c r="L1023" s="116">
        <v>1</v>
      </c>
      <c r="M1023" s="111" t="s">
        <v>40</v>
      </c>
      <c r="N1023" s="108" t="s">
        <v>12294</v>
      </c>
      <c r="O1023" s="117">
        <v>2</v>
      </c>
      <c r="P1023" s="111" t="s">
        <v>40</v>
      </c>
      <c r="Q1023" s="108" t="s">
        <v>12297</v>
      </c>
      <c r="R1023" s="116">
        <v>1</v>
      </c>
      <c r="S1023" s="111" t="s">
        <v>40</v>
      </c>
      <c r="T1023" s="108" t="s">
        <v>12298</v>
      </c>
      <c r="U1023" s="110">
        <v>3</v>
      </c>
      <c r="V1023" s="111" t="s">
        <v>40</v>
      </c>
      <c r="W1023" s="108" t="s">
        <v>12299</v>
      </c>
      <c r="X1023" s="112">
        <v>4</v>
      </c>
      <c r="Y1023" s="113"/>
      <c r="Z1023" s="108" t="s">
        <v>12300</v>
      </c>
      <c r="AA1023" s="112">
        <v>4</v>
      </c>
      <c r="AB1023" s="113"/>
      <c r="AC1023" s="105" t="s">
        <v>2595</v>
      </c>
      <c r="AD1023" s="115" t="s">
        <v>107</v>
      </c>
    </row>
    <row r="1024" spans="1:30" x14ac:dyDescent="0.2">
      <c r="A1024" s="104" t="s">
        <v>2596</v>
      </c>
      <c r="B1024" s="105" t="s">
        <v>805</v>
      </c>
      <c r="C1024" s="105" t="s">
        <v>2586</v>
      </c>
      <c r="D1024" s="106" t="s">
        <v>105</v>
      </c>
      <c r="E1024" s="107" t="s">
        <v>376</v>
      </c>
      <c r="F1024" s="108" t="s">
        <v>12301</v>
      </c>
      <c r="G1024" s="120">
        <v>2</v>
      </c>
      <c r="H1024" s="108" t="s">
        <v>2597</v>
      </c>
      <c r="I1024" s="116">
        <v>1</v>
      </c>
      <c r="J1024" s="111" t="s">
        <v>53</v>
      </c>
      <c r="K1024" s="108" t="s">
        <v>12302</v>
      </c>
      <c r="L1024" s="117">
        <v>2</v>
      </c>
      <c r="M1024" s="113"/>
      <c r="N1024" s="108" t="s">
        <v>12301</v>
      </c>
      <c r="O1024" s="117">
        <v>2</v>
      </c>
      <c r="P1024" s="111" t="s">
        <v>40</v>
      </c>
      <c r="Q1024" s="108" t="s">
        <v>12303</v>
      </c>
      <c r="R1024" s="117">
        <v>2</v>
      </c>
      <c r="S1024" s="111" t="s">
        <v>46</v>
      </c>
      <c r="T1024" s="108" t="s">
        <v>12304</v>
      </c>
      <c r="U1024" s="110">
        <v>3</v>
      </c>
      <c r="V1024" s="113"/>
      <c r="W1024" s="108" t="s">
        <v>12305</v>
      </c>
      <c r="X1024" s="117">
        <v>2</v>
      </c>
      <c r="Y1024" s="113"/>
      <c r="Z1024" s="108" t="s">
        <v>10392</v>
      </c>
      <c r="AA1024" s="110">
        <v>3</v>
      </c>
      <c r="AB1024" s="111" t="s">
        <v>40</v>
      </c>
      <c r="AC1024" s="105" t="s">
        <v>2598</v>
      </c>
      <c r="AD1024" s="115" t="s">
        <v>107</v>
      </c>
    </row>
    <row r="1025" spans="1:30" x14ac:dyDescent="0.2">
      <c r="A1025" s="104" t="s">
        <v>2599</v>
      </c>
      <c r="B1025" s="105" t="s">
        <v>805</v>
      </c>
      <c r="C1025" s="105" t="s">
        <v>2586</v>
      </c>
      <c r="D1025" s="106" t="s">
        <v>105</v>
      </c>
      <c r="E1025" s="107" t="s">
        <v>376</v>
      </c>
      <c r="F1025" s="108" t="s">
        <v>12306</v>
      </c>
      <c r="G1025" s="120">
        <v>2</v>
      </c>
      <c r="H1025" s="108" t="s">
        <v>12307</v>
      </c>
      <c r="I1025" s="116">
        <v>1</v>
      </c>
      <c r="J1025" s="111" t="s">
        <v>53</v>
      </c>
      <c r="K1025" s="108" t="s">
        <v>12308</v>
      </c>
      <c r="L1025" s="116">
        <v>1</v>
      </c>
      <c r="M1025" s="111" t="s">
        <v>40</v>
      </c>
      <c r="N1025" s="108" t="s">
        <v>12306</v>
      </c>
      <c r="O1025" s="117">
        <v>2</v>
      </c>
      <c r="P1025" s="111" t="s">
        <v>40</v>
      </c>
      <c r="Q1025" s="108" t="s">
        <v>12309</v>
      </c>
      <c r="R1025" s="117">
        <v>2</v>
      </c>
      <c r="S1025" s="113"/>
      <c r="T1025" s="108" t="s">
        <v>12310</v>
      </c>
      <c r="U1025" s="110">
        <v>3</v>
      </c>
      <c r="V1025" s="113"/>
      <c r="W1025" s="108" t="s">
        <v>12311</v>
      </c>
      <c r="X1025" s="110">
        <v>3</v>
      </c>
      <c r="Y1025" s="113"/>
      <c r="Z1025" s="108" t="s">
        <v>12312</v>
      </c>
      <c r="AA1025" s="110">
        <v>3</v>
      </c>
      <c r="AB1025" s="111" t="s">
        <v>40</v>
      </c>
      <c r="AC1025" s="105" t="s">
        <v>2600</v>
      </c>
      <c r="AD1025" s="115" t="s">
        <v>107</v>
      </c>
    </row>
    <row r="1026" spans="1:30" x14ac:dyDescent="0.2">
      <c r="A1026" s="104" t="s">
        <v>2601</v>
      </c>
      <c r="B1026" s="105" t="s">
        <v>805</v>
      </c>
      <c r="C1026" s="105" t="s">
        <v>2592</v>
      </c>
      <c r="D1026" s="106"/>
      <c r="E1026" s="107" t="s">
        <v>376</v>
      </c>
      <c r="F1026" s="108" t="s">
        <v>12313</v>
      </c>
      <c r="G1026" s="118">
        <v>3</v>
      </c>
      <c r="H1026" s="108" t="s">
        <v>12314</v>
      </c>
      <c r="I1026" s="116">
        <v>1</v>
      </c>
      <c r="J1026" s="111" t="s">
        <v>53</v>
      </c>
      <c r="K1026" s="108" t="s">
        <v>12315</v>
      </c>
      <c r="L1026" s="110">
        <v>3</v>
      </c>
      <c r="M1026" s="113"/>
      <c r="N1026" s="108" t="s">
        <v>12313</v>
      </c>
      <c r="O1026" s="110">
        <v>3</v>
      </c>
      <c r="P1026" s="111" t="s">
        <v>40</v>
      </c>
      <c r="Q1026" s="108" t="s">
        <v>12316</v>
      </c>
      <c r="R1026" s="117">
        <v>2</v>
      </c>
      <c r="S1026" s="111" t="s">
        <v>40</v>
      </c>
      <c r="T1026" s="108" t="s">
        <v>12317</v>
      </c>
      <c r="U1026" s="112">
        <v>4</v>
      </c>
      <c r="V1026" s="113"/>
      <c r="W1026" s="108" t="s">
        <v>12318</v>
      </c>
      <c r="X1026" s="112">
        <v>4</v>
      </c>
      <c r="Y1026" s="113"/>
      <c r="Z1026" s="108" t="s">
        <v>12319</v>
      </c>
      <c r="AA1026" s="112">
        <v>4</v>
      </c>
      <c r="AB1026" s="113"/>
      <c r="AC1026" s="105" t="s">
        <v>2602</v>
      </c>
      <c r="AD1026" s="115" t="s">
        <v>107</v>
      </c>
    </row>
    <row r="1027" spans="1:30" x14ac:dyDescent="0.2">
      <c r="A1027" s="104" t="s">
        <v>2603</v>
      </c>
      <c r="B1027" s="105" t="s">
        <v>805</v>
      </c>
      <c r="C1027" s="105" t="s">
        <v>2586</v>
      </c>
      <c r="D1027" s="106" t="s">
        <v>105</v>
      </c>
      <c r="E1027" s="107" t="s">
        <v>376</v>
      </c>
      <c r="F1027" s="108" t="s">
        <v>12320</v>
      </c>
      <c r="G1027" s="118">
        <v>3</v>
      </c>
      <c r="H1027" s="108" t="s">
        <v>12321</v>
      </c>
      <c r="I1027" s="116">
        <v>1</v>
      </c>
      <c r="J1027" s="111" t="s">
        <v>53</v>
      </c>
      <c r="K1027" s="108" t="s">
        <v>12322</v>
      </c>
      <c r="L1027" s="117">
        <v>2</v>
      </c>
      <c r="M1027" s="113"/>
      <c r="N1027" s="108" t="s">
        <v>12320</v>
      </c>
      <c r="O1027" s="110">
        <v>3</v>
      </c>
      <c r="P1027" s="113"/>
      <c r="Q1027" s="108" t="s">
        <v>12323</v>
      </c>
      <c r="R1027" s="117">
        <v>2</v>
      </c>
      <c r="S1027" s="113"/>
      <c r="T1027" s="108" t="s">
        <v>12324</v>
      </c>
      <c r="U1027" s="112">
        <v>4</v>
      </c>
      <c r="V1027" s="113"/>
      <c r="W1027" s="108" t="s">
        <v>12325</v>
      </c>
      <c r="X1027" s="112">
        <v>4</v>
      </c>
      <c r="Y1027" s="113"/>
      <c r="Z1027" s="108" t="s">
        <v>12326</v>
      </c>
      <c r="AA1027" s="110">
        <v>3</v>
      </c>
      <c r="AB1027" s="111" t="s">
        <v>40</v>
      </c>
      <c r="AC1027" s="105" t="s">
        <v>2604</v>
      </c>
      <c r="AD1027" s="115" t="s">
        <v>107</v>
      </c>
    </row>
    <row r="1028" spans="1:30" x14ac:dyDescent="0.2">
      <c r="A1028" s="104" t="s">
        <v>2605</v>
      </c>
      <c r="B1028" s="105" t="s">
        <v>805</v>
      </c>
      <c r="C1028" s="105" t="s">
        <v>2592</v>
      </c>
      <c r="D1028" s="106"/>
      <c r="E1028" s="107" t="s">
        <v>376</v>
      </c>
      <c r="F1028" s="108" t="s">
        <v>12327</v>
      </c>
      <c r="G1028" s="118">
        <v>3</v>
      </c>
      <c r="H1028" s="108" t="s">
        <v>12328</v>
      </c>
      <c r="I1028" s="116">
        <v>1</v>
      </c>
      <c r="J1028" s="111" t="s">
        <v>53</v>
      </c>
      <c r="K1028" s="108" t="s">
        <v>12329</v>
      </c>
      <c r="L1028" s="117">
        <v>2</v>
      </c>
      <c r="M1028" s="111" t="s">
        <v>40</v>
      </c>
      <c r="N1028" s="108" t="s">
        <v>12327</v>
      </c>
      <c r="O1028" s="110">
        <v>3</v>
      </c>
      <c r="P1028" s="113"/>
      <c r="Q1028" s="108" t="s">
        <v>12330</v>
      </c>
      <c r="R1028" s="117">
        <v>2</v>
      </c>
      <c r="S1028" s="113"/>
      <c r="T1028" s="108" t="s">
        <v>12331</v>
      </c>
      <c r="U1028" s="110">
        <v>3</v>
      </c>
      <c r="V1028" s="113"/>
      <c r="W1028" s="108" t="s">
        <v>12332</v>
      </c>
      <c r="X1028" s="117">
        <v>2</v>
      </c>
      <c r="Y1028" s="113"/>
      <c r="Z1028" s="108" t="s">
        <v>12333</v>
      </c>
      <c r="AA1028" s="117">
        <v>2</v>
      </c>
      <c r="AB1028" s="111" t="s">
        <v>53</v>
      </c>
      <c r="AC1028" s="105" t="s">
        <v>2606</v>
      </c>
      <c r="AD1028" s="115" t="s">
        <v>107</v>
      </c>
    </row>
    <row r="1029" spans="1:30" x14ac:dyDescent="0.2">
      <c r="A1029" s="104" t="s">
        <v>2607</v>
      </c>
      <c r="B1029" s="105" t="s">
        <v>805</v>
      </c>
      <c r="C1029" s="105" t="s">
        <v>2586</v>
      </c>
      <c r="D1029" s="106" t="s">
        <v>125</v>
      </c>
      <c r="E1029" s="107" t="s">
        <v>376</v>
      </c>
      <c r="F1029" s="108" t="s">
        <v>12334</v>
      </c>
      <c r="G1029" s="120">
        <v>2</v>
      </c>
      <c r="H1029" s="108" t="s">
        <v>12335</v>
      </c>
      <c r="I1029" s="116">
        <v>1</v>
      </c>
      <c r="J1029" s="111" t="s">
        <v>40</v>
      </c>
      <c r="K1029" s="108" t="s">
        <v>12336</v>
      </c>
      <c r="L1029" s="116">
        <v>1</v>
      </c>
      <c r="M1029" s="113"/>
      <c r="N1029" s="108" t="s">
        <v>12334</v>
      </c>
      <c r="O1029" s="117">
        <v>2</v>
      </c>
      <c r="P1029" s="113"/>
      <c r="Q1029" s="108" t="s">
        <v>12337</v>
      </c>
      <c r="R1029" s="116">
        <v>1</v>
      </c>
      <c r="S1029" s="113"/>
      <c r="T1029" s="108" t="s">
        <v>12338</v>
      </c>
      <c r="U1029" s="110">
        <v>3</v>
      </c>
      <c r="V1029" s="111" t="s">
        <v>46</v>
      </c>
      <c r="W1029" s="108" t="s">
        <v>12339</v>
      </c>
      <c r="X1029" s="117">
        <v>2</v>
      </c>
      <c r="Y1029" s="113"/>
      <c r="Z1029" s="108" t="s">
        <v>12340</v>
      </c>
      <c r="AA1029" s="117">
        <v>2</v>
      </c>
      <c r="AB1029" s="111" t="s">
        <v>40</v>
      </c>
      <c r="AC1029" s="105" t="s">
        <v>2608</v>
      </c>
      <c r="AD1029" s="115" t="s">
        <v>107</v>
      </c>
    </row>
    <row r="1030" spans="1:30" x14ac:dyDescent="0.2">
      <c r="A1030" s="104" t="s">
        <v>2609</v>
      </c>
      <c r="B1030" s="105" t="s">
        <v>805</v>
      </c>
      <c r="C1030" s="105" t="s">
        <v>2586</v>
      </c>
      <c r="D1030" s="106" t="s">
        <v>125</v>
      </c>
      <c r="E1030" s="107" t="s">
        <v>376</v>
      </c>
      <c r="F1030" s="108" t="s">
        <v>12341</v>
      </c>
      <c r="G1030" s="120">
        <v>2</v>
      </c>
      <c r="H1030" s="108" t="s">
        <v>12342</v>
      </c>
      <c r="I1030" s="117">
        <v>2</v>
      </c>
      <c r="J1030" s="113"/>
      <c r="K1030" s="108" t="s">
        <v>12343</v>
      </c>
      <c r="L1030" s="116">
        <v>1</v>
      </c>
      <c r="M1030" s="113"/>
      <c r="N1030" s="108" t="s">
        <v>12341</v>
      </c>
      <c r="O1030" s="117">
        <v>2</v>
      </c>
      <c r="P1030" s="113"/>
      <c r="Q1030" s="108" t="s">
        <v>12344</v>
      </c>
      <c r="R1030" s="116">
        <v>1</v>
      </c>
      <c r="S1030" s="113"/>
      <c r="T1030" s="108" t="s">
        <v>12345</v>
      </c>
      <c r="U1030" s="110">
        <v>3</v>
      </c>
      <c r="V1030" s="111" t="s">
        <v>46</v>
      </c>
      <c r="W1030" s="108" t="s">
        <v>12346</v>
      </c>
      <c r="X1030" s="117">
        <v>2</v>
      </c>
      <c r="Y1030" s="111" t="s">
        <v>46</v>
      </c>
      <c r="Z1030" s="108" t="s">
        <v>12347</v>
      </c>
      <c r="AA1030" s="117">
        <v>2</v>
      </c>
      <c r="AB1030" s="111" t="s">
        <v>40</v>
      </c>
      <c r="AC1030" s="105" t="s">
        <v>2610</v>
      </c>
      <c r="AD1030" s="115" t="s">
        <v>107</v>
      </c>
    </row>
    <row r="1031" spans="1:30" x14ac:dyDescent="0.2">
      <c r="A1031" s="104" t="s">
        <v>2611</v>
      </c>
      <c r="B1031" s="105" t="s">
        <v>805</v>
      </c>
      <c r="C1031" s="105" t="s">
        <v>2592</v>
      </c>
      <c r="D1031" s="106"/>
      <c r="E1031" s="107" t="s">
        <v>376</v>
      </c>
      <c r="F1031" s="108" t="s">
        <v>47</v>
      </c>
      <c r="G1031" s="113"/>
      <c r="H1031" s="108" t="s">
        <v>47</v>
      </c>
      <c r="I1031" s="114"/>
      <c r="J1031" s="113"/>
      <c r="K1031" s="108" t="s">
        <v>47</v>
      </c>
      <c r="L1031" s="114"/>
      <c r="M1031" s="113"/>
      <c r="N1031" s="108" t="s">
        <v>47</v>
      </c>
      <c r="O1031" s="114"/>
      <c r="P1031" s="113"/>
      <c r="Q1031" s="108" t="s">
        <v>47</v>
      </c>
      <c r="R1031" s="114"/>
      <c r="S1031" s="113"/>
      <c r="T1031" s="108" t="s">
        <v>47</v>
      </c>
      <c r="U1031" s="114"/>
      <c r="V1031" s="113"/>
      <c r="W1031" s="108" t="s">
        <v>47</v>
      </c>
      <c r="X1031" s="114"/>
      <c r="Y1031" s="113"/>
      <c r="Z1031" s="108" t="s">
        <v>47</v>
      </c>
      <c r="AA1031" s="114"/>
      <c r="AB1031" s="113"/>
      <c r="AC1031" s="105" t="s">
        <v>2612</v>
      </c>
      <c r="AD1031" s="115" t="s">
        <v>107</v>
      </c>
    </row>
    <row r="1032" spans="1:30" x14ac:dyDescent="0.2">
      <c r="A1032" s="104" t="s">
        <v>2613</v>
      </c>
      <c r="B1032" s="105" t="s">
        <v>805</v>
      </c>
      <c r="C1032" s="105" t="s">
        <v>2586</v>
      </c>
      <c r="D1032" s="106" t="s">
        <v>125</v>
      </c>
      <c r="E1032" s="107" t="s">
        <v>376</v>
      </c>
      <c r="F1032" s="108" t="s">
        <v>12348</v>
      </c>
      <c r="G1032" s="120">
        <v>2</v>
      </c>
      <c r="H1032" s="108" t="s">
        <v>12349</v>
      </c>
      <c r="I1032" s="116">
        <v>1</v>
      </c>
      <c r="J1032" s="111" t="s">
        <v>40</v>
      </c>
      <c r="K1032" s="108" t="s">
        <v>12350</v>
      </c>
      <c r="L1032" s="116">
        <v>1</v>
      </c>
      <c r="M1032" s="111" t="s">
        <v>40</v>
      </c>
      <c r="N1032" s="108" t="s">
        <v>12348</v>
      </c>
      <c r="O1032" s="117">
        <v>2</v>
      </c>
      <c r="P1032" s="111" t="s">
        <v>40</v>
      </c>
      <c r="Q1032" s="108" t="s">
        <v>12351</v>
      </c>
      <c r="R1032" s="116">
        <v>1</v>
      </c>
      <c r="S1032" s="113"/>
      <c r="T1032" s="108" t="s">
        <v>2614</v>
      </c>
      <c r="U1032" s="110">
        <v>3</v>
      </c>
      <c r="V1032" s="113"/>
      <c r="W1032" s="108" t="s">
        <v>12352</v>
      </c>
      <c r="X1032" s="117">
        <v>2</v>
      </c>
      <c r="Y1032" s="113"/>
      <c r="Z1032" s="108" t="s">
        <v>12353</v>
      </c>
      <c r="AA1032" s="117">
        <v>2</v>
      </c>
      <c r="AB1032" s="111" t="s">
        <v>40</v>
      </c>
      <c r="AC1032" s="105" t="s">
        <v>2615</v>
      </c>
      <c r="AD1032" s="115" t="s">
        <v>107</v>
      </c>
    </row>
    <row r="1033" spans="1:30" x14ac:dyDescent="0.2">
      <c r="A1033" s="104" t="s">
        <v>2616</v>
      </c>
      <c r="B1033" s="105" t="s">
        <v>805</v>
      </c>
      <c r="C1033" s="105" t="s">
        <v>2592</v>
      </c>
      <c r="D1033" s="106"/>
      <c r="E1033" s="107" t="s">
        <v>376</v>
      </c>
      <c r="F1033" s="108" t="s">
        <v>47</v>
      </c>
      <c r="G1033" s="113"/>
      <c r="H1033" s="108" t="s">
        <v>47</v>
      </c>
      <c r="I1033" s="114"/>
      <c r="J1033" s="113"/>
      <c r="K1033" s="108" t="s">
        <v>47</v>
      </c>
      <c r="L1033" s="114"/>
      <c r="M1033" s="113"/>
      <c r="N1033" s="108" t="s">
        <v>47</v>
      </c>
      <c r="O1033" s="114"/>
      <c r="P1033" s="113"/>
      <c r="Q1033" s="108" t="s">
        <v>47</v>
      </c>
      <c r="R1033" s="114"/>
      <c r="S1033" s="113"/>
      <c r="T1033" s="108" t="s">
        <v>47</v>
      </c>
      <c r="U1033" s="114"/>
      <c r="V1033" s="113"/>
      <c r="W1033" s="108" t="s">
        <v>47</v>
      </c>
      <c r="X1033" s="114"/>
      <c r="Y1033" s="113"/>
      <c r="Z1033" s="108" t="s">
        <v>47</v>
      </c>
      <c r="AA1033" s="114"/>
      <c r="AB1033" s="113"/>
      <c r="AC1033" s="105" t="s">
        <v>2617</v>
      </c>
      <c r="AD1033" s="115" t="s">
        <v>107</v>
      </c>
    </row>
    <row r="1034" spans="1:30" x14ac:dyDescent="0.2">
      <c r="A1034" s="104" t="s">
        <v>2618</v>
      </c>
      <c r="B1034" s="105" t="s">
        <v>805</v>
      </c>
      <c r="C1034" s="105" t="s">
        <v>2586</v>
      </c>
      <c r="D1034" s="106" t="s">
        <v>125</v>
      </c>
      <c r="E1034" s="107" t="s">
        <v>376</v>
      </c>
      <c r="F1034" s="108" t="s">
        <v>12354</v>
      </c>
      <c r="G1034" s="120">
        <v>2</v>
      </c>
      <c r="H1034" s="108" t="s">
        <v>12355</v>
      </c>
      <c r="I1034" s="117">
        <v>2</v>
      </c>
      <c r="J1034" s="113"/>
      <c r="K1034" s="108" t="s">
        <v>12356</v>
      </c>
      <c r="L1034" s="116">
        <v>1</v>
      </c>
      <c r="M1034" s="113"/>
      <c r="N1034" s="108" t="s">
        <v>12354</v>
      </c>
      <c r="O1034" s="117">
        <v>2</v>
      </c>
      <c r="P1034" s="113"/>
      <c r="Q1034" s="108" t="s">
        <v>12357</v>
      </c>
      <c r="R1034" s="116">
        <v>1</v>
      </c>
      <c r="S1034" s="113"/>
      <c r="T1034" s="108" t="s">
        <v>12358</v>
      </c>
      <c r="U1034" s="110">
        <v>3</v>
      </c>
      <c r="V1034" s="113"/>
      <c r="W1034" s="108" t="s">
        <v>47</v>
      </c>
      <c r="X1034" s="114"/>
      <c r="Y1034" s="113"/>
      <c r="Z1034" s="108" t="s">
        <v>47</v>
      </c>
      <c r="AA1034" s="114"/>
      <c r="AB1034" s="113"/>
      <c r="AC1034" s="105" t="s">
        <v>2619</v>
      </c>
      <c r="AD1034" s="115" t="s">
        <v>107</v>
      </c>
    </row>
    <row r="1035" spans="1:30" x14ac:dyDescent="0.2">
      <c r="A1035" s="104" t="s">
        <v>2620</v>
      </c>
      <c r="B1035" s="105" t="s">
        <v>805</v>
      </c>
      <c r="C1035" s="105" t="s">
        <v>2586</v>
      </c>
      <c r="D1035" s="106" t="s">
        <v>125</v>
      </c>
      <c r="E1035" s="107" t="s">
        <v>376</v>
      </c>
      <c r="F1035" s="108" t="s">
        <v>12359</v>
      </c>
      <c r="G1035" s="120">
        <v>2</v>
      </c>
      <c r="H1035" s="108" t="s">
        <v>12360</v>
      </c>
      <c r="I1035" s="117">
        <v>2</v>
      </c>
      <c r="J1035" s="113"/>
      <c r="K1035" s="108" t="s">
        <v>12361</v>
      </c>
      <c r="L1035" s="116">
        <v>1</v>
      </c>
      <c r="M1035" s="113"/>
      <c r="N1035" s="108" t="s">
        <v>12359</v>
      </c>
      <c r="O1035" s="117">
        <v>2</v>
      </c>
      <c r="P1035" s="113"/>
      <c r="Q1035" s="108" t="s">
        <v>12362</v>
      </c>
      <c r="R1035" s="116">
        <v>1</v>
      </c>
      <c r="S1035" s="113"/>
      <c r="T1035" s="108" t="s">
        <v>12363</v>
      </c>
      <c r="U1035" s="110">
        <v>3</v>
      </c>
      <c r="V1035" s="113"/>
      <c r="W1035" s="108" t="s">
        <v>12364</v>
      </c>
      <c r="X1035" s="117">
        <v>2</v>
      </c>
      <c r="Y1035" s="113"/>
      <c r="Z1035" s="108" t="s">
        <v>12365</v>
      </c>
      <c r="AA1035" s="117">
        <v>2</v>
      </c>
      <c r="AB1035" s="111" t="s">
        <v>40</v>
      </c>
      <c r="AC1035" s="105" t="s">
        <v>2621</v>
      </c>
      <c r="AD1035" s="115" t="s">
        <v>107</v>
      </c>
    </row>
    <row r="1036" spans="1:30" x14ac:dyDescent="0.2">
      <c r="A1036" s="104" t="s">
        <v>2622</v>
      </c>
      <c r="B1036" s="105" t="s">
        <v>805</v>
      </c>
      <c r="C1036" s="105" t="s">
        <v>2592</v>
      </c>
      <c r="D1036" s="106"/>
      <c r="E1036" s="107" t="s">
        <v>376</v>
      </c>
      <c r="F1036" s="108" t="s">
        <v>12366</v>
      </c>
      <c r="G1036" s="118">
        <v>3</v>
      </c>
      <c r="H1036" s="108" t="s">
        <v>12367</v>
      </c>
      <c r="I1036" s="116">
        <v>1</v>
      </c>
      <c r="J1036" s="111" t="s">
        <v>53</v>
      </c>
      <c r="K1036" s="108" t="s">
        <v>12368</v>
      </c>
      <c r="L1036" s="117">
        <v>2</v>
      </c>
      <c r="M1036" s="111" t="s">
        <v>40</v>
      </c>
      <c r="N1036" s="108" t="s">
        <v>12366</v>
      </c>
      <c r="O1036" s="110">
        <v>3</v>
      </c>
      <c r="P1036" s="113"/>
      <c r="Q1036" s="108" t="s">
        <v>12369</v>
      </c>
      <c r="R1036" s="117">
        <v>2</v>
      </c>
      <c r="S1036" s="113"/>
      <c r="T1036" s="108" t="s">
        <v>12370</v>
      </c>
      <c r="U1036" s="112">
        <v>4</v>
      </c>
      <c r="V1036" s="113"/>
      <c r="W1036" s="108" t="s">
        <v>2623</v>
      </c>
      <c r="X1036" s="110">
        <v>3</v>
      </c>
      <c r="Y1036" s="113"/>
      <c r="Z1036" s="108" t="s">
        <v>47</v>
      </c>
      <c r="AA1036" s="114"/>
      <c r="AB1036" s="113"/>
      <c r="AC1036" s="105" t="s">
        <v>2624</v>
      </c>
      <c r="AD1036" s="115" t="s">
        <v>107</v>
      </c>
    </row>
    <row r="1037" spans="1:30" x14ac:dyDescent="0.2">
      <c r="A1037" s="104" t="s">
        <v>2625</v>
      </c>
      <c r="B1037" s="105" t="s">
        <v>805</v>
      </c>
      <c r="C1037" s="105" t="s">
        <v>2586</v>
      </c>
      <c r="D1037" s="106" t="s">
        <v>125</v>
      </c>
      <c r="E1037" s="107" t="s">
        <v>376</v>
      </c>
      <c r="F1037" s="108" t="s">
        <v>12371</v>
      </c>
      <c r="G1037" s="120">
        <v>2</v>
      </c>
      <c r="H1037" s="108" t="s">
        <v>12372</v>
      </c>
      <c r="I1037" s="116">
        <v>1</v>
      </c>
      <c r="J1037" s="111" t="s">
        <v>53</v>
      </c>
      <c r="K1037" s="108" t="s">
        <v>12373</v>
      </c>
      <c r="L1037" s="117">
        <v>2</v>
      </c>
      <c r="M1037" s="113"/>
      <c r="N1037" s="108" t="s">
        <v>12371</v>
      </c>
      <c r="O1037" s="117">
        <v>2</v>
      </c>
      <c r="P1037" s="111" t="s">
        <v>40</v>
      </c>
      <c r="Q1037" s="108" t="s">
        <v>12374</v>
      </c>
      <c r="R1037" s="117">
        <v>2</v>
      </c>
      <c r="S1037" s="113"/>
      <c r="T1037" s="108" t="s">
        <v>12375</v>
      </c>
      <c r="U1037" s="112">
        <v>4</v>
      </c>
      <c r="V1037" s="113"/>
      <c r="W1037" s="108" t="s">
        <v>12376</v>
      </c>
      <c r="X1037" s="110">
        <v>3</v>
      </c>
      <c r="Y1037" s="113"/>
      <c r="Z1037" s="108" t="s">
        <v>47</v>
      </c>
      <c r="AA1037" s="114"/>
      <c r="AB1037" s="113"/>
      <c r="AC1037" s="105" t="s">
        <v>2626</v>
      </c>
      <c r="AD1037" s="115" t="s">
        <v>107</v>
      </c>
    </row>
    <row r="1038" spans="1:30" x14ac:dyDescent="0.2">
      <c r="A1038" s="104" t="s">
        <v>2627</v>
      </c>
      <c r="B1038" s="105" t="s">
        <v>805</v>
      </c>
      <c r="C1038" s="105" t="s">
        <v>154</v>
      </c>
      <c r="D1038" s="106"/>
      <c r="E1038" s="107"/>
      <c r="F1038" s="108" t="s">
        <v>12377</v>
      </c>
      <c r="G1038" s="118">
        <v>3</v>
      </c>
      <c r="H1038" s="108" t="s">
        <v>12378</v>
      </c>
      <c r="I1038" s="116">
        <v>1</v>
      </c>
      <c r="J1038" s="111" t="s">
        <v>53</v>
      </c>
      <c r="K1038" s="108" t="s">
        <v>12379</v>
      </c>
      <c r="L1038" s="117">
        <v>2</v>
      </c>
      <c r="M1038" s="113"/>
      <c r="N1038" s="108" t="s">
        <v>12377</v>
      </c>
      <c r="O1038" s="110">
        <v>3</v>
      </c>
      <c r="P1038" s="111" t="s">
        <v>46</v>
      </c>
      <c r="Q1038" s="108" t="s">
        <v>12380</v>
      </c>
      <c r="R1038" s="117">
        <v>2</v>
      </c>
      <c r="S1038" s="111" t="s">
        <v>40</v>
      </c>
      <c r="T1038" s="108" t="s">
        <v>12381</v>
      </c>
      <c r="U1038" s="110">
        <v>3</v>
      </c>
      <c r="V1038" s="113"/>
      <c r="W1038" s="108" t="s">
        <v>47</v>
      </c>
      <c r="X1038" s="114"/>
      <c r="Y1038" s="113"/>
      <c r="Z1038" s="108" t="s">
        <v>47</v>
      </c>
      <c r="AA1038" s="114"/>
      <c r="AB1038" s="113"/>
      <c r="AC1038" s="105" t="s">
        <v>2628</v>
      </c>
      <c r="AD1038" s="115" t="s">
        <v>107</v>
      </c>
    </row>
    <row r="1039" spans="1:30" x14ac:dyDescent="0.2">
      <c r="A1039" s="104" t="s">
        <v>2629</v>
      </c>
      <c r="B1039" s="105" t="s">
        <v>805</v>
      </c>
      <c r="C1039" s="105" t="s">
        <v>154</v>
      </c>
      <c r="D1039" s="106"/>
      <c r="E1039" s="107"/>
      <c r="F1039" s="108" t="s">
        <v>12382</v>
      </c>
      <c r="G1039" s="118">
        <v>3</v>
      </c>
      <c r="H1039" s="108" t="s">
        <v>12383</v>
      </c>
      <c r="I1039" s="116">
        <v>1</v>
      </c>
      <c r="J1039" s="111" t="s">
        <v>53</v>
      </c>
      <c r="K1039" s="108" t="s">
        <v>12384</v>
      </c>
      <c r="L1039" s="117">
        <v>2</v>
      </c>
      <c r="M1039" s="113"/>
      <c r="N1039" s="108" t="s">
        <v>12382</v>
      </c>
      <c r="O1039" s="110">
        <v>3</v>
      </c>
      <c r="P1039" s="111" t="s">
        <v>46</v>
      </c>
      <c r="Q1039" s="108" t="s">
        <v>12385</v>
      </c>
      <c r="R1039" s="117">
        <v>2</v>
      </c>
      <c r="S1039" s="111" t="s">
        <v>40</v>
      </c>
      <c r="T1039" s="108" t="s">
        <v>12386</v>
      </c>
      <c r="U1039" s="110">
        <v>3</v>
      </c>
      <c r="V1039" s="113"/>
      <c r="W1039" s="108" t="s">
        <v>47</v>
      </c>
      <c r="X1039" s="114"/>
      <c r="Y1039" s="113"/>
      <c r="Z1039" s="108" t="s">
        <v>47</v>
      </c>
      <c r="AA1039" s="114"/>
      <c r="AB1039" s="113"/>
      <c r="AC1039" s="105" t="s">
        <v>2630</v>
      </c>
      <c r="AD1039" s="115" t="s">
        <v>107</v>
      </c>
    </row>
    <row r="1040" spans="1:30" x14ac:dyDescent="0.2">
      <c r="A1040" s="104" t="s">
        <v>2631</v>
      </c>
      <c r="B1040" s="105" t="s">
        <v>805</v>
      </c>
      <c r="C1040" s="105" t="s">
        <v>154</v>
      </c>
      <c r="D1040" s="106"/>
      <c r="E1040" s="107"/>
      <c r="F1040" s="108" t="s">
        <v>12387</v>
      </c>
      <c r="G1040" s="109">
        <v>4</v>
      </c>
      <c r="H1040" s="108" t="s">
        <v>12388</v>
      </c>
      <c r="I1040" s="110">
        <v>3</v>
      </c>
      <c r="J1040" s="111" t="s">
        <v>40</v>
      </c>
      <c r="K1040" s="108" t="s">
        <v>12389</v>
      </c>
      <c r="L1040" s="112">
        <v>4</v>
      </c>
      <c r="M1040" s="113"/>
      <c r="N1040" s="108" t="s">
        <v>12387</v>
      </c>
      <c r="O1040" s="112">
        <v>4</v>
      </c>
      <c r="P1040" s="113"/>
      <c r="Q1040" s="108" t="s">
        <v>8139</v>
      </c>
      <c r="R1040" s="117">
        <v>2</v>
      </c>
      <c r="S1040" s="113"/>
      <c r="T1040" s="108" t="s">
        <v>12390</v>
      </c>
      <c r="U1040" s="116">
        <v>1</v>
      </c>
      <c r="V1040" s="113"/>
      <c r="W1040" s="108" t="s">
        <v>47</v>
      </c>
      <c r="X1040" s="114"/>
      <c r="Y1040" s="113"/>
      <c r="Z1040" s="108" t="s">
        <v>47</v>
      </c>
      <c r="AA1040" s="114"/>
      <c r="AB1040" s="113"/>
      <c r="AC1040" s="105" t="s">
        <v>2632</v>
      </c>
      <c r="AD1040" s="115" t="s">
        <v>107</v>
      </c>
    </row>
    <row r="1041" spans="1:30" x14ac:dyDescent="0.2">
      <c r="A1041" s="104" t="s">
        <v>2633</v>
      </c>
      <c r="B1041" s="105" t="s">
        <v>805</v>
      </c>
      <c r="C1041" s="105" t="s">
        <v>154</v>
      </c>
      <c r="D1041" s="106"/>
      <c r="E1041" s="107"/>
      <c r="F1041" s="108" t="s">
        <v>10391</v>
      </c>
      <c r="G1041" s="109">
        <v>4</v>
      </c>
      <c r="H1041" s="108" t="s">
        <v>12391</v>
      </c>
      <c r="I1041" s="110">
        <v>3</v>
      </c>
      <c r="J1041" s="111" t="s">
        <v>40</v>
      </c>
      <c r="K1041" s="108" t="s">
        <v>12392</v>
      </c>
      <c r="L1041" s="112">
        <v>4</v>
      </c>
      <c r="M1041" s="113"/>
      <c r="N1041" s="108" t="s">
        <v>10391</v>
      </c>
      <c r="O1041" s="112">
        <v>4</v>
      </c>
      <c r="P1041" s="113"/>
      <c r="Q1041" s="108" t="s">
        <v>12393</v>
      </c>
      <c r="R1041" s="117">
        <v>2</v>
      </c>
      <c r="S1041" s="113"/>
      <c r="T1041" s="108" t="s">
        <v>12394</v>
      </c>
      <c r="U1041" s="116">
        <v>1</v>
      </c>
      <c r="V1041" s="113"/>
      <c r="W1041" s="108" t="s">
        <v>47</v>
      </c>
      <c r="X1041" s="114"/>
      <c r="Y1041" s="113"/>
      <c r="Z1041" s="108" t="s">
        <v>47</v>
      </c>
      <c r="AA1041" s="114"/>
      <c r="AB1041" s="113"/>
      <c r="AC1041" s="105" t="s">
        <v>2634</v>
      </c>
      <c r="AD1041" s="115" t="s">
        <v>107</v>
      </c>
    </row>
    <row r="1042" spans="1:30" x14ac:dyDescent="0.2">
      <c r="A1042" s="104" t="s">
        <v>2635</v>
      </c>
      <c r="B1042" s="105" t="s">
        <v>805</v>
      </c>
      <c r="C1042" s="105" t="s">
        <v>154</v>
      </c>
      <c r="D1042" s="106"/>
      <c r="E1042" s="107"/>
      <c r="F1042" s="108" t="s">
        <v>12395</v>
      </c>
      <c r="G1042" s="118">
        <v>3</v>
      </c>
      <c r="H1042" s="108" t="s">
        <v>12396</v>
      </c>
      <c r="I1042" s="116">
        <v>1</v>
      </c>
      <c r="J1042" s="111" t="s">
        <v>53</v>
      </c>
      <c r="K1042" s="108" t="s">
        <v>12397</v>
      </c>
      <c r="L1042" s="117">
        <v>2</v>
      </c>
      <c r="M1042" s="111" t="s">
        <v>40</v>
      </c>
      <c r="N1042" s="108" t="s">
        <v>12395</v>
      </c>
      <c r="O1042" s="110">
        <v>3</v>
      </c>
      <c r="P1042" s="111" t="s">
        <v>46</v>
      </c>
      <c r="Q1042" s="108" t="s">
        <v>12398</v>
      </c>
      <c r="R1042" s="117">
        <v>2</v>
      </c>
      <c r="S1042" s="111" t="s">
        <v>40</v>
      </c>
      <c r="T1042" s="108" t="s">
        <v>12399</v>
      </c>
      <c r="U1042" s="112">
        <v>4</v>
      </c>
      <c r="V1042" s="113"/>
      <c r="W1042" s="108" t="s">
        <v>47</v>
      </c>
      <c r="X1042" s="114"/>
      <c r="Y1042" s="113"/>
      <c r="Z1042" s="108" t="s">
        <v>47</v>
      </c>
      <c r="AA1042" s="114"/>
      <c r="AB1042" s="113"/>
      <c r="AC1042" s="105" t="s">
        <v>2636</v>
      </c>
      <c r="AD1042" s="115" t="s">
        <v>107</v>
      </c>
    </row>
    <row r="1043" spans="1:30" x14ac:dyDescent="0.2">
      <c r="A1043" s="104" t="s">
        <v>2637</v>
      </c>
      <c r="B1043" s="105" t="s">
        <v>805</v>
      </c>
      <c r="C1043" s="105" t="s">
        <v>154</v>
      </c>
      <c r="D1043" s="106"/>
      <c r="E1043" s="107"/>
      <c r="F1043" s="108" t="s">
        <v>12400</v>
      </c>
      <c r="G1043" s="118">
        <v>3</v>
      </c>
      <c r="H1043" s="108" t="s">
        <v>12401</v>
      </c>
      <c r="I1043" s="116">
        <v>1</v>
      </c>
      <c r="J1043" s="111" t="s">
        <v>53</v>
      </c>
      <c r="K1043" s="108" t="s">
        <v>12402</v>
      </c>
      <c r="L1043" s="117">
        <v>2</v>
      </c>
      <c r="M1043" s="111" t="s">
        <v>40</v>
      </c>
      <c r="N1043" s="108" t="s">
        <v>12400</v>
      </c>
      <c r="O1043" s="110">
        <v>3</v>
      </c>
      <c r="P1043" s="111" t="s">
        <v>46</v>
      </c>
      <c r="Q1043" s="108" t="s">
        <v>12403</v>
      </c>
      <c r="R1043" s="117">
        <v>2</v>
      </c>
      <c r="S1043" s="111" t="s">
        <v>40</v>
      </c>
      <c r="T1043" s="108" t="s">
        <v>47</v>
      </c>
      <c r="U1043" s="114"/>
      <c r="V1043" s="113"/>
      <c r="W1043" s="108" t="s">
        <v>47</v>
      </c>
      <c r="X1043" s="114"/>
      <c r="Y1043" s="113"/>
      <c r="Z1043" s="108" t="s">
        <v>47</v>
      </c>
      <c r="AA1043" s="114"/>
      <c r="AB1043" s="113"/>
      <c r="AC1043" s="105" t="s">
        <v>2638</v>
      </c>
      <c r="AD1043" s="115" t="s">
        <v>107</v>
      </c>
    </row>
    <row r="1044" spans="1:30" x14ac:dyDescent="0.2">
      <c r="A1044" s="104" t="s">
        <v>2639</v>
      </c>
      <c r="B1044" s="105" t="s">
        <v>805</v>
      </c>
      <c r="C1044" s="105" t="s">
        <v>154</v>
      </c>
      <c r="D1044" s="106"/>
      <c r="E1044" s="107"/>
      <c r="F1044" s="108" t="s">
        <v>12404</v>
      </c>
      <c r="G1044" s="120">
        <v>2</v>
      </c>
      <c r="H1044" s="108" t="s">
        <v>12405</v>
      </c>
      <c r="I1044" s="116">
        <v>1</v>
      </c>
      <c r="J1044" s="111" t="s">
        <v>53</v>
      </c>
      <c r="K1044" s="108" t="s">
        <v>12406</v>
      </c>
      <c r="L1044" s="117">
        <v>2</v>
      </c>
      <c r="M1044" s="113"/>
      <c r="N1044" s="108" t="s">
        <v>12404</v>
      </c>
      <c r="O1044" s="117">
        <v>2</v>
      </c>
      <c r="P1044" s="113"/>
      <c r="Q1044" s="108" t="s">
        <v>12407</v>
      </c>
      <c r="R1044" s="116">
        <v>1</v>
      </c>
      <c r="S1044" s="111" t="s">
        <v>40</v>
      </c>
      <c r="T1044" s="108" t="s">
        <v>12408</v>
      </c>
      <c r="U1044" s="110">
        <v>3</v>
      </c>
      <c r="V1044" s="113"/>
      <c r="W1044" s="108" t="s">
        <v>47</v>
      </c>
      <c r="X1044" s="114"/>
      <c r="Y1044" s="113"/>
      <c r="Z1044" s="108" t="s">
        <v>47</v>
      </c>
      <c r="AA1044" s="114"/>
      <c r="AB1044" s="113"/>
      <c r="AC1044" s="105" t="s">
        <v>2640</v>
      </c>
      <c r="AD1044" s="115" t="s">
        <v>107</v>
      </c>
    </row>
    <row r="1045" spans="1:30" x14ac:dyDescent="0.2">
      <c r="A1045" s="104" t="s">
        <v>2641</v>
      </c>
      <c r="B1045" s="105" t="s">
        <v>805</v>
      </c>
      <c r="C1045" s="105" t="s">
        <v>154</v>
      </c>
      <c r="D1045" s="106"/>
      <c r="E1045" s="107"/>
      <c r="F1045" s="108" t="s">
        <v>12409</v>
      </c>
      <c r="G1045" s="120">
        <v>2</v>
      </c>
      <c r="H1045" s="108" t="s">
        <v>2642</v>
      </c>
      <c r="I1045" s="116">
        <v>1</v>
      </c>
      <c r="J1045" s="111" t="s">
        <v>53</v>
      </c>
      <c r="K1045" s="108" t="s">
        <v>12410</v>
      </c>
      <c r="L1045" s="117">
        <v>2</v>
      </c>
      <c r="M1045" s="113"/>
      <c r="N1045" s="108" t="s">
        <v>12409</v>
      </c>
      <c r="O1045" s="117">
        <v>2</v>
      </c>
      <c r="P1045" s="113"/>
      <c r="Q1045" s="108" t="s">
        <v>2643</v>
      </c>
      <c r="R1045" s="116">
        <v>1</v>
      </c>
      <c r="S1045" s="111" t="s">
        <v>40</v>
      </c>
      <c r="T1045" s="108" t="s">
        <v>12411</v>
      </c>
      <c r="U1045" s="110">
        <v>3</v>
      </c>
      <c r="V1045" s="113"/>
      <c r="W1045" s="108" t="s">
        <v>47</v>
      </c>
      <c r="X1045" s="114"/>
      <c r="Y1045" s="113"/>
      <c r="Z1045" s="108" t="s">
        <v>47</v>
      </c>
      <c r="AA1045" s="114"/>
      <c r="AB1045" s="113"/>
      <c r="AC1045" s="105" t="s">
        <v>2644</v>
      </c>
      <c r="AD1045" s="115" t="s">
        <v>107</v>
      </c>
    </row>
    <row r="1046" spans="1:30" x14ac:dyDescent="0.2">
      <c r="A1046" s="104" t="s">
        <v>2645</v>
      </c>
      <c r="B1046" s="105" t="s">
        <v>805</v>
      </c>
      <c r="C1046" s="105" t="s">
        <v>154</v>
      </c>
      <c r="D1046" s="106"/>
      <c r="E1046" s="107"/>
      <c r="F1046" s="108" t="s">
        <v>12412</v>
      </c>
      <c r="G1046" s="118">
        <v>3</v>
      </c>
      <c r="H1046" s="108" t="s">
        <v>12413</v>
      </c>
      <c r="I1046" s="116">
        <v>1</v>
      </c>
      <c r="J1046" s="111" t="s">
        <v>53</v>
      </c>
      <c r="K1046" s="108" t="s">
        <v>12414</v>
      </c>
      <c r="L1046" s="117">
        <v>2</v>
      </c>
      <c r="M1046" s="113"/>
      <c r="N1046" s="108" t="s">
        <v>12412</v>
      </c>
      <c r="O1046" s="110">
        <v>3</v>
      </c>
      <c r="P1046" s="111" t="s">
        <v>46</v>
      </c>
      <c r="Q1046" s="108" t="s">
        <v>12415</v>
      </c>
      <c r="R1046" s="117">
        <v>2</v>
      </c>
      <c r="S1046" s="111" t="s">
        <v>40</v>
      </c>
      <c r="T1046" s="108" t="s">
        <v>12416</v>
      </c>
      <c r="U1046" s="112">
        <v>4</v>
      </c>
      <c r="V1046" s="113"/>
      <c r="W1046" s="108" t="s">
        <v>47</v>
      </c>
      <c r="X1046" s="114"/>
      <c r="Y1046" s="113"/>
      <c r="Z1046" s="108" t="s">
        <v>47</v>
      </c>
      <c r="AA1046" s="114"/>
      <c r="AB1046" s="113"/>
      <c r="AC1046" s="105" t="s">
        <v>2646</v>
      </c>
      <c r="AD1046" s="115" t="s">
        <v>107</v>
      </c>
    </row>
    <row r="1047" spans="1:30" x14ac:dyDescent="0.2">
      <c r="A1047" s="104" t="s">
        <v>2647</v>
      </c>
      <c r="B1047" s="105" t="s">
        <v>805</v>
      </c>
      <c r="C1047" s="105" t="s">
        <v>154</v>
      </c>
      <c r="D1047" s="106"/>
      <c r="E1047" s="107"/>
      <c r="F1047" s="108" t="s">
        <v>12417</v>
      </c>
      <c r="G1047" s="118">
        <v>3</v>
      </c>
      <c r="H1047" s="108" t="s">
        <v>12418</v>
      </c>
      <c r="I1047" s="116">
        <v>1</v>
      </c>
      <c r="J1047" s="111" t="s">
        <v>53</v>
      </c>
      <c r="K1047" s="108" t="s">
        <v>2648</v>
      </c>
      <c r="L1047" s="117">
        <v>2</v>
      </c>
      <c r="M1047" s="113"/>
      <c r="N1047" s="108" t="s">
        <v>12417</v>
      </c>
      <c r="O1047" s="110">
        <v>3</v>
      </c>
      <c r="P1047" s="111" t="s">
        <v>46</v>
      </c>
      <c r="Q1047" s="108" t="s">
        <v>12419</v>
      </c>
      <c r="R1047" s="116">
        <v>1</v>
      </c>
      <c r="S1047" s="111" t="s">
        <v>53</v>
      </c>
      <c r="T1047" s="108" t="s">
        <v>47</v>
      </c>
      <c r="U1047" s="114"/>
      <c r="V1047" s="113"/>
      <c r="W1047" s="108" t="s">
        <v>47</v>
      </c>
      <c r="X1047" s="114"/>
      <c r="Y1047" s="113"/>
      <c r="Z1047" s="108" t="s">
        <v>47</v>
      </c>
      <c r="AA1047" s="114"/>
      <c r="AB1047" s="113"/>
      <c r="AC1047" s="105" t="s">
        <v>2649</v>
      </c>
      <c r="AD1047" s="115" t="s">
        <v>107</v>
      </c>
    </row>
    <row r="1048" spans="1:30" x14ac:dyDescent="0.2">
      <c r="A1048" s="104" t="s">
        <v>2650</v>
      </c>
      <c r="B1048" s="105" t="s">
        <v>805</v>
      </c>
      <c r="C1048" s="105" t="s">
        <v>154</v>
      </c>
      <c r="D1048" s="106"/>
      <c r="E1048" s="107"/>
      <c r="F1048" s="108" t="s">
        <v>10335</v>
      </c>
      <c r="G1048" s="109">
        <v>4</v>
      </c>
      <c r="H1048" s="108" t="s">
        <v>12420</v>
      </c>
      <c r="I1048" s="112">
        <v>4</v>
      </c>
      <c r="J1048" s="113"/>
      <c r="K1048" s="108" t="s">
        <v>12421</v>
      </c>
      <c r="L1048" s="112">
        <v>4</v>
      </c>
      <c r="M1048" s="113"/>
      <c r="N1048" s="108" t="s">
        <v>10335</v>
      </c>
      <c r="O1048" s="112">
        <v>4</v>
      </c>
      <c r="P1048" s="113"/>
      <c r="Q1048" s="108" t="s">
        <v>12422</v>
      </c>
      <c r="R1048" s="117">
        <v>2</v>
      </c>
      <c r="S1048" s="113"/>
      <c r="T1048" s="108" t="s">
        <v>12423</v>
      </c>
      <c r="U1048" s="116">
        <v>1</v>
      </c>
      <c r="V1048" s="113"/>
      <c r="W1048" s="108" t="s">
        <v>47</v>
      </c>
      <c r="X1048" s="114"/>
      <c r="Y1048" s="113"/>
      <c r="Z1048" s="108" t="s">
        <v>47</v>
      </c>
      <c r="AA1048" s="114"/>
      <c r="AB1048" s="113"/>
      <c r="AC1048" s="105" t="s">
        <v>2651</v>
      </c>
      <c r="AD1048" s="115" t="s">
        <v>107</v>
      </c>
    </row>
    <row r="1049" spans="1:30" x14ac:dyDescent="0.2">
      <c r="A1049" s="104" t="s">
        <v>2652</v>
      </c>
      <c r="B1049" s="105" t="s">
        <v>805</v>
      </c>
      <c r="C1049" s="105" t="s">
        <v>154</v>
      </c>
      <c r="D1049" s="106"/>
      <c r="E1049" s="107"/>
      <c r="F1049" s="108" t="s">
        <v>12424</v>
      </c>
      <c r="G1049" s="120">
        <v>2</v>
      </c>
      <c r="H1049" s="108" t="s">
        <v>12425</v>
      </c>
      <c r="I1049" s="117">
        <v>2</v>
      </c>
      <c r="J1049" s="113"/>
      <c r="K1049" s="108" t="s">
        <v>12426</v>
      </c>
      <c r="L1049" s="117">
        <v>2</v>
      </c>
      <c r="M1049" s="113"/>
      <c r="N1049" s="108" t="s">
        <v>12424</v>
      </c>
      <c r="O1049" s="117">
        <v>2</v>
      </c>
      <c r="P1049" s="111" t="s">
        <v>40</v>
      </c>
      <c r="Q1049" s="108" t="s">
        <v>12427</v>
      </c>
      <c r="R1049" s="110">
        <v>3</v>
      </c>
      <c r="S1049" s="113"/>
      <c r="T1049" s="108" t="s">
        <v>12428</v>
      </c>
      <c r="U1049" s="110">
        <v>3</v>
      </c>
      <c r="V1049" s="113"/>
      <c r="W1049" s="108" t="s">
        <v>2653</v>
      </c>
      <c r="X1049" s="112">
        <v>4</v>
      </c>
      <c r="Y1049" s="113"/>
      <c r="Z1049" s="108" t="s">
        <v>2654</v>
      </c>
      <c r="AA1049" s="112">
        <v>4</v>
      </c>
      <c r="AB1049" s="111" t="s">
        <v>46</v>
      </c>
      <c r="AC1049" s="105" t="s">
        <v>2655</v>
      </c>
      <c r="AD1049" s="115" t="s">
        <v>107</v>
      </c>
    </row>
    <row r="1050" spans="1:30" x14ac:dyDescent="0.2">
      <c r="A1050" s="104" t="s">
        <v>2656</v>
      </c>
      <c r="B1050" s="105" t="s">
        <v>805</v>
      </c>
      <c r="C1050" s="105" t="s">
        <v>154</v>
      </c>
      <c r="D1050" s="106"/>
      <c r="E1050" s="107"/>
      <c r="F1050" s="108" t="s">
        <v>12429</v>
      </c>
      <c r="G1050" s="118">
        <v>3</v>
      </c>
      <c r="H1050" s="108" t="s">
        <v>12430</v>
      </c>
      <c r="I1050" s="117">
        <v>2</v>
      </c>
      <c r="J1050" s="113"/>
      <c r="K1050" s="108" t="s">
        <v>12431</v>
      </c>
      <c r="L1050" s="117">
        <v>2</v>
      </c>
      <c r="M1050" s="113"/>
      <c r="N1050" s="108" t="s">
        <v>12429</v>
      </c>
      <c r="O1050" s="110">
        <v>3</v>
      </c>
      <c r="P1050" s="113"/>
      <c r="Q1050" s="108" t="s">
        <v>12432</v>
      </c>
      <c r="R1050" s="110">
        <v>3</v>
      </c>
      <c r="S1050" s="111" t="s">
        <v>40</v>
      </c>
      <c r="T1050" s="108" t="s">
        <v>12433</v>
      </c>
      <c r="U1050" s="110">
        <v>3</v>
      </c>
      <c r="V1050" s="113"/>
      <c r="W1050" s="108" t="s">
        <v>12434</v>
      </c>
      <c r="X1050" s="112">
        <v>4</v>
      </c>
      <c r="Y1050" s="113"/>
      <c r="Z1050" s="108" t="s">
        <v>12435</v>
      </c>
      <c r="AA1050" s="112">
        <v>4</v>
      </c>
      <c r="AB1050" s="113"/>
      <c r="AC1050" s="105" t="s">
        <v>2657</v>
      </c>
      <c r="AD1050" s="115" t="s">
        <v>107</v>
      </c>
    </row>
    <row r="1051" spans="1:30" x14ac:dyDescent="0.2">
      <c r="A1051" s="104" t="s">
        <v>2658</v>
      </c>
      <c r="B1051" s="105" t="s">
        <v>805</v>
      </c>
      <c r="C1051" s="105" t="s">
        <v>154</v>
      </c>
      <c r="D1051" s="106"/>
      <c r="E1051" s="107"/>
      <c r="F1051" s="108" t="s">
        <v>12436</v>
      </c>
      <c r="G1051" s="109">
        <v>4</v>
      </c>
      <c r="H1051" s="108" t="s">
        <v>12437</v>
      </c>
      <c r="I1051" s="110">
        <v>3</v>
      </c>
      <c r="J1051" s="111" t="s">
        <v>40</v>
      </c>
      <c r="K1051" s="108" t="s">
        <v>12438</v>
      </c>
      <c r="L1051" s="110">
        <v>3</v>
      </c>
      <c r="M1051" s="113"/>
      <c r="N1051" s="108" t="s">
        <v>12436</v>
      </c>
      <c r="O1051" s="112">
        <v>4</v>
      </c>
      <c r="P1051" s="113"/>
      <c r="Q1051" s="108" t="s">
        <v>12439</v>
      </c>
      <c r="R1051" s="112">
        <v>4</v>
      </c>
      <c r="S1051" s="113"/>
      <c r="T1051" s="108" t="s">
        <v>12440</v>
      </c>
      <c r="U1051" s="112">
        <v>4</v>
      </c>
      <c r="V1051" s="113"/>
      <c r="W1051" s="108" t="s">
        <v>2659</v>
      </c>
      <c r="X1051" s="112">
        <v>4</v>
      </c>
      <c r="Y1051" s="113"/>
      <c r="Z1051" s="108" t="s">
        <v>2660</v>
      </c>
      <c r="AA1051" s="112">
        <v>4</v>
      </c>
      <c r="AB1051" s="113"/>
      <c r="AC1051" s="105" t="s">
        <v>2661</v>
      </c>
      <c r="AD1051" s="115" t="s">
        <v>107</v>
      </c>
    </row>
    <row r="1052" spans="1:30" x14ac:dyDescent="0.2">
      <c r="A1052" s="104" t="s">
        <v>2662</v>
      </c>
      <c r="B1052" s="105" t="s">
        <v>805</v>
      </c>
      <c r="C1052" s="105" t="s">
        <v>154</v>
      </c>
      <c r="D1052" s="106"/>
      <c r="E1052" s="107"/>
      <c r="F1052" s="108" t="s">
        <v>12441</v>
      </c>
      <c r="G1052" s="109">
        <v>4</v>
      </c>
      <c r="H1052" s="108" t="s">
        <v>12442</v>
      </c>
      <c r="I1052" s="112">
        <v>4</v>
      </c>
      <c r="J1052" s="113"/>
      <c r="K1052" s="108" t="s">
        <v>2663</v>
      </c>
      <c r="L1052" s="112">
        <v>4</v>
      </c>
      <c r="M1052" s="113"/>
      <c r="N1052" s="108" t="s">
        <v>12441</v>
      </c>
      <c r="O1052" s="112">
        <v>4</v>
      </c>
      <c r="P1052" s="113"/>
      <c r="Q1052" s="108" t="s">
        <v>12443</v>
      </c>
      <c r="R1052" s="112">
        <v>4</v>
      </c>
      <c r="S1052" s="111" t="s">
        <v>46</v>
      </c>
      <c r="T1052" s="108" t="s">
        <v>12444</v>
      </c>
      <c r="U1052" s="116">
        <v>1</v>
      </c>
      <c r="V1052" s="113"/>
      <c r="W1052" s="108" t="s">
        <v>8024</v>
      </c>
      <c r="X1052" s="117">
        <v>2</v>
      </c>
      <c r="Y1052" s="113"/>
      <c r="Z1052" s="108" t="s">
        <v>47</v>
      </c>
      <c r="AA1052" s="114"/>
      <c r="AB1052" s="113"/>
      <c r="AC1052" s="105" t="s">
        <v>2664</v>
      </c>
      <c r="AD1052" s="115" t="s">
        <v>107</v>
      </c>
    </row>
    <row r="1053" spans="1:30" x14ac:dyDescent="0.2">
      <c r="A1053" s="104" t="s">
        <v>2665</v>
      </c>
      <c r="B1053" s="105" t="s">
        <v>805</v>
      </c>
      <c r="C1053" s="105" t="s">
        <v>154</v>
      </c>
      <c r="D1053" s="106"/>
      <c r="E1053" s="107"/>
      <c r="F1053" s="108" t="s">
        <v>10315</v>
      </c>
      <c r="G1053" s="109">
        <v>4</v>
      </c>
      <c r="H1053" s="108" t="s">
        <v>10357</v>
      </c>
      <c r="I1053" s="112">
        <v>4</v>
      </c>
      <c r="J1053" s="113"/>
      <c r="K1053" s="108" t="s">
        <v>2666</v>
      </c>
      <c r="L1053" s="112">
        <v>4</v>
      </c>
      <c r="M1053" s="113"/>
      <c r="N1053" s="108" t="s">
        <v>10315</v>
      </c>
      <c r="O1053" s="112">
        <v>4</v>
      </c>
      <c r="P1053" s="113"/>
      <c r="Q1053" s="108" t="s">
        <v>12445</v>
      </c>
      <c r="R1053" s="112">
        <v>4</v>
      </c>
      <c r="S1053" s="111" t="s">
        <v>46</v>
      </c>
      <c r="T1053" s="108" t="s">
        <v>12446</v>
      </c>
      <c r="U1053" s="116">
        <v>1</v>
      </c>
      <c r="V1053" s="113"/>
      <c r="W1053" s="108" t="s">
        <v>2667</v>
      </c>
      <c r="X1053" s="117">
        <v>2</v>
      </c>
      <c r="Y1053" s="113"/>
      <c r="Z1053" s="108" t="s">
        <v>47</v>
      </c>
      <c r="AA1053" s="114"/>
      <c r="AB1053" s="113"/>
      <c r="AC1053" s="105" t="s">
        <v>2668</v>
      </c>
      <c r="AD1053" s="115" t="s">
        <v>107</v>
      </c>
    </row>
    <row r="1054" spans="1:30" x14ac:dyDescent="0.2">
      <c r="A1054" s="104" t="s">
        <v>2669</v>
      </c>
      <c r="B1054" s="105" t="s">
        <v>805</v>
      </c>
      <c r="C1054" s="105" t="s">
        <v>154</v>
      </c>
      <c r="D1054" s="106"/>
      <c r="E1054" s="107"/>
      <c r="F1054" s="108" t="s">
        <v>12447</v>
      </c>
      <c r="G1054" s="118">
        <v>3</v>
      </c>
      <c r="H1054" s="108" t="s">
        <v>12448</v>
      </c>
      <c r="I1054" s="117">
        <v>2</v>
      </c>
      <c r="J1054" s="113"/>
      <c r="K1054" s="108" t="s">
        <v>12449</v>
      </c>
      <c r="L1054" s="117">
        <v>2</v>
      </c>
      <c r="M1054" s="113"/>
      <c r="N1054" s="108" t="s">
        <v>12447</v>
      </c>
      <c r="O1054" s="110">
        <v>3</v>
      </c>
      <c r="P1054" s="113"/>
      <c r="Q1054" s="108" t="s">
        <v>12450</v>
      </c>
      <c r="R1054" s="112">
        <v>4</v>
      </c>
      <c r="S1054" s="113"/>
      <c r="T1054" s="108" t="s">
        <v>12451</v>
      </c>
      <c r="U1054" s="112">
        <v>4</v>
      </c>
      <c r="V1054" s="111" t="s">
        <v>46</v>
      </c>
      <c r="W1054" s="108" t="s">
        <v>12452</v>
      </c>
      <c r="X1054" s="112">
        <v>4</v>
      </c>
      <c r="Y1054" s="113"/>
      <c r="Z1054" s="108" t="s">
        <v>47</v>
      </c>
      <c r="AA1054" s="114"/>
      <c r="AB1054" s="113"/>
      <c r="AC1054" s="105" t="s">
        <v>2670</v>
      </c>
      <c r="AD1054" s="115" t="s">
        <v>107</v>
      </c>
    </row>
    <row r="1055" spans="1:30" x14ac:dyDescent="0.2">
      <c r="A1055" s="104" t="s">
        <v>2671</v>
      </c>
      <c r="B1055" s="105" t="s">
        <v>805</v>
      </c>
      <c r="C1055" s="105" t="s">
        <v>154</v>
      </c>
      <c r="D1055" s="106"/>
      <c r="E1055" s="107"/>
      <c r="F1055" s="108" t="s">
        <v>10321</v>
      </c>
      <c r="G1055" s="109">
        <v>4</v>
      </c>
      <c r="H1055" s="108" t="s">
        <v>12453</v>
      </c>
      <c r="I1055" s="112">
        <v>4</v>
      </c>
      <c r="J1055" s="113"/>
      <c r="K1055" s="108" t="s">
        <v>2672</v>
      </c>
      <c r="L1055" s="112">
        <v>4</v>
      </c>
      <c r="M1055" s="113"/>
      <c r="N1055" s="108" t="s">
        <v>10321</v>
      </c>
      <c r="O1055" s="112">
        <v>4</v>
      </c>
      <c r="P1055" s="113"/>
      <c r="Q1055" s="108" t="s">
        <v>12454</v>
      </c>
      <c r="R1055" s="112">
        <v>4</v>
      </c>
      <c r="S1055" s="111" t="s">
        <v>46</v>
      </c>
      <c r="T1055" s="108" t="s">
        <v>12455</v>
      </c>
      <c r="U1055" s="116">
        <v>1</v>
      </c>
      <c r="V1055" s="113"/>
      <c r="W1055" s="108" t="s">
        <v>11503</v>
      </c>
      <c r="X1055" s="117">
        <v>2</v>
      </c>
      <c r="Y1055" s="111" t="s">
        <v>40</v>
      </c>
      <c r="Z1055" s="108" t="s">
        <v>47</v>
      </c>
      <c r="AA1055" s="114"/>
      <c r="AB1055" s="113"/>
      <c r="AC1055" s="105" t="s">
        <v>2673</v>
      </c>
      <c r="AD1055" s="115" t="s">
        <v>107</v>
      </c>
    </row>
    <row r="1056" spans="1:30" x14ac:dyDescent="0.2">
      <c r="A1056" s="104" t="s">
        <v>2674</v>
      </c>
      <c r="B1056" s="105" t="s">
        <v>805</v>
      </c>
      <c r="C1056" s="105" t="s">
        <v>154</v>
      </c>
      <c r="D1056" s="106"/>
      <c r="E1056" s="107"/>
      <c r="F1056" s="108" t="s">
        <v>47</v>
      </c>
      <c r="G1056" s="113"/>
      <c r="H1056" s="108" t="s">
        <v>47</v>
      </c>
      <c r="I1056" s="114"/>
      <c r="J1056" s="113"/>
      <c r="K1056" s="108" t="s">
        <v>47</v>
      </c>
      <c r="L1056" s="114"/>
      <c r="M1056" s="113"/>
      <c r="N1056" s="108" t="s">
        <v>47</v>
      </c>
      <c r="O1056" s="114"/>
      <c r="P1056" s="113"/>
      <c r="Q1056" s="108" t="s">
        <v>47</v>
      </c>
      <c r="R1056" s="114"/>
      <c r="S1056" s="113"/>
      <c r="T1056" s="108" t="s">
        <v>47</v>
      </c>
      <c r="U1056" s="114"/>
      <c r="V1056" s="113"/>
      <c r="W1056" s="108" t="s">
        <v>47</v>
      </c>
      <c r="X1056" s="114"/>
      <c r="Y1056" s="113"/>
      <c r="Z1056" s="108" t="s">
        <v>47</v>
      </c>
      <c r="AA1056" s="114"/>
      <c r="AB1056" s="113"/>
      <c r="AC1056" s="105" t="s">
        <v>2675</v>
      </c>
      <c r="AD1056" s="115" t="s">
        <v>107</v>
      </c>
    </row>
    <row r="1057" spans="1:30" x14ac:dyDescent="0.2">
      <c r="A1057" s="104" t="s">
        <v>2676</v>
      </c>
      <c r="B1057" s="105" t="s">
        <v>805</v>
      </c>
      <c r="C1057" s="105" t="s">
        <v>154</v>
      </c>
      <c r="D1057" s="106"/>
      <c r="E1057" s="107"/>
      <c r="F1057" s="108" t="s">
        <v>12456</v>
      </c>
      <c r="G1057" s="120">
        <v>2</v>
      </c>
      <c r="H1057" s="108" t="s">
        <v>12457</v>
      </c>
      <c r="I1057" s="117">
        <v>2</v>
      </c>
      <c r="J1057" s="113"/>
      <c r="K1057" s="108" t="s">
        <v>12458</v>
      </c>
      <c r="L1057" s="117">
        <v>2</v>
      </c>
      <c r="M1057" s="113"/>
      <c r="N1057" s="108" t="s">
        <v>12456</v>
      </c>
      <c r="O1057" s="117">
        <v>2</v>
      </c>
      <c r="P1057" s="111" t="s">
        <v>40</v>
      </c>
      <c r="Q1057" s="108" t="s">
        <v>1133</v>
      </c>
      <c r="R1057" s="110">
        <v>3</v>
      </c>
      <c r="S1057" s="113"/>
      <c r="T1057" s="108" t="s">
        <v>2677</v>
      </c>
      <c r="U1057" s="110">
        <v>3</v>
      </c>
      <c r="V1057" s="113"/>
      <c r="W1057" s="108" t="s">
        <v>12459</v>
      </c>
      <c r="X1057" s="110">
        <v>3</v>
      </c>
      <c r="Y1057" s="113"/>
      <c r="Z1057" s="108" t="s">
        <v>2678</v>
      </c>
      <c r="AA1057" s="110">
        <v>3</v>
      </c>
      <c r="AB1057" s="113"/>
      <c r="AC1057" s="105" t="s">
        <v>2679</v>
      </c>
      <c r="AD1057" s="115" t="s">
        <v>107</v>
      </c>
    </row>
    <row r="1058" spans="1:30" x14ac:dyDescent="0.2">
      <c r="A1058" s="104" t="s">
        <v>2680</v>
      </c>
      <c r="B1058" s="105" t="s">
        <v>805</v>
      </c>
      <c r="C1058" s="105" t="s">
        <v>154</v>
      </c>
      <c r="D1058" s="106"/>
      <c r="E1058" s="107"/>
      <c r="F1058" s="108" t="s">
        <v>12460</v>
      </c>
      <c r="G1058" s="120">
        <v>2</v>
      </c>
      <c r="H1058" s="108" t="s">
        <v>12461</v>
      </c>
      <c r="I1058" s="117">
        <v>2</v>
      </c>
      <c r="J1058" s="113"/>
      <c r="K1058" s="108" t="s">
        <v>2681</v>
      </c>
      <c r="L1058" s="117">
        <v>2</v>
      </c>
      <c r="M1058" s="113"/>
      <c r="N1058" s="108" t="s">
        <v>12460</v>
      </c>
      <c r="O1058" s="117">
        <v>2</v>
      </c>
      <c r="P1058" s="111" t="s">
        <v>40</v>
      </c>
      <c r="Q1058" s="108" t="s">
        <v>12462</v>
      </c>
      <c r="R1058" s="110">
        <v>3</v>
      </c>
      <c r="S1058" s="113"/>
      <c r="T1058" s="108" t="s">
        <v>12463</v>
      </c>
      <c r="U1058" s="110">
        <v>3</v>
      </c>
      <c r="V1058" s="113"/>
      <c r="W1058" s="108" t="s">
        <v>2682</v>
      </c>
      <c r="X1058" s="110">
        <v>3</v>
      </c>
      <c r="Y1058" s="111" t="s">
        <v>40</v>
      </c>
      <c r="Z1058" s="108" t="s">
        <v>2683</v>
      </c>
      <c r="AA1058" s="110">
        <v>3</v>
      </c>
      <c r="AB1058" s="113"/>
      <c r="AC1058" s="105" t="s">
        <v>2684</v>
      </c>
      <c r="AD1058" s="115" t="s">
        <v>107</v>
      </c>
    </row>
    <row r="1059" spans="1:30" x14ac:dyDescent="0.2">
      <c r="A1059" s="104" t="s">
        <v>2685</v>
      </c>
      <c r="B1059" s="105" t="s">
        <v>805</v>
      </c>
      <c r="C1059" s="105" t="s">
        <v>154</v>
      </c>
      <c r="D1059" s="106"/>
      <c r="E1059" s="107"/>
      <c r="F1059" s="108" t="s">
        <v>12464</v>
      </c>
      <c r="G1059" s="120">
        <v>2</v>
      </c>
      <c r="H1059" s="108" t="s">
        <v>12465</v>
      </c>
      <c r="I1059" s="117">
        <v>2</v>
      </c>
      <c r="J1059" s="113"/>
      <c r="K1059" s="108" t="s">
        <v>12466</v>
      </c>
      <c r="L1059" s="117">
        <v>2</v>
      </c>
      <c r="M1059" s="113"/>
      <c r="N1059" s="108" t="s">
        <v>12464</v>
      </c>
      <c r="O1059" s="117">
        <v>2</v>
      </c>
      <c r="P1059" s="111" t="s">
        <v>40</v>
      </c>
      <c r="Q1059" s="108" t="s">
        <v>9543</v>
      </c>
      <c r="R1059" s="110">
        <v>3</v>
      </c>
      <c r="S1059" s="113"/>
      <c r="T1059" s="108" t="s">
        <v>12467</v>
      </c>
      <c r="U1059" s="110">
        <v>3</v>
      </c>
      <c r="V1059" s="113"/>
      <c r="W1059" s="108" t="s">
        <v>47</v>
      </c>
      <c r="X1059" s="114"/>
      <c r="Y1059" s="113"/>
      <c r="Z1059" s="108" t="s">
        <v>47</v>
      </c>
      <c r="AA1059" s="114"/>
      <c r="AB1059" s="113"/>
      <c r="AC1059" s="105" t="s">
        <v>2686</v>
      </c>
      <c r="AD1059" s="115" t="s">
        <v>107</v>
      </c>
    </row>
    <row r="1060" spans="1:30" x14ac:dyDescent="0.2">
      <c r="A1060" s="104" t="s">
        <v>2687</v>
      </c>
      <c r="B1060" s="105" t="s">
        <v>805</v>
      </c>
      <c r="C1060" s="105" t="s">
        <v>154</v>
      </c>
      <c r="D1060" s="106"/>
      <c r="E1060" s="107"/>
      <c r="F1060" s="108" t="s">
        <v>12468</v>
      </c>
      <c r="G1060" s="118">
        <v>3</v>
      </c>
      <c r="H1060" s="108" t="s">
        <v>12469</v>
      </c>
      <c r="I1060" s="117">
        <v>2</v>
      </c>
      <c r="J1060" s="113"/>
      <c r="K1060" s="108" t="s">
        <v>12470</v>
      </c>
      <c r="L1060" s="117">
        <v>2</v>
      </c>
      <c r="M1060" s="113"/>
      <c r="N1060" s="108" t="s">
        <v>12468</v>
      </c>
      <c r="O1060" s="110">
        <v>3</v>
      </c>
      <c r="P1060" s="113"/>
      <c r="Q1060" s="108" t="s">
        <v>12471</v>
      </c>
      <c r="R1060" s="112">
        <v>4</v>
      </c>
      <c r="S1060" s="113"/>
      <c r="T1060" s="108" t="s">
        <v>12472</v>
      </c>
      <c r="U1060" s="110">
        <v>3</v>
      </c>
      <c r="V1060" s="113"/>
      <c r="W1060" s="108" t="s">
        <v>12473</v>
      </c>
      <c r="X1060" s="112">
        <v>4</v>
      </c>
      <c r="Y1060" s="113"/>
      <c r="Z1060" s="108" t="s">
        <v>2688</v>
      </c>
      <c r="AA1060" s="112">
        <v>4</v>
      </c>
      <c r="AB1060" s="113"/>
      <c r="AC1060" s="105" t="s">
        <v>2689</v>
      </c>
      <c r="AD1060" s="115" t="s">
        <v>107</v>
      </c>
    </row>
    <row r="1061" spans="1:30" x14ac:dyDescent="0.2">
      <c r="A1061" s="104" t="s">
        <v>2690</v>
      </c>
      <c r="B1061" s="105" t="s">
        <v>805</v>
      </c>
      <c r="C1061" s="105" t="s">
        <v>154</v>
      </c>
      <c r="D1061" s="106"/>
      <c r="E1061" s="107"/>
      <c r="F1061" s="108" t="s">
        <v>10331</v>
      </c>
      <c r="G1061" s="109">
        <v>4</v>
      </c>
      <c r="H1061" s="108" t="s">
        <v>12474</v>
      </c>
      <c r="I1061" s="112">
        <v>4</v>
      </c>
      <c r="J1061" s="113"/>
      <c r="K1061" s="108" t="s">
        <v>2691</v>
      </c>
      <c r="L1061" s="112">
        <v>4</v>
      </c>
      <c r="M1061" s="113"/>
      <c r="N1061" s="108" t="s">
        <v>10331</v>
      </c>
      <c r="O1061" s="112">
        <v>4</v>
      </c>
      <c r="P1061" s="113"/>
      <c r="Q1061" s="108" t="s">
        <v>12475</v>
      </c>
      <c r="R1061" s="112">
        <v>4</v>
      </c>
      <c r="S1061" s="111" t="s">
        <v>46</v>
      </c>
      <c r="T1061" s="108" t="s">
        <v>12476</v>
      </c>
      <c r="U1061" s="116">
        <v>1</v>
      </c>
      <c r="V1061" s="113"/>
      <c r="W1061" s="108" t="s">
        <v>12477</v>
      </c>
      <c r="X1061" s="117">
        <v>2</v>
      </c>
      <c r="Y1061" s="113"/>
      <c r="Z1061" s="108" t="s">
        <v>47</v>
      </c>
      <c r="AA1061" s="114"/>
      <c r="AB1061" s="113"/>
      <c r="AC1061" s="105" t="s">
        <v>2692</v>
      </c>
      <c r="AD1061" s="115" t="s">
        <v>107</v>
      </c>
    </row>
    <row r="1062" spans="1:30" x14ac:dyDescent="0.2">
      <c r="A1062" s="104" t="s">
        <v>2693</v>
      </c>
      <c r="B1062" s="105" t="s">
        <v>805</v>
      </c>
      <c r="C1062" s="105" t="s">
        <v>2694</v>
      </c>
      <c r="D1062" s="106"/>
      <c r="E1062" s="107"/>
      <c r="F1062" s="108" t="s">
        <v>47</v>
      </c>
      <c r="G1062" s="113"/>
      <c r="H1062" s="108" t="s">
        <v>47</v>
      </c>
      <c r="I1062" s="114"/>
      <c r="J1062" s="113"/>
      <c r="K1062" s="108" t="s">
        <v>47</v>
      </c>
      <c r="L1062" s="114"/>
      <c r="M1062" s="113"/>
      <c r="N1062" s="108" t="s">
        <v>47</v>
      </c>
      <c r="O1062" s="114"/>
      <c r="P1062" s="113"/>
      <c r="Q1062" s="108" t="s">
        <v>47</v>
      </c>
      <c r="R1062" s="114"/>
      <c r="S1062" s="113"/>
      <c r="T1062" s="108" t="s">
        <v>47</v>
      </c>
      <c r="U1062" s="114"/>
      <c r="V1062" s="113"/>
      <c r="W1062" s="108" t="s">
        <v>47</v>
      </c>
      <c r="X1062" s="114"/>
      <c r="Y1062" s="113"/>
      <c r="Z1062" s="108" t="s">
        <v>47</v>
      </c>
      <c r="AA1062" s="114"/>
      <c r="AB1062" s="113"/>
      <c r="AC1062" s="105" t="s">
        <v>2695</v>
      </c>
      <c r="AD1062" s="115" t="s">
        <v>107</v>
      </c>
    </row>
    <row r="1063" spans="1:30" x14ac:dyDescent="0.2">
      <c r="A1063" s="104" t="s">
        <v>12478</v>
      </c>
      <c r="B1063" s="105" t="s">
        <v>805</v>
      </c>
      <c r="C1063" s="105" t="s">
        <v>2694</v>
      </c>
      <c r="D1063" s="106"/>
      <c r="E1063" s="107"/>
      <c r="F1063" s="108" t="s">
        <v>12479</v>
      </c>
      <c r="G1063" s="119">
        <v>1</v>
      </c>
      <c r="H1063" s="108" t="s">
        <v>12480</v>
      </c>
      <c r="I1063" s="116">
        <v>1</v>
      </c>
      <c r="J1063" s="113"/>
      <c r="K1063" s="108" t="s">
        <v>12481</v>
      </c>
      <c r="L1063" s="116">
        <v>1</v>
      </c>
      <c r="M1063" s="113"/>
      <c r="N1063" s="108" t="s">
        <v>12479</v>
      </c>
      <c r="O1063" s="116">
        <v>1</v>
      </c>
      <c r="P1063" s="113"/>
      <c r="Q1063" s="108" t="s">
        <v>12482</v>
      </c>
      <c r="R1063" s="116">
        <v>1</v>
      </c>
      <c r="S1063" s="111" t="s">
        <v>40</v>
      </c>
      <c r="T1063" s="108" t="s">
        <v>2696</v>
      </c>
      <c r="U1063" s="110">
        <v>3</v>
      </c>
      <c r="V1063" s="113"/>
      <c r="W1063" s="108" t="s">
        <v>12483</v>
      </c>
      <c r="X1063" s="117">
        <v>2</v>
      </c>
      <c r="Y1063" s="113"/>
      <c r="Z1063" s="108" t="s">
        <v>2697</v>
      </c>
      <c r="AA1063" s="110">
        <v>3</v>
      </c>
      <c r="AB1063" s="113"/>
      <c r="AC1063" s="105" t="s">
        <v>2698</v>
      </c>
      <c r="AD1063" s="115" t="s">
        <v>107</v>
      </c>
    </row>
    <row r="1064" spans="1:30" x14ac:dyDescent="0.2">
      <c r="A1064" s="104" t="s">
        <v>12484</v>
      </c>
      <c r="B1064" s="105" t="s">
        <v>805</v>
      </c>
      <c r="C1064" s="105" t="s">
        <v>2694</v>
      </c>
      <c r="D1064" s="106"/>
      <c r="E1064" s="107"/>
      <c r="F1064" s="108" t="s">
        <v>12485</v>
      </c>
      <c r="G1064" s="119">
        <v>1</v>
      </c>
      <c r="H1064" s="108" t="s">
        <v>12486</v>
      </c>
      <c r="I1064" s="116">
        <v>1</v>
      </c>
      <c r="J1064" s="113"/>
      <c r="K1064" s="108" t="s">
        <v>12487</v>
      </c>
      <c r="L1064" s="116">
        <v>1</v>
      </c>
      <c r="M1064" s="113"/>
      <c r="N1064" s="108" t="s">
        <v>12485</v>
      </c>
      <c r="O1064" s="116">
        <v>1</v>
      </c>
      <c r="P1064" s="113"/>
      <c r="Q1064" s="108" t="s">
        <v>2699</v>
      </c>
      <c r="R1064" s="116">
        <v>1</v>
      </c>
      <c r="S1064" s="111" t="s">
        <v>40</v>
      </c>
      <c r="T1064" s="108" t="s">
        <v>2700</v>
      </c>
      <c r="U1064" s="110">
        <v>3</v>
      </c>
      <c r="V1064" s="113"/>
      <c r="W1064" s="108" t="s">
        <v>47</v>
      </c>
      <c r="X1064" s="114"/>
      <c r="Y1064" s="113"/>
      <c r="Z1064" s="108" t="s">
        <v>47</v>
      </c>
      <c r="AA1064" s="114"/>
      <c r="AB1064" s="113"/>
      <c r="AC1064" s="105" t="s">
        <v>2701</v>
      </c>
      <c r="AD1064" s="115" t="s">
        <v>107</v>
      </c>
    </row>
    <row r="1065" spans="1:30" x14ac:dyDescent="0.2">
      <c r="A1065" s="104" t="s">
        <v>12488</v>
      </c>
      <c r="B1065" s="105" t="s">
        <v>805</v>
      </c>
      <c r="C1065" s="105" t="s">
        <v>2694</v>
      </c>
      <c r="D1065" s="106"/>
      <c r="E1065" s="107"/>
      <c r="F1065" s="108" t="s">
        <v>12489</v>
      </c>
      <c r="G1065" s="119">
        <v>1</v>
      </c>
      <c r="H1065" s="108" t="s">
        <v>12490</v>
      </c>
      <c r="I1065" s="117">
        <v>2</v>
      </c>
      <c r="J1065" s="111" t="s">
        <v>46</v>
      </c>
      <c r="K1065" s="108" t="s">
        <v>12491</v>
      </c>
      <c r="L1065" s="116">
        <v>1</v>
      </c>
      <c r="M1065" s="113"/>
      <c r="N1065" s="108" t="s">
        <v>12489</v>
      </c>
      <c r="O1065" s="116">
        <v>1</v>
      </c>
      <c r="P1065" s="113"/>
      <c r="Q1065" s="108" t="s">
        <v>12492</v>
      </c>
      <c r="R1065" s="117">
        <v>2</v>
      </c>
      <c r="S1065" s="113"/>
      <c r="T1065" s="108" t="s">
        <v>12493</v>
      </c>
      <c r="U1065" s="112">
        <v>4</v>
      </c>
      <c r="V1065" s="113"/>
      <c r="W1065" s="108" t="s">
        <v>12494</v>
      </c>
      <c r="X1065" s="110">
        <v>3</v>
      </c>
      <c r="Y1065" s="113"/>
      <c r="Z1065" s="108" t="s">
        <v>12495</v>
      </c>
      <c r="AA1065" s="112">
        <v>4</v>
      </c>
      <c r="AB1065" s="113"/>
      <c r="AC1065" s="105" t="s">
        <v>2702</v>
      </c>
      <c r="AD1065" s="115" t="s">
        <v>107</v>
      </c>
    </row>
    <row r="1066" spans="1:30" x14ac:dyDescent="0.2">
      <c r="A1066" s="104" t="s">
        <v>12496</v>
      </c>
      <c r="B1066" s="105" t="s">
        <v>805</v>
      </c>
      <c r="C1066" s="105" t="s">
        <v>2694</v>
      </c>
      <c r="D1066" s="106"/>
      <c r="E1066" s="107"/>
      <c r="F1066" s="108" t="s">
        <v>12497</v>
      </c>
      <c r="G1066" s="119">
        <v>1</v>
      </c>
      <c r="H1066" s="108" t="s">
        <v>12498</v>
      </c>
      <c r="I1066" s="116">
        <v>1</v>
      </c>
      <c r="J1066" s="113"/>
      <c r="K1066" s="108" t="s">
        <v>2703</v>
      </c>
      <c r="L1066" s="116">
        <v>1</v>
      </c>
      <c r="M1066" s="113"/>
      <c r="N1066" s="108" t="s">
        <v>12497</v>
      </c>
      <c r="O1066" s="116">
        <v>1</v>
      </c>
      <c r="P1066" s="113"/>
      <c r="Q1066" s="108" t="s">
        <v>12499</v>
      </c>
      <c r="R1066" s="117">
        <v>2</v>
      </c>
      <c r="S1066" s="113"/>
      <c r="T1066" s="108" t="s">
        <v>12500</v>
      </c>
      <c r="U1066" s="112">
        <v>4</v>
      </c>
      <c r="V1066" s="113"/>
      <c r="W1066" s="108" t="s">
        <v>12501</v>
      </c>
      <c r="X1066" s="110">
        <v>3</v>
      </c>
      <c r="Y1066" s="113"/>
      <c r="Z1066" s="108" t="s">
        <v>209</v>
      </c>
      <c r="AA1066" s="110">
        <v>3</v>
      </c>
      <c r="AB1066" s="113"/>
      <c r="AC1066" s="105" t="s">
        <v>2704</v>
      </c>
      <c r="AD1066" s="115" t="s">
        <v>107</v>
      </c>
    </row>
    <row r="1067" spans="1:30" x14ac:dyDescent="0.2">
      <c r="A1067" s="104" t="s">
        <v>12502</v>
      </c>
      <c r="B1067" s="105" t="s">
        <v>805</v>
      </c>
      <c r="C1067" s="105" t="s">
        <v>2694</v>
      </c>
      <c r="D1067" s="106"/>
      <c r="E1067" s="107"/>
      <c r="F1067" s="108" t="s">
        <v>12503</v>
      </c>
      <c r="G1067" s="119">
        <v>1</v>
      </c>
      <c r="H1067" s="108" t="s">
        <v>12491</v>
      </c>
      <c r="I1067" s="116">
        <v>1</v>
      </c>
      <c r="J1067" s="113"/>
      <c r="K1067" s="108" t="s">
        <v>12504</v>
      </c>
      <c r="L1067" s="116">
        <v>1</v>
      </c>
      <c r="M1067" s="113"/>
      <c r="N1067" s="108" t="s">
        <v>12503</v>
      </c>
      <c r="O1067" s="116">
        <v>1</v>
      </c>
      <c r="P1067" s="113"/>
      <c r="Q1067" s="108" t="s">
        <v>2705</v>
      </c>
      <c r="R1067" s="116">
        <v>1</v>
      </c>
      <c r="S1067" s="111" t="s">
        <v>40</v>
      </c>
      <c r="T1067" s="108" t="s">
        <v>2706</v>
      </c>
      <c r="U1067" s="110">
        <v>3</v>
      </c>
      <c r="V1067" s="113"/>
      <c r="W1067" s="108" t="s">
        <v>12505</v>
      </c>
      <c r="X1067" s="117">
        <v>2</v>
      </c>
      <c r="Y1067" s="113"/>
      <c r="Z1067" s="108" t="s">
        <v>2707</v>
      </c>
      <c r="AA1067" s="110">
        <v>3</v>
      </c>
      <c r="AB1067" s="113"/>
      <c r="AC1067" s="105" t="s">
        <v>2708</v>
      </c>
      <c r="AD1067" s="115" t="s">
        <v>107</v>
      </c>
    </row>
    <row r="1068" spans="1:30" x14ac:dyDescent="0.2">
      <c r="A1068" s="104" t="s">
        <v>12506</v>
      </c>
      <c r="B1068" s="105" t="s">
        <v>805</v>
      </c>
      <c r="C1068" s="105" t="s">
        <v>2694</v>
      </c>
      <c r="D1068" s="106"/>
      <c r="E1068" s="107"/>
      <c r="F1068" s="108" t="s">
        <v>47</v>
      </c>
      <c r="G1068" s="113"/>
      <c r="H1068" s="108" t="s">
        <v>47</v>
      </c>
      <c r="I1068" s="114"/>
      <c r="J1068" s="113"/>
      <c r="K1068" s="108" t="s">
        <v>47</v>
      </c>
      <c r="L1068" s="114"/>
      <c r="M1068" s="113"/>
      <c r="N1068" s="108" t="s">
        <v>47</v>
      </c>
      <c r="O1068" s="114"/>
      <c r="P1068" s="113"/>
      <c r="Q1068" s="108" t="s">
        <v>47</v>
      </c>
      <c r="R1068" s="114"/>
      <c r="S1068" s="113"/>
      <c r="T1068" s="108" t="s">
        <v>47</v>
      </c>
      <c r="U1068" s="114"/>
      <c r="V1068" s="113"/>
      <c r="W1068" s="108" t="s">
        <v>47</v>
      </c>
      <c r="X1068" s="114"/>
      <c r="Y1068" s="113"/>
      <c r="Z1068" s="108" t="s">
        <v>47</v>
      </c>
      <c r="AA1068" s="114"/>
      <c r="AB1068" s="113"/>
      <c r="AC1068" s="105" t="s">
        <v>12507</v>
      </c>
      <c r="AD1068" s="115" t="s">
        <v>107</v>
      </c>
    </row>
    <row r="1069" spans="1:30" x14ac:dyDescent="0.2">
      <c r="A1069" s="104" t="s">
        <v>12508</v>
      </c>
      <c r="B1069" s="105" t="s">
        <v>805</v>
      </c>
      <c r="C1069" s="105" t="s">
        <v>2694</v>
      </c>
      <c r="D1069" s="106"/>
      <c r="E1069" s="107"/>
      <c r="F1069" s="108" t="s">
        <v>12509</v>
      </c>
      <c r="G1069" s="119">
        <v>1</v>
      </c>
      <c r="H1069" s="108" t="s">
        <v>12510</v>
      </c>
      <c r="I1069" s="116">
        <v>1</v>
      </c>
      <c r="J1069" s="113"/>
      <c r="K1069" s="108" t="s">
        <v>12511</v>
      </c>
      <c r="L1069" s="116">
        <v>1</v>
      </c>
      <c r="M1069" s="113"/>
      <c r="N1069" s="108" t="s">
        <v>12509</v>
      </c>
      <c r="O1069" s="116">
        <v>1</v>
      </c>
      <c r="P1069" s="113"/>
      <c r="Q1069" s="108" t="s">
        <v>12512</v>
      </c>
      <c r="R1069" s="116">
        <v>1</v>
      </c>
      <c r="S1069" s="111" t="s">
        <v>40</v>
      </c>
      <c r="T1069" s="108" t="s">
        <v>2709</v>
      </c>
      <c r="U1069" s="110">
        <v>3</v>
      </c>
      <c r="V1069" s="113"/>
      <c r="W1069" s="108" t="s">
        <v>9877</v>
      </c>
      <c r="X1069" s="117">
        <v>2</v>
      </c>
      <c r="Y1069" s="113"/>
      <c r="Z1069" s="108" t="s">
        <v>47</v>
      </c>
      <c r="AA1069" s="114"/>
      <c r="AB1069" s="113"/>
      <c r="AC1069" s="105" t="s">
        <v>2710</v>
      </c>
      <c r="AD1069" s="115" t="s">
        <v>107</v>
      </c>
    </row>
    <row r="1070" spans="1:30" x14ac:dyDescent="0.2">
      <c r="A1070" s="104" t="s">
        <v>12513</v>
      </c>
      <c r="B1070" s="105" t="s">
        <v>805</v>
      </c>
      <c r="C1070" s="105" t="s">
        <v>2694</v>
      </c>
      <c r="D1070" s="106"/>
      <c r="E1070" s="107"/>
      <c r="F1070" s="108" t="s">
        <v>2711</v>
      </c>
      <c r="G1070" s="119">
        <v>1</v>
      </c>
      <c r="H1070" s="108" t="s">
        <v>12514</v>
      </c>
      <c r="I1070" s="116">
        <v>1</v>
      </c>
      <c r="J1070" s="113"/>
      <c r="K1070" s="108" t="s">
        <v>12515</v>
      </c>
      <c r="L1070" s="116">
        <v>1</v>
      </c>
      <c r="M1070" s="113"/>
      <c r="N1070" s="108" t="s">
        <v>2711</v>
      </c>
      <c r="O1070" s="116">
        <v>1</v>
      </c>
      <c r="P1070" s="113"/>
      <c r="Q1070" s="108" t="s">
        <v>2712</v>
      </c>
      <c r="R1070" s="117">
        <v>2</v>
      </c>
      <c r="S1070" s="113"/>
      <c r="T1070" s="108" t="s">
        <v>2713</v>
      </c>
      <c r="U1070" s="110">
        <v>3</v>
      </c>
      <c r="V1070" s="111" t="s">
        <v>40</v>
      </c>
      <c r="W1070" s="108" t="s">
        <v>11681</v>
      </c>
      <c r="X1070" s="110">
        <v>3</v>
      </c>
      <c r="Y1070" s="111" t="s">
        <v>46</v>
      </c>
      <c r="Z1070" s="108" t="s">
        <v>2714</v>
      </c>
      <c r="AA1070" s="110">
        <v>3</v>
      </c>
      <c r="AB1070" s="111" t="s">
        <v>46</v>
      </c>
      <c r="AC1070" s="105" t="s">
        <v>2715</v>
      </c>
      <c r="AD1070" s="115" t="s">
        <v>107</v>
      </c>
    </row>
    <row r="1071" spans="1:30" x14ac:dyDescent="0.2">
      <c r="A1071" s="104" t="s">
        <v>12516</v>
      </c>
      <c r="B1071" s="105" t="s">
        <v>805</v>
      </c>
      <c r="C1071" s="105" t="s">
        <v>2716</v>
      </c>
      <c r="D1071" s="106" t="s">
        <v>105</v>
      </c>
      <c r="E1071" s="107"/>
      <c r="F1071" s="108" t="s">
        <v>12517</v>
      </c>
      <c r="G1071" s="118">
        <v>3</v>
      </c>
      <c r="H1071" s="108" t="s">
        <v>12518</v>
      </c>
      <c r="I1071" s="117">
        <v>2</v>
      </c>
      <c r="J1071" s="113"/>
      <c r="K1071" s="108" t="s">
        <v>12519</v>
      </c>
      <c r="L1071" s="117">
        <v>2</v>
      </c>
      <c r="M1071" s="113"/>
      <c r="N1071" s="108" t="s">
        <v>12517</v>
      </c>
      <c r="O1071" s="110">
        <v>3</v>
      </c>
      <c r="P1071" s="113"/>
      <c r="Q1071" s="108" t="s">
        <v>12520</v>
      </c>
      <c r="R1071" s="112">
        <v>4</v>
      </c>
      <c r="S1071" s="113"/>
      <c r="T1071" s="108" t="s">
        <v>12521</v>
      </c>
      <c r="U1071" s="112">
        <v>4</v>
      </c>
      <c r="V1071" s="113"/>
      <c r="W1071" s="108" t="s">
        <v>12522</v>
      </c>
      <c r="X1071" s="112">
        <v>4</v>
      </c>
      <c r="Y1071" s="113"/>
      <c r="Z1071" s="108" t="s">
        <v>47</v>
      </c>
      <c r="AA1071" s="114"/>
      <c r="AB1071" s="113"/>
      <c r="AC1071" s="105" t="s">
        <v>2717</v>
      </c>
      <c r="AD1071" s="115" t="s">
        <v>107</v>
      </c>
    </row>
    <row r="1072" spans="1:30" x14ac:dyDescent="0.2">
      <c r="A1072" s="104" t="s">
        <v>12523</v>
      </c>
      <c r="B1072" s="105" t="s">
        <v>805</v>
      </c>
      <c r="C1072" s="105" t="s">
        <v>2716</v>
      </c>
      <c r="D1072" s="106" t="s">
        <v>105</v>
      </c>
      <c r="E1072" s="107"/>
      <c r="F1072" s="108" t="s">
        <v>12524</v>
      </c>
      <c r="G1072" s="118">
        <v>3</v>
      </c>
      <c r="H1072" s="108" t="s">
        <v>12525</v>
      </c>
      <c r="I1072" s="117">
        <v>2</v>
      </c>
      <c r="J1072" s="113"/>
      <c r="K1072" s="108" t="s">
        <v>12526</v>
      </c>
      <c r="L1072" s="117">
        <v>2</v>
      </c>
      <c r="M1072" s="113"/>
      <c r="N1072" s="108" t="s">
        <v>12524</v>
      </c>
      <c r="O1072" s="110">
        <v>3</v>
      </c>
      <c r="P1072" s="113"/>
      <c r="Q1072" s="108" t="s">
        <v>12527</v>
      </c>
      <c r="R1072" s="112">
        <v>4</v>
      </c>
      <c r="S1072" s="113"/>
      <c r="T1072" s="108" t="s">
        <v>12528</v>
      </c>
      <c r="U1072" s="112">
        <v>4</v>
      </c>
      <c r="V1072" s="113"/>
      <c r="W1072" s="108" t="s">
        <v>12529</v>
      </c>
      <c r="X1072" s="112">
        <v>4</v>
      </c>
      <c r="Y1072" s="113"/>
      <c r="Z1072" s="108" t="s">
        <v>47</v>
      </c>
      <c r="AA1072" s="114"/>
      <c r="AB1072" s="113"/>
      <c r="AC1072" s="105" t="s">
        <v>2718</v>
      </c>
      <c r="AD1072" s="115" t="s">
        <v>107</v>
      </c>
    </row>
    <row r="1073" spans="1:30" x14ac:dyDescent="0.2">
      <c r="A1073" s="104" t="s">
        <v>12530</v>
      </c>
      <c r="B1073" s="105" t="s">
        <v>805</v>
      </c>
      <c r="C1073" s="105" t="s">
        <v>112</v>
      </c>
      <c r="D1073" s="106"/>
      <c r="E1073" s="107"/>
      <c r="F1073" s="108" t="s">
        <v>12531</v>
      </c>
      <c r="G1073" s="119">
        <v>1</v>
      </c>
      <c r="H1073" s="108" t="s">
        <v>12532</v>
      </c>
      <c r="I1073" s="116">
        <v>1</v>
      </c>
      <c r="J1073" s="113"/>
      <c r="K1073" s="108" t="s">
        <v>12533</v>
      </c>
      <c r="L1073" s="116">
        <v>1</v>
      </c>
      <c r="M1073" s="113"/>
      <c r="N1073" s="108" t="s">
        <v>12531</v>
      </c>
      <c r="O1073" s="116">
        <v>1</v>
      </c>
      <c r="P1073" s="111" t="s">
        <v>40</v>
      </c>
      <c r="Q1073" s="108" t="s">
        <v>12534</v>
      </c>
      <c r="R1073" s="110">
        <v>3</v>
      </c>
      <c r="S1073" s="113"/>
      <c r="T1073" s="108" t="s">
        <v>47</v>
      </c>
      <c r="U1073" s="114"/>
      <c r="V1073" s="113"/>
      <c r="W1073" s="108" t="s">
        <v>47</v>
      </c>
      <c r="X1073" s="114"/>
      <c r="Y1073" s="113"/>
      <c r="Z1073" s="108" t="s">
        <v>47</v>
      </c>
      <c r="AA1073" s="114"/>
      <c r="AB1073" s="113"/>
      <c r="AC1073" s="105" t="s">
        <v>2719</v>
      </c>
      <c r="AD1073" s="115" t="s">
        <v>107</v>
      </c>
    </row>
    <row r="1074" spans="1:30" x14ac:dyDescent="0.2">
      <c r="A1074" s="104" t="s">
        <v>12535</v>
      </c>
      <c r="B1074" s="105" t="s">
        <v>805</v>
      </c>
      <c r="C1074" s="105" t="s">
        <v>2716</v>
      </c>
      <c r="D1074" s="106" t="s">
        <v>105</v>
      </c>
      <c r="E1074" s="107"/>
      <c r="F1074" s="108" t="s">
        <v>12536</v>
      </c>
      <c r="G1074" s="118">
        <v>3</v>
      </c>
      <c r="H1074" s="108" t="s">
        <v>12537</v>
      </c>
      <c r="I1074" s="117">
        <v>2</v>
      </c>
      <c r="J1074" s="113"/>
      <c r="K1074" s="108" t="s">
        <v>12538</v>
      </c>
      <c r="L1074" s="117">
        <v>2</v>
      </c>
      <c r="M1074" s="111" t="s">
        <v>40</v>
      </c>
      <c r="N1074" s="108" t="s">
        <v>12536</v>
      </c>
      <c r="O1074" s="110">
        <v>3</v>
      </c>
      <c r="P1074" s="113"/>
      <c r="Q1074" s="108" t="s">
        <v>12539</v>
      </c>
      <c r="R1074" s="112">
        <v>4</v>
      </c>
      <c r="S1074" s="113"/>
      <c r="T1074" s="108" t="s">
        <v>12540</v>
      </c>
      <c r="U1074" s="112">
        <v>4</v>
      </c>
      <c r="V1074" s="113"/>
      <c r="W1074" s="108" t="s">
        <v>12541</v>
      </c>
      <c r="X1074" s="112">
        <v>4</v>
      </c>
      <c r="Y1074" s="113"/>
      <c r="Z1074" s="108" t="s">
        <v>47</v>
      </c>
      <c r="AA1074" s="114"/>
      <c r="AB1074" s="113"/>
      <c r="AC1074" s="105" t="s">
        <v>2720</v>
      </c>
      <c r="AD1074" s="115" t="s">
        <v>107</v>
      </c>
    </row>
    <row r="1075" spans="1:30" x14ac:dyDescent="0.2">
      <c r="A1075" s="104" t="s">
        <v>12542</v>
      </c>
      <c r="B1075" s="105" t="s">
        <v>805</v>
      </c>
      <c r="C1075" s="105" t="s">
        <v>2716</v>
      </c>
      <c r="D1075" s="106" t="s">
        <v>105</v>
      </c>
      <c r="E1075" s="107"/>
      <c r="F1075" s="108" t="s">
        <v>12543</v>
      </c>
      <c r="G1075" s="118">
        <v>3</v>
      </c>
      <c r="H1075" s="108" t="s">
        <v>12544</v>
      </c>
      <c r="I1075" s="117">
        <v>2</v>
      </c>
      <c r="J1075" s="113"/>
      <c r="K1075" s="108" t="s">
        <v>12545</v>
      </c>
      <c r="L1075" s="117">
        <v>2</v>
      </c>
      <c r="M1075" s="113"/>
      <c r="N1075" s="108" t="s">
        <v>12543</v>
      </c>
      <c r="O1075" s="110">
        <v>3</v>
      </c>
      <c r="P1075" s="113"/>
      <c r="Q1075" s="108" t="s">
        <v>12546</v>
      </c>
      <c r="R1075" s="112">
        <v>4</v>
      </c>
      <c r="S1075" s="113"/>
      <c r="T1075" s="108" t="s">
        <v>12547</v>
      </c>
      <c r="U1075" s="110">
        <v>3</v>
      </c>
      <c r="V1075" s="113"/>
      <c r="W1075" s="108" t="s">
        <v>12548</v>
      </c>
      <c r="X1075" s="110">
        <v>3</v>
      </c>
      <c r="Y1075" s="113"/>
      <c r="Z1075" s="108" t="s">
        <v>47</v>
      </c>
      <c r="AA1075" s="114"/>
      <c r="AB1075" s="113"/>
      <c r="AC1075" s="105" t="s">
        <v>2721</v>
      </c>
      <c r="AD1075" s="115" t="s">
        <v>107</v>
      </c>
    </row>
    <row r="1076" spans="1:30" x14ac:dyDescent="0.2">
      <c r="A1076" s="104" t="s">
        <v>12549</v>
      </c>
      <c r="B1076" s="105" t="s">
        <v>805</v>
      </c>
      <c r="C1076" s="105" t="s">
        <v>2716</v>
      </c>
      <c r="D1076" s="106" t="s">
        <v>105</v>
      </c>
      <c r="E1076" s="107"/>
      <c r="F1076" s="108" t="s">
        <v>12550</v>
      </c>
      <c r="G1076" s="118">
        <v>3</v>
      </c>
      <c r="H1076" s="108" t="s">
        <v>12551</v>
      </c>
      <c r="I1076" s="117">
        <v>2</v>
      </c>
      <c r="J1076" s="113"/>
      <c r="K1076" s="108" t="s">
        <v>12552</v>
      </c>
      <c r="L1076" s="117">
        <v>2</v>
      </c>
      <c r="M1076" s="113"/>
      <c r="N1076" s="108" t="s">
        <v>12550</v>
      </c>
      <c r="O1076" s="110">
        <v>3</v>
      </c>
      <c r="P1076" s="113"/>
      <c r="Q1076" s="108" t="s">
        <v>12553</v>
      </c>
      <c r="R1076" s="112">
        <v>4</v>
      </c>
      <c r="S1076" s="113"/>
      <c r="T1076" s="108" t="s">
        <v>12554</v>
      </c>
      <c r="U1076" s="110">
        <v>3</v>
      </c>
      <c r="V1076" s="113"/>
      <c r="W1076" s="108" t="s">
        <v>12555</v>
      </c>
      <c r="X1076" s="110">
        <v>3</v>
      </c>
      <c r="Y1076" s="113"/>
      <c r="Z1076" s="108" t="s">
        <v>47</v>
      </c>
      <c r="AA1076" s="114"/>
      <c r="AB1076" s="113"/>
      <c r="AC1076" s="105" t="s">
        <v>2722</v>
      </c>
      <c r="AD1076" s="115" t="s">
        <v>107</v>
      </c>
    </row>
    <row r="1077" spans="1:30" x14ac:dyDescent="0.2">
      <c r="A1077" s="104" t="s">
        <v>12556</v>
      </c>
      <c r="B1077" s="105" t="s">
        <v>805</v>
      </c>
      <c r="C1077" s="105" t="s">
        <v>2716</v>
      </c>
      <c r="D1077" s="106" t="s">
        <v>105</v>
      </c>
      <c r="E1077" s="107"/>
      <c r="F1077" s="108" t="s">
        <v>12557</v>
      </c>
      <c r="G1077" s="118">
        <v>3</v>
      </c>
      <c r="H1077" s="108" t="s">
        <v>12558</v>
      </c>
      <c r="I1077" s="117">
        <v>2</v>
      </c>
      <c r="J1077" s="113"/>
      <c r="K1077" s="108" t="s">
        <v>12559</v>
      </c>
      <c r="L1077" s="117">
        <v>2</v>
      </c>
      <c r="M1077" s="113"/>
      <c r="N1077" s="108" t="s">
        <v>12557</v>
      </c>
      <c r="O1077" s="110">
        <v>3</v>
      </c>
      <c r="P1077" s="113"/>
      <c r="Q1077" s="108" t="s">
        <v>12560</v>
      </c>
      <c r="R1077" s="112">
        <v>4</v>
      </c>
      <c r="S1077" s="113"/>
      <c r="T1077" s="108" t="s">
        <v>12561</v>
      </c>
      <c r="U1077" s="110">
        <v>3</v>
      </c>
      <c r="V1077" s="113"/>
      <c r="W1077" s="108" t="s">
        <v>2723</v>
      </c>
      <c r="X1077" s="110">
        <v>3</v>
      </c>
      <c r="Y1077" s="113"/>
      <c r="Z1077" s="108" t="s">
        <v>47</v>
      </c>
      <c r="AA1077" s="114"/>
      <c r="AB1077" s="113"/>
      <c r="AC1077" s="105" t="s">
        <v>2724</v>
      </c>
      <c r="AD1077" s="115" t="s">
        <v>107</v>
      </c>
    </row>
    <row r="1078" spans="1:30" x14ac:dyDescent="0.2">
      <c r="A1078" s="104" t="s">
        <v>12562</v>
      </c>
      <c r="B1078" s="105" t="s">
        <v>805</v>
      </c>
      <c r="C1078" s="105" t="s">
        <v>2716</v>
      </c>
      <c r="D1078" s="106" t="s">
        <v>105</v>
      </c>
      <c r="E1078" s="107"/>
      <c r="F1078" s="108" t="s">
        <v>12563</v>
      </c>
      <c r="G1078" s="118">
        <v>3</v>
      </c>
      <c r="H1078" s="108" t="s">
        <v>12564</v>
      </c>
      <c r="I1078" s="117">
        <v>2</v>
      </c>
      <c r="J1078" s="113"/>
      <c r="K1078" s="108" t="s">
        <v>12565</v>
      </c>
      <c r="L1078" s="117">
        <v>2</v>
      </c>
      <c r="M1078" s="113"/>
      <c r="N1078" s="108" t="s">
        <v>12563</v>
      </c>
      <c r="O1078" s="110">
        <v>3</v>
      </c>
      <c r="P1078" s="113"/>
      <c r="Q1078" s="108" t="s">
        <v>12566</v>
      </c>
      <c r="R1078" s="112">
        <v>4</v>
      </c>
      <c r="S1078" s="113"/>
      <c r="T1078" s="108" t="s">
        <v>12567</v>
      </c>
      <c r="U1078" s="110">
        <v>3</v>
      </c>
      <c r="V1078" s="113"/>
      <c r="W1078" s="108" t="s">
        <v>12568</v>
      </c>
      <c r="X1078" s="110">
        <v>3</v>
      </c>
      <c r="Y1078" s="113"/>
      <c r="Z1078" s="108" t="s">
        <v>47</v>
      </c>
      <c r="AA1078" s="114"/>
      <c r="AB1078" s="113"/>
      <c r="AC1078" s="105" t="s">
        <v>2725</v>
      </c>
      <c r="AD1078" s="115" t="s">
        <v>107</v>
      </c>
    </row>
    <row r="1079" spans="1:30" x14ac:dyDescent="0.2">
      <c r="A1079" s="104" t="s">
        <v>12569</v>
      </c>
      <c r="B1079" s="105" t="s">
        <v>805</v>
      </c>
      <c r="C1079" s="105" t="s">
        <v>2716</v>
      </c>
      <c r="D1079" s="106" t="s">
        <v>105</v>
      </c>
      <c r="E1079" s="107"/>
      <c r="F1079" s="108" t="s">
        <v>12570</v>
      </c>
      <c r="G1079" s="118">
        <v>3</v>
      </c>
      <c r="H1079" s="108" t="s">
        <v>12571</v>
      </c>
      <c r="I1079" s="117">
        <v>2</v>
      </c>
      <c r="J1079" s="113"/>
      <c r="K1079" s="108" t="s">
        <v>12572</v>
      </c>
      <c r="L1079" s="117">
        <v>2</v>
      </c>
      <c r="M1079" s="113"/>
      <c r="N1079" s="108" t="s">
        <v>12570</v>
      </c>
      <c r="O1079" s="110">
        <v>3</v>
      </c>
      <c r="P1079" s="113"/>
      <c r="Q1079" s="108" t="s">
        <v>12573</v>
      </c>
      <c r="R1079" s="112">
        <v>4</v>
      </c>
      <c r="S1079" s="113"/>
      <c r="T1079" s="108" t="s">
        <v>12574</v>
      </c>
      <c r="U1079" s="110">
        <v>3</v>
      </c>
      <c r="V1079" s="113"/>
      <c r="W1079" s="108" t="s">
        <v>12575</v>
      </c>
      <c r="X1079" s="110">
        <v>3</v>
      </c>
      <c r="Y1079" s="113"/>
      <c r="Z1079" s="108" t="s">
        <v>47</v>
      </c>
      <c r="AA1079" s="114"/>
      <c r="AB1079" s="113"/>
      <c r="AC1079" s="105" t="s">
        <v>2726</v>
      </c>
      <c r="AD1079" s="115" t="s">
        <v>107</v>
      </c>
    </row>
    <row r="1080" spans="1:30" x14ac:dyDescent="0.2">
      <c r="A1080" s="104" t="s">
        <v>12576</v>
      </c>
      <c r="B1080" s="105" t="s">
        <v>805</v>
      </c>
      <c r="C1080" s="105" t="s">
        <v>2716</v>
      </c>
      <c r="D1080" s="106" t="s">
        <v>105</v>
      </c>
      <c r="E1080" s="107"/>
      <c r="F1080" s="108" t="s">
        <v>12577</v>
      </c>
      <c r="G1080" s="118">
        <v>3</v>
      </c>
      <c r="H1080" s="108" t="s">
        <v>12578</v>
      </c>
      <c r="I1080" s="117">
        <v>2</v>
      </c>
      <c r="J1080" s="113"/>
      <c r="K1080" s="108" t="s">
        <v>12579</v>
      </c>
      <c r="L1080" s="117">
        <v>2</v>
      </c>
      <c r="M1080" s="113"/>
      <c r="N1080" s="108" t="s">
        <v>12577</v>
      </c>
      <c r="O1080" s="110">
        <v>3</v>
      </c>
      <c r="P1080" s="113"/>
      <c r="Q1080" s="108" t="s">
        <v>12580</v>
      </c>
      <c r="R1080" s="112">
        <v>4</v>
      </c>
      <c r="S1080" s="113"/>
      <c r="T1080" s="108" t="s">
        <v>12581</v>
      </c>
      <c r="U1080" s="112">
        <v>4</v>
      </c>
      <c r="V1080" s="113"/>
      <c r="W1080" s="108" t="s">
        <v>12582</v>
      </c>
      <c r="X1080" s="112">
        <v>4</v>
      </c>
      <c r="Y1080" s="113"/>
      <c r="Z1080" s="108" t="s">
        <v>47</v>
      </c>
      <c r="AA1080" s="114"/>
      <c r="AB1080" s="113"/>
      <c r="AC1080" s="105" t="s">
        <v>2727</v>
      </c>
      <c r="AD1080" s="115" t="s">
        <v>107</v>
      </c>
    </row>
    <row r="1081" spans="1:30" x14ac:dyDescent="0.2">
      <c r="A1081" s="104" t="s">
        <v>12583</v>
      </c>
      <c r="B1081" s="105" t="s">
        <v>805</v>
      </c>
      <c r="C1081" s="105" t="s">
        <v>2728</v>
      </c>
      <c r="D1081" s="106" t="s">
        <v>298</v>
      </c>
      <c r="E1081" s="107"/>
      <c r="F1081" s="108" t="s">
        <v>12584</v>
      </c>
      <c r="G1081" s="118">
        <v>3</v>
      </c>
      <c r="H1081" s="108" t="s">
        <v>12585</v>
      </c>
      <c r="I1081" s="116">
        <v>1</v>
      </c>
      <c r="J1081" s="111" t="s">
        <v>53</v>
      </c>
      <c r="K1081" s="108" t="s">
        <v>12586</v>
      </c>
      <c r="L1081" s="110">
        <v>3</v>
      </c>
      <c r="M1081" s="111" t="s">
        <v>40</v>
      </c>
      <c r="N1081" s="108" t="s">
        <v>12584</v>
      </c>
      <c r="O1081" s="110">
        <v>3</v>
      </c>
      <c r="P1081" s="111" t="s">
        <v>40</v>
      </c>
      <c r="Q1081" s="108" t="s">
        <v>12587</v>
      </c>
      <c r="R1081" s="112">
        <v>4</v>
      </c>
      <c r="S1081" s="113"/>
      <c r="T1081" s="108" t="s">
        <v>12588</v>
      </c>
      <c r="U1081" s="112">
        <v>4</v>
      </c>
      <c r="V1081" s="113"/>
      <c r="W1081" s="108" t="s">
        <v>47</v>
      </c>
      <c r="X1081" s="114"/>
      <c r="Y1081" s="113"/>
      <c r="Z1081" s="108" t="s">
        <v>47</v>
      </c>
      <c r="AA1081" s="114"/>
      <c r="AB1081" s="113"/>
      <c r="AC1081" s="105" t="s">
        <v>2729</v>
      </c>
      <c r="AD1081" s="115" t="s">
        <v>107</v>
      </c>
    </row>
    <row r="1082" spans="1:30" x14ac:dyDescent="0.2">
      <c r="A1082" s="104" t="s">
        <v>12589</v>
      </c>
      <c r="B1082" s="105" t="s">
        <v>805</v>
      </c>
      <c r="C1082" s="105" t="s">
        <v>145</v>
      </c>
      <c r="D1082" s="106"/>
      <c r="E1082" s="107"/>
      <c r="F1082" s="108" t="s">
        <v>12590</v>
      </c>
      <c r="G1082" s="119">
        <v>1</v>
      </c>
      <c r="H1082" s="108" t="s">
        <v>12591</v>
      </c>
      <c r="I1082" s="116">
        <v>1</v>
      </c>
      <c r="J1082" s="113"/>
      <c r="K1082" s="108" t="s">
        <v>12592</v>
      </c>
      <c r="L1082" s="116">
        <v>1</v>
      </c>
      <c r="M1082" s="113"/>
      <c r="N1082" s="108" t="s">
        <v>12590</v>
      </c>
      <c r="O1082" s="116">
        <v>1</v>
      </c>
      <c r="P1082" s="111" t="s">
        <v>53</v>
      </c>
      <c r="Q1082" s="108" t="s">
        <v>12593</v>
      </c>
      <c r="R1082" s="112">
        <v>4</v>
      </c>
      <c r="S1082" s="113"/>
      <c r="T1082" s="108" t="s">
        <v>12594</v>
      </c>
      <c r="U1082" s="112">
        <v>4</v>
      </c>
      <c r="V1082" s="113"/>
      <c r="W1082" s="108" t="s">
        <v>47</v>
      </c>
      <c r="X1082" s="114"/>
      <c r="Y1082" s="113"/>
      <c r="Z1082" s="108" t="s">
        <v>47</v>
      </c>
      <c r="AA1082" s="114"/>
      <c r="AB1082" s="113"/>
      <c r="AC1082" s="105" t="s">
        <v>2730</v>
      </c>
      <c r="AD1082" s="115" t="s">
        <v>107</v>
      </c>
    </row>
    <row r="1083" spans="1:30" x14ac:dyDescent="0.2">
      <c r="A1083" s="104" t="s">
        <v>12595</v>
      </c>
      <c r="B1083" s="105" t="s">
        <v>805</v>
      </c>
      <c r="C1083" s="105" t="s">
        <v>145</v>
      </c>
      <c r="D1083" s="106"/>
      <c r="E1083" s="107"/>
      <c r="F1083" s="108" t="s">
        <v>12596</v>
      </c>
      <c r="G1083" s="119">
        <v>1</v>
      </c>
      <c r="H1083" s="108" t="s">
        <v>12597</v>
      </c>
      <c r="I1083" s="116">
        <v>1</v>
      </c>
      <c r="J1083" s="113"/>
      <c r="K1083" s="108" t="s">
        <v>12598</v>
      </c>
      <c r="L1083" s="116">
        <v>1</v>
      </c>
      <c r="M1083" s="113"/>
      <c r="N1083" s="108" t="s">
        <v>12596</v>
      </c>
      <c r="O1083" s="116">
        <v>1</v>
      </c>
      <c r="P1083" s="111" t="s">
        <v>53</v>
      </c>
      <c r="Q1083" s="108" t="s">
        <v>12599</v>
      </c>
      <c r="R1083" s="112">
        <v>4</v>
      </c>
      <c r="S1083" s="113"/>
      <c r="T1083" s="108" t="s">
        <v>12600</v>
      </c>
      <c r="U1083" s="112">
        <v>4</v>
      </c>
      <c r="V1083" s="113"/>
      <c r="W1083" s="108" t="s">
        <v>47</v>
      </c>
      <c r="X1083" s="114"/>
      <c r="Y1083" s="113"/>
      <c r="Z1083" s="108" t="s">
        <v>47</v>
      </c>
      <c r="AA1083" s="114"/>
      <c r="AB1083" s="113"/>
      <c r="AC1083" s="105" t="s">
        <v>2731</v>
      </c>
      <c r="AD1083" s="115" t="s">
        <v>107</v>
      </c>
    </row>
    <row r="1084" spans="1:30" x14ac:dyDescent="0.2">
      <c r="A1084" s="104" t="s">
        <v>12601</v>
      </c>
      <c r="B1084" s="105" t="s">
        <v>805</v>
      </c>
      <c r="C1084" s="105" t="s">
        <v>2728</v>
      </c>
      <c r="D1084" s="106"/>
      <c r="E1084" s="107"/>
      <c r="F1084" s="108" t="s">
        <v>12602</v>
      </c>
      <c r="G1084" s="109">
        <v>4</v>
      </c>
      <c r="H1084" s="108" t="s">
        <v>9956</v>
      </c>
      <c r="I1084" s="116">
        <v>1</v>
      </c>
      <c r="J1084" s="111" t="s">
        <v>53</v>
      </c>
      <c r="K1084" s="108" t="s">
        <v>2732</v>
      </c>
      <c r="L1084" s="110">
        <v>3</v>
      </c>
      <c r="M1084" s="111" t="s">
        <v>40</v>
      </c>
      <c r="N1084" s="108" t="s">
        <v>12602</v>
      </c>
      <c r="O1084" s="112">
        <v>4</v>
      </c>
      <c r="P1084" s="113"/>
      <c r="Q1084" s="108" t="s">
        <v>47</v>
      </c>
      <c r="R1084" s="114"/>
      <c r="S1084" s="113"/>
      <c r="T1084" s="108" t="s">
        <v>47</v>
      </c>
      <c r="U1084" s="114"/>
      <c r="V1084" s="113"/>
      <c r="W1084" s="108" t="s">
        <v>47</v>
      </c>
      <c r="X1084" s="114"/>
      <c r="Y1084" s="113"/>
      <c r="Z1084" s="108" t="s">
        <v>47</v>
      </c>
      <c r="AA1084" s="114"/>
      <c r="AB1084" s="113"/>
      <c r="AC1084" s="105" t="s">
        <v>2733</v>
      </c>
      <c r="AD1084" s="115" t="s">
        <v>107</v>
      </c>
    </row>
    <row r="1085" spans="1:30" x14ac:dyDescent="0.2">
      <c r="A1085" s="104" t="s">
        <v>12603</v>
      </c>
      <c r="B1085" s="105" t="s">
        <v>805</v>
      </c>
      <c r="C1085" s="105" t="s">
        <v>145</v>
      </c>
      <c r="D1085" s="106"/>
      <c r="E1085" s="107"/>
      <c r="F1085" s="108" t="s">
        <v>12604</v>
      </c>
      <c r="G1085" s="119">
        <v>1</v>
      </c>
      <c r="H1085" s="108" t="s">
        <v>12605</v>
      </c>
      <c r="I1085" s="116">
        <v>1</v>
      </c>
      <c r="J1085" s="113"/>
      <c r="K1085" s="108" t="s">
        <v>12606</v>
      </c>
      <c r="L1085" s="116">
        <v>1</v>
      </c>
      <c r="M1085" s="113"/>
      <c r="N1085" s="108" t="s">
        <v>12604</v>
      </c>
      <c r="O1085" s="116">
        <v>1</v>
      </c>
      <c r="P1085" s="111" t="s">
        <v>53</v>
      </c>
      <c r="Q1085" s="108" t="s">
        <v>12607</v>
      </c>
      <c r="R1085" s="112">
        <v>4</v>
      </c>
      <c r="S1085" s="113"/>
      <c r="T1085" s="108" t="s">
        <v>47</v>
      </c>
      <c r="U1085" s="114"/>
      <c r="V1085" s="113"/>
      <c r="W1085" s="108" t="s">
        <v>47</v>
      </c>
      <c r="X1085" s="114"/>
      <c r="Y1085" s="113"/>
      <c r="Z1085" s="108" t="s">
        <v>47</v>
      </c>
      <c r="AA1085" s="114"/>
      <c r="AB1085" s="113"/>
      <c r="AC1085" s="105" t="s">
        <v>2734</v>
      </c>
      <c r="AD1085" s="115" t="s">
        <v>107</v>
      </c>
    </row>
    <row r="1086" spans="1:30" x14ac:dyDescent="0.2">
      <c r="A1086" s="104" t="s">
        <v>12608</v>
      </c>
      <c r="B1086" s="105" t="s">
        <v>805</v>
      </c>
      <c r="C1086" s="105" t="s">
        <v>2728</v>
      </c>
      <c r="D1086" s="106" t="s">
        <v>105</v>
      </c>
      <c r="E1086" s="107"/>
      <c r="F1086" s="108" t="s">
        <v>12609</v>
      </c>
      <c r="G1086" s="118">
        <v>3</v>
      </c>
      <c r="H1086" s="108" t="s">
        <v>9216</v>
      </c>
      <c r="I1086" s="116">
        <v>1</v>
      </c>
      <c r="J1086" s="111" t="s">
        <v>53</v>
      </c>
      <c r="K1086" s="108" t="s">
        <v>12610</v>
      </c>
      <c r="L1086" s="110">
        <v>3</v>
      </c>
      <c r="M1086" s="111" t="s">
        <v>40</v>
      </c>
      <c r="N1086" s="108" t="s">
        <v>12609</v>
      </c>
      <c r="O1086" s="110">
        <v>3</v>
      </c>
      <c r="P1086" s="111" t="s">
        <v>40</v>
      </c>
      <c r="Q1086" s="108" t="s">
        <v>12611</v>
      </c>
      <c r="R1086" s="112">
        <v>4</v>
      </c>
      <c r="S1086" s="113"/>
      <c r="T1086" s="108" t="s">
        <v>12612</v>
      </c>
      <c r="U1086" s="112">
        <v>4</v>
      </c>
      <c r="V1086" s="113"/>
      <c r="W1086" s="108" t="s">
        <v>47</v>
      </c>
      <c r="X1086" s="114"/>
      <c r="Y1086" s="113"/>
      <c r="Z1086" s="108" t="s">
        <v>47</v>
      </c>
      <c r="AA1086" s="114"/>
      <c r="AB1086" s="113"/>
      <c r="AC1086" s="105" t="s">
        <v>2735</v>
      </c>
      <c r="AD1086" s="115" t="s">
        <v>107</v>
      </c>
    </row>
    <row r="1087" spans="1:30" x14ac:dyDescent="0.2">
      <c r="A1087" s="104" t="s">
        <v>12613</v>
      </c>
      <c r="B1087" s="105" t="s">
        <v>805</v>
      </c>
      <c r="C1087" s="105" t="s">
        <v>2728</v>
      </c>
      <c r="D1087" s="106" t="s">
        <v>298</v>
      </c>
      <c r="E1087" s="107"/>
      <c r="F1087" s="108" t="s">
        <v>2736</v>
      </c>
      <c r="G1087" s="118">
        <v>3</v>
      </c>
      <c r="H1087" s="108" t="s">
        <v>9929</v>
      </c>
      <c r="I1087" s="116">
        <v>1</v>
      </c>
      <c r="J1087" s="111" t="s">
        <v>53</v>
      </c>
      <c r="K1087" s="108" t="s">
        <v>12614</v>
      </c>
      <c r="L1087" s="110">
        <v>3</v>
      </c>
      <c r="M1087" s="111" t="s">
        <v>40</v>
      </c>
      <c r="N1087" s="108" t="s">
        <v>2736</v>
      </c>
      <c r="O1087" s="110">
        <v>3</v>
      </c>
      <c r="P1087" s="111" t="s">
        <v>40</v>
      </c>
      <c r="Q1087" s="108" t="s">
        <v>12615</v>
      </c>
      <c r="R1087" s="112">
        <v>4</v>
      </c>
      <c r="S1087" s="113"/>
      <c r="T1087" s="108" t="s">
        <v>12616</v>
      </c>
      <c r="U1087" s="112">
        <v>4</v>
      </c>
      <c r="V1087" s="113"/>
      <c r="W1087" s="108" t="s">
        <v>47</v>
      </c>
      <c r="X1087" s="114"/>
      <c r="Y1087" s="113"/>
      <c r="Z1087" s="108" t="s">
        <v>47</v>
      </c>
      <c r="AA1087" s="114"/>
      <c r="AB1087" s="113"/>
      <c r="AC1087" s="105" t="s">
        <v>2737</v>
      </c>
      <c r="AD1087" s="115" t="s">
        <v>107</v>
      </c>
    </row>
    <row r="1088" spans="1:30" x14ac:dyDescent="0.2">
      <c r="A1088" s="104" t="s">
        <v>12617</v>
      </c>
      <c r="B1088" s="105" t="s">
        <v>805</v>
      </c>
      <c r="C1088" s="105" t="s">
        <v>145</v>
      </c>
      <c r="D1088" s="106"/>
      <c r="E1088" s="107"/>
      <c r="F1088" s="108" t="s">
        <v>12618</v>
      </c>
      <c r="G1088" s="119">
        <v>1</v>
      </c>
      <c r="H1088" s="108" t="s">
        <v>12619</v>
      </c>
      <c r="I1088" s="116">
        <v>1</v>
      </c>
      <c r="J1088" s="113"/>
      <c r="K1088" s="108" t="s">
        <v>12620</v>
      </c>
      <c r="L1088" s="116">
        <v>1</v>
      </c>
      <c r="M1088" s="113"/>
      <c r="N1088" s="108" t="s">
        <v>12618</v>
      </c>
      <c r="O1088" s="116">
        <v>1</v>
      </c>
      <c r="P1088" s="111" t="s">
        <v>53</v>
      </c>
      <c r="Q1088" s="108" t="s">
        <v>12621</v>
      </c>
      <c r="R1088" s="112">
        <v>4</v>
      </c>
      <c r="S1088" s="113"/>
      <c r="T1088" s="108" t="s">
        <v>12622</v>
      </c>
      <c r="U1088" s="112">
        <v>4</v>
      </c>
      <c r="V1088" s="113"/>
      <c r="W1088" s="108" t="s">
        <v>47</v>
      </c>
      <c r="X1088" s="114"/>
      <c r="Y1088" s="113"/>
      <c r="Z1088" s="108" t="s">
        <v>47</v>
      </c>
      <c r="AA1088" s="114"/>
      <c r="AB1088" s="113"/>
      <c r="AC1088" s="105" t="s">
        <v>2738</v>
      </c>
      <c r="AD1088" s="115" t="s">
        <v>107</v>
      </c>
    </row>
    <row r="1089" spans="1:30" x14ac:dyDescent="0.2">
      <c r="A1089" s="104" t="s">
        <v>12623</v>
      </c>
      <c r="B1089" s="105" t="s">
        <v>805</v>
      </c>
      <c r="C1089" s="105" t="s">
        <v>145</v>
      </c>
      <c r="D1089" s="106"/>
      <c r="E1089" s="107"/>
      <c r="F1089" s="108" t="s">
        <v>12624</v>
      </c>
      <c r="G1089" s="119">
        <v>1</v>
      </c>
      <c r="H1089" s="108" t="s">
        <v>12625</v>
      </c>
      <c r="I1089" s="116">
        <v>1</v>
      </c>
      <c r="J1089" s="113"/>
      <c r="K1089" s="108" t="s">
        <v>12626</v>
      </c>
      <c r="L1089" s="116">
        <v>1</v>
      </c>
      <c r="M1089" s="113"/>
      <c r="N1089" s="108" t="s">
        <v>12624</v>
      </c>
      <c r="O1089" s="116">
        <v>1</v>
      </c>
      <c r="P1089" s="111" t="s">
        <v>53</v>
      </c>
      <c r="Q1089" s="108" t="s">
        <v>12627</v>
      </c>
      <c r="R1089" s="112">
        <v>4</v>
      </c>
      <c r="S1089" s="113"/>
      <c r="T1089" s="108" t="s">
        <v>12628</v>
      </c>
      <c r="U1089" s="112">
        <v>4</v>
      </c>
      <c r="V1089" s="113"/>
      <c r="W1089" s="108" t="s">
        <v>47</v>
      </c>
      <c r="X1089" s="114"/>
      <c r="Y1089" s="113"/>
      <c r="Z1089" s="108" t="s">
        <v>47</v>
      </c>
      <c r="AA1089" s="114"/>
      <c r="AB1089" s="113"/>
      <c r="AC1089" s="105" t="s">
        <v>2739</v>
      </c>
      <c r="AD1089" s="115" t="s">
        <v>107</v>
      </c>
    </row>
    <row r="1090" spans="1:30" x14ac:dyDescent="0.2">
      <c r="A1090" s="104" t="s">
        <v>12629</v>
      </c>
      <c r="B1090" s="105" t="s">
        <v>805</v>
      </c>
      <c r="C1090" s="105" t="s">
        <v>2728</v>
      </c>
      <c r="D1090" s="106" t="s">
        <v>298</v>
      </c>
      <c r="E1090" s="107"/>
      <c r="F1090" s="108" t="s">
        <v>12630</v>
      </c>
      <c r="G1090" s="118">
        <v>3</v>
      </c>
      <c r="H1090" s="108" t="s">
        <v>12631</v>
      </c>
      <c r="I1090" s="116">
        <v>1</v>
      </c>
      <c r="J1090" s="111" t="s">
        <v>53</v>
      </c>
      <c r="K1090" s="108" t="s">
        <v>12632</v>
      </c>
      <c r="L1090" s="110">
        <v>3</v>
      </c>
      <c r="M1090" s="111" t="s">
        <v>40</v>
      </c>
      <c r="N1090" s="108" t="s">
        <v>12630</v>
      </c>
      <c r="O1090" s="110">
        <v>3</v>
      </c>
      <c r="P1090" s="111" t="s">
        <v>40</v>
      </c>
      <c r="Q1090" s="108" t="s">
        <v>12633</v>
      </c>
      <c r="R1090" s="112">
        <v>4</v>
      </c>
      <c r="S1090" s="113"/>
      <c r="T1090" s="108" t="s">
        <v>12634</v>
      </c>
      <c r="U1090" s="112">
        <v>4</v>
      </c>
      <c r="V1090" s="113"/>
      <c r="W1090" s="108" t="s">
        <v>47</v>
      </c>
      <c r="X1090" s="114"/>
      <c r="Y1090" s="113"/>
      <c r="Z1090" s="108" t="s">
        <v>47</v>
      </c>
      <c r="AA1090" s="114"/>
      <c r="AB1090" s="113"/>
      <c r="AC1090" s="105" t="s">
        <v>2740</v>
      </c>
      <c r="AD1090" s="115" t="s">
        <v>107</v>
      </c>
    </row>
    <row r="1091" spans="1:30" x14ac:dyDescent="0.2">
      <c r="A1091" s="104" t="s">
        <v>12635</v>
      </c>
      <c r="B1091" s="105" t="s">
        <v>805</v>
      </c>
      <c r="C1091" s="105" t="s">
        <v>2741</v>
      </c>
      <c r="D1091" s="106" t="s">
        <v>125</v>
      </c>
      <c r="E1091" s="107"/>
      <c r="F1091" s="108" t="s">
        <v>12636</v>
      </c>
      <c r="G1091" s="120">
        <v>2</v>
      </c>
      <c r="H1091" s="108" t="s">
        <v>12637</v>
      </c>
      <c r="I1091" s="116">
        <v>1</v>
      </c>
      <c r="J1091" s="111" t="s">
        <v>53</v>
      </c>
      <c r="K1091" s="108" t="s">
        <v>12638</v>
      </c>
      <c r="L1091" s="117">
        <v>2</v>
      </c>
      <c r="M1091" s="113"/>
      <c r="N1091" s="108" t="s">
        <v>12636</v>
      </c>
      <c r="O1091" s="117">
        <v>2</v>
      </c>
      <c r="P1091" s="111" t="s">
        <v>40</v>
      </c>
      <c r="Q1091" s="108" t="s">
        <v>12639</v>
      </c>
      <c r="R1091" s="117">
        <v>2</v>
      </c>
      <c r="S1091" s="113"/>
      <c r="T1091" s="108" t="s">
        <v>12640</v>
      </c>
      <c r="U1091" s="117">
        <v>2</v>
      </c>
      <c r="V1091" s="113"/>
      <c r="W1091" s="108" t="s">
        <v>12641</v>
      </c>
      <c r="X1091" s="117">
        <v>2</v>
      </c>
      <c r="Y1091" s="111" t="s">
        <v>40</v>
      </c>
      <c r="Z1091" s="108" t="s">
        <v>47</v>
      </c>
      <c r="AA1091" s="114"/>
      <c r="AB1091" s="113"/>
      <c r="AC1091" s="105" t="s">
        <v>2742</v>
      </c>
      <c r="AD1091" s="115" t="s">
        <v>107</v>
      </c>
    </row>
    <row r="1092" spans="1:30" x14ac:dyDescent="0.2">
      <c r="A1092" s="104" t="s">
        <v>12642</v>
      </c>
      <c r="B1092" s="105" t="s">
        <v>805</v>
      </c>
      <c r="C1092" s="105" t="s">
        <v>2741</v>
      </c>
      <c r="D1092" s="106"/>
      <c r="E1092" s="107"/>
      <c r="F1092" s="108" t="s">
        <v>12643</v>
      </c>
      <c r="G1092" s="120">
        <v>2</v>
      </c>
      <c r="H1092" s="108" t="s">
        <v>12644</v>
      </c>
      <c r="I1092" s="116">
        <v>1</v>
      </c>
      <c r="J1092" s="111" t="s">
        <v>53</v>
      </c>
      <c r="K1092" s="108" t="s">
        <v>12645</v>
      </c>
      <c r="L1092" s="117">
        <v>2</v>
      </c>
      <c r="M1092" s="113"/>
      <c r="N1092" s="108" t="s">
        <v>12643</v>
      </c>
      <c r="O1092" s="117">
        <v>2</v>
      </c>
      <c r="P1092" s="111" t="s">
        <v>40</v>
      </c>
      <c r="Q1092" s="108" t="s">
        <v>12646</v>
      </c>
      <c r="R1092" s="117">
        <v>2</v>
      </c>
      <c r="S1092" s="113"/>
      <c r="T1092" s="108" t="s">
        <v>47</v>
      </c>
      <c r="U1092" s="114"/>
      <c r="V1092" s="113"/>
      <c r="W1092" s="108" t="s">
        <v>47</v>
      </c>
      <c r="X1092" s="114"/>
      <c r="Y1092" s="113"/>
      <c r="Z1092" s="108" t="s">
        <v>47</v>
      </c>
      <c r="AA1092" s="114"/>
      <c r="AB1092" s="113"/>
      <c r="AC1092" s="105" t="s">
        <v>2743</v>
      </c>
      <c r="AD1092" s="115" t="s">
        <v>107</v>
      </c>
    </row>
    <row r="1093" spans="1:30" x14ac:dyDescent="0.2">
      <c r="A1093" s="104" t="s">
        <v>12647</v>
      </c>
      <c r="B1093" s="105" t="s">
        <v>805</v>
      </c>
      <c r="C1093" s="105" t="s">
        <v>2741</v>
      </c>
      <c r="D1093" s="106" t="s">
        <v>125</v>
      </c>
      <c r="E1093" s="107"/>
      <c r="F1093" s="108" t="s">
        <v>12648</v>
      </c>
      <c r="G1093" s="120">
        <v>2</v>
      </c>
      <c r="H1093" s="108" t="s">
        <v>12649</v>
      </c>
      <c r="I1093" s="116">
        <v>1</v>
      </c>
      <c r="J1093" s="111" t="s">
        <v>53</v>
      </c>
      <c r="K1093" s="108" t="s">
        <v>12650</v>
      </c>
      <c r="L1093" s="117">
        <v>2</v>
      </c>
      <c r="M1093" s="111" t="s">
        <v>40</v>
      </c>
      <c r="N1093" s="108" t="s">
        <v>12648</v>
      </c>
      <c r="O1093" s="117">
        <v>2</v>
      </c>
      <c r="P1093" s="111" t="s">
        <v>40</v>
      </c>
      <c r="Q1093" s="108" t="s">
        <v>12651</v>
      </c>
      <c r="R1093" s="110">
        <v>3</v>
      </c>
      <c r="S1093" s="113"/>
      <c r="T1093" s="108" t="s">
        <v>12652</v>
      </c>
      <c r="U1093" s="110">
        <v>3</v>
      </c>
      <c r="V1093" s="113"/>
      <c r="W1093" s="108" t="s">
        <v>12653</v>
      </c>
      <c r="X1093" s="110">
        <v>3</v>
      </c>
      <c r="Y1093" s="113"/>
      <c r="Z1093" s="108" t="s">
        <v>12654</v>
      </c>
      <c r="AA1093" s="112">
        <v>4</v>
      </c>
      <c r="AB1093" s="111" t="s">
        <v>55</v>
      </c>
      <c r="AC1093" s="105" t="s">
        <v>2744</v>
      </c>
      <c r="AD1093" s="115" t="s">
        <v>107</v>
      </c>
    </row>
    <row r="1094" spans="1:30" x14ac:dyDescent="0.2">
      <c r="A1094" s="104" t="s">
        <v>12655</v>
      </c>
      <c r="B1094" s="105" t="s">
        <v>805</v>
      </c>
      <c r="C1094" s="105" t="s">
        <v>2741</v>
      </c>
      <c r="D1094" s="106"/>
      <c r="E1094" s="107"/>
      <c r="F1094" s="108" t="s">
        <v>12656</v>
      </c>
      <c r="G1094" s="120">
        <v>2</v>
      </c>
      <c r="H1094" s="108" t="s">
        <v>12657</v>
      </c>
      <c r="I1094" s="116">
        <v>1</v>
      </c>
      <c r="J1094" s="111" t="s">
        <v>53</v>
      </c>
      <c r="K1094" s="108" t="s">
        <v>12658</v>
      </c>
      <c r="L1094" s="117">
        <v>2</v>
      </c>
      <c r="M1094" s="111" t="s">
        <v>40</v>
      </c>
      <c r="N1094" s="108" t="s">
        <v>12656</v>
      </c>
      <c r="O1094" s="117">
        <v>2</v>
      </c>
      <c r="P1094" s="111" t="s">
        <v>40</v>
      </c>
      <c r="Q1094" s="108" t="s">
        <v>12659</v>
      </c>
      <c r="R1094" s="110">
        <v>3</v>
      </c>
      <c r="S1094" s="113"/>
      <c r="T1094" s="108" t="s">
        <v>47</v>
      </c>
      <c r="U1094" s="114"/>
      <c r="V1094" s="113"/>
      <c r="W1094" s="108" t="s">
        <v>47</v>
      </c>
      <c r="X1094" s="114"/>
      <c r="Y1094" s="113"/>
      <c r="Z1094" s="108" t="s">
        <v>47</v>
      </c>
      <c r="AA1094" s="114"/>
      <c r="AB1094" s="113"/>
      <c r="AC1094" s="105" t="s">
        <v>2745</v>
      </c>
      <c r="AD1094" s="115" t="s">
        <v>107</v>
      </c>
    </row>
    <row r="1095" spans="1:30" x14ac:dyDescent="0.2">
      <c r="A1095" s="104" t="s">
        <v>12660</v>
      </c>
      <c r="B1095" s="105" t="s">
        <v>805</v>
      </c>
      <c r="C1095" s="105" t="s">
        <v>2741</v>
      </c>
      <c r="D1095" s="106" t="s">
        <v>94</v>
      </c>
      <c r="E1095" s="107"/>
      <c r="F1095" s="108" t="s">
        <v>12661</v>
      </c>
      <c r="G1095" s="120">
        <v>2</v>
      </c>
      <c r="H1095" s="108" t="s">
        <v>12662</v>
      </c>
      <c r="I1095" s="116">
        <v>1</v>
      </c>
      <c r="J1095" s="111" t="s">
        <v>40</v>
      </c>
      <c r="K1095" s="108" t="s">
        <v>12663</v>
      </c>
      <c r="L1095" s="117">
        <v>2</v>
      </c>
      <c r="M1095" s="113"/>
      <c r="N1095" s="108" t="s">
        <v>12661</v>
      </c>
      <c r="O1095" s="117">
        <v>2</v>
      </c>
      <c r="P1095" s="111" t="s">
        <v>40</v>
      </c>
      <c r="Q1095" s="108" t="s">
        <v>12664</v>
      </c>
      <c r="R1095" s="117">
        <v>2</v>
      </c>
      <c r="S1095" s="113"/>
      <c r="T1095" s="108" t="s">
        <v>12665</v>
      </c>
      <c r="U1095" s="117">
        <v>2</v>
      </c>
      <c r="V1095" s="113"/>
      <c r="W1095" s="108" t="s">
        <v>12666</v>
      </c>
      <c r="X1095" s="117">
        <v>2</v>
      </c>
      <c r="Y1095" s="113"/>
      <c r="Z1095" s="108" t="s">
        <v>12667</v>
      </c>
      <c r="AA1095" s="110">
        <v>3</v>
      </c>
      <c r="AB1095" s="111" t="s">
        <v>55</v>
      </c>
      <c r="AC1095" s="105" t="s">
        <v>2746</v>
      </c>
      <c r="AD1095" s="115" t="s">
        <v>107</v>
      </c>
    </row>
    <row r="1096" spans="1:30" x14ac:dyDescent="0.2">
      <c r="A1096" s="104" t="s">
        <v>12668</v>
      </c>
      <c r="B1096" s="105" t="s">
        <v>805</v>
      </c>
      <c r="C1096" s="105" t="s">
        <v>2741</v>
      </c>
      <c r="D1096" s="106"/>
      <c r="E1096" s="107"/>
      <c r="F1096" s="108" t="s">
        <v>12669</v>
      </c>
      <c r="G1096" s="120">
        <v>2</v>
      </c>
      <c r="H1096" s="108" t="s">
        <v>12670</v>
      </c>
      <c r="I1096" s="116">
        <v>1</v>
      </c>
      <c r="J1096" s="111" t="s">
        <v>40</v>
      </c>
      <c r="K1096" s="108" t="s">
        <v>12671</v>
      </c>
      <c r="L1096" s="117">
        <v>2</v>
      </c>
      <c r="M1096" s="113"/>
      <c r="N1096" s="108" t="s">
        <v>12669</v>
      </c>
      <c r="O1096" s="117">
        <v>2</v>
      </c>
      <c r="P1096" s="111" t="s">
        <v>40</v>
      </c>
      <c r="Q1096" s="108" t="s">
        <v>12672</v>
      </c>
      <c r="R1096" s="117">
        <v>2</v>
      </c>
      <c r="S1096" s="113"/>
      <c r="T1096" s="108" t="s">
        <v>47</v>
      </c>
      <c r="U1096" s="114"/>
      <c r="V1096" s="113"/>
      <c r="W1096" s="108" t="s">
        <v>47</v>
      </c>
      <c r="X1096" s="114"/>
      <c r="Y1096" s="113"/>
      <c r="Z1096" s="108" t="s">
        <v>47</v>
      </c>
      <c r="AA1096" s="114"/>
      <c r="AB1096" s="113"/>
      <c r="AC1096" s="105" t="s">
        <v>2747</v>
      </c>
      <c r="AD1096" s="115" t="s">
        <v>107</v>
      </c>
    </row>
    <row r="1097" spans="1:30" x14ac:dyDescent="0.2">
      <c r="A1097" s="104" t="s">
        <v>12673</v>
      </c>
      <c r="B1097" s="105" t="s">
        <v>805</v>
      </c>
      <c r="C1097" s="105" t="s">
        <v>112</v>
      </c>
      <c r="D1097" s="106"/>
      <c r="E1097" s="107"/>
      <c r="F1097" s="108" t="s">
        <v>12674</v>
      </c>
      <c r="G1097" s="109">
        <v>4</v>
      </c>
      <c r="H1097" s="108" t="s">
        <v>12675</v>
      </c>
      <c r="I1097" s="112">
        <v>4</v>
      </c>
      <c r="J1097" s="113"/>
      <c r="K1097" s="108" t="s">
        <v>12676</v>
      </c>
      <c r="L1097" s="112">
        <v>4</v>
      </c>
      <c r="M1097" s="113"/>
      <c r="N1097" s="108" t="s">
        <v>12674</v>
      </c>
      <c r="O1097" s="112">
        <v>4</v>
      </c>
      <c r="P1097" s="113"/>
      <c r="Q1097" s="108" t="s">
        <v>12677</v>
      </c>
      <c r="R1097" s="112">
        <v>4</v>
      </c>
      <c r="S1097" s="111" t="s">
        <v>46</v>
      </c>
      <c r="T1097" s="108" t="s">
        <v>47</v>
      </c>
      <c r="U1097" s="114"/>
      <c r="V1097" s="113"/>
      <c r="W1097" s="108" t="s">
        <v>47</v>
      </c>
      <c r="X1097" s="114"/>
      <c r="Y1097" s="113"/>
      <c r="Z1097" s="108" t="s">
        <v>47</v>
      </c>
      <c r="AA1097" s="114"/>
      <c r="AB1097" s="113"/>
      <c r="AC1097" s="105" t="s">
        <v>2748</v>
      </c>
      <c r="AD1097" s="115" t="s">
        <v>107</v>
      </c>
    </row>
    <row r="1098" spans="1:30" x14ac:dyDescent="0.2">
      <c r="A1098" s="104" t="s">
        <v>12678</v>
      </c>
      <c r="B1098" s="105" t="s">
        <v>805</v>
      </c>
      <c r="C1098" s="105" t="s">
        <v>2741</v>
      </c>
      <c r="D1098" s="106"/>
      <c r="E1098" s="107"/>
      <c r="F1098" s="108" t="s">
        <v>12679</v>
      </c>
      <c r="G1098" s="120">
        <v>2</v>
      </c>
      <c r="H1098" s="108" t="s">
        <v>12680</v>
      </c>
      <c r="I1098" s="116">
        <v>1</v>
      </c>
      <c r="J1098" s="111" t="s">
        <v>53</v>
      </c>
      <c r="K1098" s="108" t="s">
        <v>12681</v>
      </c>
      <c r="L1098" s="117">
        <v>2</v>
      </c>
      <c r="M1098" s="113"/>
      <c r="N1098" s="108" t="s">
        <v>12679</v>
      </c>
      <c r="O1098" s="117">
        <v>2</v>
      </c>
      <c r="P1098" s="111" t="s">
        <v>40</v>
      </c>
      <c r="Q1098" s="108" t="s">
        <v>12682</v>
      </c>
      <c r="R1098" s="117">
        <v>2</v>
      </c>
      <c r="S1098" s="113"/>
      <c r="T1098" s="108" t="s">
        <v>47</v>
      </c>
      <c r="U1098" s="114"/>
      <c r="V1098" s="113"/>
      <c r="W1098" s="108" t="s">
        <v>47</v>
      </c>
      <c r="X1098" s="114"/>
      <c r="Y1098" s="113"/>
      <c r="Z1098" s="108" t="s">
        <v>47</v>
      </c>
      <c r="AA1098" s="114"/>
      <c r="AB1098" s="113"/>
      <c r="AC1098" s="105" t="s">
        <v>2749</v>
      </c>
      <c r="AD1098" s="115" t="s">
        <v>107</v>
      </c>
    </row>
    <row r="1099" spans="1:30" x14ac:dyDescent="0.2">
      <c r="A1099" s="104" t="s">
        <v>12683</v>
      </c>
      <c r="B1099" s="105" t="s">
        <v>805</v>
      </c>
      <c r="C1099" s="105" t="s">
        <v>2741</v>
      </c>
      <c r="D1099" s="106"/>
      <c r="E1099" s="107"/>
      <c r="F1099" s="108" t="s">
        <v>47</v>
      </c>
      <c r="G1099" s="113"/>
      <c r="H1099" s="108" t="s">
        <v>12684</v>
      </c>
      <c r="I1099" s="116">
        <v>1</v>
      </c>
      <c r="J1099" s="113"/>
      <c r="K1099" s="108" t="s">
        <v>47</v>
      </c>
      <c r="L1099" s="114"/>
      <c r="M1099" s="113"/>
      <c r="N1099" s="108" t="s">
        <v>47</v>
      </c>
      <c r="O1099" s="114"/>
      <c r="P1099" s="113"/>
      <c r="Q1099" s="108" t="s">
        <v>47</v>
      </c>
      <c r="R1099" s="114"/>
      <c r="S1099" s="113"/>
      <c r="T1099" s="108" t="s">
        <v>47</v>
      </c>
      <c r="U1099" s="114"/>
      <c r="V1099" s="113"/>
      <c r="W1099" s="108" t="s">
        <v>47</v>
      </c>
      <c r="X1099" s="114"/>
      <c r="Y1099" s="113"/>
      <c r="Z1099" s="108" t="s">
        <v>47</v>
      </c>
      <c r="AA1099" s="114"/>
      <c r="AB1099" s="113"/>
      <c r="AC1099" s="105" t="s">
        <v>12685</v>
      </c>
      <c r="AD1099" s="115" t="s">
        <v>107</v>
      </c>
    </row>
    <row r="1100" spans="1:30" x14ac:dyDescent="0.2">
      <c r="A1100" s="104" t="s">
        <v>12686</v>
      </c>
      <c r="B1100" s="105" t="s">
        <v>805</v>
      </c>
      <c r="C1100" s="105" t="s">
        <v>2741</v>
      </c>
      <c r="D1100" s="106" t="s">
        <v>94</v>
      </c>
      <c r="E1100" s="107"/>
      <c r="F1100" s="108" t="s">
        <v>12687</v>
      </c>
      <c r="G1100" s="120">
        <v>2</v>
      </c>
      <c r="H1100" s="108" t="s">
        <v>12688</v>
      </c>
      <c r="I1100" s="116">
        <v>1</v>
      </c>
      <c r="J1100" s="111" t="s">
        <v>53</v>
      </c>
      <c r="K1100" s="108" t="s">
        <v>12689</v>
      </c>
      <c r="L1100" s="117">
        <v>2</v>
      </c>
      <c r="M1100" s="111" t="s">
        <v>40</v>
      </c>
      <c r="N1100" s="108" t="s">
        <v>12687</v>
      </c>
      <c r="O1100" s="117">
        <v>2</v>
      </c>
      <c r="P1100" s="111" t="s">
        <v>40</v>
      </c>
      <c r="Q1100" s="108" t="s">
        <v>12690</v>
      </c>
      <c r="R1100" s="110">
        <v>3</v>
      </c>
      <c r="S1100" s="113"/>
      <c r="T1100" s="108" t="s">
        <v>12691</v>
      </c>
      <c r="U1100" s="110">
        <v>3</v>
      </c>
      <c r="V1100" s="113"/>
      <c r="W1100" s="108" t="s">
        <v>12692</v>
      </c>
      <c r="X1100" s="110">
        <v>3</v>
      </c>
      <c r="Y1100" s="113"/>
      <c r="Z1100" s="108" t="s">
        <v>12693</v>
      </c>
      <c r="AA1100" s="112">
        <v>4</v>
      </c>
      <c r="AB1100" s="111" t="s">
        <v>55</v>
      </c>
      <c r="AC1100" s="105" t="s">
        <v>2750</v>
      </c>
      <c r="AD1100" s="115" t="s">
        <v>107</v>
      </c>
    </row>
    <row r="1101" spans="1:30" x14ac:dyDescent="0.2">
      <c r="A1101" s="104" t="s">
        <v>12694</v>
      </c>
      <c r="B1101" s="105" t="s">
        <v>805</v>
      </c>
      <c r="C1101" s="105" t="s">
        <v>2741</v>
      </c>
      <c r="D1101" s="106"/>
      <c r="E1101" s="107"/>
      <c r="F1101" s="108" t="s">
        <v>12695</v>
      </c>
      <c r="G1101" s="120">
        <v>2</v>
      </c>
      <c r="H1101" s="108" t="s">
        <v>12696</v>
      </c>
      <c r="I1101" s="116">
        <v>1</v>
      </c>
      <c r="J1101" s="111" t="s">
        <v>53</v>
      </c>
      <c r="K1101" s="108" t="s">
        <v>12697</v>
      </c>
      <c r="L1101" s="117">
        <v>2</v>
      </c>
      <c r="M1101" s="111" t="s">
        <v>40</v>
      </c>
      <c r="N1101" s="108" t="s">
        <v>12695</v>
      </c>
      <c r="O1101" s="117">
        <v>2</v>
      </c>
      <c r="P1101" s="111" t="s">
        <v>40</v>
      </c>
      <c r="Q1101" s="108" t="s">
        <v>12698</v>
      </c>
      <c r="R1101" s="110">
        <v>3</v>
      </c>
      <c r="S1101" s="113"/>
      <c r="T1101" s="108" t="s">
        <v>47</v>
      </c>
      <c r="U1101" s="114"/>
      <c r="V1101" s="113"/>
      <c r="W1101" s="108" t="s">
        <v>47</v>
      </c>
      <c r="X1101" s="114"/>
      <c r="Y1101" s="113"/>
      <c r="Z1101" s="108" t="s">
        <v>47</v>
      </c>
      <c r="AA1101" s="114"/>
      <c r="AB1101" s="113"/>
      <c r="AC1101" s="105" t="s">
        <v>2751</v>
      </c>
      <c r="AD1101" s="115" t="s">
        <v>107</v>
      </c>
    </row>
    <row r="1102" spans="1:30" x14ac:dyDescent="0.2">
      <c r="A1102" s="104" t="s">
        <v>2752</v>
      </c>
      <c r="B1102" s="105" t="s">
        <v>805</v>
      </c>
      <c r="C1102" s="105" t="s">
        <v>51</v>
      </c>
      <c r="D1102" s="106"/>
      <c r="E1102" s="107"/>
      <c r="F1102" s="108" t="s">
        <v>12699</v>
      </c>
      <c r="G1102" s="118">
        <v>3</v>
      </c>
      <c r="H1102" s="108" t="s">
        <v>12700</v>
      </c>
      <c r="I1102" s="117">
        <v>2</v>
      </c>
      <c r="J1102" s="113"/>
      <c r="K1102" s="108" t="s">
        <v>12701</v>
      </c>
      <c r="L1102" s="117">
        <v>2</v>
      </c>
      <c r="M1102" s="111" t="s">
        <v>40</v>
      </c>
      <c r="N1102" s="108" t="s">
        <v>12699</v>
      </c>
      <c r="O1102" s="110">
        <v>3</v>
      </c>
      <c r="P1102" s="113"/>
      <c r="Q1102" s="108" t="s">
        <v>12702</v>
      </c>
      <c r="R1102" s="112">
        <v>4</v>
      </c>
      <c r="S1102" s="113"/>
      <c r="T1102" s="108" t="s">
        <v>47</v>
      </c>
      <c r="U1102" s="114"/>
      <c r="V1102" s="113"/>
      <c r="W1102" s="108" t="s">
        <v>47</v>
      </c>
      <c r="X1102" s="114"/>
      <c r="Y1102" s="113"/>
      <c r="Z1102" s="108" t="s">
        <v>47</v>
      </c>
      <c r="AA1102" s="114"/>
      <c r="AB1102" s="113"/>
      <c r="AC1102" s="105" t="s">
        <v>2753</v>
      </c>
      <c r="AD1102" s="115" t="s">
        <v>107</v>
      </c>
    </row>
    <row r="1103" spans="1:30" x14ac:dyDescent="0.2">
      <c r="A1103" s="104" t="s">
        <v>12703</v>
      </c>
      <c r="B1103" s="105" t="s">
        <v>805</v>
      </c>
      <c r="C1103" s="105" t="s">
        <v>51</v>
      </c>
      <c r="D1103" s="106"/>
      <c r="E1103" s="107"/>
      <c r="F1103" s="108" t="s">
        <v>47</v>
      </c>
      <c r="G1103" s="113"/>
      <c r="H1103" s="108" t="s">
        <v>47</v>
      </c>
      <c r="I1103" s="114"/>
      <c r="J1103" s="113"/>
      <c r="K1103" s="108" t="s">
        <v>47</v>
      </c>
      <c r="L1103" s="114"/>
      <c r="M1103" s="113"/>
      <c r="N1103" s="108" t="s">
        <v>47</v>
      </c>
      <c r="O1103" s="114"/>
      <c r="P1103" s="113"/>
      <c r="Q1103" s="108" t="s">
        <v>47</v>
      </c>
      <c r="R1103" s="114"/>
      <c r="S1103" s="113"/>
      <c r="T1103" s="108" t="s">
        <v>47</v>
      </c>
      <c r="U1103" s="114"/>
      <c r="V1103" s="113"/>
      <c r="W1103" s="108" t="s">
        <v>47</v>
      </c>
      <c r="X1103" s="114"/>
      <c r="Y1103" s="113"/>
      <c r="Z1103" s="108" t="s">
        <v>47</v>
      </c>
      <c r="AA1103" s="114"/>
      <c r="AB1103" s="113"/>
      <c r="AC1103" s="105" t="s">
        <v>12704</v>
      </c>
      <c r="AD1103" s="115" t="s">
        <v>107</v>
      </c>
    </row>
    <row r="1104" spans="1:30" x14ac:dyDescent="0.2">
      <c r="A1104" s="104" t="s">
        <v>2754</v>
      </c>
      <c r="B1104" s="105" t="s">
        <v>805</v>
      </c>
      <c r="C1104" s="105" t="s">
        <v>51</v>
      </c>
      <c r="D1104" s="106"/>
      <c r="E1104" s="107"/>
      <c r="F1104" s="108" t="s">
        <v>47</v>
      </c>
      <c r="G1104" s="113"/>
      <c r="H1104" s="108" t="s">
        <v>47</v>
      </c>
      <c r="I1104" s="114"/>
      <c r="J1104" s="113"/>
      <c r="K1104" s="108" t="s">
        <v>47</v>
      </c>
      <c r="L1104" s="114"/>
      <c r="M1104" s="113"/>
      <c r="N1104" s="108" t="s">
        <v>47</v>
      </c>
      <c r="O1104" s="114"/>
      <c r="P1104" s="113"/>
      <c r="Q1104" s="108" t="s">
        <v>47</v>
      </c>
      <c r="R1104" s="114"/>
      <c r="S1104" s="113"/>
      <c r="T1104" s="108" t="s">
        <v>47</v>
      </c>
      <c r="U1104" s="114"/>
      <c r="V1104" s="113"/>
      <c r="W1104" s="108" t="s">
        <v>47</v>
      </c>
      <c r="X1104" s="114"/>
      <c r="Y1104" s="113"/>
      <c r="Z1104" s="108" t="s">
        <v>47</v>
      </c>
      <c r="AA1104" s="114"/>
      <c r="AB1104" s="113"/>
      <c r="AC1104" s="105" t="s">
        <v>2755</v>
      </c>
      <c r="AD1104" s="115" t="s">
        <v>107</v>
      </c>
    </row>
    <row r="1105" spans="1:30" x14ac:dyDescent="0.2">
      <c r="A1105" s="104" t="s">
        <v>12705</v>
      </c>
      <c r="B1105" s="105" t="s">
        <v>805</v>
      </c>
      <c r="C1105" s="105" t="s">
        <v>2756</v>
      </c>
      <c r="D1105" s="106" t="s">
        <v>105</v>
      </c>
      <c r="E1105" s="107" t="s">
        <v>146</v>
      </c>
      <c r="F1105" s="108" t="s">
        <v>12706</v>
      </c>
      <c r="G1105" s="109">
        <v>4</v>
      </c>
      <c r="H1105" s="108" t="s">
        <v>12707</v>
      </c>
      <c r="I1105" s="112">
        <v>4</v>
      </c>
      <c r="J1105" s="111" t="s">
        <v>46</v>
      </c>
      <c r="K1105" s="108" t="s">
        <v>12708</v>
      </c>
      <c r="L1105" s="112">
        <v>4</v>
      </c>
      <c r="M1105" s="113"/>
      <c r="N1105" s="108" t="s">
        <v>12706</v>
      </c>
      <c r="O1105" s="112">
        <v>4</v>
      </c>
      <c r="P1105" s="113"/>
      <c r="Q1105" s="108" t="s">
        <v>12709</v>
      </c>
      <c r="R1105" s="112">
        <v>4</v>
      </c>
      <c r="S1105" s="113"/>
      <c r="T1105" s="108" t="s">
        <v>12710</v>
      </c>
      <c r="U1105" s="110">
        <v>3</v>
      </c>
      <c r="V1105" s="113"/>
      <c r="W1105" s="108" t="s">
        <v>12711</v>
      </c>
      <c r="X1105" s="112">
        <v>4</v>
      </c>
      <c r="Y1105" s="111" t="s">
        <v>46</v>
      </c>
      <c r="Z1105" s="108" t="s">
        <v>47</v>
      </c>
      <c r="AA1105" s="114"/>
      <c r="AB1105" s="113"/>
      <c r="AC1105" s="105" t="s">
        <v>2757</v>
      </c>
      <c r="AD1105" s="115" t="s">
        <v>107</v>
      </c>
    </row>
    <row r="1106" spans="1:30" x14ac:dyDescent="0.2">
      <c r="A1106" s="104" t="s">
        <v>12712</v>
      </c>
      <c r="B1106" s="105" t="s">
        <v>805</v>
      </c>
      <c r="C1106" s="105" t="s">
        <v>2756</v>
      </c>
      <c r="D1106" s="106"/>
      <c r="E1106" s="107" t="s">
        <v>146</v>
      </c>
      <c r="F1106" s="108" t="s">
        <v>47</v>
      </c>
      <c r="G1106" s="113"/>
      <c r="H1106" s="108" t="s">
        <v>12713</v>
      </c>
      <c r="I1106" s="112">
        <v>4</v>
      </c>
      <c r="J1106" s="111" t="s">
        <v>46</v>
      </c>
      <c r="K1106" s="108" t="s">
        <v>12714</v>
      </c>
      <c r="L1106" s="112">
        <v>4</v>
      </c>
      <c r="M1106" s="113"/>
      <c r="N1106" s="108" t="s">
        <v>47</v>
      </c>
      <c r="O1106" s="114"/>
      <c r="P1106" s="113"/>
      <c r="Q1106" s="108" t="s">
        <v>47</v>
      </c>
      <c r="R1106" s="114"/>
      <c r="S1106" s="113"/>
      <c r="T1106" s="108" t="s">
        <v>47</v>
      </c>
      <c r="U1106" s="114"/>
      <c r="V1106" s="113"/>
      <c r="W1106" s="108" t="s">
        <v>47</v>
      </c>
      <c r="X1106" s="114"/>
      <c r="Y1106" s="113"/>
      <c r="Z1106" s="108" t="s">
        <v>47</v>
      </c>
      <c r="AA1106" s="114"/>
      <c r="AB1106" s="113"/>
      <c r="AC1106" s="105" t="s">
        <v>2758</v>
      </c>
      <c r="AD1106" s="115" t="s">
        <v>107</v>
      </c>
    </row>
    <row r="1107" spans="1:30" x14ac:dyDescent="0.2">
      <c r="A1107" s="104" t="s">
        <v>12715</v>
      </c>
      <c r="B1107" s="105" t="s">
        <v>805</v>
      </c>
      <c r="C1107" s="105" t="s">
        <v>2756</v>
      </c>
      <c r="D1107" s="106" t="s">
        <v>105</v>
      </c>
      <c r="E1107" s="107" t="s">
        <v>146</v>
      </c>
      <c r="F1107" s="108" t="s">
        <v>12716</v>
      </c>
      <c r="G1107" s="109">
        <v>4</v>
      </c>
      <c r="H1107" s="108" t="s">
        <v>12717</v>
      </c>
      <c r="I1107" s="112">
        <v>4</v>
      </c>
      <c r="J1107" s="111" t="s">
        <v>46</v>
      </c>
      <c r="K1107" s="108" t="s">
        <v>12718</v>
      </c>
      <c r="L1107" s="112">
        <v>4</v>
      </c>
      <c r="M1107" s="113"/>
      <c r="N1107" s="108" t="s">
        <v>12716</v>
      </c>
      <c r="O1107" s="112">
        <v>4</v>
      </c>
      <c r="P1107" s="113"/>
      <c r="Q1107" s="108" t="s">
        <v>12719</v>
      </c>
      <c r="R1107" s="112">
        <v>4</v>
      </c>
      <c r="S1107" s="113"/>
      <c r="T1107" s="108" t="s">
        <v>12720</v>
      </c>
      <c r="U1107" s="110">
        <v>3</v>
      </c>
      <c r="V1107" s="113"/>
      <c r="W1107" s="108" t="s">
        <v>12721</v>
      </c>
      <c r="X1107" s="110">
        <v>3</v>
      </c>
      <c r="Y1107" s="113"/>
      <c r="Z1107" s="108" t="s">
        <v>12722</v>
      </c>
      <c r="AA1107" s="112">
        <v>4</v>
      </c>
      <c r="AB1107" s="111" t="s">
        <v>46</v>
      </c>
      <c r="AC1107" s="105" t="s">
        <v>2759</v>
      </c>
      <c r="AD1107" s="115" t="s">
        <v>107</v>
      </c>
    </row>
    <row r="1108" spans="1:30" x14ac:dyDescent="0.2">
      <c r="A1108" s="104" t="s">
        <v>12723</v>
      </c>
      <c r="B1108" s="105" t="s">
        <v>805</v>
      </c>
      <c r="C1108" s="105" t="s">
        <v>2756</v>
      </c>
      <c r="D1108" s="106" t="s">
        <v>105</v>
      </c>
      <c r="E1108" s="107" t="s">
        <v>146</v>
      </c>
      <c r="F1108" s="108" t="s">
        <v>12724</v>
      </c>
      <c r="G1108" s="109">
        <v>4</v>
      </c>
      <c r="H1108" s="108" t="s">
        <v>12725</v>
      </c>
      <c r="I1108" s="112">
        <v>4</v>
      </c>
      <c r="J1108" s="111" t="s">
        <v>46</v>
      </c>
      <c r="K1108" s="108" t="s">
        <v>12726</v>
      </c>
      <c r="L1108" s="112">
        <v>4</v>
      </c>
      <c r="M1108" s="113"/>
      <c r="N1108" s="108" t="s">
        <v>12724</v>
      </c>
      <c r="O1108" s="112">
        <v>4</v>
      </c>
      <c r="P1108" s="113"/>
      <c r="Q1108" s="108" t="s">
        <v>12727</v>
      </c>
      <c r="R1108" s="112">
        <v>4</v>
      </c>
      <c r="S1108" s="113"/>
      <c r="T1108" s="108" t="s">
        <v>12728</v>
      </c>
      <c r="U1108" s="110">
        <v>3</v>
      </c>
      <c r="V1108" s="113"/>
      <c r="W1108" s="108" t="s">
        <v>12729</v>
      </c>
      <c r="X1108" s="110">
        <v>3</v>
      </c>
      <c r="Y1108" s="113"/>
      <c r="Z1108" s="108" t="s">
        <v>47</v>
      </c>
      <c r="AA1108" s="114"/>
      <c r="AB1108" s="113"/>
      <c r="AC1108" s="105" t="s">
        <v>2760</v>
      </c>
      <c r="AD1108" s="115" t="s">
        <v>107</v>
      </c>
    </row>
    <row r="1109" spans="1:30" x14ac:dyDescent="0.2">
      <c r="A1109" s="104" t="s">
        <v>12730</v>
      </c>
      <c r="B1109" s="105" t="s">
        <v>805</v>
      </c>
      <c r="C1109" s="105" t="s">
        <v>2756</v>
      </c>
      <c r="D1109" s="106" t="s">
        <v>105</v>
      </c>
      <c r="E1109" s="107" t="s">
        <v>146</v>
      </c>
      <c r="F1109" s="108" t="s">
        <v>12731</v>
      </c>
      <c r="G1109" s="109">
        <v>4</v>
      </c>
      <c r="H1109" s="108" t="s">
        <v>12732</v>
      </c>
      <c r="I1109" s="112">
        <v>4</v>
      </c>
      <c r="J1109" s="111" t="s">
        <v>46</v>
      </c>
      <c r="K1109" s="108" t="s">
        <v>12733</v>
      </c>
      <c r="L1109" s="112">
        <v>4</v>
      </c>
      <c r="M1109" s="113"/>
      <c r="N1109" s="108" t="s">
        <v>12731</v>
      </c>
      <c r="O1109" s="112">
        <v>4</v>
      </c>
      <c r="P1109" s="113"/>
      <c r="Q1109" s="108" t="s">
        <v>12734</v>
      </c>
      <c r="R1109" s="112">
        <v>4</v>
      </c>
      <c r="S1109" s="113"/>
      <c r="T1109" s="108" t="s">
        <v>12735</v>
      </c>
      <c r="U1109" s="112">
        <v>4</v>
      </c>
      <c r="V1109" s="113"/>
      <c r="W1109" s="108" t="s">
        <v>12736</v>
      </c>
      <c r="X1109" s="112">
        <v>4</v>
      </c>
      <c r="Y1109" s="113"/>
      <c r="Z1109" s="108" t="s">
        <v>47</v>
      </c>
      <c r="AA1109" s="114"/>
      <c r="AB1109" s="113"/>
      <c r="AC1109" s="105" t="s">
        <v>2761</v>
      </c>
      <c r="AD1109" s="115" t="s">
        <v>107</v>
      </c>
    </row>
    <row r="1110" spans="1:30" x14ac:dyDescent="0.2">
      <c r="A1110" s="104" t="s">
        <v>12737</v>
      </c>
      <c r="B1110" s="105" t="s">
        <v>805</v>
      </c>
      <c r="C1110" s="105" t="s">
        <v>2756</v>
      </c>
      <c r="D1110" s="106" t="s">
        <v>125</v>
      </c>
      <c r="E1110" s="107" t="s">
        <v>146</v>
      </c>
      <c r="F1110" s="108" t="s">
        <v>12738</v>
      </c>
      <c r="G1110" s="109">
        <v>4</v>
      </c>
      <c r="H1110" s="108" t="s">
        <v>12739</v>
      </c>
      <c r="I1110" s="112">
        <v>4</v>
      </c>
      <c r="J1110" s="111" t="s">
        <v>46</v>
      </c>
      <c r="K1110" s="108" t="s">
        <v>12740</v>
      </c>
      <c r="L1110" s="112">
        <v>4</v>
      </c>
      <c r="M1110" s="113"/>
      <c r="N1110" s="108" t="s">
        <v>12738</v>
      </c>
      <c r="O1110" s="112">
        <v>4</v>
      </c>
      <c r="P1110" s="113"/>
      <c r="Q1110" s="108" t="s">
        <v>12741</v>
      </c>
      <c r="R1110" s="112">
        <v>4</v>
      </c>
      <c r="S1110" s="113"/>
      <c r="T1110" s="108" t="s">
        <v>12742</v>
      </c>
      <c r="U1110" s="110">
        <v>3</v>
      </c>
      <c r="V1110" s="113"/>
      <c r="W1110" s="108" t="s">
        <v>12743</v>
      </c>
      <c r="X1110" s="110">
        <v>3</v>
      </c>
      <c r="Y1110" s="113"/>
      <c r="Z1110" s="108" t="s">
        <v>47</v>
      </c>
      <c r="AA1110" s="114"/>
      <c r="AB1110" s="113"/>
      <c r="AC1110" s="105" t="s">
        <v>2762</v>
      </c>
      <c r="AD1110" s="115" t="s">
        <v>107</v>
      </c>
    </row>
    <row r="1111" spans="1:30" x14ac:dyDescent="0.2">
      <c r="A1111" s="104" t="s">
        <v>12744</v>
      </c>
      <c r="B1111" s="105" t="s">
        <v>805</v>
      </c>
      <c r="C1111" s="105" t="s">
        <v>2756</v>
      </c>
      <c r="D1111" s="106" t="s">
        <v>125</v>
      </c>
      <c r="E1111" s="107" t="s">
        <v>146</v>
      </c>
      <c r="F1111" s="108" t="s">
        <v>12745</v>
      </c>
      <c r="G1111" s="109">
        <v>4</v>
      </c>
      <c r="H1111" s="108" t="s">
        <v>12746</v>
      </c>
      <c r="I1111" s="112">
        <v>4</v>
      </c>
      <c r="J1111" s="111" t="s">
        <v>46</v>
      </c>
      <c r="K1111" s="108" t="s">
        <v>12747</v>
      </c>
      <c r="L1111" s="112">
        <v>4</v>
      </c>
      <c r="M1111" s="113"/>
      <c r="N1111" s="108" t="s">
        <v>12745</v>
      </c>
      <c r="O1111" s="112">
        <v>4</v>
      </c>
      <c r="P1111" s="113"/>
      <c r="Q1111" s="108" t="s">
        <v>12748</v>
      </c>
      <c r="R1111" s="112">
        <v>4</v>
      </c>
      <c r="S1111" s="113"/>
      <c r="T1111" s="108" t="s">
        <v>12749</v>
      </c>
      <c r="U1111" s="110">
        <v>3</v>
      </c>
      <c r="V1111" s="113"/>
      <c r="W1111" s="108" t="s">
        <v>12750</v>
      </c>
      <c r="X1111" s="110">
        <v>3</v>
      </c>
      <c r="Y1111" s="113"/>
      <c r="Z1111" s="108" t="s">
        <v>47</v>
      </c>
      <c r="AA1111" s="114"/>
      <c r="AB1111" s="113"/>
      <c r="AC1111" s="105" t="s">
        <v>2763</v>
      </c>
      <c r="AD1111" s="115" t="s">
        <v>107</v>
      </c>
    </row>
    <row r="1112" spans="1:30" x14ac:dyDescent="0.2">
      <c r="A1112" s="104" t="s">
        <v>12751</v>
      </c>
      <c r="B1112" s="105" t="s">
        <v>805</v>
      </c>
      <c r="C1112" s="105" t="s">
        <v>2756</v>
      </c>
      <c r="D1112" s="106" t="s">
        <v>125</v>
      </c>
      <c r="E1112" s="107" t="s">
        <v>146</v>
      </c>
      <c r="F1112" s="108" t="s">
        <v>12752</v>
      </c>
      <c r="G1112" s="109">
        <v>4</v>
      </c>
      <c r="H1112" s="108" t="s">
        <v>12753</v>
      </c>
      <c r="I1112" s="112">
        <v>4</v>
      </c>
      <c r="J1112" s="111" t="s">
        <v>46</v>
      </c>
      <c r="K1112" s="108" t="s">
        <v>12754</v>
      </c>
      <c r="L1112" s="112">
        <v>4</v>
      </c>
      <c r="M1112" s="113"/>
      <c r="N1112" s="108" t="s">
        <v>12752</v>
      </c>
      <c r="O1112" s="112">
        <v>4</v>
      </c>
      <c r="P1112" s="113"/>
      <c r="Q1112" s="108" t="s">
        <v>12755</v>
      </c>
      <c r="R1112" s="112">
        <v>4</v>
      </c>
      <c r="S1112" s="113"/>
      <c r="T1112" s="108" t="s">
        <v>12756</v>
      </c>
      <c r="U1112" s="110">
        <v>3</v>
      </c>
      <c r="V1112" s="113"/>
      <c r="W1112" s="108" t="s">
        <v>12757</v>
      </c>
      <c r="X1112" s="110">
        <v>3</v>
      </c>
      <c r="Y1112" s="113"/>
      <c r="Z1112" s="108" t="s">
        <v>47</v>
      </c>
      <c r="AA1112" s="114"/>
      <c r="AB1112" s="113"/>
      <c r="AC1112" s="105" t="s">
        <v>2764</v>
      </c>
      <c r="AD1112" s="115" t="s">
        <v>107</v>
      </c>
    </row>
    <row r="1113" spans="1:30" x14ac:dyDescent="0.2">
      <c r="A1113" s="104" t="s">
        <v>2765</v>
      </c>
      <c r="B1113" s="105" t="s">
        <v>805</v>
      </c>
      <c r="C1113" s="105" t="s">
        <v>2756</v>
      </c>
      <c r="D1113" s="106" t="s">
        <v>125</v>
      </c>
      <c r="E1113" s="107" t="s">
        <v>146</v>
      </c>
      <c r="F1113" s="108" t="s">
        <v>12758</v>
      </c>
      <c r="G1113" s="120">
        <v>2</v>
      </c>
      <c r="H1113" s="108" t="s">
        <v>12759</v>
      </c>
      <c r="I1113" s="110">
        <v>3</v>
      </c>
      <c r="J1113" s="111" t="s">
        <v>46</v>
      </c>
      <c r="K1113" s="108" t="s">
        <v>12760</v>
      </c>
      <c r="L1113" s="117">
        <v>2</v>
      </c>
      <c r="M1113" s="113"/>
      <c r="N1113" s="108" t="s">
        <v>12758</v>
      </c>
      <c r="O1113" s="117">
        <v>2</v>
      </c>
      <c r="P1113" s="113"/>
      <c r="Q1113" s="108" t="s">
        <v>12761</v>
      </c>
      <c r="R1113" s="110">
        <v>3</v>
      </c>
      <c r="S1113" s="113"/>
      <c r="T1113" s="108" t="s">
        <v>12762</v>
      </c>
      <c r="U1113" s="117">
        <v>2</v>
      </c>
      <c r="V1113" s="113"/>
      <c r="W1113" s="108" t="s">
        <v>12763</v>
      </c>
      <c r="X1113" s="117">
        <v>2</v>
      </c>
      <c r="Y1113" s="113"/>
      <c r="Z1113" s="108" t="s">
        <v>12764</v>
      </c>
      <c r="AA1113" s="110">
        <v>3</v>
      </c>
      <c r="AB1113" s="111" t="s">
        <v>46</v>
      </c>
      <c r="AC1113" s="105" t="s">
        <v>2766</v>
      </c>
      <c r="AD1113" s="115" t="s">
        <v>107</v>
      </c>
    </row>
    <row r="1114" spans="1:30" x14ac:dyDescent="0.2">
      <c r="A1114" s="104" t="s">
        <v>2767</v>
      </c>
      <c r="B1114" s="105" t="s">
        <v>805</v>
      </c>
      <c r="C1114" s="105" t="s">
        <v>2756</v>
      </c>
      <c r="D1114" s="106" t="s">
        <v>125</v>
      </c>
      <c r="E1114" s="107" t="s">
        <v>146</v>
      </c>
      <c r="F1114" s="108" t="s">
        <v>12765</v>
      </c>
      <c r="G1114" s="120">
        <v>2</v>
      </c>
      <c r="H1114" s="108" t="s">
        <v>12766</v>
      </c>
      <c r="I1114" s="110">
        <v>3</v>
      </c>
      <c r="J1114" s="111" t="s">
        <v>46</v>
      </c>
      <c r="K1114" s="108" t="s">
        <v>12767</v>
      </c>
      <c r="L1114" s="117">
        <v>2</v>
      </c>
      <c r="M1114" s="113"/>
      <c r="N1114" s="108" t="s">
        <v>12765</v>
      </c>
      <c r="O1114" s="117">
        <v>2</v>
      </c>
      <c r="P1114" s="113"/>
      <c r="Q1114" s="108" t="s">
        <v>12768</v>
      </c>
      <c r="R1114" s="110">
        <v>3</v>
      </c>
      <c r="S1114" s="113"/>
      <c r="T1114" s="108" t="s">
        <v>12769</v>
      </c>
      <c r="U1114" s="110">
        <v>3</v>
      </c>
      <c r="V1114" s="113"/>
      <c r="W1114" s="108" t="s">
        <v>12770</v>
      </c>
      <c r="X1114" s="117">
        <v>2</v>
      </c>
      <c r="Y1114" s="113"/>
      <c r="Z1114" s="108" t="s">
        <v>47</v>
      </c>
      <c r="AA1114" s="114"/>
      <c r="AB1114" s="113"/>
      <c r="AC1114" s="105" t="s">
        <v>2768</v>
      </c>
      <c r="AD1114" s="115" t="s">
        <v>107</v>
      </c>
    </row>
    <row r="1115" spans="1:30" x14ac:dyDescent="0.2">
      <c r="A1115" s="104" t="s">
        <v>2769</v>
      </c>
      <c r="B1115" s="105" t="s">
        <v>805</v>
      </c>
      <c r="C1115" s="105" t="s">
        <v>2756</v>
      </c>
      <c r="D1115" s="106" t="s">
        <v>125</v>
      </c>
      <c r="E1115" s="107" t="s">
        <v>146</v>
      </c>
      <c r="F1115" s="108" t="s">
        <v>12771</v>
      </c>
      <c r="G1115" s="120">
        <v>2</v>
      </c>
      <c r="H1115" s="108" t="s">
        <v>12772</v>
      </c>
      <c r="I1115" s="110">
        <v>3</v>
      </c>
      <c r="J1115" s="111" t="s">
        <v>46</v>
      </c>
      <c r="K1115" s="108" t="s">
        <v>12773</v>
      </c>
      <c r="L1115" s="117">
        <v>2</v>
      </c>
      <c r="M1115" s="113"/>
      <c r="N1115" s="108" t="s">
        <v>12771</v>
      </c>
      <c r="O1115" s="117">
        <v>2</v>
      </c>
      <c r="P1115" s="113"/>
      <c r="Q1115" s="108" t="s">
        <v>12774</v>
      </c>
      <c r="R1115" s="110">
        <v>3</v>
      </c>
      <c r="S1115" s="113"/>
      <c r="T1115" s="108" t="s">
        <v>12775</v>
      </c>
      <c r="U1115" s="110">
        <v>3</v>
      </c>
      <c r="V1115" s="113"/>
      <c r="W1115" s="108" t="s">
        <v>12776</v>
      </c>
      <c r="X1115" s="117">
        <v>2</v>
      </c>
      <c r="Y1115" s="113"/>
      <c r="Z1115" s="108" t="s">
        <v>47</v>
      </c>
      <c r="AA1115" s="114"/>
      <c r="AB1115" s="113"/>
      <c r="AC1115" s="105" t="s">
        <v>2770</v>
      </c>
      <c r="AD1115" s="115" t="s">
        <v>107</v>
      </c>
    </row>
    <row r="1116" spans="1:30" x14ac:dyDescent="0.2">
      <c r="A1116" s="104" t="s">
        <v>2771</v>
      </c>
      <c r="B1116" s="105" t="s">
        <v>805</v>
      </c>
      <c r="C1116" s="105" t="s">
        <v>2756</v>
      </c>
      <c r="D1116" s="106" t="s">
        <v>125</v>
      </c>
      <c r="E1116" s="107" t="s">
        <v>146</v>
      </c>
      <c r="F1116" s="108" t="s">
        <v>12777</v>
      </c>
      <c r="G1116" s="120">
        <v>2</v>
      </c>
      <c r="H1116" s="108" t="s">
        <v>12778</v>
      </c>
      <c r="I1116" s="110">
        <v>3</v>
      </c>
      <c r="J1116" s="111" t="s">
        <v>46</v>
      </c>
      <c r="K1116" s="108" t="s">
        <v>12779</v>
      </c>
      <c r="L1116" s="117">
        <v>2</v>
      </c>
      <c r="M1116" s="113"/>
      <c r="N1116" s="108" t="s">
        <v>12777</v>
      </c>
      <c r="O1116" s="117">
        <v>2</v>
      </c>
      <c r="P1116" s="113"/>
      <c r="Q1116" s="108" t="s">
        <v>12780</v>
      </c>
      <c r="R1116" s="110">
        <v>3</v>
      </c>
      <c r="S1116" s="113"/>
      <c r="T1116" s="108" t="s">
        <v>12781</v>
      </c>
      <c r="U1116" s="110">
        <v>3</v>
      </c>
      <c r="V1116" s="113"/>
      <c r="W1116" s="108" t="s">
        <v>12782</v>
      </c>
      <c r="X1116" s="117">
        <v>2</v>
      </c>
      <c r="Y1116" s="113"/>
      <c r="Z1116" s="108" t="s">
        <v>12783</v>
      </c>
      <c r="AA1116" s="110">
        <v>3</v>
      </c>
      <c r="AB1116" s="113"/>
      <c r="AC1116" s="105" t="s">
        <v>2772</v>
      </c>
      <c r="AD1116" s="115" t="s">
        <v>107</v>
      </c>
    </row>
    <row r="1117" spans="1:30" x14ac:dyDescent="0.2">
      <c r="A1117" s="104" t="s">
        <v>2773</v>
      </c>
      <c r="B1117" s="105" t="s">
        <v>805</v>
      </c>
      <c r="C1117" s="105" t="s">
        <v>2756</v>
      </c>
      <c r="D1117" s="106" t="s">
        <v>125</v>
      </c>
      <c r="E1117" s="107" t="s">
        <v>146</v>
      </c>
      <c r="F1117" s="108" t="s">
        <v>12784</v>
      </c>
      <c r="G1117" s="120">
        <v>2</v>
      </c>
      <c r="H1117" s="108" t="s">
        <v>12785</v>
      </c>
      <c r="I1117" s="110">
        <v>3</v>
      </c>
      <c r="J1117" s="111" t="s">
        <v>46</v>
      </c>
      <c r="K1117" s="108" t="s">
        <v>12786</v>
      </c>
      <c r="L1117" s="117">
        <v>2</v>
      </c>
      <c r="M1117" s="113"/>
      <c r="N1117" s="108" t="s">
        <v>12784</v>
      </c>
      <c r="O1117" s="117">
        <v>2</v>
      </c>
      <c r="P1117" s="113"/>
      <c r="Q1117" s="108" t="s">
        <v>12787</v>
      </c>
      <c r="R1117" s="110">
        <v>3</v>
      </c>
      <c r="S1117" s="113"/>
      <c r="T1117" s="108" t="s">
        <v>12788</v>
      </c>
      <c r="U1117" s="110">
        <v>3</v>
      </c>
      <c r="V1117" s="113"/>
      <c r="W1117" s="108" t="s">
        <v>12789</v>
      </c>
      <c r="X1117" s="117">
        <v>2</v>
      </c>
      <c r="Y1117" s="113"/>
      <c r="Z1117" s="108" t="s">
        <v>12790</v>
      </c>
      <c r="AA1117" s="110">
        <v>3</v>
      </c>
      <c r="AB1117" s="113"/>
      <c r="AC1117" s="105" t="s">
        <v>2774</v>
      </c>
      <c r="AD1117" s="115" t="s">
        <v>107</v>
      </c>
    </row>
    <row r="1118" spans="1:30" x14ac:dyDescent="0.2">
      <c r="A1118" s="104" t="s">
        <v>2775</v>
      </c>
      <c r="B1118" s="105" t="s">
        <v>805</v>
      </c>
      <c r="C1118" s="105" t="s">
        <v>2756</v>
      </c>
      <c r="D1118" s="106" t="s">
        <v>125</v>
      </c>
      <c r="E1118" s="107" t="s">
        <v>146</v>
      </c>
      <c r="F1118" s="108" t="s">
        <v>12791</v>
      </c>
      <c r="G1118" s="120">
        <v>2</v>
      </c>
      <c r="H1118" s="108" t="s">
        <v>12792</v>
      </c>
      <c r="I1118" s="110">
        <v>3</v>
      </c>
      <c r="J1118" s="113"/>
      <c r="K1118" s="108" t="s">
        <v>12793</v>
      </c>
      <c r="L1118" s="117">
        <v>2</v>
      </c>
      <c r="M1118" s="113"/>
      <c r="N1118" s="108" t="s">
        <v>12791</v>
      </c>
      <c r="O1118" s="117">
        <v>2</v>
      </c>
      <c r="P1118" s="113"/>
      <c r="Q1118" s="108" t="s">
        <v>12794</v>
      </c>
      <c r="R1118" s="110">
        <v>3</v>
      </c>
      <c r="S1118" s="113"/>
      <c r="T1118" s="108" t="s">
        <v>12795</v>
      </c>
      <c r="U1118" s="110">
        <v>3</v>
      </c>
      <c r="V1118" s="113"/>
      <c r="W1118" s="108" t="s">
        <v>12796</v>
      </c>
      <c r="X1118" s="110">
        <v>3</v>
      </c>
      <c r="Y1118" s="113"/>
      <c r="Z1118" s="108" t="s">
        <v>47</v>
      </c>
      <c r="AA1118" s="114"/>
      <c r="AB1118" s="113"/>
      <c r="AC1118" s="105" t="s">
        <v>2776</v>
      </c>
      <c r="AD1118" s="115" t="s">
        <v>107</v>
      </c>
    </row>
    <row r="1119" spans="1:30" x14ac:dyDescent="0.2">
      <c r="A1119" s="104" t="s">
        <v>12797</v>
      </c>
      <c r="B1119" s="105" t="s">
        <v>805</v>
      </c>
      <c r="C1119" s="105" t="s">
        <v>2756</v>
      </c>
      <c r="D1119" s="106" t="s">
        <v>94</v>
      </c>
      <c r="E1119" s="107" t="s">
        <v>146</v>
      </c>
      <c r="F1119" s="108" t="s">
        <v>12798</v>
      </c>
      <c r="G1119" s="119">
        <v>1</v>
      </c>
      <c r="H1119" s="108" t="s">
        <v>12799</v>
      </c>
      <c r="I1119" s="117">
        <v>2</v>
      </c>
      <c r="J1119" s="113"/>
      <c r="K1119" s="108" t="s">
        <v>12800</v>
      </c>
      <c r="L1119" s="117">
        <v>2</v>
      </c>
      <c r="M1119" s="111" t="s">
        <v>46</v>
      </c>
      <c r="N1119" s="108" t="s">
        <v>12798</v>
      </c>
      <c r="O1119" s="116">
        <v>1</v>
      </c>
      <c r="P1119" s="113"/>
      <c r="Q1119" s="108" t="s">
        <v>12801</v>
      </c>
      <c r="R1119" s="117">
        <v>2</v>
      </c>
      <c r="S1119" s="111" t="s">
        <v>40</v>
      </c>
      <c r="T1119" s="108" t="s">
        <v>12802</v>
      </c>
      <c r="U1119" s="116">
        <v>1</v>
      </c>
      <c r="V1119" s="113"/>
      <c r="W1119" s="108" t="s">
        <v>12803</v>
      </c>
      <c r="X1119" s="116">
        <v>1</v>
      </c>
      <c r="Y1119" s="113"/>
      <c r="Z1119" s="108" t="s">
        <v>12804</v>
      </c>
      <c r="AA1119" s="117">
        <v>2</v>
      </c>
      <c r="AB1119" s="113"/>
      <c r="AC1119" s="105" t="s">
        <v>12805</v>
      </c>
      <c r="AD1119" s="115" t="s">
        <v>107</v>
      </c>
    </row>
    <row r="1120" spans="1:30" x14ac:dyDescent="0.2">
      <c r="A1120" s="104" t="s">
        <v>2777</v>
      </c>
      <c r="B1120" s="105" t="s">
        <v>805</v>
      </c>
      <c r="C1120" s="105" t="s">
        <v>2756</v>
      </c>
      <c r="D1120" s="106" t="s">
        <v>125</v>
      </c>
      <c r="E1120" s="107" t="s">
        <v>146</v>
      </c>
      <c r="F1120" s="108" t="s">
        <v>2778</v>
      </c>
      <c r="G1120" s="120">
        <v>2</v>
      </c>
      <c r="H1120" s="108" t="s">
        <v>12806</v>
      </c>
      <c r="I1120" s="110">
        <v>3</v>
      </c>
      <c r="J1120" s="111" t="s">
        <v>46</v>
      </c>
      <c r="K1120" s="108" t="s">
        <v>12807</v>
      </c>
      <c r="L1120" s="117">
        <v>2</v>
      </c>
      <c r="M1120" s="113"/>
      <c r="N1120" s="108" t="s">
        <v>2778</v>
      </c>
      <c r="O1120" s="117">
        <v>2</v>
      </c>
      <c r="P1120" s="111" t="s">
        <v>46</v>
      </c>
      <c r="Q1120" s="108" t="s">
        <v>12808</v>
      </c>
      <c r="R1120" s="110">
        <v>3</v>
      </c>
      <c r="S1120" s="113"/>
      <c r="T1120" s="108" t="s">
        <v>12809</v>
      </c>
      <c r="U1120" s="117">
        <v>2</v>
      </c>
      <c r="V1120" s="113"/>
      <c r="W1120" s="108" t="s">
        <v>12810</v>
      </c>
      <c r="X1120" s="117">
        <v>2</v>
      </c>
      <c r="Y1120" s="113"/>
      <c r="Z1120" s="108" t="s">
        <v>12811</v>
      </c>
      <c r="AA1120" s="110">
        <v>3</v>
      </c>
      <c r="AB1120" s="111" t="s">
        <v>46</v>
      </c>
      <c r="AC1120" s="105" t="s">
        <v>2779</v>
      </c>
      <c r="AD1120" s="115" t="s">
        <v>107</v>
      </c>
    </row>
    <row r="1121" spans="1:30" x14ac:dyDescent="0.2">
      <c r="A1121" s="104" t="s">
        <v>2780</v>
      </c>
      <c r="B1121" s="105" t="s">
        <v>805</v>
      </c>
      <c r="C1121" s="105" t="s">
        <v>2756</v>
      </c>
      <c r="D1121" s="106"/>
      <c r="E1121" s="107" t="s">
        <v>146</v>
      </c>
      <c r="F1121" s="108" t="s">
        <v>47</v>
      </c>
      <c r="G1121" s="113"/>
      <c r="H1121" s="108" t="s">
        <v>47</v>
      </c>
      <c r="I1121" s="114"/>
      <c r="J1121" s="113"/>
      <c r="K1121" s="108" t="s">
        <v>47</v>
      </c>
      <c r="L1121" s="114"/>
      <c r="M1121" s="113"/>
      <c r="N1121" s="108" t="s">
        <v>47</v>
      </c>
      <c r="O1121" s="114"/>
      <c r="P1121" s="113"/>
      <c r="Q1121" s="108" t="s">
        <v>47</v>
      </c>
      <c r="R1121" s="114"/>
      <c r="S1121" s="113"/>
      <c r="T1121" s="108" t="s">
        <v>47</v>
      </c>
      <c r="U1121" s="114"/>
      <c r="V1121" s="113"/>
      <c r="W1121" s="108" t="s">
        <v>47</v>
      </c>
      <c r="X1121" s="114"/>
      <c r="Y1121" s="113"/>
      <c r="Z1121" s="108" t="s">
        <v>47</v>
      </c>
      <c r="AA1121" s="114"/>
      <c r="AB1121" s="113"/>
      <c r="AC1121" s="105" t="s">
        <v>2781</v>
      </c>
      <c r="AD1121" s="115" t="s">
        <v>107</v>
      </c>
    </row>
    <row r="1122" spans="1:30" x14ac:dyDescent="0.2">
      <c r="A1122" s="104" t="s">
        <v>2782</v>
      </c>
      <c r="B1122" s="105" t="s">
        <v>805</v>
      </c>
      <c r="C1122" s="105" t="s">
        <v>2756</v>
      </c>
      <c r="D1122" s="106" t="s">
        <v>94</v>
      </c>
      <c r="E1122" s="107" t="s">
        <v>146</v>
      </c>
      <c r="F1122" s="108" t="s">
        <v>12812</v>
      </c>
      <c r="G1122" s="120">
        <v>2</v>
      </c>
      <c r="H1122" s="108" t="s">
        <v>12813</v>
      </c>
      <c r="I1122" s="110">
        <v>3</v>
      </c>
      <c r="J1122" s="111" t="s">
        <v>46</v>
      </c>
      <c r="K1122" s="108" t="s">
        <v>12814</v>
      </c>
      <c r="L1122" s="117">
        <v>2</v>
      </c>
      <c r="M1122" s="113"/>
      <c r="N1122" s="108" t="s">
        <v>12812</v>
      </c>
      <c r="O1122" s="117">
        <v>2</v>
      </c>
      <c r="P1122" s="111" t="s">
        <v>46</v>
      </c>
      <c r="Q1122" s="108" t="s">
        <v>12815</v>
      </c>
      <c r="R1122" s="117">
        <v>2</v>
      </c>
      <c r="S1122" s="111" t="s">
        <v>40</v>
      </c>
      <c r="T1122" s="108" t="s">
        <v>12816</v>
      </c>
      <c r="U1122" s="117">
        <v>2</v>
      </c>
      <c r="V1122" s="113"/>
      <c r="W1122" s="108" t="s">
        <v>12817</v>
      </c>
      <c r="X1122" s="117">
        <v>2</v>
      </c>
      <c r="Y1122" s="113"/>
      <c r="Z1122" s="108" t="s">
        <v>12818</v>
      </c>
      <c r="AA1122" s="110">
        <v>3</v>
      </c>
      <c r="AB1122" s="113"/>
      <c r="AC1122" s="105" t="s">
        <v>2783</v>
      </c>
      <c r="AD1122" s="115" t="s">
        <v>107</v>
      </c>
    </row>
    <row r="1123" spans="1:30" x14ac:dyDescent="0.2">
      <c r="A1123" s="104" t="s">
        <v>2784</v>
      </c>
      <c r="B1123" s="105" t="s">
        <v>805</v>
      </c>
      <c r="C1123" s="105" t="s">
        <v>2756</v>
      </c>
      <c r="D1123" s="106" t="s">
        <v>125</v>
      </c>
      <c r="E1123" s="107" t="s">
        <v>146</v>
      </c>
      <c r="F1123" s="108" t="s">
        <v>12819</v>
      </c>
      <c r="G1123" s="120">
        <v>2</v>
      </c>
      <c r="H1123" s="108" t="s">
        <v>12820</v>
      </c>
      <c r="I1123" s="110">
        <v>3</v>
      </c>
      <c r="J1123" s="111" t="s">
        <v>46</v>
      </c>
      <c r="K1123" s="108" t="s">
        <v>12821</v>
      </c>
      <c r="L1123" s="117">
        <v>2</v>
      </c>
      <c r="M1123" s="113"/>
      <c r="N1123" s="108" t="s">
        <v>12819</v>
      </c>
      <c r="O1123" s="117">
        <v>2</v>
      </c>
      <c r="P1123" s="113"/>
      <c r="Q1123" s="108" t="s">
        <v>12822</v>
      </c>
      <c r="R1123" s="110">
        <v>3</v>
      </c>
      <c r="S1123" s="113"/>
      <c r="T1123" s="108" t="s">
        <v>12823</v>
      </c>
      <c r="U1123" s="110">
        <v>3</v>
      </c>
      <c r="V1123" s="113"/>
      <c r="W1123" s="108" t="s">
        <v>12824</v>
      </c>
      <c r="X1123" s="110">
        <v>3</v>
      </c>
      <c r="Y1123" s="113"/>
      <c r="Z1123" s="108" t="s">
        <v>12825</v>
      </c>
      <c r="AA1123" s="110">
        <v>3</v>
      </c>
      <c r="AB1123" s="113"/>
      <c r="AC1123" s="105" t="s">
        <v>2785</v>
      </c>
      <c r="AD1123" s="115" t="s">
        <v>107</v>
      </c>
    </row>
    <row r="1124" spans="1:30" x14ac:dyDescent="0.2">
      <c r="A1124" s="104" t="s">
        <v>2786</v>
      </c>
      <c r="B1124" s="105" t="s">
        <v>805</v>
      </c>
      <c r="C1124" s="105" t="s">
        <v>2787</v>
      </c>
      <c r="D1124" s="106"/>
      <c r="E1124" s="107"/>
      <c r="F1124" s="108" t="s">
        <v>12826</v>
      </c>
      <c r="G1124" s="118">
        <v>3</v>
      </c>
      <c r="H1124" s="108" t="s">
        <v>12827</v>
      </c>
      <c r="I1124" s="116">
        <v>1</v>
      </c>
      <c r="J1124" s="111" t="s">
        <v>157</v>
      </c>
      <c r="K1124" s="108" t="s">
        <v>12828</v>
      </c>
      <c r="L1124" s="116">
        <v>1</v>
      </c>
      <c r="M1124" s="111" t="s">
        <v>157</v>
      </c>
      <c r="N1124" s="108" t="s">
        <v>12826</v>
      </c>
      <c r="O1124" s="110">
        <v>3</v>
      </c>
      <c r="P1124" s="111" t="s">
        <v>40</v>
      </c>
      <c r="Q1124" s="108" t="s">
        <v>12829</v>
      </c>
      <c r="R1124" s="117">
        <v>2</v>
      </c>
      <c r="S1124" s="111" t="s">
        <v>53</v>
      </c>
      <c r="T1124" s="108" t="s">
        <v>47</v>
      </c>
      <c r="U1124" s="114"/>
      <c r="V1124" s="113"/>
      <c r="W1124" s="108" t="s">
        <v>47</v>
      </c>
      <c r="X1124" s="114"/>
      <c r="Y1124" s="113"/>
      <c r="Z1124" s="108" t="s">
        <v>47</v>
      </c>
      <c r="AA1124" s="114"/>
      <c r="AB1124" s="113"/>
      <c r="AC1124" s="105" t="s">
        <v>2788</v>
      </c>
      <c r="AD1124" s="115" t="s">
        <v>107</v>
      </c>
    </row>
    <row r="1125" spans="1:30" x14ac:dyDescent="0.2">
      <c r="A1125" s="104" t="s">
        <v>2789</v>
      </c>
      <c r="B1125" s="105" t="s">
        <v>805</v>
      </c>
      <c r="C1125" s="105" t="s">
        <v>2787</v>
      </c>
      <c r="D1125" s="106"/>
      <c r="E1125" s="107"/>
      <c r="F1125" s="108" t="s">
        <v>12830</v>
      </c>
      <c r="G1125" s="118">
        <v>3</v>
      </c>
      <c r="H1125" s="108" t="s">
        <v>12831</v>
      </c>
      <c r="I1125" s="116">
        <v>1</v>
      </c>
      <c r="J1125" s="111" t="s">
        <v>157</v>
      </c>
      <c r="K1125" s="108" t="s">
        <v>12832</v>
      </c>
      <c r="L1125" s="117">
        <v>2</v>
      </c>
      <c r="M1125" s="111" t="s">
        <v>53</v>
      </c>
      <c r="N1125" s="108" t="s">
        <v>12830</v>
      </c>
      <c r="O1125" s="110">
        <v>3</v>
      </c>
      <c r="P1125" s="111" t="s">
        <v>40</v>
      </c>
      <c r="Q1125" s="108" t="s">
        <v>12833</v>
      </c>
      <c r="R1125" s="117">
        <v>2</v>
      </c>
      <c r="S1125" s="111" t="s">
        <v>53</v>
      </c>
      <c r="T1125" s="108" t="s">
        <v>47</v>
      </c>
      <c r="U1125" s="114"/>
      <c r="V1125" s="113"/>
      <c r="W1125" s="108" t="s">
        <v>47</v>
      </c>
      <c r="X1125" s="114"/>
      <c r="Y1125" s="113"/>
      <c r="Z1125" s="108" t="s">
        <v>47</v>
      </c>
      <c r="AA1125" s="114"/>
      <c r="AB1125" s="113"/>
      <c r="AC1125" s="105" t="s">
        <v>2790</v>
      </c>
      <c r="AD1125" s="115" t="s">
        <v>107</v>
      </c>
    </row>
    <row r="1126" spans="1:30" x14ac:dyDescent="0.2">
      <c r="A1126" s="104" t="s">
        <v>12834</v>
      </c>
      <c r="B1126" s="105" t="s">
        <v>805</v>
      </c>
      <c r="C1126" s="105" t="s">
        <v>384</v>
      </c>
      <c r="D1126" s="106"/>
      <c r="E1126" s="107"/>
      <c r="F1126" s="108" t="s">
        <v>12835</v>
      </c>
      <c r="G1126" s="119">
        <v>1</v>
      </c>
      <c r="H1126" s="108" t="s">
        <v>12836</v>
      </c>
      <c r="I1126" s="116">
        <v>1</v>
      </c>
      <c r="J1126" s="113"/>
      <c r="K1126" s="108" t="s">
        <v>12837</v>
      </c>
      <c r="L1126" s="116">
        <v>1</v>
      </c>
      <c r="M1126" s="113"/>
      <c r="N1126" s="108" t="s">
        <v>12835</v>
      </c>
      <c r="O1126" s="116">
        <v>1</v>
      </c>
      <c r="P1126" s="113"/>
      <c r="Q1126" s="108" t="s">
        <v>12838</v>
      </c>
      <c r="R1126" s="116">
        <v>1</v>
      </c>
      <c r="S1126" s="113"/>
      <c r="T1126" s="108" t="s">
        <v>47</v>
      </c>
      <c r="U1126" s="114"/>
      <c r="V1126" s="113"/>
      <c r="W1126" s="108" t="s">
        <v>47</v>
      </c>
      <c r="X1126" s="114"/>
      <c r="Y1126" s="113"/>
      <c r="Z1126" s="108" t="s">
        <v>47</v>
      </c>
      <c r="AA1126" s="114"/>
      <c r="AB1126" s="113"/>
      <c r="AC1126" s="105" t="s">
        <v>2791</v>
      </c>
      <c r="AD1126" s="115" t="s">
        <v>107</v>
      </c>
    </row>
    <row r="1127" spans="1:30" x14ac:dyDescent="0.2">
      <c r="A1127" s="104" t="s">
        <v>12839</v>
      </c>
      <c r="B1127" s="105" t="s">
        <v>805</v>
      </c>
      <c r="C1127" s="105" t="s">
        <v>384</v>
      </c>
      <c r="D1127" s="106"/>
      <c r="E1127" s="107"/>
      <c r="F1127" s="108" t="s">
        <v>12840</v>
      </c>
      <c r="G1127" s="119">
        <v>1</v>
      </c>
      <c r="H1127" s="108" t="s">
        <v>12841</v>
      </c>
      <c r="I1127" s="116">
        <v>1</v>
      </c>
      <c r="J1127" s="113"/>
      <c r="K1127" s="108" t="s">
        <v>12842</v>
      </c>
      <c r="L1127" s="116">
        <v>1</v>
      </c>
      <c r="M1127" s="113"/>
      <c r="N1127" s="108" t="s">
        <v>12840</v>
      </c>
      <c r="O1127" s="116">
        <v>1</v>
      </c>
      <c r="P1127" s="113"/>
      <c r="Q1127" s="108" t="s">
        <v>12843</v>
      </c>
      <c r="R1127" s="116">
        <v>1</v>
      </c>
      <c r="S1127" s="113"/>
      <c r="T1127" s="108" t="s">
        <v>47</v>
      </c>
      <c r="U1127" s="114"/>
      <c r="V1127" s="113"/>
      <c r="W1127" s="108" t="s">
        <v>47</v>
      </c>
      <c r="X1127" s="114"/>
      <c r="Y1127" s="113"/>
      <c r="Z1127" s="108" t="s">
        <v>47</v>
      </c>
      <c r="AA1127" s="114"/>
      <c r="AB1127" s="113"/>
      <c r="AC1127" s="105" t="s">
        <v>2792</v>
      </c>
      <c r="AD1127" s="115" t="s">
        <v>107</v>
      </c>
    </row>
    <row r="1128" spans="1:30" x14ac:dyDescent="0.2">
      <c r="A1128" s="104" t="s">
        <v>12844</v>
      </c>
      <c r="B1128" s="105" t="s">
        <v>805</v>
      </c>
      <c r="C1128" s="105" t="s">
        <v>384</v>
      </c>
      <c r="D1128" s="106"/>
      <c r="E1128" s="107"/>
      <c r="F1128" s="108" t="s">
        <v>12845</v>
      </c>
      <c r="G1128" s="119">
        <v>1</v>
      </c>
      <c r="H1128" s="108" t="s">
        <v>12846</v>
      </c>
      <c r="I1128" s="116">
        <v>1</v>
      </c>
      <c r="J1128" s="113"/>
      <c r="K1128" s="108" t="s">
        <v>12847</v>
      </c>
      <c r="L1128" s="116">
        <v>1</v>
      </c>
      <c r="M1128" s="113"/>
      <c r="N1128" s="108" t="s">
        <v>12845</v>
      </c>
      <c r="O1128" s="116">
        <v>1</v>
      </c>
      <c r="P1128" s="113"/>
      <c r="Q1128" s="108" t="s">
        <v>12848</v>
      </c>
      <c r="R1128" s="116">
        <v>1</v>
      </c>
      <c r="S1128" s="113"/>
      <c r="T1128" s="108" t="s">
        <v>47</v>
      </c>
      <c r="U1128" s="114"/>
      <c r="V1128" s="113"/>
      <c r="W1128" s="108" t="s">
        <v>47</v>
      </c>
      <c r="X1128" s="114"/>
      <c r="Y1128" s="113"/>
      <c r="Z1128" s="108" t="s">
        <v>47</v>
      </c>
      <c r="AA1128" s="114"/>
      <c r="AB1128" s="113"/>
      <c r="AC1128" s="105" t="s">
        <v>2793</v>
      </c>
      <c r="AD1128" s="115" t="s">
        <v>107</v>
      </c>
    </row>
    <row r="1129" spans="1:30" x14ac:dyDescent="0.2">
      <c r="A1129" s="104" t="s">
        <v>12849</v>
      </c>
      <c r="B1129" s="105" t="s">
        <v>805</v>
      </c>
      <c r="C1129" s="105" t="s">
        <v>384</v>
      </c>
      <c r="D1129" s="106"/>
      <c r="E1129" s="107"/>
      <c r="F1129" s="108" t="s">
        <v>12850</v>
      </c>
      <c r="G1129" s="119">
        <v>1</v>
      </c>
      <c r="H1129" s="108" t="s">
        <v>12851</v>
      </c>
      <c r="I1129" s="116">
        <v>1</v>
      </c>
      <c r="J1129" s="113"/>
      <c r="K1129" s="108" t="s">
        <v>12852</v>
      </c>
      <c r="L1129" s="116">
        <v>1</v>
      </c>
      <c r="M1129" s="113"/>
      <c r="N1129" s="108" t="s">
        <v>12850</v>
      </c>
      <c r="O1129" s="116">
        <v>1</v>
      </c>
      <c r="P1129" s="113"/>
      <c r="Q1129" s="108" t="s">
        <v>12853</v>
      </c>
      <c r="R1129" s="116">
        <v>1</v>
      </c>
      <c r="S1129" s="113"/>
      <c r="T1129" s="108" t="s">
        <v>47</v>
      </c>
      <c r="U1129" s="114"/>
      <c r="V1129" s="113"/>
      <c r="W1129" s="108" t="s">
        <v>47</v>
      </c>
      <c r="X1129" s="114"/>
      <c r="Y1129" s="113"/>
      <c r="Z1129" s="108" t="s">
        <v>47</v>
      </c>
      <c r="AA1129" s="114"/>
      <c r="AB1129" s="113"/>
      <c r="AC1129" s="105" t="s">
        <v>2794</v>
      </c>
      <c r="AD1129" s="115" t="s">
        <v>107</v>
      </c>
    </row>
    <row r="1130" spans="1:30" x14ac:dyDescent="0.2">
      <c r="A1130" s="104" t="s">
        <v>12854</v>
      </c>
      <c r="B1130" s="105" t="s">
        <v>805</v>
      </c>
      <c r="C1130" s="105" t="s">
        <v>12855</v>
      </c>
      <c r="D1130" s="106"/>
      <c r="E1130" s="107" t="s">
        <v>99</v>
      </c>
      <c r="F1130" s="108" t="s">
        <v>12856</v>
      </c>
      <c r="G1130" s="119">
        <v>1</v>
      </c>
      <c r="H1130" s="108" t="s">
        <v>12857</v>
      </c>
      <c r="I1130" s="110">
        <v>3</v>
      </c>
      <c r="J1130" s="111" t="s">
        <v>55</v>
      </c>
      <c r="K1130" s="108" t="s">
        <v>12858</v>
      </c>
      <c r="L1130" s="116">
        <v>1</v>
      </c>
      <c r="M1130" s="113"/>
      <c r="N1130" s="108" t="s">
        <v>12856</v>
      </c>
      <c r="O1130" s="116">
        <v>1</v>
      </c>
      <c r="P1130" s="113"/>
      <c r="Q1130" s="108" t="s">
        <v>9058</v>
      </c>
      <c r="R1130" s="110">
        <v>3</v>
      </c>
      <c r="S1130" s="113"/>
      <c r="T1130" s="108" t="s">
        <v>12255</v>
      </c>
      <c r="U1130" s="117">
        <v>2</v>
      </c>
      <c r="V1130" s="113"/>
      <c r="W1130" s="108" t="s">
        <v>12859</v>
      </c>
      <c r="X1130" s="112">
        <v>4</v>
      </c>
      <c r="Y1130" s="113"/>
      <c r="Z1130" s="108" t="s">
        <v>12860</v>
      </c>
      <c r="AA1130" s="110">
        <v>3</v>
      </c>
      <c r="AB1130" s="113"/>
      <c r="AC1130" s="105" t="s">
        <v>2795</v>
      </c>
      <c r="AD1130" s="115" t="s">
        <v>107</v>
      </c>
    </row>
    <row r="1131" spans="1:30" x14ac:dyDescent="0.2">
      <c r="A1131" s="104" t="s">
        <v>12861</v>
      </c>
      <c r="B1131" s="105" t="s">
        <v>805</v>
      </c>
      <c r="C1131" s="105" t="s">
        <v>2592</v>
      </c>
      <c r="D1131" s="106"/>
      <c r="E1131" s="107" t="s">
        <v>99</v>
      </c>
      <c r="F1131" s="108" t="s">
        <v>12862</v>
      </c>
      <c r="G1131" s="119">
        <v>1</v>
      </c>
      <c r="H1131" s="108" t="s">
        <v>12863</v>
      </c>
      <c r="I1131" s="117">
        <v>2</v>
      </c>
      <c r="J1131" s="111" t="s">
        <v>46</v>
      </c>
      <c r="K1131" s="108" t="s">
        <v>12864</v>
      </c>
      <c r="L1131" s="116">
        <v>1</v>
      </c>
      <c r="M1131" s="113"/>
      <c r="N1131" s="108" t="s">
        <v>12862</v>
      </c>
      <c r="O1131" s="116">
        <v>1</v>
      </c>
      <c r="P1131" s="113"/>
      <c r="Q1131" s="108" t="s">
        <v>12865</v>
      </c>
      <c r="R1131" s="110">
        <v>3</v>
      </c>
      <c r="S1131" s="113"/>
      <c r="T1131" s="108" t="s">
        <v>12866</v>
      </c>
      <c r="U1131" s="117">
        <v>2</v>
      </c>
      <c r="V1131" s="113"/>
      <c r="W1131" s="108" t="s">
        <v>12867</v>
      </c>
      <c r="X1131" s="110">
        <v>3</v>
      </c>
      <c r="Y1131" s="113"/>
      <c r="Z1131" s="108" t="s">
        <v>12868</v>
      </c>
      <c r="AA1131" s="110">
        <v>3</v>
      </c>
      <c r="AB1131" s="111" t="s">
        <v>46</v>
      </c>
      <c r="AC1131" s="105" t="s">
        <v>2796</v>
      </c>
      <c r="AD1131" s="115" t="s">
        <v>107</v>
      </c>
    </row>
    <row r="1132" spans="1:30" x14ac:dyDescent="0.2">
      <c r="A1132" s="104" t="s">
        <v>12869</v>
      </c>
      <c r="B1132" s="105" t="s">
        <v>805</v>
      </c>
      <c r="C1132" s="105" t="s">
        <v>12855</v>
      </c>
      <c r="D1132" s="106"/>
      <c r="E1132" s="107" t="s">
        <v>99</v>
      </c>
      <c r="F1132" s="108" t="s">
        <v>12870</v>
      </c>
      <c r="G1132" s="119">
        <v>1</v>
      </c>
      <c r="H1132" s="108" t="s">
        <v>12871</v>
      </c>
      <c r="I1132" s="110">
        <v>3</v>
      </c>
      <c r="J1132" s="111" t="s">
        <v>55</v>
      </c>
      <c r="K1132" s="108" t="s">
        <v>12872</v>
      </c>
      <c r="L1132" s="116">
        <v>1</v>
      </c>
      <c r="M1132" s="113"/>
      <c r="N1132" s="108" t="s">
        <v>12870</v>
      </c>
      <c r="O1132" s="116">
        <v>1</v>
      </c>
      <c r="P1132" s="113"/>
      <c r="Q1132" s="108" t="s">
        <v>12873</v>
      </c>
      <c r="R1132" s="110">
        <v>3</v>
      </c>
      <c r="S1132" s="113"/>
      <c r="T1132" s="108" t="s">
        <v>12186</v>
      </c>
      <c r="U1132" s="117">
        <v>2</v>
      </c>
      <c r="V1132" s="113"/>
      <c r="W1132" s="108" t="s">
        <v>12874</v>
      </c>
      <c r="X1132" s="112">
        <v>4</v>
      </c>
      <c r="Y1132" s="113"/>
      <c r="Z1132" s="108" t="s">
        <v>12875</v>
      </c>
      <c r="AA1132" s="110">
        <v>3</v>
      </c>
      <c r="AB1132" s="113"/>
      <c r="AC1132" s="105" t="s">
        <v>2797</v>
      </c>
      <c r="AD1132" s="115" t="s">
        <v>107</v>
      </c>
    </row>
    <row r="1133" spans="1:30" x14ac:dyDescent="0.2">
      <c r="A1133" s="104" t="s">
        <v>12876</v>
      </c>
      <c r="B1133" s="105" t="s">
        <v>805</v>
      </c>
      <c r="C1133" s="105" t="s">
        <v>12855</v>
      </c>
      <c r="D1133" s="106"/>
      <c r="E1133" s="107" t="s">
        <v>99</v>
      </c>
      <c r="F1133" s="108" t="s">
        <v>12877</v>
      </c>
      <c r="G1133" s="119">
        <v>1</v>
      </c>
      <c r="H1133" s="108" t="s">
        <v>10217</v>
      </c>
      <c r="I1133" s="110">
        <v>3</v>
      </c>
      <c r="J1133" s="111" t="s">
        <v>55</v>
      </c>
      <c r="K1133" s="108" t="s">
        <v>12878</v>
      </c>
      <c r="L1133" s="116">
        <v>1</v>
      </c>
      <c r="M1133" s="113"/>
      <c r="N1133" s="108" t="s">
        <v>12877</v>
      </c>
      <c r="O1133" s="116">
        <v>1</v>
      </c>
      <c r="P1133" s="113"/>
      <c r="Q1133" s="108" t="s">
        <v>12879</v>
      </c>
      <c r="R1133" s="110">
        <v>3</v>
      </c>
      <c r="S1133" s="113"/>
      <c r="T1133" s="108" t="s">
        <v>12880</v>
      </c>
      <c r="U1133" s="110">
        <v>3</v>
      </c>
      <c r="V1133" s="113"/>
      <c r="W1133" s="108" t="s">
        <v>12881</v>
      </c>
      <c r="X1133" s="112">
        <v>4</v>
      </c>
      <c r="Y1133" s="113"/>
      <c r="Z1133" s="108" t="s">
        <v>1865</v>
      </c>
      <c r="AA1133" s="110">
        <v>3</v>
      </c>
      <c r="AB1133" s="113"/>
      <c r="AC1133" s="105" t="s">
        <v>2798</v>
      </c>
      <c r="AD1133" s="115" t="s">
        <v>107</v>
      </c>
    </row>
    <row r="1134" spans="1:30" x14ac:dyDescent="0.2">
      <c r="A1134" s="104" t="s">
        <v>12882</v>
      </c>
      <c r="B1134" s="105" t="s">
        <v>805</v>
      </c>
      <c r="C1134" s="105" t="s">
        <v>2592</v>
      </c>
      <c r="D1134" s="106"/>
      <c r="E1134" s="107" t="s">
        <v>99</v>
      </c>
      <c r="F1134" s="108" t="s">
        <v>12883</v>
      </c>
      <c r="G1134" s="119">
        <v>1</v>
      </c>
      <c r="H1134" s="108" t="s">
        <v>12884</v>
      </c>
      <c r="I1134" s="117">
        <v>2</v>
      </c>
      <c r="J1134" s="111" t="s">
        <v>46</v>
      </c>
      <c r="K1134" s="108" t="s">
        <v>12885</v>
      </c>
      <c r="L1134" s="116">
        <v>1</v>
      </c>
      <c r="M1134" s="113"/>
      <c r="N1134" s="108" t="s">
        <v>12883</v>
      </c>
      <c r="O1134" s="116">
        <v>1</v>
      </c>
      <c r="P1134" s="113"/>
      <c r="Q1134" s="108" t="s">
        <v>12886</v>
      </c>
      <c r="R1134" s="110">
        <v>3</v>
      </c>
      <c r="S1134" s="111" t="s">
        <v>40</v>
      </c>
      <c r="T1134" s="108" t="s">
        <v>12887</v>
      </c>
      <c r="U1134" s="110">
        <v>3</v>
      </c>
      <c r="V1134" s="113"/>
      <c r="W1134" s="108" t="s">
        <v>12888</v>
      </c>
      <c r="X1134" s="112">
        <v>4</v>
      </c>
      <c r="Y1134" s="113"/>
      <c r="Z1134" s="108" t="s">
        <v>12889</v>
      </c>
      <c r="AA1134" s="112">
        <v>4</v>
      </c>
      <c r="AB1134" s="113"/>
      <c r="AC1134" s="105" t="s">
        <v>2799</v>
      </c>
      <c r="AD1134" s="115" t="s">
        <v>107</v>
      </c>
    </row>
    <row r="1135" spans="1:30" x14ac:dyDescent="0.2">
      <c r="A1135" s="104" t="s">
        <v>12890</v>
      </c>
      <c r="B1135" s="105" t="s">
        <v>805</v>
      </c>
      <c r="C1135" s="105" t="s">
        <v>12855</v>
      </c>
      <c r="D1135" s="106"/>
      <c r="E1135" s="107" t="s">
        <v>99</v>
      </c>
      <c r="F1135" s="108" t="s">
        <v>12891</v>
      </c>
      <c r="G1135" s="119">
        <v>1</v>
      </c>
      <c r="H1135" s="108" t="s">
        <v>12892</v>
      </c>
      <c r="I1135" s="112">
        <v>4</v>
      </c>
      <c r="J1135" s="111" t="s">
        <v>44</v>
      </c>
      <c r="K1135" s="108" t="s">
        <v>12893</v>
      </c>
      <c r="L1135" s="116">
        <v>1</v>
      </c>
      <c r="M1135" s="113"/>
      <c r="N1135" s="108" t="s">
        <v>12891</v>
      </c>
      <c r="O1135" s="116">
        <v>1</v>
      </c>
      <c r="P1135" s="113"/>
      <c r="Q1135" s="108" t="s">
        <v>9105</v>
      </c>
      <c r="R1135" s="112">
        <v>4</v>
      </c>
      <c r="S1135" s="113"/>
      <c r="T1135" s="108" t="s">
        <v>12894</v>
      </c>
      <c r="U1135" s="110">
        <v>3</v>
      </c>
      <c r="V1135" s="113"/>
      <c r="W1135" s="108" t="s">
        <v>12895</v>
      </c>
      <c r="X1135" s="112">
        <v>4</v>
      </c>
      <c r="Y1135" s="113"/>
      <c r="Z1135" s="108" t="s">
        <v>12896</v>
      </c>
      <c r="AA1135" s="112">
        <v>4</v>
      </c>
      <c r="AB1135" s="113"/>
      <c r="AC1135" s="105" t="s">
        <v>2800</v>
      </c>
      <c r="AD1135" s="115" t="s">
        <v>107</v>
      </c>
    </row>
    <row r="1136" spans="1:30" x14ac:dyDescent="0.2">
      <c r="A1136" s="104" t="s">
        <v>12897</v>
      </c>
      <c r="B1136" s="105" t="s">
        <v>805</v>
      </c>
      <c r="C1136" s="105" t="s">
        <v>2592</v>
      </c>
      <c r="D1136" s="106"/>
      <c r="E1136" s="107" t="s">
        <v>99</v>
      </c>
      <c r="F1136" s="108" t="s">
        <v>12898</v>
      </c>
      <c r="G1136" s="119">
        <v>1</v>
      </c>
      <c r="H1136" s="108" t="s">
        <v>12899</v>
      </c>
      <c r="I1136" s="117">
        <v>2</v>
      </c>
      <c r="J1136" s="111" t="s">
        <v>46</v>
      </c>
      <c r="K1136" s="108" t="s">
        <v>12900</v>
      </c>
      <c r="L1136" s="116">
        <v>1</v>
      </c>
      <c r="M1136" s="113"/>
      <c r="N1136" s="108" t="s">
        <v>12898</v>
      </c>
      <c r="O1136" s="116">
        <v>1</v>
      </c>
      <c r="P1136" s="113"/>
      <c r="Q1136" s="108" t="s">
        <v>12901</v>
      </c>
      <c r="R1136" s="110">
        <v>3</v>
      </c>
      <c r="S1136" s="113"/>
      <c r="T1136" s="108" t="s">
        <v>12902</v>
      </c>
      <c r="U1136" s="117">
        <v>2</v>
      </c>
      <c r="V1136" s="113"/>
      <c r="W1136" s="108" t="s">
        <v>12903</v>
      </c>
      <c r="X1136" s="110">
        <v>3</v>
      </c>
      <c r="Y1136" s="113"/>
      <c r="Z1136" s="108" t="s">
        <v>47</v>
      </c>
      <c r="AA1136" s="114"/>
      <c r="AB1136" s="113"/>
      <c r="AC1136" s="105" t="s">
        <v>2801</v>
      </c>
      <c r="AD1136" s="115" t="s">
        <v>107</v>
      </c>
    </row>
    <row r="1137" spans="1:30" x14ac:dyDescent="0.2">
      <c r="A1137" s="104" t="s">
        <v>12904</v>
      </c>
      <c r="B1137" s="105" t="s">
        <v>805</v>
      </c>
      <c r="C1137" s="105" t="s">
        <v>12855</v>
      </c>
      <c r="D1137" s="106"/>
      <c r="E1137" s="107" t="s">
        <v>99</v>
      </c>
      <c r="F1137" s="108" t="s">
        <v>12905</v>
      </c>
      <c r="G1137" s="119">
        <v>1</v>
      </c>
      <c r="H1137" s="108" t="s">
        <v>12906</v>
      </c>
      <c r="I1137" s="110">
        <v>3</v>
      </c>
      <c r="J1137" s="111" t="s">
        <v>55</v>
      </c>
      <c r="K1137" s="108" t="s">
        <v>12907</v>
      </c>
      <c r="L1137" s="116">
        <v>1</v>
      </c>
      <c r="M1137" s="113"/>
      <c r="N1137" s="108" t="s">
        <v>12905</v>
      </c>
      <c r="O1137" s="116">
        <v>1</v>
      </c>
      <c r="P1137" s="113"/>
      <c r="Q1137" s="108" t="s">
        <v>12908</v>
      </c>
      <c r="R1137" s="110">
        <v>3</v>
      </c>
      <c r="S1137" s="113"/>
      <c r="T1137" s="108" t="s">
        <v>12909</v>
      </c>
      <c r="U1137" s="117">
        <v>2</v>
      </c>
      <c r="V1137" s="113"/>
      <c r="W1137" s="108" t="s">
        <v>12910</v>
      </c>
      <c r="X1137" s="110">
        <v>3</v>
      </c>
      <c r="Y1137" s="113"/>
      <c r="Z1137" s="108" t="s">
        <v>12911</v>
      </c>
      <c r="AA1137" s="117">
        <v>2</v>
      </c>
      <c r="AB1137" s="113"/>
      <c r="AC1137" s="105" t="s">
        <v>2802</v>
      </c>
      <c r="AD1137" s="115" t="s">
        <v>107</v>
      </c>
    </row>
    <row r="1138" spans="1:30" x14ac:dyDescent="0.2">
      <c r="A1138" s="104" t="s">
        <v>12912</v>
      </c>
      <c r="B1138" s="105" t="s">
        <v>805</v>
      </c>
      <c r="C1138" s="105" t="s">
        <v>12855</v>
      </c>
      <c r="D1138" s="106"/>
      <c r="E1138" s="107" t="s">
        <v>99</v>
      </c>
      <c r="F1138" s="108" t="s">
        <v>12913</v>
      </c>
      <c r="G1138" s="119">
        <v>1</v>
      </c>
      <c r="H1138" s="108" t="s">
        <v>10164</v>
      </c>
      <c r="I1138" s="110">
        <v>3</v>
      </c>
      <c r="J1138" s="111" t="s">
        <v>55</v>
      </c>
      <c r="K1138" s="108" t="s">
        <v>12914</v>
      </c>
      <c r="L1138" s="116">
        <v>1</v>
      </c>
      <c r="M1138" s="113"/>
      <c r="N1138" s="108" t="s">
        <v>12913</v>
      </c>
      <c r="O1138" s="116">
        <v>1</v>
      </c>
      <c r="P1138" s="113"/>
      <c r="Q1138" s="108" t="s">
        <v>12915</v>
      </c>
      <c r="R1138" s="110">
        <v>3</v>
      </c>
      <c r="S1138" s="113"/>
      <c r="T1138" s="108" t="s">
        <v>12916</v>
      </c>
      <c r="U1138" s="117">
        <v>2</v>
      </c>
      <c r="V1138" s="113"/>
      <c r="W1138" s="108" t="s">
        <v>12917</v>
      </c>
      <c r="X1138" s="110">
        <v>3</v>
      </c>
      <c r="Y1138" s="113"/>
      <c r="Z1138" s="108" t="s">
        <v>12918</v>
      </c>
      <c r="AA1138" s="117">
        <v>2</v>
      </c>
      <c r="AB1138" s="113"/>
      <c r="AC1138" s="105" t="s">
        <v>2803</v>
      </c>
      <c r="AD1138" s="115" t="s">
        <v>107</v>
      </c>
    </row>
    <row r="1139" spans="1:30" x14ac:dyDescent="0.2">
      <c r="A1139" s="104" t="s">
        <v>12919</v>
      </c>
      <c r="B1139" s="105" t="s">
        <v>805</v>
      </c>
      <c r="C1139" s="105" t="s">
        <v>2592</v>
      </c>
      <c r="D1139" s="106"/>
      <c r="E1139" s="107" t="s">
        <v>99</v>
      </c>
      <c r="F1139" s="108" t="s">
        <v>12920</v>
      </c>
      <c r="G1139" s="119">
        <v>1</v>
      </c>
      <c r="H1139" s="108" t="s">
        <v>12921</v>
      </c>
      <c r="I1139" s="117">
        <v>2</v>
      </c>
      <c r="J1139" s="111" t="s">
        <v>46</v>
      </c>
      <c r="K1139" s="108" t="s">
        <v>12922</v>
      </c>
      <c r="L1139" s="116">
        <v>1</v>
      </c>
      <c r="M1139" s="113"/>
      <c r="N1139" s="108" t="s">
        <v>12920</v>
      </c>
      <c r="O1139" s="116">
        <v>1</v>
      </c>
      <c r="P1139" s="113"/>
      <c r="Q1139" s="108" t="s">
        <v>12923</v>
      </c>
      <c r="R1139" s="117">
        <v>2</v>
      </c>
      <c r="S1139" s="111" t="s">
        <v>40</v>
      </c>
      <c r="T1139" s="108" t="s">
        <v>12924</v>
      </c>
      <c r="U1139" s="117">
        <v>2</v>
      </c>
      <c r="V1139" s="113"/>
      <c r="W1139" s="108" t="s">
        <v>12925</v>
      </c>
      <c r="X1139" s="110">
        <v>3</v>
      </c>
      <c r="Y1139" s="113"/>
      <c r="Z1139" s="108" t="s">
        <v>47</v>
      </c>
      <c r="AA1139" s="114"/>
      <c r="AB1139" s="113"/>
      <c r="AC1139" s="105" t="s">
        <v>2804</v>
      </c>
      <c r="AD1139" s="115" t="s">
        <v>107</v>
      </c>
    </row>
    <row r="1140" spans="1:30" x14ac:dyDescent="0.2">
      <c r="A1140" s="104" t="s">
        <v>12926</v>
      </c>
      <c r="B1140" s="105" t="s">
        <v>805</v>
      </c>
      <c r="C1140" s="105" t="s">
        <v>12855</v>
      </c>
      <c r="D1140" s="106"/>
      <c r="E1140" s="107" t="s">
        <v>99</v>
      </c>
      <c r="F1140" s="108" t="s">
        <v>47</v>
      </c>
      <c r="G1140" s="113"/>
      <c r="H1140" s="108" t="s">
        <v>47</v>
      </c>
      <c r="I1140" s="114"/>
      <c r="J1140" s="113"/>
      <c r="K1140" s="108" t="s">
        <v>47</v>
      </c>
      <c r="L1140" s="114"/>
      <c r="M1140" s="113"/>
      <c r="N1140" s="108" t="s">
        <v>47</v>
      </c>
      <c r="O1140" s="114"/>
      <c r="P1140" s="113"/>
      <c r="Q1140" s="108" t="s">
        <v>47</v>
      </c>
      <c r="R1140" s="114"/>
      <c r="S1140" s="113"/>
      <c r="T1140" s="108" t="s">
        <v>47</v>
      </c>
      <c r="U1140" s="114"/>
      <c r="V1140" s="113"/>
      <c r="W1140" s="108" t="s">
        <v>47</v>
      </c>
      <c r="X1140" s="114"/>
      <c r="Y1140" s="113"/>
      <c r="Z1140" s="108" t="s">
        <v>47</v>
      </c>
      <c r="AA1140" s="114"/>
      <c r="AB1140" s="113"/>
      <c r="AC1140" s="105" t="s">
        <v>2805</v>
      </c>
      <c r="AD1140" s="115" t="s">
        <v>107</v>
      </c>
    </row>
    <row r="1141" spans="1:30" x14ac:dyDescent="0.2">
      <c r="A1141" s="104" t="s">
        <v>12927</v>
      </c>
      <c r="B1141" s="105" t="s">
        <v>805</v>
      </c>
      <c r="C1141" s="105" t="s">
        <v>2592</v>
      </c>
      <c r="D1141" s="106"/>
      <c r="E1141" s="107" t="s">
        <v>99</v>
      </c>
      <c r="F1141" s="108" t="s">
        <v>47</v>
      </c>
      <c r="G1141" s="113"/>
      <c r="H1141" s="108" t="s">
        <v>47</v>
      </c>
      <c r="I1141" s="114"/>
      <c r="J1141" s="113"/>
      <c r="K1141" s="108" t="s">
        <v>47</v>
      </c>
      <c r="L1141" s="114"/>
      <c r="M1141" s="113"/>
      <c r="N1141" s="108" t="s">
        <v>47</v>
      </c>
      <c r="O1141" s="114"/>
      <c r="P1141" s="113"/>
      <c r="Q1141" s="108" t="s">
        <v>47</v>
      </c>
      <c r="R1141" s="114"/>
      <c r="S1141" s="113"/>
      <c r="T1141" s="108" t="s">
        <v>47</v>
      </c>
      <c r="U1141" s="114"/>
      <c r="V1141" s="113"/>
      <c r="W1141" s="108" t="s">
        <v>47</v>
      </c>
      <c r="X1141" s="114"/>
      <c r="Y1141" s="113"/>
      <c r="Z1141" s="108" t="s">
        <v>47</v>
      </c>
      <c r="AA1141" s="114"/>
      <c r="AB1141" s="113"/>
      <c r="AC1141" s="105" t="s">
        <v>2806</v>
      </c>
      <c r="AD1141" s="115" t="s">
        <v>107</v>
      </c>
    </row>
    <row r="1142" spans="1:30" x14ac:dyDescent="0.2">
      <c r="A1142" s="104" t="s">
        <v>12928</v>
      </c>
      <c r="B1142" s="105" t="s">
        <v>805</v>
      </c>
      <c r="C1142" s="105" t="s">
        <v>12855</v>
      </c>
      <c r="D1142" s="106"/>
      <c r="E1142" s="107" t="s">
        <v>99</v>
      </c>
      <c r="F1142" s="108" t="s">
        <v>12929</v>
      </c>
      <c r="G1142" s="119">
        <v>1</v>
      </c>
      <c r="H1142" s="108" t="s">
        <v>12930</v>
      </c>
      <c r="I1142" s="110">
        <v>3</v>
      </c>
      <c r="J1142" s="111" t="s">
        <v>55</v>
      </c>
      <c r="K1142" s="108" t="s">
        <v>12931</v>
      </c>
      <c r="L1142" s="116">
        <v>1</v>
      </c>
      <c r="M1142" s="113"/>
      <c r="N1142" s="108" t="s">
        <v>12929</v>
      </c>
      <c r="O1142" s="116">
        <v>1</v>
      </c>
      <c r="P1142" s="113"/>
      <c r="Q1142" s="108" t="s">
        <v>8083</v>
      </c>
      <c r="R1142" s="110">
        <v>3</v>
      </c>
      <c r="S1142" s="113"/>
      <c r="T1142" s="108" t="s">
        <v>12191</v>
      </c>
      <c r="U1142" s="117">
        <v>2</v>
      </c>
      <c r="V1142" s="113"/>
      <c r="W1142" s="108" t="s">
        <v>47</v>
      </c>
      <c r="X1142" s="114"/>
      <c r="Y1142" s="113"/>
      <c r="Z1142" s="108" t="s">
        <v>47</v>
      </c>
      <c r="AA1142" s="114"/>
      <c r="AB1142" s="113"/>
      <c r="AC1142" s="105" t="s">
        <v>2807</v>
      </c>
      <c r="AD1142" s="115" t="s">
        <v>107</v>
      </c>
    </row>
    <row r="1143" spans="1:30" x14ac:dyDescent="0.2">
      <c r="A1143" s="104" t="s">
        <v>12932</v>
      </c>
      <c r="B1143" s="105" t="s">
        <v>805</v>
      </c>
      <c r="C1143" s="105" t="s">
        <v>2592</v>
      </c>
      <c r="D1143" s="106"/>
      <c r="E1143" s="107" t="s">
        <v>99</v>
      </c>
      <c r="F1143" s="108" t="s">
        <v>12933</v>
      </c>
      <c r="G1143" s="119">
        <v>1</v>
      </c>
      <c r="H1143" s="108" t="s">
        <v>12934</v>
      </c>
      <c r="I1143" s="117">
        <v>2</v>
      </c>
      <c r="J1143" s="111" t="s">
        <v>46</v>
      </c>
      <c r="K1143" s="108" t="s">
        <v>12935</v>
      </c>
      <c r="L1143" s="116">
        <v>1</v>
      </c>
      <c r="M1143" s="113"/>
      <c r="N1143" s="108" t="s">
        <v>12933</v>
      </c>
      <c r="O1143" s="116">
        <v>1</v>
      </c>
      <c r="P1143" s="113"/>
      <c r="Q1143" s="108" t="s">
        <v>12936</v>
      </c>
      <c r="R1143" s="110">
        <v>3</v>
      </c>
      <c r="S1143" s="113"/>
      <c r="T1143" s="108" t="s">
        <v>12937</v>
      </c>
      <c r="U1143" s="110">
        <v>3</v>
      </c>
      <c r="V1143" s="111" t="s">
        <v>46</v>
      </c>
      <c r="W1143" s="108" t="s">
        <v>12938</v>
      </c>
      <c r="X1143" s="112">
        <v>4</v>
      </c>
      <c r="Y1143" s="113"/>
      <c r="Z1143" s="108" t="s">
        <v>47</v>
      </c>
      <c r="AA1143" s="114"/>
      <c r="AB1143" s="113"/>
      <c r="AC1143" s="105" t="s">
        <v>2808</v>
      </c>
      <c r="AD1143" s="115" t="s">
        <v>107</v>
      </c>
    </row>
    <row r="1144" spans="1:30" x14ac:dyDescent="0.2">
      <c r="A1144" s="104" t="s">
        <v>12939</v>
      </c>
      <c r="B1144" s="105" t="s">
        <v>805</v>
      </c>
      <c r="C1144" s="105" t="s">
        <v>12855</v>
      </c>
      <c r="D1144" s="106"/>
      <c r="E1144" s="107" t="s">
        <v>99</v>
      </c>
      <c r="F1144" s="108" t="s">
        <v>12940</v>
      </c>
      <c r="G1144" s="119">
        <v>1</v>
      </c>
      <c r="H1144" s="108" t="s">
        <v>12941</v>
      </c>
      <c r="I1144" s="110">
        <v>3</v>
      </c>
      <c r="J1144" s="111" t="s">
        <v>55</v>
      </c>
      <c r="K1144" s="108" t="s">
        <v>12942</v>
      </c>
      <c r="L1144" s="116">
        <v>1</v>
      </c>
      <c r="M1144" s="113"/>
      <c r="N1144" s="108" t="s">
        <v>12940</v>
      </c>
      <c r="O1144" s="116">
        <v>1</v>
      </c>
      <c r="P1144" s="113"/>
      <c r="Q1144" s="108" t="s">
        <v>9100</v>
      </c>
      <c r="R1144" s="112">
        <v>4</v>
      </c>
      <c r="S1144" s="111" t="s">
        <v>46</v>
      </c>
      <c r="T1144" s="108" t="s">
        <v>12943</v>
      </c>
      <c r="U1144" s="110">
        <v>3</v>
      </c>
      <c r="V1144" s="113"/>
      <c r="W1144" s="108" t="s">
        <v>12944</v>
      </c>
      <c r="X1144" s="112">
        <v>4</v>
      </c>
      <c r="Y1144" s="113"/>
      <c r="Z1144" s="108" t="s">
        <v>47</v>
      </c>
      <c r="AA1144" s="114"/>
      <c r="AB1144" s="113"/>
      <c r="AC1144" s="105" t="s">
        <v>2809</v>
      </c>
      <c r="AD1144" s="115" t="s">
        <v>107</v>
      </c>
    </row>
    <row r="1145" spans="1:30" x14ac:dyDescent="0.2">
      <c r="A1145" s="104" t="s">
        <v>2810</v>
      </c>
      <c r="B1145" s="105" t="s">
        <v>381</v>
      </c>
      <c r="C1145" s="105" t="s">
        <v>551</v>
      </c>
      <c r="D1145" s="106"/>
      <c r="E1145" s="107"/>
      <c r="F1145" s="108" t="s">
        <v>2811</v>
      </c>
      <c r="G1145" s="118">
        <v>3</v>
      </c>
      <c r="H1145" s="108" t="s">
        <v>2812</v>
      </c>
      <c r="I1145" s="112">
        <v>4</v>
      </c>
      <c r="J1145" s="111" t="s">
        <v>46</v>
      </c>
      <c r="K1145" s="108" t="s">
        <v>9135</v>
      </c>
      <c r="L1145" s="112">
        <v>4</v>
      </c>
      <c r="M1145" s="111" t="s">
        <v>55</v>
      </c>
      <c r="N1145" s="108" t="s">
        <v>2811</v>
      </c>
      <c r="O1145" s="110">
        <v>3</v>
      </c>
      <c r="P1145" s="113"/>
      <c r="Q1145" s="108" t="s">
        <v>12945</v>
      </c>
      <c r="R1145" s="112">
        <v>4</v>
      </c>
      <c r="S1145" s="111" t="s">
        <v>46</v>
      </c>
      <c r="T1145" s="108" t="s">
        <v>47</v>
      </c>
      <c r="U1145" s="114"/>
      <c r="V1145" s="113"/>
      <c r="W1145" s="108" t="s">
        <v>47</v>
      </c>
      <c r="X1145" s="114"/>
      <c r="Y1145" s="113"/>
      <c r="Z1145" s="108" t="s">
        <v>47</v>
      </c>
      <c r="AA1145" s="114"/>
      <c r="AB1145" s="113"/>
      <c r="AC1145" s="105" t="s">
        <v>2813</v>
      </c>
      <c r="AD1145" s="115" t="s">
        <v>101</v>
      </c>
    </row>
    <row r="1146" spans="1:30" x14ac:dyDescent="0.2">
      <c r="A1146" s="104" t="s">
        <v>2814</v>
      </c>
      <c r="B1146" s="105" t="s">
        <v>111</v>
      </c>
      <c r="C1146" s="105" t="s">
        <v>638</v>
      </c>
      <c r="D1146" s="106" t="s">
        <v>125</v>
      </c>
      <c r="E1146" s="107"/>
      <c r="F1146" s="108" t="s">
        <v>12946</v>
      </c>
      <c r="G1146" s="119">
        <v>1</v>
      </c>
      <c r="H1146" s="108" t="s">
        <v>12947</v>
      </c>
      <c r="I1146" s="116">
        <v>1</v>
      </c>
      <c r="J1146" s="111" t="s">
        <v>40</v>
      </c>
      <c r="K1146" s="108" t="s">
        <v>12948</v>
      </c>
      <c r="L1146" s="116">
        <v>1</v>
      </c>
      <c r="M1146" s="113"/>
      <c r="N1146" s="108" t="s">
        <v>12946</v>
      </c>
      <c r="O1146" s="116">
        <v>1</v>
      </c>
      <c r="P1146" s="113"/>
      <c r="Q1146" s="108" t="s">
        <v>12949</v>
      </c>
      <c r="R1146" s="116">
        <v>1</v>
      </c>
      <c r="S1146" s="113"/>
      <c r="T1146" s="108" t="s">
        <v>12950</v>
      </c>
      <c r="U1146" s="110">
        <v>3</v>
      </c>
      <c r="V1146" s="113"/>
      <c r="W1146" s="108" t="s">
        <v>12951</v>
      </c>
      <c r="X1146" s="116">
        <v>1</v>
      </c>
      <c r="Y1146" s="113"/>
      <c r="Z1146" s="108" t="s">
        <v>12952</v>
      </c>
      <c r="AA1146" s="110">
        <v>3</v>
      </c>
      <c r="AB1146" s="113"/>
      <c r="AC1146" s="105" t="s">
        <v>2815</v>
      </c>
      <c r="AD1146" s="115" t="s">
        <v>101</v>
      </c>
    </row>
    <row r="1147" spans="1:30" x14ac:dyDescent="0.2">
      <c r="A1147" s="104" t="s">
        <v>12953</v>
      </c>
      <c r="B1147" s="105" t="s">
        <v>2816</v>
      </c>
      <c r="C1147" s="105" t="s">
        <v>43</v>
      </c>
      <c r="D1147" s="106"/>
      <c r="E1147" s="107"/>
      <c r="F1147" s="108" t="s">
        <v>47</v>
      </c>
      <c r="G1147" s="113"/>
      <c r="H1147" s="108" t="s">
        <v>12954</v>
      </c>
      <c r="I1147" s="112">
        <v>4</v>
      </c>
      <c r="J1147" s="113"/>
      <c r="K1147" s="108" t="s">
        <v>12955</v>
      </c>
      <c r="L1147" s="112">
        <v>4</v>
      </c>
      <c r="M1147" s="113"/>
      <c r="N1147" s="108" t="s">
        <v>47</v>
      </c>
      <c r="O1147" s="114"/>
      <c r="P1147" s="113"/>
      <c r="Q1147" s="108" t="s">
        <v>47</v>
      </c>
      <c r="R1147" s="114"/>
      <c r="S1147" s="113"/>
      <c r="T1147" s="108" t="s">
        <v>47</v>
      </c>
      <c r="U1147" s="114"/>
      <c r="V1147" s="113"/>
      <c r="W1147" s="108" t="s">
        <v>47</v>
      </c>
      <c r="X1147" s="114"/>
      <c r="Y1147" s="113"/>
      <c r="Z1147" s="108" t="s">
        <v>47</v>
      </c>
      <c r="AA1147" s="114"/>
      <c r="AB1147" s="113"/>
      <c r="AC1147" s="105" t="s">
        <v>2817</v>
      </c>
      <c r="AD1147" s="115" t="s">
        <v>424</v>
      </c>
    </row>
    <row r="1148" spans="1:30" x14ac:dyDescent="0.2">
      <c r="A1148" s="104" t="s">
        <v>12956</v>
      </c>
      <c r="B1148" s="105" t="s">
        <v>2816</v>
      </c>
      <c r="C1148" s="105" t="s">
        <v>43</v>
      </c>
      <c r="D1148" s="106"/>
      <c r="E1148" s="107"/>
      <c r="F1148" s="108" t="s">
        <v>47</v>
      </c>
      <c r="G1148" s="113"/>
      <c r="H1148" s="108" t="s">
        <v>12957</v>
      </c>
      <c r="I1148" s="112">
        <v>4</v>
      </c>
      <c r="J1148" s="113"/>
      <c r="K1148" s="108" t="s">
        <v>47</v>
      </c>
      <c r="L1148" s="114"/>
      <c r="M1148" s="113"/>
      <c r="N1148" s="108" t="s">
        <v>47</v>
      </c>
      <c r="O1148" s="114"/>
      <c r="P1148" s="113"/>
      <c r="Q1148" s="108" t="s">
        <v>47</v>
      </c>
      <c r="R1148" s="114"/>
      <c r="S1148" s="113"/>
      <c r="T1148" s="108" t="s">
        <v>47</v>
      </c>
      <c r="U1148" s="114"/>
      <c r="V1148" s="113"/>
      <c r="W1148" s="108" t="s">
        <v>47</v>
      </c>
      <c r="X1148" s="114"/>
      <c r="Y1148" s="113"/>
      <c r="Z1148" s="108" t="s">
        <v>47</v>
      </c>
      <c r="AA1148" s="114"/>
      <c r="AB1148" s="113"/>
      <c r="AC1148" s="105" t="s">
        <v>12958</v>
      </c>
      <c r="AD1148" s="115" t="s">
        <v>424</v>
      </c>
    </row>
    <row r="1149" spans="1:30" x14ac:dyDescent="0.2">
      <c r="A1149" s="104" t="s">
        <v>2818</v>
      </c>
      <c r="B1149" s="105" t="s">
        <v>97</v>
      </c>
      <c r="C1149" s="105" t="s">
        <v>638</v>
      </c>
      <c r="D1149" s="106" t="s">
        <v>125</v>
      </c>
      <c r="E1149" s="107"/>
      <c r="F1149" s="108" t="s">
        <v>12959</v>
      </c>
      <c r="G1149" s="109">
        <v>4</v>
      </c>
      <c r="H1149" s="108" t="s">
        <v>12960</v>
      </c>
      <c r="I1149" s="112">
        <v>4</v>
      </c>
      <c r="J1149" s="113"/>
      <c r="K1149" s="108" t="s">
        <v>12961</v>
      </c>
      <c r="L1149" s="112">
        <v>4</v>
      </c>
      <c r="M1149" s="111" t="s">
        <v>46</v>
      </c>
      <c r="N1149" s="108" t="s">
        <v>12959</v>
      </c>
      <c r="O1149" s="112">
        <v>4</v>
      </c>
      <c r="P1149" s="113"/>
      <c r="Q1149" s="108" t="s">
        <v>12962</v>
      </c>
      <c r="R1149" s="110">
        <v>3</v>
      </c>
      <c r="S1149" s="111" t="s">
        <v>40</v>
      </c>
      <c r="T1149" s="108" t="s">
        <v>12963</v>
      </c>
      <c r="U1149" s="112">
        <v>4</v>
      </c>
      <c r="V1149" s="113"/>
      <c r="W1149" s="108" t="s">
        <v>12964</v>
      </c>
      <c r="X1149" s="112">
        <v>4</v>
      </c>
      <c r="Y1149" s="113"/>
      <c r="Z1149" s="108" t="s">
        <v>12965</v>
      </c>
      <c r="AA1149" s="117">
        <v>2</v>
      </c>
      <c r="AB1149" s="113"/>
      <c r="AC1149" s="105" t="s">
        <v>2819</v>
      </c>
      <c r="AD1149" s="115" t="s">
        <v>101</v>
      </c>
    </row>
    <row r="1150" spans="1:30" x14ac:dyDescent="0.2">
      <c r="A1150" s="104" t="s">
        <v>2820</v>
      </c>
      <c r="B1150" s="105" t="s">
        <v>97</v>
      </c>
      <c r="C1150" s="105" t="s">
        <v>2821</v>
      </c>
      <c r="D1150" s="106"/>
      <c r="E1150" s="107"/>
      <c r="F1150" s="108" t="s">
        <v>12966</v>
      </c>
      <c r="G1150" s="118">
        <v>3</v>
      </c>
      <c r="H1150" s="108" t="s">
        <v>12967</v>
      </c>
      <c r="I1150" s="117">
        <v>2</v>
      </c>
      <c r="J1150" s="111" t="s">
        <v>40</v>
      </c>
      <c r="K1150" s="108" t="s">
        <v>12968</v>
      </c>
      <c r="L1150" s="117">
        <v>2</v>
      </c>
      <c r="M1150" s="111" t="s">
        <v>40</v>
      </c>
      <c r="N1150" s="108" t="s">
        <v>12966</v>
      </c>
      <c r="O1150" s="110">
        <v>3</v>
      </c>
      <c r="P1150" s="111" t="s">
        <v>40</v>
      </c>
      <c r="Q1150" s="108" t="s">
        <v>12969</v>
      </c>
      <c r="R1150" s="112">
        <v>4</v>
      </c>
      <c r="S1150" s="113"/>
      <c r="T1150" s="108" t="s">
        <v>12970</v>
      </c>
      <c r="U1150" s="112">
        <v>4</v>
      </c>
      <c r="V1150" s="113"/>
      <c r="W1150" s="108" t="s">
        <v>12971</v>
      </c>
      <c r="X1150" s="110">
        <v>3</v>
      </c>
      <c r="Y1150" s="113"/>
      <c r="Z1150" s="108" t="s">
        <v>12972</v>
      </c>
      <c r="AA1150" s="110">
        <v>3</v>
      </c>
      <c r="AB1150" s="111" t="s">
        <v>46</v>
      </c>
      <c r="AC1150" s="105" t="s">
        <v>2822</v>
      </c>
      <c r="AD1150" s="115" t="s">
        <v>101</v>
      </c>
    </row>
    <row r="1151" spans="1:30" x14ac:dyDescent="0.2">
      <c r="A1151" s="104" t="s">
        <v>2823</v>
      </c>
      <c r="B1151" s="105" t="s">
        <v>97</v>
      </c>
      <c r="C1151" s="105" t="s">
        <v>2821</v>
      </c>
      <c r="D1151" s="106"/>
      <c r="E1151" s="107"/>
      <c r="F1151" s="108" t="s">
        <v>12973</v>
      </c>
      <c r="G1151" s="118">
        <v>3</v>
      </c>
      <c r="H1151" s="108" t="s">
        <v>12974</v>
      </c>
      <c r="I1151" s="117">
        <v>2</v>
      </c>
      <c r="J1151" s="111" t="s">
        <v>40</v>
      </c>
      <c r="K1151" s="108" t="s">
        <v>12975</v>
      </c>
      <c r="L1151" s="117">
        <v>2</v>
      </c>
      <c r="M1151" s="111" t="s">
        <v>40</v>
      </c>
      <c r="N1151" s="108" t="s">
        <v>12973</v>
      </c>
      <c r="O1151" s="110">
        <v>3</v>
      </c>
      <c r="P1151" s="111" t="s">
        <v>40</v>
      </c>
      <c r="Q1151" s="108" t="s">
        <v>12976</v>
      </c>
      <c r="R1151" s="112">
        <v>4</v>
      </c>
      <c r="S1151" s="113"/>
      <c r="T1151" s="108" t="s">
        <v>12977</v>
      </c>
      <c r="U1151" s="112">
        <v>4</v>
      </c>
      <c r="V1151" s="113"/>
      <c r="W1151" s="108" t="s">
        <v>12978</v>
      </c>
      <c r="X1151" s="110">
        <v>3</v>
      </c>
      <c r="Y1151" s="113"/>
      <c r="Z1151" s="108" t="s">
        <v>12979</v>
      </c>
      <c r="AA1151" s="110">
        <v>3</v>
      </c>
      <c r="AB1151" s="111" t="s">
        <v>46</v>
      </c>
      <c r="AC1151" s="105" t="s">
        <v>2824</v>
      </c>
      <c r="AD1151" s="115" t="s">
        <v>101</v>
      </c>
    </row>
    <row r="1152" spans="1:30" x14ac:dyDescent="0.2">
      <c r="A1152" s="104" t="s">
        <v>2825</v>
      </c>
      <c r="B1152" s="105" t="s">
        <v>97</v>
      </c>
      <c r="C1152" s="105" t="s">
        <v>638</v>
      </c>
      <c r="D1152" s="106" t="s">
        <v>125</v>
      </c>
      <c r="E1152" s="107"/>
      <c r="F1152" s="108" t="s">
        <v>12980</v>
      </c>
      <c r="G1152" s="109">
        <v>4</v>
      </c>
      <c r="H1152" s="108" t="s">
        <v>12981</v>
      </c>
      <c r="I1152" s="112">
        <v>4</v>
      </c>
      <c r="J1152" s="113"/>
      <c r="K1152" s="108" t="s">
        <v>12982</v>
      </c>
      <c r="L1152" s="112">
        <v>4</v>
      </c>
      <c r="M1152" s="111" t="s">
        <v>46</v>
      </c>
      <c r="N1152" s="108" t="s">
        <v>12980</v>
      </c>
      <c r="O1152" s="112">
        <v>4</v>
      </c>
      <c r="P1152" s="113"/>
      <c r="Q1152" s="108" t="s">
        <v>12983</v>
      </c>
      <c r="R1152" s="110">
        <v>3</v>
      </c>
      <c r="S1152" s="111" t="s">
        <v>40</v>
      </c>
      <c r="T1152" s="108" t="s">
        <v>12984</v>
      </c>
      <c r="U1152" s="112">
        <v>4</v>
      </c>
      <c r="V1152" s="113"/>
      <c r="W1152" s="108" t="s">
        <v>12985</v>
      </c>
      <c r="X1152" s="112">
        <v>4</v>
      </c>
      <c r="Y1152" s="113"/>
      <c r="Z1152" s="108" t="s">
        <v>12986</v>
      </c>
      <c r="AA1152" s="117">
        <v>2</v>
      </c>
      <c r="AB1152" s="113"/>
      <c r="AC1152" s="105" t="s">
        <v>2826</v>
      </c>
      <c r="AD1152" s="115" t="s">
        <v>101</v>
      </c>
    </row>
    <row r="1153" spans="1:30" x14ac:dyDescent="0.2">
      <c r="A1153" s="104" t="s">
        <v>2827</v>
      </c>
      <c r="B1153" s="105" t="s">
        <v>381</v>
      </c>
      <c r="C1153" s="105" t="s">
        <v>2828</v>
      </c>
      <c r="D1153" s="106"/>
      <c r="E1153" s="107"/>
      <c r="F1153" s="108" t="s">
        <v>47</v>
      </c>
      <c r="G1153" s="113"/>
      <c r="H1153" s="108" t="s">
        <v>47</v>
      </c>
      <c r="I1153" s="114"/>
      <c r="J1153" s="113"/>
      <c r="K1153" s="108" t="s">
        <v>47</v>
      </c>
      <c r="L1153" s="114"/>
      <c r="M1153" s="113"/>
      <c r="N1153" s="108" t="s">
        <v>47</v>
      </c>
      <c r="O1153" s="114"/>
      <c r="P1153" s="113"/>
      <c r="Q1153" s="108" t="s">
        <v>47</v>
      </c>
      <c r="R1153" s="114"/>
      <c r="S1153" s="113"/>
      <c r="T1153" s="108" t="s">
        <v>47</v>
      </c>
      <c r="U1153" s="114"/>
      <c r="V1153" s="113"/>
      <c r="W1153" s="108" t="s">
        <v>47</v>
      </c>
      <c r="X1153" s="114"/>
      <c r="Y1153" s="113"/>
      <c r="Z1153" s="108" t="s">
        <v>47</v>
      </c>
      <c r="AA1153" s="114"/>
      <c r="AB1153" s="113"/>
      <c r="AC1153" s="105"/>
      <c r="AD1153" s="115" t="s">
        <v>101</v>
      </c>
    </row>
    <row r="1154" spans="1:30" x14ac:dyDescent="0.2">
      <c r="A1154" s="104" t="s">
        <v>2829</v>
      </c>
      <c r="B1154" s="105" t="s">
        <v>420</v>
      </c>
      <c r="C1154" s="105" t="s">
        <v>1811</v>
      </c>
      <c r="D1154" s="106" t="s">
        <v>125</v>
      </c>
      <c r="E1154" s="107"/>
      <c r="F1154" s="108" t="s">
        <v>12987</v>
      </c>
      <c r="G1154" s="118">
        <v>3</v>
      </c>
      <c r="H1154" s="108" t="s">
        <v>12988</v>
      </c>
      <c r="I1154" s="110">
        <v>3</v>
      </c>
      <c r="J1154" s="111" t="s">
        <v>46</v>
      </c>
      <c r="K1154" s="108" t="s">
        <v>12989</v>
      </c>
      <c r="L1154" s="110">
        <v>3</v>
      </c>
      <c r="M1154" s="113"/>
      <c r="N1154" s="108" t="s">
        <v>12987</v>
      </c>
      <c r="O1154" s="110">
        <v>3</v>
      </c>
      <c r="P1154" s="113"/>
      <c r="Q1154" s="108" t="s">
        <v>12990</v>
      </c>
      <c r="R1154" s="117">
        <v>2</v>
      </c>
      <c r="S1154" s="113"/>
      <c r="T1154" s="108" t="s">
        <v>12991</v>
      </c>
      <c r="U1154" s="117">
        <v>2</v>
      </c>
      <c r="V1154" s="113"/>
      <c r="W1154" s="108" t="s">
        <v>12992</v>
      </c>
      <c r="X1154" s="117">
        <v>2</v>
      </c>
      <c r="Y1154" s="113"/>
      <c r="Z1154" s="108" t="s">
        <v>12993</v>
      </c>
      <c r="AA1154" s="116">
        <v>1</v>
      </c>
      <c r="AB1154" s="111" t="s">
        <v>40</v>
      </c>
      <c r="AC1154" s="105" t="s">
        <v>2830</v>
      </c>
      <c r="AD1154" s="115" t="s">
        <v>101</v>
      </c>
    </row>
    <row r="1155" spans="1:30" x14ac:dyDescent="0.2">
      <c r="A1155" s="104" t="s">
        <v>2831</v>
      </c>
      <c r="B1155" s="105" t="s">
        <v>420</v>
      </c>
      <c r="C1155" s="105" t="s">
        <v>1811</v>
      </c>
      <c r="D1155" s="106" t="s">
        <v>125</v>
      </c>
      <c r="E1155" s="107"/>
      <c r="F1155" s="108" t="s">
        <v>12994</v>
      </c>
      <c r="G1155" s="118">
        <v>3</v>
      </c>
      <c r="H1155" s="108" t="s">
        <v>12995</v>
      </c>
      <c r="I1155" s="110">
        <v>3</v>
      </c>
      <c r="J1155" s="111" t="s">
        <v>46</v>
      </c>
      <c r="K1155" s="108" t="s">
        <v>12996</v>
      </c>
      <c r="L1155" s="110">
        <v>3</v>
      </c>
      <c r="M1155" s="113"/>
      <c r="N1155" s="108" t="s">
        <v>12994</v>
      </c>
      <c r="O1155" s="110">
        <v>3</v>
      </c>
      <c r="P1155" s="113"/>
      <c r="Q1155" s="108" t="s">
        <v>12997</v>
      </c>
      <c r="R1155" s="117">
        <v>2</v>
      </c>
      <c r="S1155" s="113"/>
      <c r="T1155" s="108" t="s">
        <v>12998</v>
      </c>
      <c r="U1155" s="117">
        <v>2</v>
      </c>
      <c r="V1155" s="113"/>
      <c r="W1155" s="108" t="s">
        <v>12999</v>
      </c>
      <c r="X1155" s="117">
        <v>2</v>
      </c>
      <c r="Y1155" s="113"/>
      <c r="Z1155" s="108" t="s">
        <v>8980</v>
      </c>
      <c r="AA1155" s="116">
        <v>1</v>
      </c>
      <c r="AB1155" s="111" t="s">
        <v>40</v>
      </c>
      <c r="AC1155" s="105" t="s">
        <v>2832</v>
      </c>
      <c r="AD1155" s="115" t="s">
        <v>101</v>
      </c>
    </row>
    <row r="1156" spans="1:30" x14ac:dyDescent="0.2">
      <c r="A1156" s="104" t="s">
        <v>2833</v>
      </c>
      <c r="B1156" s="105" t="s">
        <v>97</v>
      </c>
      <c r="C1156" s="105" t="s">
        <v>1241</v>
      </c>
      <c r="D1156" s="106" t="s">
        <v>125</v>
      </c>
      <c r="E1156" s="107"/>
      <c r="F1156" s="108" t="s">
        <v>13000</v>
      </c>
      <c r="G1156" s="120">
        <v>2</v>
      </c>
      <c r="H1156" s="108" t="s">
        <v>13001</v>
      </c>
      <c r="I1156" s="112">
        <v>4</v>
      </c>
      <c r="J1156" s="111" t="s">
        <v>44</v>
      </c>
      <c r="K1156" s="108" t="s">
        <v>13002</v>
      </c>
      <c r="L1156" s="116">
        <v>1</v>
      </c>
      <c r="M1156" s="113"/>
      <c r="N1156" s="108" t="s">
        <v>13000</v>
      </c>
      <c r="O1156" s="117">
        <v>2</v>
      </c>
      <c r="P1156" s="113"/>
      <c r="Q1156" s="108" t="s">
        <v>13003</v>
      </c>
      <c r="R1156" s="110">
        <v>3</v>
      </c>
      <c r="S1156" s="113"/>
      <c r="T1156" s="108" t="s">
        <v>13004</v>
      </c>
      <c r="U1156" s="117">
        <v>2</v>
      </c>
      <c r="V1156" s="113"/>
      <c r="W1156" s="108" t="s">
        <v>13005</v>
      </c>
      <c r="X1156" s="110">
        <v>3</v>
      </c>
      <c r="Y1156" s="113"/>
      <c r="Z1156" s="108" t="s">
        <v>13006</v>
      </c>
      <c r="AA1156" s="110">
        <v>3</v>
      </c>
      <c r="AB1156" s="113"/>
      <c r="AC1156" s="105" t="s">
        <v>2834</v>
      </c>
      <c r="AD1156" s="115" t="s">
        <v>101</v>
      </c>
    </row>
    <row r="1157" spans="1:30" x14ac:dyDescent="0.2">
      <c r="A1157" s="104" t="s">
        <v>2835</v>
      </c>
      <c r="B1157" s="105" t="s">
        <v>97</v>
      </c>
      <c r="C1157" s="105" t="s">
        <v>1241</v>
      </c>
      <c r="D1157" s="106" t="s">
        <v>125</v>
      </c>
      <c r="E1157" s="107"/>
      <c r="F1157" s="108" t="s">
        <v>13007</v>
      </c>
      <c r="G1157" s="118">
        <v>3</v>
      </c>
      <c r="H1157" s="108" t="s">
        <v>13008</v>
      </c>
      <c r="I1157" s="112">
        <v>4</v>
      </c>
      <c r="J1157" s="111" t="s">
        <v>44</v>
      </c>
      <c r="K1157" s="108" t="s">
        <v>13009</v>
      </c>
      <c r="L1157" s="117">
        <v>2</v>
      </c>
      <c r="M1157" s="111" t="s">
        <v>46</v>
      </c>
      <c r="N1157" s="108" t="s">
        <v>13007</v>
      </c>
      <c r="O1157" s="110">
        <v>3</v>
      </c>
      <c r="P1157" s="113"/>
      <c r="Q1157" s="108" t="s">
        <v>13010</v>
      </c>
      <c r="R1157" s="112">
        <v>4</v>
      </c>
      <c r="S1157" s="111" t="s">
        <v>46</v>
      </c>
      <c r="T1157" s="108" t="s">
        <v>13011</v>
      </c>
      <c r="U1157" s="110">
        <v>3</v>
      </c>
      <c r="V1157" s="113"/>
      <c r="W1157" s="108" t="s">
        <v>13012</v>
      </c>
      <c r="X1157" s="112">
        <v>4</v>
      </c>
      <c r="Y1157" s="111" t="s">
        <v>46</v>
      </c>
      <c r="Z1157" s="108" t="s">
        <v>13013</v>
      </c>
      <c r="AA1157" s="110">
        <v>3</v>
      </c>
      <c r="AB1157" s="113"/>
      <c r="AC1157" s="105" t="s">
        <v>2836</v>
      </c>
      <c r="AD1157" s="115" t="s">
        <v>101</v>
      </c>
    </row>
    <row r="1158" spans="1:30" x14ac:dyDescent="0.2">
      <c r="A1158" s="104" t="s">
        <v>2837</v>
      </c>
      <c r="B1158" s="105" t="s">
        <v>381</v>
      </c>
      <c r="C1158" s="105" t="s">
        <v>2828</v>
      </c>
      <c r="D1158" s="106"/>
      <c r="E1158" s="107" t="s">
        <v>376</v>
      </c>
      <c r="F1158" s="108" t="s">
        <v>47</v>
      </c>
      <c r="G1158" s="113"/>
      <c r="H1158" s="108" t="s">
        <v>47</v>
      </c>
      <c r="I1158" s="114"/>
      <c r="J1158" s="113"/>
      <c r="K1158" s="108" t="s">
        <v>47</v>
      </c>
      <c r="L1158" s="114"/>
      <c r="M1158" s="113"/>
      <c r="N1158" s="108" t="s">
        <v>47</v>
      </c>
      <c r="O1158" s="114"/>
      <c r="P1158" s="113"/>
      <c r="Q1158" s="108" t="s">
        <v>47</v>
      </c>
      <c r="R1158" s="114"/>
      <c r="S1158" s="113"/>
      <c r="T1158" s="108" t="s">
        <v>47</v>
      </c>
      <c r="U1158" s="114"/>
      <c r="V1158" s="113"/>
      <c r="W1158" s="108" t="s">
        <v>47</v>
      </c>
      <c r="X1158" s="114"/>
      <c r="Y1158" s="113"/>
      <c r="Z1158" s="108" t="s">
        <v>47</v>
      </c>
      <c r="AA1158" s="114"/>
      <c r="AB1158" s="113"/>
      <c r="AC1158" s="105"/>
      <c r="AD1158" s="115" t="s">
        <v>101</v>
      </c>
    </row>
    <row r="1159" spans="1:30" x14ac:dyDescent="0.2">
      <c r="A1159" s="104" t="s">
        <v>2838</v>
      </c>
      <c r="B1159" s="105" t="s">
        <v>97</v>
      </c>
      <c r="C1159" s="105" t="s">
        <v>1458</v>
      </c>
      <c r="D1159" s="106" t="s">
        <v>125</v>
      </c>
      <c r="E1159" s="107"/>
      <c r="F1159" s="108" t="s">
        <v>13014</v>
      </c>
      <c r="G1159" s="120">
        <v>2</v>
      </c>
      <c r="H1159" s="108" t="s">
        <v>13015</v>
      </c>
      <c r="I1159" s="110">
        <v>3</v>
      </c>
      <c r="J1159" s="111" t="s">
        <v>46</v>
      </c>
      <c r="K1159" s="108" t="s">
        <v>13016</v>
      </c>
      <c r="L1159" s="110">
        <v>3</v>
      </c>
      <c r="M1159" s="111" t="s">
        <v>46</v>
      </c>
      <c r="N1159" s="108" t="s">
        <v>13014</v>
      </c>
      <c r="O1159" s="117">
        <v>2</v>
      </c>
      <c r="P1159" s="111" t="s">
        <v>40</v>
      </c>
      <c r="Q1159" s="108" t="s">
        <v>13017</v>
      </c>
      <c r="R1159" s="112">
        <v>4</v>
      </c>
      <c r="S1159" s="113"/>
      <c r="T1159" s="108" t="s">
        <v>13018</v>
      </c>
      <c r="U1159" s="110">
        <v>3</v>
      </c>
      <c r="V1159" s="113"/>
      <c r="W1159" s="108" t="s">
        <v>2839</v>
      </c>
      <c r="X1159" s="112">
        <v>4</v>
      </c>
      <c r="Y1159" s="113"/>
      <c r="Z1159" s="108" t="s">
        <v>13019</v>
      </c>
      <c r="AA1159" s="112">
        <v>4</v>
      </c>
      <c r="AB1159" s="111" t="s">
        <v>44</v>
      </c>
      <c r="AC1159" s="105" t="s">
        <v>2840</v>
      </c>
      <c r="AD1159" s="115" t="s">
        <v>101</v>
      </c>
    </row>
    <row r="1160" spans="1:30" x14ac:dyDescent="0.2">
      <c r="A1160" s="104" t="s">
        <v>2841</v>
      </c>
      <c r="B1160" s="105" t="s">
        <v>97</v>
      </c>
      <c r="C1160" s="105" t="s">
        <v>1458</v>
      </c>
      <c r="D1160" s="106" t="s">
        <v>105</v>
      </c>
      <c r="E1160" s="107"/>
      <c r="F1160" s="108" t="s">
        <v>13020</v>
      </c>
      <c r="G1160" s="109">
        <v>4</v>
      </c>
      <c r="H1160" s="108" t="s">
        <v>13021</v>
      </c>
      <c r="I1160" s="110">
        <v>3</v>
      </c>
      <c r="J1160" s="113"/>
      <c r="K1160" s="108" t="s">
        <v>13022</v>
      </c>
      <c r="L1160" s="112">
        <v>4</v>
      </c>
      <c r="M1160" s="113"/>
      <c r="N1160" s="108" t="s">
        <v>13020</v>
      </c>
      <c r="O1160" s="112">
        <v>4</v>
      </c>
      <c r="P1160" s="113"/>
      <c r="Q1160" s="108" t="s">
        <v>13023</v>
      </c>
      <c r="R1160" s="112">
        <v>4</v>
      </c>
      <c r="S1160" s="113"/>
      <c r="T1160" s="108" t="s">
        <v>2842</v>
      </c>
      <c r="U1160" s="112">
        <v>4</v>
      </c>
      <c r="V1160" s="113"/>
      <c r="W1160" s="108" t="s">
        <v>47</v>
      </c>
      <c r="X1160" s="114"/>
      <c r="Y1160" s="113"/>
      <c r="Z1160" s="108" t="s">
        <v>47</v>
      </c>
      <c r="AA1160" s="114"/>
      <c r="AB1160" s="113"/>
      <c r="AC1160" s="105" t="s">
        <v>2843</v>
      </c>
      <c r="AD1160" s="115" t="s">
        <v>101</v>
      </c>
    </row>
    <row r="1161" spans="1:30" x14ac:dyDescent="0.2">
      <c r="A1161" s="104" t="s">
        <v>2844</v>
      </c>
      <c r="B1161" s="105" t="s">
        <v>97</v>
      </c>
      <c r="C1161" s="105" t="s">
        <v>1458</v>
      </c>
      <c r="D1161" s="106" t="s">
        <v>105</v>
      </c>
      <c r="E1161" s="107"/>
      <c r="F1161" s="108" t="s">
        <v>13024</v>
      </c>
      <c r="G1161" s="109">
        <v>4</v>
      </c>
      <c r="H1161" s="108" t="s">
        <v>13025</v>
      </c>
      <c r="I1161" s="110">
        <v>3</v>
      </c>
      <c r="J1161" s="113"/>
      <c r="K1161" s="108" t="s">
        <v>13026</v>
      </c>
      <c r="L1161" s="112">
        <v>4</v>
      </c>
      <c r="M1161" s="111" t="s">
        <v>46</v>
      </c>
      <c r="N1161" s="108" t="s">
        <v>13024</v>
      </c>
      <c r="O1161" s="112">
        <v>4</v>
      </c>
      <c r="P1161" s="113"/>
      <c r="Q1161" s="108" t="s">
        <v>13027</v>
      </c>
      <c r="R1161" s="112">
        <v>4</v>
      </c>
      <c r="S1161" s="113"/>
      <c r="T1161" s="108" t="s">
        <v>13028</v>
      </c>
      <c r="U1161" s="112">
        <v>4</v>
      </c>
      <c r="V1161" s="113"/>
      <c r="W1161" s="108" t="s">
        <v>47</v>
      </c>
      <c r="X1161" s="114"/>
      <c r="Y1161" s="113"/>
      <c r="Z1161" s="108" t="s">
        <v>47</v>
      </c>
      <c r="AA1161" s="114"/>
      <c r="AB1161" s="113"/>
      <c r="AC1161" s="105" t="s">
        <v>2845</v>
      </c>
      <c r="AD1161" s="115" t="s">
        <v>101</v>
      </c>
    </row>
    <row r="1162" spans="1:30" x14ac:dyDescent="0.2">
      <c r="A1162" s="104" t="s">
        <v>2846</v>
      </c>
      <c r="B1162" s="105" t="s">
        <v>97</v>
      </c>
      <c r="C1162" s="105" t="s">
        <v>1458</v>
      </c>
      <c r="D1162" s="106" t="s">
        <v>105</v>
      </c>
      <c r="E1162" s="107"/>
      <c r="F1162" s="108" t="s">
        <v>13029</v>
      </c>
      <c r="G1162" s="109">
        <v>4</v>
      </c>
      <c r="H1162" s="108" t="s">
        <v>13030</v>
      </c>
      <c r="I1162" s="110">
        <v>3</v>
      </c>
      <c r="J1162" s="113"/>
      <c r="K1162" s="108" t="s">
        <v>13031</v>
      </c>
      <c r="L1162" s="112">
        <v>4</v>
      </c>
      <c r="M1162" s="113"/>
      <c r="N1162" s="108" t="s">
        <v>13029</v>
      </c>
      <c r="O1162" s="112">
        <v>4</v>
      </c>
      <c r="P1162" s="113"/>
      <c r="Q1162" s="108" t="s">
        <v>13032</v>
      </c>
      <c r="R1162" s="112">
        <v>4</v>
      </c>
      <c r="S1162" s="113"/>
      <c r="T1162" s="108" t="s">
        <v>2847</v>
      </c>
      <c r="U1162" s="112">
        <v>4</v>
      </c>
      <c r="V1162" s="113"/>
      <c r="W1162" s="108" t="s">
        <v>47</v>
      </c>
      <c r="X1162" s="114"/>
      <c r="Y1162" s="113"/>
      <c r="Z1162" s="108" t="s">
        <v>47</v>
      </c>
      <c r="AA1162" s="114"/>
      <c r="AB1162" s="113"/>
      <c r="AC1162" s="105" t="s">
        <v>2848</v>
      </c>
      <c r="AD1162" s="115" t="s">
        <v>101</v>
      </c>
    </row>
    <row r="1163" spans="1:30" x14ac:dyDescent="0.2">
      <c r="A1163" s="104" t="s">
        <v>2849</v>
      </c>
      <c r="B1163" s="105" t="s">
        <v>97</v>
      </c>
      <c r="C1163" s="105" t="s">
        <v>1458</v>
      </c>
      <c r="D1163" s="106" t="s">
        <v>125</v>
      </c>
      <c r="E1163" s="107"/>
      <c r="F1163" s="108" t="s">
        <v>13033</v>
      </c>
      <c r="G1163" s="120">
        <v>2</v>
      </c>
      <c r="H1163" s="108" t="s">
        <v>13034</v>
      </c>
      <c r="I1163" s="110">
        <v>3</v>
      </c>
      <c r="J1163" s="111" t="s">
        <v>46</v>
      </c>
      <c r="K1163" s="108" t="s">
        <v>13035</v>
      </c>
      <c r="L1163" s="110">
        <v>3</v>
      </c>
      <c r="M1163" s="111" t="s">
        <v>46</v>
      </c>
      <c r="N1163" s="108" t="s">
        <v>13033</v>
      </c>
      <c r="O1163" s="117">
        <v>2</v>
      </c>
      <c r="P1163" s="111" t="s">
        <v>40</v>
      </c>
      <c r="Q1163" s="108" t="s">
        <v>13036</v>
      </c>
      <c r="R1163" s="112">
        <v>4</v>
      </c>
      <c r="S1163" s="113"/>
      <c r="T1163" s="108" t="s">
        <v>13037</v>
      </c>
      <c r="U1163" s="110">
        <v>3</v>
      </c>
      <c r="V1163" s="113"/>
      <c r="W1163" s="108" t="s">
        <v>13038</v>
      </c>
      <c r="X1163" s="112">
        <v>4</v>
      </c>
      <c r="Y1163" s="113"/>
      <c r="Z1163" s="108" t="s">
        <v>13039</v>
      </c>
      <c r="AA1163" s="112">
        <v>4</v>
      </c>
      <c r="AB1163" s="111" t="s">
        <v>44</v>
      </c>
      <c r="AC1163" s="105" t="s">
        <v>2850</v>
      </c>
      <c r="AD1163" s="115" t="s">
        <v>101</v>
      </c>
    </row>
    <row r="1164" spans="1:30" x14ac:dyDescent="0.2">
      <c r="A1164" s="104" t="s">
        <v>2851</v>
      </c>
      <c r="B1164" s="105" t="s">
        <v>42</v>
      </c>
      <c r="C1164" s="105" t="s">
        <v>154</v>
      </c>
      <c r="D1164" s="106"/>
      <c r="E1164" s="107"/>
      <c r="F1164" s="108" t="s">
        <v>13040</v>
      </c>
      <c r="G1164" s="120">
        <v>2</v>
      </c>
      <c r="H1164" s="108" t="s">
        <v>13041</v>
      </c>
      <c r="I1164" s="116">
        <v>1</v>
      </c>
      <c r="J1164" s="111" t="s">
        <v>40</v>
      </c>
      <c r="K1164" s="108" t="s">
        <v>13042</v>
      </c>
      <c r="L1164" s="117">
        <v>2</v>
      </c>
      <c r="M1164" s="113"/>
      <c r="N1164" s="108" t="s">
        <v>13040</v>
      </c>
      <c r="O1164" s="117">
        <v>2</v>
      </c>
      <c r="P1164" s="111" t="s">
        <v>40</v>
      </c>
      <c r="Q1164" s="108" t="s">
        <v>9579</v>
      </c>
      <c r="R1164" s="110">
        <v>3</v>
      </c>
      <c r="S1164" s="113"/>
      <c r="T1164" s="108" t="s">
        <v>13043</v>
      </c>
      <c r="U1164" s="110">
        <v>3</v>
      </c>
      <c r="V1164" s="113"/>
      <c r="W1164" s="108" t="s">
        <v>13044</v>
      </c>
      <c r="X1164" s="110">
        <v>3</v>
      </c>
      <c r="Y1164" s="113"/>
      <c r="Z1164" s="108" t="s">
        <v>2852</v>
      </c>
      <c r="AA1164" s="110">
        <v>3</v>
      </c>
      <c r="AB1164" s="113"/>
      <c r="AC1164" s="105" t="s">
        <v>2853</v>
      </c>
      <c r="AD1164" s="115" t="s">
        <v>49</v>
      </c>
    </row>
    <row r="1165" spans="1:30" x14ac:dyDescent="0.2">
      <c r="A1165" s="104" t="s">
        <v>2854</v>
      </c>
      <c r="B1165" s="105" t="s">
        <v>42</v>
      </c>
      <c r="C1165" s="105" t="s">
        <v>154</v>
      </c>
      <c r="D1165" s="106"/>
      <c r="E1165" s="107"/>
      <c r="F1165" s="108" t="s">
        <v>13045</v>
      </c>
      <c r="G1165" s="120">
        <v>2</v>
      </c>
      <c r="H1165" s="108" t="s">
        <v>13046</v>
      </c>
      <c r="I1165" s="117">
        <v>2</v>
      </c>
      <c r="J1165" s="113"/>
      <c r="K1165" s="108" t="s">
        <v>2855</v>
      </c>
      <c r="L1165" s="117">
        <v>2</v>
      </c>
      <c r="M1165" s="113"/>
      <c r="N1165" s="108" t="s">
        <v>13045</v>
      </c>
      <c r="O1165" s="117">
        <v>2</v>
      </c>
      <c r="P1165" s="111" t="s">
        <v>40</v>
      </c>
      <c r="Q1165" s="108" t="s">
        <v>9592</v>
      </c>
      <c r="R1165" s="110">
        <v>3</v>
      </c>
      <c r="S1165" s="113"/>
      <c r="T1165" s="108" t="s">
        <v>13047</v>
      </c>
      <c r="U1165" s="110">
        <v>3</v>
      </c>
      <c r="V1165" s="113"/>
      <c r="W1165" s="108" t="s">
        <v>47</v>
      </c>
      <c r="X1165" s="114"/>
      <c r="Y1165" s="113"/>
      <c r="Z1165" s="108" t="s">
        <v>47</v>
      </c>
      <c r="AA1165" s="114"/>
      <c r="AB1165" s="113"/>
      <c r="AC1165" s="105" t="s">
        <v>2856</v>
      </c>
      <c r="AD1165" s="115" t="s">
        <v>49</v>
      </c>
    </row>
    <row r="1166" spans="1:30" x14ac:dyDescent="0.2">
      <c r="A1166" s="104" t="s">
        <v>2857</v>
      </c>
      <c r="B1166" s="105" t="s">
        <v>42</v>
      </c>
      <c r="C1166" s="105" t="s">
        <v>2858</v>
      </c>
      <c r="D1166" s="106"/>
      <c r="E1166" s="107"/>
      <c r="F1166" s="108" t="s">
        <v>2859</v>
      </c>
      <c r="G1166" s="118">
        <v>3</v>
      </c>
      <c r="H1166" s="108" t="s">
        <v>13048</v>
      </c>
      <c r="I1166" s="116">
        <v>1</v>
      </c>
      <c r="J1166" s="111" t="s">
        <v>53</v>
      </c>
      <c r="K1166" s="108" t="s">
        <v>2860</v>
      </c>
      <c r="L1166" s="117">
        <v>2</v>
      </c>
      <c r="M1166" s="111" t="s">
        <v>46</v>
      </c>
      <c r="N1166" s="108" t="s">
        <v>2859</v>
      </c>
      <c r="O1166" s="110">
        <v>3</v>
      </c>
      <c r="P1166" s="111" t="s">
        <v>46</v>
      </c>
      <c r="Q1166" s="108" t="s">
        <v>11126</v>
      </c>
      <c r="R1166" s="112">
        <v>4</v>
      </c>
      <c r="S1166" s="113"/>
      <c r="T1166" s="108" t="s">
        <v>2861</v>
      </c>
      <c r="U1166" s="112">
        <v>4</v>
      </c>
      <c r="V1166" s="113"/>
      <c r="W1166" s="108" t="s">
        <v>2862</v>
      </c>
      <c r="X1166" s="112">
        <v>4</v>
      </c>
      <c r="Y1166" s="113"/>
      <c r="Z1166" s="108" t="s">
        <v>2863</v>
      </c>
      <c r="AA1166" s="112">
        <v>4</v>
      </c>
      <c r="AB1166" s="111" t="s">
        <v>55</v>
      </c>
      <c r="AC1166" s="105" t="s">
        <v>2864</v>
      </c>
      <c r="AD1166" s="115" t="s">
        <v>49</v>
      </c>
    </row>
    <row r="1167" spans="1:30" x14ac:dyDescent="0.2">
      <c r="A1167" s="104" t="s">
        <v>2865</v>
      </c>
      <c r="B1167" s="105" t="s">
        <v>42</v>
      </c>
      <c r="C1167" s="105" t="s">
        <v>2858</v>
      </c>
      <c r="D1167" s="106"/>
      <c r="E1167" s="107"/>
      <c r="F1167" s="108" t="s">
        <v>13049</v>
      </c>
      <c r="G1167" s="118">
        <v>3</v>
      </c>
      <c r="H1167" s="108" t="s">
        <v>2866</v>
      </c>
      <c r="I1167" s="116">
        <v>1</v>
      </c>
      <c r="J1167" s="111" t="s">
        <v>53</v>
      </c>
      <c r="K1167" s="108" t="s">
        <v>2867</v>
      </c>
      <c r="L1167" s="117">
        <v>2</v>
      </c>
      <c r="M1167" s="113"/>
      <c r="N1167" s="108" t="s">
        <v>13049</v>
      </c>
      <c r="O1167" s="110">
        <v>3</v>
      </c>
      <c r="P1167" s="113"/>
      <c r="Q1167" s="108" t="s">
        <v>13050</v>
      </c>
      <c r="R1167" s="112">
        <v>4</v>
      </c>
      <c r="S1167" s="113"/>
      <c r="T1167" s="108" t="s">
        <v>2868</v>
      </c>
      <c r="U1167" s="112">
        <v>4</v>
      </c>
      <c r="V1167" s="113"/>
      <c r="W1167" s="108" t="s">
        <v>47</v>
      </c>
      <c r="X1167" s="114"/>
      <c r="Y1167" s="113"/>
      <c r="Z1167" s="108" t="s">
        <v>47</v>
      </c>
      <c r="AA1167" s="114"/>
      <c r="AB1167" s="113"/>
      <c r="AC1167" s="105" t="s">
        <v>2869</v>
      </c>
      <c r="AD1167" s="115" t="s">
        <v>49</v>
      </c>
    </row>
    <row r="1168" spans="1:30" x14ac:dyDescent="0.2">
      <c r="A1168" s="104" t="s">
        <v>2870</v>
      </c>
      <c r="B1168" s="105" t="s">
        <v>97</v>
      </c>
      <c r="C1168" s="105" t="s">
        <v>108</v>
      </c>
      <c r="D1168" s="106" t="s">
        <v>125</v>
      </c>
      <c r="E1168" s="107" t="s">
        <v>146</v>
      </c>
      <c r="F1168" s="108" t="s">
        <v>13051</v>
      </c>
      <c r="G1168" s="118">
        <v>3</v>
      </c>
      <c r="H1168" s="108" t="s">
        <v>13052</v>
      </c>
      <c r="I1168" s="112">
        <v>4</v>
      </c>
      <c r="J1168" s="111" t="s">
        <v>44</v>
      </c>
      <c r="K1168" s="108" t="s">
        <v>13053</v>
      </c>
      <c r="L1168" s="110">
        <v>3</v>
      </c>
      <c r="M1168" s="113"/>
      <c r="N1168" s="108" t="s">
        <v>13051</v>
      </c>
      <c r="O1168" s="110">
        <v>3</v>
      </c>
      <c r="P1168" s="111" t="s">
        <v>46</v>
      </c>
      <c r="Q1168" s="108" t="s">
        <v>13054</v>
      </c>
      <c r="R1168" s="112">
        <v>4</v>
      </c>
      <c r="S1168" s="113"/>
      <c r="T1168" s="108" t="s">
        <v>13055</v>
      </c>
      <c r="U1168" s="116">
        <v>1</v>
      </c>
      <c r="V1168" s="113"/>
      <c r="W1168" s="108" t="s">
        <v>9883</v>
      </c>
      <c r="X1168" s="116">
        <v>1</v>
      </c>
      <c r="Y1168" s="113"/>
      <c r="Z1168" s="108" t="s">
        <v>13056</v>
      </c>
      <c r="AA1168" s="117">
        <v>2</v>
      </c>
      <c r="AB1168" s="111" t="s">
        <v>53</v>
      </c>
      <c r="AC1168" s="105" t="s">
        <v>2871</v>
      </c>
      <c r="AD1168" s="115" t="s">
        <v>101</v>
      </c>
    </row>
    <row r="1169" spans="1:30" x14ac:dyDescent="0.2">
      <c r="A1169" s="104" t="s">
        <v>2872</v>
      </c>
      <c r="B1169" s="105" t="s">
        <v>97</v>
      </c>
      <c r="C1169" s="105" t="s">
        <v>108</v>
      </c>
      <c r="D1169" s="106" t="s">
        <v>125</v>
      </c>
      <c r="E1169" s="107" t="s">
        <v>146</v>
      </c>
      <c r="F1169" s="108" t="s">
        <v>13057</v>
      </c>
      <c r="G1169" s="118">
        <v>3</v>
      </c>
      <c r="H1169" s="108" t="s">
        <v>13058</v>
      </c>
      <c r="I1169" s="112">
        <v>4</v>
      </c>
      <c r="J1169" s="111" t="s">
        <v>55</v>
      </c>
      <c r="K1169" s="108" t="s">
        <v>13059</v>
      </c>
      <c r="L1169" s="110">
        <v>3</v>
      </c>
      <c r="M1169" s="113"/>
      <c r="N1169" s="108" t="s">
        <v>13057</v>
      </c>
      <c r="O1169" s="110">
        <v>3</v>
      </c>
      <c r="P1169" s="111" t="s">
        <v>46</v>
      </c>
      <c r="Q1169" s="108" t="s">
        <v>13060</v>
      </c>
      <c r="R1169" s="112">
        <v>4</v>
      </c>
      <c r="S1169" s="113"/>
      <c r="T1169" s="108" t="s">
        <v>13061</v>
      </c>
      <c r="U1169" s="116">
        <v>1</v>
      </c>
      <c r="V1169" s="113"/>
      <c r="W1169" s="108" t="s">
        <v>13062</v>
      </c>
      <c r="X1169" s="116">
        <v>1</v>
      </c>
      <c r="Y1169" s="113"/>
      <c r="Z1169" s="108" t="s">
        <v>13063</v>
      </c>
      <c r="AA1169" s="117">
        <v>2</v>
      </c>
      <c r="AB1169" s="111" t="s">
        <v>53</v>
      </c>
      <c r="AC1169" s="105" t="s">
        <v>2873</v>
      </c>
      <c r="AD1169" s="115" t="s">
        <v>101</v>
      </c>
    </row>
    <row r="1170" spans="1:30" x14ac:dyDescent="0.2">
      <c r="A1170" s="104" t="s">
        <v>13064</v>
      </c>
      <c r="B1170" s="105" t="s">
        <v>381</v>
      </c>
      <c r="C1170" s="105" t="s">
        <v>2874</v>
      </c>
      <c r="D1170" s="106"/>
      <c r="E1170" s="107"/>
      <c r="F1170" s="108" t="s">
        <v>13065</v>
      </c>
      <c r="G1170" s="109">
        <v>4</v>
      </c>
      <c r="H1170" s="108" t="s">
        <v>13066</v>
      </c>
      <c r="I1170" s="110">
        <v>3</v>
      </c>
      <c r="J1170" s="113"/>
      <c r="K1170" s="108" t="s">
        <v>13067</v>
      </c>
      <c r="L1170" s="110">
        <v>3</v>
      </c>
      <c r="M1170" s="113"/>
      <c r="N1170" s="108" t="s">
        <v>13065</v>
      </c>
      <c r="O1170" s="112">
        <v>4</v>
      </c>
      <c r="P1170" s="113"/>
      <c r="Q1170" s="108" t="s">
        <v>13068</v>
      </c>
      <c r="R1170" s="110">
        <v>3</v>
      </c>
      <c r="S1170" s="111" t="s">
        <v>40</v>
      </c>
      <c r="T1170" s="108" t="s">
        <v>47</v>
      </c>
      <c r="U1170" s="114"/>
      <c r="V1170" s="113"/>
      <c r="W1170" s="108" t="s">
        <v>47</v>
      </c>
      <c r="X1170" s="114"/>
      <c r="Y1170" s="113"/>
      <c r="Z1170" s="108" t="s">
        <v>47</v>
      </c>
      <c r="AA1170" s="114"/>
      <c r="AB1170" s="113"/>
      <c r="AC1170" s="105" t="s">
        <v>2875</v>
      </c>
      <c r="AD1170" s="115" t="s">
        <v>101</v>
      </c>
    </row>
    <row r="1171" spans="1:30" x14ac:dyDescent="0.2">
      <c r="A1171" s="104" t="s">
        <v>13069</v>
      </c>
      <c r="B1171" s="105" t="s">
        <v>381</v>
      </c>
      <c r="C1171" s="105" t="s">
        <v>2874</v>
      </c>
      <c r="D1171" s="106"/>
      <c r="E1171" s="107"/>
      <c r="F1171" s="108" t="s">
        <v>47</v>
      </c>
      <c r="G1171" s="113"/>
      <c r="H1171" s="108" t="s">
        <v>47</v>
      </c>
      <c r="I1171" s="114"/>
      <c r="J1171" s="113"/>
      <c r="K1171" s="108" t="s">
        <v>47</v>
      </c>
      <c r="L1171" s="114"/>
      <c r="M1171" s="113"/>
      <c r="N1171" s="108" t="s">
        <v>47</v>
      </c>
      <c r="O1171" s="114"/>
      <c r="P1171" s="113"/>
      <c r="Q1171" s="108" t="s">
        <v>47</v>
      </c>
      <c r="R1171" s="114"/>
      <c r="S1171" s="113"/>
      <c r="T1171" s="108" t="s">
        <v>47</v>
      </c>
      <c r="U1171" s="114"/>
      <c r="V1171" s="113"/>
      <c r="W1171" s="108" t="s">
        <v>47</v>
      </c>
      <c r="X1171" s="114"/>
      <c r="Y1171" s="113"/>
      <c r="Z1171" s="108" t="s">
        <v>47</v>
      </c>
      <c r="AA1171" s="114"/>
      <c r="AB1171" s="113"/>
      <c r="AC1171" s="105" t="s">
        <v>13070</v>
      </c>
      <c r="AD1171" s="115" t="s">
        <v>101</v>
      </c>
    </row>
    <row r="1172" spans="1:30" x14ac:dyDescent="0.2">
      <c r="A1172" s="104" t="s">
        <v>13071</v>
      </c>
      <c r="B1172" s="105" t="s">
        <v>381</v>
      </c>
      <c r="C1172" s="105" t="s">
        <v>2874</v>
      </c>
      <c r="D1172" s="106"/>
      <c r="E1172" s="107"/>
      <c r="F1172" s="108" t="s">
        <v>13072</v>
      </c>
      <c r="G1172" s="109">
        <v>4</v>
      </c>
      <c r="H1172" s="108" t="s">
        <v>13073</v>
      </c>
      <c r="I1172" s="110">
        <v>3</v>
      </c>
      <c r="J1172" s="113"/>
      <c r="K1172" s="108" t="s">
        <v>13074</v>
      </c>
      <c r="L1172" s="110">
        <v>3</v>
      </c>
      <c r="M1172" s="113"/>
      <c r="N1172" s="108" t="s">
        <v>13072</v>
      </c>
      <c r="O1172" s="112">
        <v>4</v>
      </c>
      <c r="P1172" s="113"/>
      <c r="Q1172" s="108" t="s">
        <v>13075</v>
      </c>
      <c r="R1172" s="110">
        <v>3</v>
      </c>
      <c r="S1172" s="111" t="s">
        <v>40</v>
      </c>
      <c r="T1172" s="108" t="s">
        <v>47</v>
      </c>
      <c r="U1172" s="114"/>
      <c r="V1172" s="113"/>
      <c r="W1172" s="108" t="s">
        <v>47</v>
      </c>
      <c r="X1172" s="114"/>
      <c r="Y1172" s="113"/>
      <c r="Z1172" s="108" t="s">
        <v>47</v>
      </c>
      <c r="AA1172" s="114"/>
      <c r="AB1172" s="113"/>
      <c r="AC1172" s="105" t="s">
        <v>2876</v>
      </c>
      <c r="AD1172" s="115" t="s">
        <v>101</v>
      </c>
    </row>
    <row r="1173" spans="1:30" x14ac:dyDescent="0.2">
      <c r="A1173" s="104" t="s">
        <v>13076</v>
      </c>
      <c r="B1173" s="105" t="s">
        <v>381</v>
      </c>
      <c r="C1173" s="105" t="s">
        <v>2874</v>
      </c>
      <c r="D1173" s="106"/>
      <c r="E1173" s="107"/>
      <c r="F1173" s="108" t="s">
        <v>47</v>
      </c>
      <c r="G1173" s="113"/>
      <c r="H1173" s="108" t="s">
        <v>47</v>
      </c>
      <c r="I1173" s="114"/>
      <c r="J1173" s="113"/>
      <c r="K1173" s="108" t="s">
        <v>47</v>
      </c>
      <c r="L1173" s="114"/>
      <c r="M1173" s="113"/>
      <c r="N1173" s="108" t="s">
        <v>47</v>
      </c>
      <c r="O1173" s="114"/>
      <c r="P1173" s="113"/>
      <c r="Q1173" s="108" t="s">
        <v>47</v>
      </c>
      <c r="R1173" s="114"/>
      <c r="S1173" s="113"/>
      <c r="T1173" s="108" t="s">
        <v>47</v>
      </c>
      <c r="U1173" s="114"/>
      <c r="V1173" s="113"/>
      <c r="W1173" s="108" t="s">
        <v>47</v>
      </c>
      <c r="X1173" s="114"/>
      <c r="Y1173" s="113"/>
      <c r="Z1173" s="108" t="s">
        <v>47</v>
      </c>
      <c r="AA1173" s="114"/>
      <c r="AB1173" s="113"/>
      <c r="AC1173" s="105" t="s">
        <v>13077</v>
      </c>
      <c r="AD1173" s="115" t="s">
        <v>101</v>
      </c>
    </row>
    <row r="1174" spans="1:30" x14ac:dyDescent="0.2">
      <c r="A1174" s="104" t="s">
        <v>2877</v>
      </c>
      <c r="B1174" s="105" t="s">
        <v>381</v>
      </c>
      <c r="C1174" s="105" t="s">
        <v>488</v>
      </c>
      <c r="D1174" s="106" t="s">
        <v>94</v>
      </c>
      <c r="E1174" s="107"/>
      <c r="F1174" s="108" t="s">
        <v>13078</v>
      </c>
      <c r="G1174" s="118">
        <v>3</v>
      </c>
      <c r="H1174" s="108" t="s">
        <v>2878</v>
      </c>
      <c r="I1174" s="110">
        <v>3</v>
      </c>
      <c r="J1174" s="113"/>
      <c r="K1174" s="108" t="s">
        <v>2879</v>
      </c>
      <c r="L1174" s="112">
        <v>4</v>
      </c>
      <c r="M1174" s="111" t="s">
        <v>46</v>
      </c>
      <c r="N1174" s="108" t="s">
        <v>13078</v>
      </c>
      <c r="O1174" s="110">
        <v>3</v>
      </c>
      <c r="P1174" s="111" t="s">
        <v>46</v>
      </c>
      <c r="Q1174" s="108" t="s">
        <v>13079</v>
      </c>
      <c r="R1174" s="117">
        <v>2</v>
      </c>
      <c r="S1174" s="113"/>
      <c r="T1174" s="108" t="s">
        <v>13080</v>
      </c>
      <c r="U1174" s="112">
        <v>4</v>
      </c>
      <c r="V1174" s="113"/>
      <c r="W1174" s="108" t="s">
        <v>13081</v>
      </c>
      <c r="X1174" s="117">
        <v>2</v>
      </c>
      <c r="Y1174" s="113"/>
      <c r="Z1174" s="108" t="s">
        <v>2880</v>
      </c>
      <c r="AA1174" s="116">
        <v>1</v>
      </c>
      <c r="AB1174" s="113"/>
      <c r="AC1174" s="105" t="s">
        <v>2881</v>
      </c>
      <c r="AD1174" s="115" t="s">
        <v>101</v>
      </c>
    </row>
    <row r="1175" spans="1:30" x14ac:dyDescent="0.2">
      <c r="A1175" s="104" t="s">
        <v>2882</v>
      </c>
      <c r="B1175" s="105" t="s">
        <v>42</v>
      </c>
      <c r="C1175" s="105" t="s">
        <v>1449</v>
      </c>
      <c r="D1175" s="106"/>
      <c r="E1175" s="107" t="s">
        <v>376</v>
      </c>
      <c r="F1175" s="108" t="s">
        <v>13082</v>
      </c>
      <c r="G1175" s="120">
        <v>2</v>
      </c>
      <c r="H1175" s="108" t="s">
        <v>13083</v>
      </c>
      <c r="I1175" s="112">
        <v>4</v>
      </c>
      <c r="J1175" s="111" t="s">
        <v>44</v>
      </c>
      <c r="K1175" s="108" t="s">
        <v>13084</v>
      </c>
      <c r="L1175" s="117">
        <v>2</v>
      </c>
      <c r="M1175" s="113"/>
      <c r="N1175" s="108" t="s">
        <v>13082</v>
      </c>
      <c r="O1175" s="117">
        <v>2</v>
      </c>
      <c r="P1175" s="113"/>
      <c r="Q1175" s="108" t="s">
        <v>13085</v>
      </c>
      <c r="R1175" s="110">
        <v>3</v>
      </c>
      <c r="S1175" s="111" t="s">
        <v>46</v>
      </c>
      <c r="T1175" s="108" t="s">
        <v>47</v>
      </c>
      <c r="U1175" s="114"/>
      <c r="V1175" s="113"/>
      <c r="W1175" s="108" t="s">
        <v>47</v>
      </c>
      <c r="X1175" s="114"/>
      <c r="Y1175" s="113"/>
      <c r="Z1175" s="108" t="s">
        <v>47</v>
      </c>
      <c r="AA1175" s="114"/>
      <c r="AB1175" s="113"/>
      <c r="AC1175" s="105" t="s">
        <v>2883</v>
      </c>
      <c r="AD1175" s="115" t="s">
        <v>49</v>
      </c>
    </row>
    <row r="1176" spans="1:30" x14ac:dyDescent="0.2">
      <c r="A1176" s="104" t="s">
        <v>2884</v>
      </c>
      <c r="B1176" s="105" t="s">
        <v>381</v>
      </c>
      <c r="C1176" s="105" t="s">
        <v>2885</v>
      </c>
      <c r="D1176" s="106"/>
      <c r="E1176" s="107"/>
      <c r="F1176" s="108" t="s">
        <v>47</v>
      </c>
      <c r="G1176" s="113"/>
      <c r="H1176" s="108" t="s">
        <v>47</v>
      </c>
      <c r="I1176" s="114"/>
      <c r="J1176" s="113"/>
      <c r="K1176" s="108" t="s">
        <v>47</v>
      </c>
      <c r="L1176" s="114"/>
      <c r="M1176" s="113"/>
      <c r="N1176" s="108" t="s">
        <v>47</v>
      </c>
      <c r="O1176" s="114"/>
      <c r="P1176" s="113"/>
      <c r="Q1176" s="108" t="s">
        <v>47</v>
      </c>
      <c r="R1176" s="114"/>
      <c r="S1176" s="113"/>
      <c r="T1176" s="108" t="s">
        <v>47</v>
      </c>
      <c r="U1176" s="114"/>
      <c r="V1176" s="113"/>
      <c r="W1176" s="108" t="s">
        <v>47</v>
      </c>
      <c r="X1176" s="114"/>
      <c r="Y1176" s="113"/>
      <c r="Z1176" s="108" t="s">
        <v>47</v>
      </c>
      <c r="AA1176" s="114"/>
      <c r="AB1176" s="113"/>
      <c r="AC1176" s="105"/>
      <c r="AD1176" s="115" t="s">
        <v>101</v>
      </c>
    </row>
    <row r="1177" spans="1:30" x14ac:dyDescent="0.2">
      <c r="A1177" s="104" t="s">
        <v>13086</v>
      </c>
      <c r="B1177" s="105" t="s">
        <v>42</v>
      </c>
      <c r="C1177" s="105" t="s">
        <v>384</v>
      </c>
      <c r="D1177" s="106" t="s">
        <v>94</v>
      </c>
      <c r="E1177" s="107"/>
      <c r="F1177" s="108" t="s">
        <v>13087</v>
      </c>
      <c r="G1177" s="120">
        <v>2</v>
      </c>
      <c r="H1177" s="108" t="s">
        <v>13088</v>
      </c>
      <c r="I1177" s="117">
        <v>2</v>
      </c>
      <c r="J1177" s="111" t="s">
        <v>46</v>
      </c>
      <c r="K1177" s="108" t="s">
        <v>13089</v>
      </c>
      <c r="L1177" s="116">
        <v>1</v>
      </c>
      <c r="M1177" s="111" t="s">
        <v>40</v>
      </c>
      <c r="N1177" s="108" t="s">
        <v>13087</v>
      </c>
      <c r="O1177" s="117">
        <v>2</v>
      </c>
      <c r="P1177" s="111" t="s">
        <v>40</v>
      </c>
      <c r="Q1177" s="108" t="s">
        <v>13090</v>
      </c>
      <c r="R1177" s="110">
        <v>3</v>
      </c>
      <c r="S1177" s="111" t="s">
        <v>46</v>
      </c>
      <c r="T1177" s="108" t="s">
        <v>13091</v>
      </c>
      <c r="U1177" s="117">
        <v>2</v>
      </c>
      <c r="V1177" s="113"/>
      <c r="W1177" s="108" t="s">
        <v>13092</v>
      </c>
      <c r="X1177" s="116">
        <v>1</v>
      </c>
      <c r="Y1177" s="113"/>
      <c r="Z1177" s="108" t="s">
        <v>13093</v>
      </c>
      <c r="AA1177" s="116">
        <v>1</v>
      </c>
      <c r="AB1177" s="113"/>
      <c r="AC1177" s="105" t="s">
        <v>13094</v>
      </c>
      <c r="AD1177" s="115" t="s">
        <v>49</v>
      </c>
    </row>
    <row r="1178" spans="1:30" x14ac:dyDescent="0.2">
      <c r="A1178" s="104" t="s">
        <v>2886</v>
      </c>
      <c r="B1178" s="105" t="s">
        <v>381</v>
      </c>
      <c r="C1178" s="105" t="s">
        <v>2887</v>
      </c>
      <c r="D1178" s="106"/>
      <c r="E1178" s="107"/>
      <c r="F1178" s="108" t="s">
        <v>47</v>
      </c>
      <c r="G1178" s="113"/>
      <c r="H1178" s="108" t="s">
        <v>47</v>
      </c>
      <c r="I1178" s="114"/>
      <c r="J1178" s="113"/>
      <c r="K1178" s="108" t="s">
        <v>47</v>
      </c>
      <c r="L1178" s="114"/>
      <c r="M1178" s="113"/>
      <c r="N1178" s="108" t="s">
        <v>47</v>
      </c>
      <c r="O1178" s="114"/>
      <c r="P1178" s="113"/>
      <c r="Q1178" s="108" t="s">
        <v>47</v>
      </c>
      <c r="R1178" s="114"/>
      <c r="S1178" s="113"/>
      <c r="T1178" s="108" t="s">
        <v>47</v>
      </c>
      <c r="U1178" s="114"/>
      <c r="V1178" s="113"/>
      <c r="W1178" s="108" t="s">
        <v>47</v>
      </c>
      <c r="X1178" s="114"/>
      <c r="Y1178" s="113"/>
      <c r="Z1178" s="108" t="s">
        <v>47</v>
      </c>
      <c r="AA1178" s="114"/>
      <c r="AB1178" s="113"/>
      <c r="AC1178" s="105"/>
      <c r="AD1178" s="115" t="s">
        <v>101</v>
      </c>
    </row>
    <row r="1179" spans="1:30" x14ac:dyDescent="0.2">
      <c r="A1179" s="104" t="s">
        <v>2888</v>
      </c>
      <c r="B1179" s="105" t="s">
        <v>371</v>
      </c>
      <c r="C1179" s="105" t="s">
        <v>332</v>
      </c>
      <c r="D1179" s="106"/>
      <c r="E1179" s="107"/>
      <c r="F1179" s="108" t="s">
        <v>13095</v>
      </c>
      <c r="G1179" s="119">
        <v>1</v>
      </c>
      <c r="H1179" s="108" t="s">
        <v>13096</v>
      </c>
      <c r="I1179" s="116">
        <v>1</v>
      </c>
      <c r="J1179" s="111" t="s">
        <v>40</v>
      </c>
      <c r="K1179" s="108" t="s">
        <v>13097</v>
      </c>
      <c r="L1179" s="116">
        <v>1</v>
      </c>
      <c r="M1179" s="113"/>
      <c r="N1179" s="108" t="s">
        <v>13095</v>
      </c>
      <c r="O1179" s="116">
        <v>1</v>
      </c>
      <c r="P1179" s="113"/>
      <c r="Q1179" s="108" t="s">
        <v>47</v>
      </c>
      <c r="R1179" s="114"/>
      <c r="S1179" s="113"/>
      <c r="T1179" s="108" t="s">
        <v>47</v>
      </c>
      <c r="U1179" s="114"/>
      <c r="V1179" s="113"/>
      <c r="W1179" s="108" t="s">
        <v>47</v>
      </c>
      <c r="X1179" s="114"/>
      <c r="Y1179" s="113"/>
      <c r="Z1179" s="108" t="s">
        <v>47</v>
      </c>
      <c r="AA1179" s="114"/>
      <c r="AB1179" s="113"/>
      <c r="AC1179" s="105" t="s">
        <v>2889</v>
      </c>
      <c r="AD1179" s="115" t="s">
        <v>101</v>
      </c>
    </row>
    <row r="1180" spans="1:30" x14ac:dyDescent="0.2">
      <c r="A1180" s="104" t="s">
        <v>2890</v>
      </c>
      <c r="B1180" s="105" t="s">
        <v>371</v>
      </c>
      <c r="C1180" s="105" t="s">
        <v>332</v>
      </c>
      <c r="D1180" s="106"/>
      <c r="E1180" s="107"/>
      <c r="F1180" s="108" t="s">
        <v>13098</v>
      </c>
      <c r="G1180" s="119">
        <v>1</v>
      </c>
      <c r="H1180" s="108" t="s">
        <v>13099</v>
      </c>
      <c r="I1180" s="116">
        <v>1</v>
      </c>
      <c r="J1180" s="111" t="s">
        <v>40</v>
      </c>
      <c r="K1180" s="108" t="s">
        <v>13100</v>
      </c>
      <c r="L1180" s="116">
        <v>1</v>
      </c>
      <c r="M1180" s="113"/>
      <c r="N1180" s="108" t="s">
        <v>13098</v>
      </c>
      <c r="O1180" s="116">
        <v>1</v>
      </c>
      <c r="P1180" s="113"/>
      <c r="Q1180" s="108" t="s">
        <v>47</v>
      </c>
      <c r="R1180" s="114"/>
      <c r="S1180" s="113"/>
      <c r="T1180" s="108" t="s">
        <v>47</v>
      </c>
      <c r="U1180" s="114"/>
      <c r="V1180" s="113"/>
      <c r="W1180" s="108" t="s">
        <v>47</v>
      </c>
      <c r="X1180" s="114"/>
      <c r="Y1180" s="113"/>
      <c r="Z1180" s="108" t="s">
        <v>47</v>
      </c>
      <c r="AA1180" s="114"/>
      <c r="AB1180" s="113"/>
      <c r="AC1180" s="105" t="s">
        <v>2891</v>
      </c>
      <c r="AD1180" s="115" t="s">
        <v>101</v>
      </c>
    </row>
    <row r="1181" spans="1:30" x14ac:dyDescent="0.2">
      <c r="A1181" s="104" t="s">
        <v>2892</v>
      </c>
      <c r="B1181" s="105" t="s">
        <v>2816</v>
      </c>
      <c r="C1181" s="105" t="s">
        <v>2893</v>
      </c>
      <c r="D1181" s="106"/>
      <c r="E1181" s="107"/>
      <c r="F1181" s="108" t="s">
        <v>13101</v>
      </c>
      <c r="G1181" s="119">
        <v>1</v>
      </c>
      <c r="H1181" s="108" t="s">
        <v>13102</v>
      </c>
      <c r="I1181" s="116">
        <v>1</v>
      </c>
      <c r="J1181" s="113"/>
      <c r="K1181" s="108" t="s">
        <v>13103</v>
      </c>
      <c r="L1181" s="116">
        <v>1</v>
      </c>
      <c r="M1181" s="113"/>
      <c r="N1181" s="108" t="s">
        <v>13101</v>
      </c>
      <c r="O1181" s="116">
        <v>1</v>
      </c>
      <c r="P1181" s="113"/>
      <c r="Q1181" s="108" t="s">
        <v>13104</v>
      </c>
      <c r="R1181" s="116">
        <v>1</v>
      </c>
      <c r="S1181" s="113"/>
      <c r="T1181" s="108" t="s">
        <v>47</v>
      </c>
      <c r="U1181" s="114"/>
      <c r="V1181" s="113"/>
      <c r="W1181" s="108" t="s">
        <v>47</v>
      </c>
      <c r="X1181" s="114"/>
      <c r="Y1181" s="113"/>
      <c r="Z1181" s="108" t="s">
        <v>47</v>
      </c>
      <c r="AA1181" s="114"/>
      <c r="AB1181" s="113"/>
      <c r="AC1181" s="105" t="s">
        <v>2894</v>
      </c>
      <c r="AD1181" s="115" t="s">
        <v>424</v>
      </c>
    </row>
    <row r="1182" spans="1:30" x14ac:dyDescent="0.2">
      <c r="A1182" s="104" t="s">
        <v>2895</v>
      </c>
      <c r="B1182" s="105" t="s">
        <v>2816</v>
      </c>
      <c r="C1182" s="105" t="s">
        <v>112</v>
      </c>
      <c r="D1182" s="106"/>
      <c r="E1182" s="107"/>
      <c r="F1182" s="108" t="s">
        <v>13105</v>
      </c>
      <c r="G1182" s="119">
        <v>1</v>
      </c>
      <c r="H1182" s="108" t="s">
        <v>13106</v>
      </c>
      <c r="I1182" s="116">
        <v>1</v>
      </c>
      <c r="J1182" s="111" t="s">
        <v>157</v>
      </c>
      <c r="K1182" s="108" t="s">
        <v>13107</v>
      </c>
      <c r="L1182" s="112">
        <v>4</v>
      </c>
      <c r="M1182" s="113"/>
      <c r="N1182" s="108" t="s">
        <v>13105</v>
      </c>
      <c r="O1182" s="116">
        <v>1</v>
      </c>
      <c r="P1182" s="111" t="s">
        <v>53</v>
      </c>
      <c r="Q1182" s="108" t="s">
        <v>13108</v>
      </c>
      <c r="R1182" s="116">
        <v>1</v>
      </c>
      <c r="S1182" s="113"/>
      <c r="T1182" s="108" t="s">
        <v>47</v>
      </c>
      <c r="U1182" s="114"/>
      <c r="V1182" s="113"/>
      <c r="W1182" s="108" t="s">
        <v>47</v>
      </c>
      <c r="X1182" s="114"/>
      <c r="Y1182" s="113"/>
      <c r="Z1182" s="108" t="s">
        <v>47</v>
      </c>
      <c r="AA1182" s="114"/>
      <c r="AB1182" s="113"/>
      <c r="AC1182" s="105" t="s">
        <v>2896</v>
      </c>
      <c r="AD1182" s="115" t="s">
        <v>424</v>
      </c>
    </row>
    <row r="1183" spans="1:30" x14ac:dyDescent="0.2">
      <c r="A1183" s="104" t="s">
        <v>2897</v>
      </c>
      <c r="B1183" s="105" t="s">
        <v>2816</v>
      </c>
      <c r="C1183" s="105" t="s">
        <v>112</v>
      </c>
      <c r="D1183" s="106"/>
      <c r="E1183" s="107"/>
      <c r="F1183" s="108" t="s">
        <v>13109</v>
      </c>
      <c r="G1183" s="119">
        <v>1</v>
      </c>
      <c r="H1183" s="108" t="s">
        <v>13110</v>
      </c>
      <c r="I1183" s="116">
        <v>1</v>
      </c>
      <c r="J1183" s="111" t="s">
        <v>40</v>
      </c>
      <c r="K1183" s="108" t="s">
        <v>13111</v>
      </c>
      <c r="L1183" s="116">
        <v>1</v>
      </c>
      <c r="M1183" s="111" t="s">
        <v>157</v>
      </c>
      <c r="N1183" s="108" t="s">
        <v>13109</v>
      </c>
      <c r="O1183" s="116">
        <v>1</v>
      </c>
      <c r="P1183" s="111" t="s">
        <v>157</v>
      </c>
      <c r="Q1183" s="108" t="s">
        <v>13112</v>
      </c>
      <c r="R1183" s="116">
        <v>1</v>
      </c>
      <c r="S1183" s="111" t="s">
        <v>40</v>
      </c>
      <c r="T1183" s="108" t="s">
        <v>47</v>
      </c>
      <c r="U1183" s="114"/>
      <c r="V1183" s="113"/>
      <c r="W1183" s="108" t="s">
        <v>47</v>
      </c>
      <c r="X1183" s="114"/>
      <c r="Y1183" s="113"/>
      <c r="Z1183" s="108" t="s">
        <v>47</v>
      </c>
      <c r="AA1183" s="114"/>
      <c r="AB1183" s="113"/>
      <c r="AC1183" s="105" t="s">
        <v>2898</v>
      </c>
      <c r="AD1183" s="115" t="s">
        <v>424</v>
      </c>
    </row>
    <row r="1184" spans="1:30" x14ac:dyDescent="0.2">
      <c r="A1184" s="104" t="s">
        <v>2899</v>
      </c>
      <c r="B1184" s="105" t="s">
        <v>2816</v>
      </c>
      <c r="C1184" s="105" t="s">
        <v>439</v>
      </c>
      <c r="D1184" s="106"/>
      <c r="E1184" s="107"/>
      <c r="F1184" s="108" t="s">
        <v>13113</v>
      </c>
      <c r="G1184" s="119">
        <v>1</v>
      </c>
      <c r="H1184" s="108" t="s">
        <v>13114</v>
      </c>
      <c r="I1184" s="116">
        <v>1</v>
      </c>
      <c r="J1184" s="113"/>
      <c r="K1184" s="108" t="s">
        <v>13115</v>
      </c>
      <c r="L1184" s="116">
        <v>1</v>
      </c>
      <c r="M1184" s="113"/>
      <c r="N1184" s="108" t="s">
        <v>13113</v>
      </c>
      <c r="O1184" s="116">
        <v>1</v>
      </c>
      <c r="P1184" s="113"/>
      <c r="Q1184" s="108" t="s">
        <v>13116</v>
      </c>
      <c r="R1184" s="116">
        <v>1</v>
      </c>
      <c r="S1184" s="113"/>
      <c r="T1184" s="108" t="s">
        <v>47</v>
      </c>
      <c r="U1184" s="114"/>
      <c r="V1184" s="113"/>
      <c r="W1184" s="108" t="s">
        <v>47</v>
      </c>
      <c r="X1184" s="114"/>
      <c r="Y1184" s="113"/>
      <c r="Z1184" s="108" t="s">
        <v>47</v>
      </c>
      <c r="AA1184" s="114"/>
      <c r="AB1184" s="113"/>
      <c r="AC1184" s="105" t="s">
        <v>2900</v>
      </c>
      <c r="AD1184" s="115" t="s">
        <v>424</v>
      </c>
    </row>
    <row r="1185" spans="1:30" x14ac:dyDescent="0.2">
      <c r="A1185" s="104" t="s">
        <v>2901</v>
      </c>
      <c r="B1185" s="105" t="s">
        <v>2816</v>
      </c>
      <c r="C1185" s="105" t="s">
        <v>112</v>
      </c>
      <c r="D1185" s="106"/>
      <c r="E1185" s="107"/>
      <c r="F1185" s="108" t="s">
        <v>13117</v>
      </c>
      <c r="G1185" s="119">
        <v>1</v>
      </c>
      <c r="H1185" s="108" t="s">
        <v>13118</v>
      </c>
      <c r="I1185" s="116">
        <v>1</v>
      </c>
      <c r="J1185" s="111" t="s">
        <v>157</v>
      </c>
      <c r="K1185" s="108" t="s">
        <v>13119</v>
      </c>
      <c r="L1185" s="116">
        <v>1</v>
      </c>
      <c r="M1185" s="111" t="s">
        <v>40</v>
      </c>
      <c r="N1185" s="108" t="s">
        <v>13117</v>
      </c>
      <c r="O1185" s="116">
        <v>1</v>
      </c>
      <c r="P1185" s="111" t="s">
        <v>40</v>
      </c>
      <c r="Q1185" s="108" t="s">
        <v>13120</v>
      </c>
      <c r="R1185" s="117">
        <v>2</v>
      </c>
      <c r="S1185" s="111" t="s">
        <v>53</v>
      </c>
      <c r="T1185" s="108" t="s">
        <v>47</v>
      </c>
      <c r="U1185" s="114"/>
      <c r="V1185" s="113"/>
      <c r="W1185" s="108" t="s">
        <v>47</v>
      </c>
      <c r="X1185" s="114"/>
      <c r="Y1185" s="113"/>
      <c r="Z1185" s="108" t="s">
        <v>47</v>
      </c>
      <c r="AA1185" s="114"/>
      <c r="AB1185" s="113"/>
      <c r="AC1185" s="105" t="s">
        <v>2902</v>
      </c>
      <c r="AD1185" s="115" t="s">
        <v>424</v>
      </c>
    </row>
    <row r="1186" spans="1:30" x14ac:dyDescent="0.2">
      <c r="A1186" s="104" t="s">
        <v>2903</v>
      </c>
      <c r="B1186" s="105" t="s">
        <v>2816</v>
      </c>
      <c r="C1186" s="105" t="s">
        <v>2893</v>
      </c>
      <c r="D1186" s="106"/>
      <c r="E1186" s="107"/>
      <c r="F1186" s="108" t="s">
        <v>13121</v>
      </c>
      <c r="G1186" s="119">
        <v>1</v>
      </c>
      <c r="H1186" s="108" t="s">
        <v>13122</v>
      </c>
      <c r="I1186" s="116">
        <v>1</v>
      </c>
      <c r="J1186" s="113"/>
      <c r="K1186" s="108" t="s">
        <v>13123</v>
      </c>
      <c r="L1186" s="116">
        <v>1</v>
      </c>
      <c r="M1186" s="113"/>
      <c r="N1186" s="108" t="s">
        <v>13121</v>
      </c>
      <c r="O1186" s="116">
        <v>1</v>
      </c>
      <c r="P1186" s="113"/>
      <c r="Q1186" s="108" t="s">
        <v>13124</v>
      </c>
      <c r="R1186" s="116">
        <v>1</v>
      </c>
      <c r="S1186" s="113"/>
      <c r="T1186" s="108" t="s">
        <v>47</v>
      </c>
      <c r="U1186" s="114"/>
      <c r="V1186" s="113"/>
      <c r="W1186" s="108" t="s">
        <v>47</v>
      </c>
      <c r="X1186" s="114"/>
      <c r="Y1186" s="113"/>
      <c r="Z1186" s="108" t="s">
        <v>47</v>
      </c>
      <c r="AA1186" s="114"/>
      <c r="AB1186" s="113"/>
      <c r="AC1186" s="105" t="s">
        <v>2904</v>
      </c>
      <c r="AD1186" s="115" t="s">
        <v>424</v>
      </c>
    </row>
    <row r="1187" spans="1:30" x14ac:dyDescent="0.2">
      <c r="A1187" s="104" t="s">
        <v>2905</v>
      </c>
      <c r="B1187" s="105" t="s">
        <v>2816</v>
      </c>
      <c r="C1187" s="105" t="s">
        <v>2893</v>
      </c>
      <c r="D1187" s="106" t="s">
        <v>94</v>
      </c>
      <c r="E1187" s="107"/>
      <c r="F1187" s="108" t="s">
        <v>13125</v>
      </c>
      <c r="G1187" s="119">
        <v>1</v>
      </c>
      <c r="H1187" s="108" t="s">
        <v>13126</v>
      </c>
      <c r="I1187" s="116">
        <v>1</v>
      </c>
      <c r="J1187" s="113"/>
      <c r="K1187" s="108" t="s">
        <v>13127</v>
      </c>
      <c r="L1187" s="116">
        <v>1</v>
      </c>
      <c r="M1187" s="113"/>
      <c r="N1187" s="108" t="s">
        <v>13125</v>
      </c>
      <c r="O1187" s="116">
        <v>1</v>
      </c>
      <c r="P1187" s="113"/>
      <c r="Q1187" s="108" t="s">
        <v>13128</v>
      </c>
      <c r="R1187" s="116">
        <v>1</v>
      </c>
      <c r="S1187" s="113"/>
      <c r="T1187" s="108" t="s">
        <v>13129</v>
      </c>
      <c r="U1187" s="117">
        <v>2</v>
      </c>
      <c r="V1187" s="113"/>
      <c r="W1187" s="108" t="s">
        <v>13130</v>
      </c>
      <c r="X1187" s="116">
        <v>1</v>
      </c>
      <c r="Y1187" s="111" t="s">
        <v>40</v>
      </c>
      <c r="Z1187" s="108" t="s">
        <v>47</v>
      </c>
      <c r="AA1187" s="114"/>
      <c r="AB1187" s="113"/>
      <c r="AC1187" s="105" t="s">
        <v>2906</v>
      </c>
      <c r="AD1187" s="115" t="s">
        <v>424</v>
      </c>
    </row>
    <row r="1188" spans="1:30" x14ac:dyDescent="0.2">
      <c r="A1188" s="104" t="s">
        <v>2907</v>
      </c>
      <c r="B1188" s="105" t="s">
        <v>2816</v>
      </c>
      <c r="C1188" s="105" t="s">
        <v>112</v>
      </c>
      <c r="D1188" s="106"/>
      <c r="E1188" s="107"/>
      <c r="F1188" s="108" t="s">
        <v>13131</v>
      </c>
      <c r="G1188" s="119">
        <v>1</v>
      </c>
      <c r="H1188" s="108" t="s">
        <v>13132</v>
      </c>
      <c r="I1188" s="116">
        <v>1</v>
      </c>
      <c r="J1188" s="113"/>
      <c r="K1188" s="108" t="s">
        <v>13133</v>
      </c>
      <c r="L1188" s="116">
        <v>1</v>
      </c>
      <c r="M1188" s="111" t="s">
        <v>157</v>
      </c>
      <c r="N1188" s="108" t="s">
        <v>13131</v>
      </c>
      <c r="O1188" s="116">
        <v>1</v>
      </c>
      <c r="P1188" s="111" t="s">
        <v>53</v>
      </c>
      <c r="Q1188" s="108" t="s">
        <v>13134</v>
      </c>
      <c r="R1188" s="116">
        <v>1</v>
      </c>
      <c r="S1188" s="113"/>
      <c r="T1188" s="108" t="s">
        <v>47</v>
      </c>
      <c r="U1188" s="114"/>
      <c r="V1188" s="113"/>
      <c r="W1188" s="108" t="s">
        <v>47</v>
      </c>
      <c r="X1188" s="114"/>
      <c r="Y1188" s="113"/>
      <c r="Z1188" s="108" t="s">
        <v>47</v>
      </c>
      <c r="AA1188" s="114"/>
      <c r="AB1188" s="113"/>
      <c r="AC1188" s="105" t="s">
        <v>2908</v>
      </c>
      <c r="AD1188" s="115" t="s">
        <v>424</v>
      </c>
    </row>
    <row r="1189" spans="1:30" x14ac:dyDescent="0.2">
      <c r="A1189" s="104" t="s">
        <v>2909</v>
      </c>
      <c r="B1189" s="105" t="s">
        <v>2816</v>
      </c>
      <c r="C1189" s="105" t="s">
        <v>2893</v>
      </c>
      <c r="D1189" s="106" t="s">
        <v>125</v>
      </c>
      <c r="E1189" s="107"/>
      <c r="F1189" s="108" t="s">
        <v>13135</v>
      </c>
      <c r="G1189" s="119">
        <v>1</v>
      </c>
      <c r="H1189" s="108" t="s">
        <v>13136</v>
      </c>
      <c r="I1189" s="116">
        <v>1</v>
      </c>
      <c r="J1189" s="113"/>
      <c r="K1189" s="108" t="s">
        <v>13137</v>
      </c>
      <c r="L1189" s="116">
        <v>1</v>
      </c>
      <c r="M1189" s="113"/>
      <c r="N1189" s="108" t="s">
        <v>13135</v>
      </c>
      <c r="O1189" s="116">
        <v>1</v>
      </c>
      <c r="P1189" s="113"/>
      <c r="Q1189" s="108" t="s">
        <v>13138</v>
      </c>
      <c r="R1189" s="116">
        <v>1</v>
      </c>
      <c r="S1189" s="113"/>
      <c r="T1189" s="108" t="s">
        <v>13139</v>
      </c>
      <c r="U1189" s="117">
        <v>2</v>
      </c>
      <c r="V1189" s="113"/>
      <c r="W1189" s="108" t="s">
        <v>47</v>
      </c>
      <c r="X1189" s="114"/>
      <c r="Y1189" s="113"/>
      <c r="Z1189" s="108" t="s">
        <v>47</v>
      </c>
      <c r="AA1189" s="114"/>
      <c r="AB1189" s="113"/>
      <c r="AC1189" s="105" t="s">
        <v>2910</v>
      </c>
      <c r="AD1189" s="115" t="s">
        <v>424</v>
      </c>
    </row>
    <row r="1190" spans="1:30" x14ac:dyDescent="0.2">
      <c r="A1190" s="104" t="s">
        <v>2911</v>
      </c>
      <c r="B1190" s="105" t="s">
        <v>2816</v>
      </c>
      <c r="C1190" s="105" t="s">
        <v>2893</v>
      </c>
      <c r="D1190" s="106"/>
      <c r="E1190" s="107"/>
      <c r="F1190" s="108" t="s">
        <v>13140</v>
      </c>
      <c r="G1190" s="119">
        <v>1</v>
      </c>
      <c r="H1190" s="108" t="s">
        <v>13141</v>
      </c>
      <c r="I1190" s="116">
        <v>1</v>
      </c>
      <c r="J1190" s="113"/>
      <c r="K1190" s="108" t="s">
        <v>13142</v>
      </c>
      <c r="L1190" s="116">
        <v>1</v>
      </c>
      <c r="M1190" s="113"/>
      <c r="N1190" s="108" t="s">
        <v>13140</v>
      </c>
      <c r="O1190" s="116">
        <v>1</v>
      </c>
      <c r="P1190" s="113"/>
      <c r="Q1190" s="108" t="s">
        <v>13143</v>
      </c>
      <c r="R1190" s="116">
        <v>1</v>
      </c>
      <c r="S1190" s="113"/>
      <c r="T1190" s="108" t="s">
        <v>47</v>
      </c>
      <c r="U1190" s="114"/>
      <c r="V1190" s="113"/>
      <c r="W1190" s="108" t="s">
        <v>47</v>
      </c>
      <c r="X1190" s="114"/>
      <c r="Y1190" s="113"/>
      <c r="Z1190" s="108" t="s">
        <v>47</v>
      </c>
      <c r="AA1190" s="114"/>
      <c r="AB1190" s="113"/>
      <c r="AC1190" s="105" t="s">
        <v>2912</v>
      </c>
      <c r="AD1190" s="115" t="s">
        <v>424</v>
      </c>
    </row>
    <row r="1191" spans="1:30" x14ac:dyDescent="0.2">
      <c r="A1191" s="104" t="s">
        <v>2913</v>
      </c>
      <c r="B1191" s="105" t="s">
        <v>2816</v>
      </c>
      <c r="C1191" s="105" t="s">
        <v>112</v>
      </c>
      <c r="D1191" s="106"/>
      <c r="E1191" s="107"/>
      <c r="F1191" s="108" t="s">
        <v>13144</v>
      </c>
      <c r="G1191" s="119">
        <v>1</v>
      </c>
      <c r="H1191" s="108" t="s">
        <v>13145</v>
      </c>
      <c r="I1191" s="116">
        <v>1</v>
      </c>
      <c r="J1191" s="113"/>
      <c r="K1191" s="108" t="s">
        <v>13146</v>
      </c>
      <c r="L1191" s="117">
        <v>2</v>
      </c>
      <c r="M1191" s="111" t="s">
        <v>40</v>
      </c>
      <c r="N1191" s="108" t="s">
        <v>13144</v>
      </c>
      <c r="O1191" s="116">
        <v>1</v>
      </c>
      <c r="P1191" s="111" t="s">
        <v>40</v>
      </c>
      <c r="Q1191" s="108" t="s">
        <v>13147</v>
      </c>
      <c r="R1191" s="116">
        <v>1</v>
      </c>
      <c r="S1191" s="113"/>
      <c r="T1191" s="108" t="s">
        <v>13148</v>
      </c>
      <c r="U1191" s="116">
        <v>1</v>
      </c>
      <c r="V1191" s="113"/>
      <c r="W1191" s="108" t="s">
        <v>47</v>
      </c>
      <c r="X1191" s="114"/>
      <c r="Y1191" s="113"/>
      <c r="Z1191" s="108" t="s">
        <v>47</v>
      </c>
      <c r="AA1191" s="114"/>
      <c r="AB1191" s="113"/>
      <c r="AC1191" s="105" t="s">
        <v>2914</v>
      </c>
      <c r="AD1191" s="115" t="s">
        <v>424</v>
      </c>
    </row>
    <row r="1192" spans="1:30" x14ac:dyDescent="0.2">
      <c r="A1192" s="104" t="s">
        <v>2915</v>
      </c>
      <c r="B1192" s="105" t="s">
        <v>2816</v>
      </c>
      <c r="C1192" s="105" t="s">
        <v>112</v>
      </c>
      <c r="D1192" s="106"/>
      <c r="E1192" s="107"/>
      <c r="F1192" s="108" t="s">
        <v>13149</v>
      </c>
      <c r="G1192" s="119">
        <v>1</v>
      </c>
      <c r="H1192" s="108" t="s">
        <v>13150</v>
      </c>
      <c r="I1192" s="116">
        <v>1</v>
      </c>
      <c r="J1192" s="113"/>
      <c r="K1192" s="108" t="s">
        <v>13151</v>
      </c>
      <c r="L1192" s="117">
        <v>2</v>
      </c>
      <c r="M1192" s="111" t="s">
        <v>40</v>
      </c>
      <c r="N1192" s="108" t="s">
        <v>13149</v>
      </c>
      <c r="O1192" s="116">
        <v>1</v>
      </c>
      <c r="P1192" s="111" t="s">
        <v>40</v>
      </c>
      <c r="Q1192" s="108" t="s">
        <v>13152</v>
      </c>
      <c r="R1192" s="116">
        <v>1</v>
      </c>
      <c r="S1192" s="113"/>
      <c r="T1192" s="108" t="s">
        <v>13153</v>
      </c>
      <c r="U1192" s="116">
        <v>1</v>
      </c>
      <c r="V1192" s="113"/>
      <c r="W1192" s="108" t="s">
        <v>47</v>
      </c>
      <c r="X1192" s="114"/>
      <c r="Y1192" s="113"/>
      <c r="Z1192" s="108" t="s">
        <v>47</v>
      </c>
      <c r="AA1192" s="114"/>
      <c r="AB1192" s="113"/>
      <c r="AC1192" s="105" t="s">
        <v>2916</v>
      </c>
      <c r="AD1192" s="115" t="s">
        <v>424</v>
      </c>
    </row>
    <row r="1193" spans="1:30" x14ac:dyDescent="0.2">
      <c r="A1193" s="104" t="s">
        <v>2917</v>
      </c>
      <c r="B1193" s="105" t="s">
        <v>2816</v>
      </c>
      <c r="C1193" s="105" t="s">
        <v>2893</v>
      </c>
      <c r="D1193" s="106" t="s">
        <v>94</v>
      </c>
      <c r="E1193" s="107"/>
      <c r="F1193" s="108" t="s">
        <v>13154</v>
      </c>
      <c r="G1193" s="119">
        <v>1</v>
      </c>
      <c r="H1193" s="108" t="s">
        <v>13155</v>
      </c>
      <c r="I1193" s="116">
        <v>1</v>
      </c>
      <c r="J1193" s="113"/>
      <c r="K1193" s="108" t="s">
        <v>13156</v>
      </c>
      <c r="L1193" s="116">
        <v>1</v>
      </c>
      <c r="M1193" s="113"/>
      <c r="N1193" s="108" t="s">
        <v>13154</v>
      </c>
      <c r="O1193" s="116">
        <v>1</v>
      </c>
      <c r="P1193" s="113"/>
      <c r="Q1193" s="108" t="s">
        <v>13157</v>
      </c>
      <c r="R1193" s="116">
        <v>1</v>
      </c>
      <c r="S1193" s="113"/>
      <c r="T1193" s="108" t="s">
        <v>13158</v>
      </c>
      <c r="U1193" s="117">
        <v>2</v>
      </c>
      <c r="V1193" s="113"/>
      <c r="W1193" s="108" t="s">
        <v>13159</v>
      </c>
      <c r="X1193" s="117">
        <v>2</v>
      </c>
      <c r="Y1193" s="113"/>
      <c r="Z1193" s="108" t="s">
        <v>47</v>
      </c>
      <c r="AA1193" s="114"/>
      <c r="AB1193" s="113"/>
      <c r="AC1193" s="105" t="s">
        <v>2918</v>
      </c>
      <c r="AD1193" s="115" t="s">
        <v>424</v>
      </c>
    </row>
    <row r="1194" spans="1:30" x14ac:dyDescent="0.2">
      <c r="A1194" s="104" t="s">
        <v>2919</v>
      </c>
      <c r="B1194" s="105" t="s">
        <v>2816</v>
      </c>
      <c r="C1194" s="105" t="s">
        <v>2893</v>
      </c>
      <c r="D1194" s="106"/>
      <c r="E1194" s="107"/>
      <c r="F1194" s="108" t="s">
        <v>13160</v>
      </c>
      <c r="G1194" s="119">
        <v>1</v>
      </c>
      <c r="H1194" s="108" t="s">
        <v>13161</v>
      </c>
      <c r="I1194" s="116">
        <v>1</v>
      </c>
      <c r="J1194" s="113"/>
      <c r="K1194" s="108" t="s">
        <v>13162</v>
      </c>
      <c r="L1194" s="116">
        <v>1</v>
      </c>
      <c r="M1194" s="113"/>
      <c r="N1194" s="108" t="s">
        <v>13160</v>
      </c>
      <c r="O1194" s="116">
        <v>1</v>
      </c>
      <c r="P1194" s="113"/>
      <c r="Q1194" s="108" t="s">
        <v>13163</v>
      </c>
      <c r="R1194" s="116">
        <v>1</v>
      </c>
      <c r="S1194" s="113"/>
      <c r="T1194" s="108" t="s">
        <v>47</v>
      </c>
      <c r="U1194" s="114"/>
      <c r="V1194" s="113"/>
      <c r="W1194" s="108" t="s">
        <v>47</v>
      </c>
      <c r="X1194" s="114"/>
      <c r="Y1194" s="113"/>
      <c r="Z1194" s="108" t="s">
        <v>47</v>
      </c>
      <c r="AA1194" s="114"/>
      <c r="AB1194" s="113"/>
      <c r="AC1194" s="105" t="s">
        <v>2920</v>
      </c>
      <c r="AD1194" s="115" t="s">
        <v>424</v>
      </c>
    </row>
    <row r="1195" spans="1:30" x14ac:dyDescent="0.2">
      <c r="A1195" s="104" t="s">
        <v>2921</v>
      </c>
      <c r="B1195" s="105" t="s">
        <v>2816</v>
      </c>
      <c r="C1195" s="105" t="s">
        <v>112</v>
      </c>
      <c r="D1195" s="106"/>
      <c r="E1195" s="107"/>
      <c r="F1195" s="108" t="s">
        <v>13164</v>
      </c>
      <c r="G1195" s="120">
        <v>2</v>
      </c>
      <c r="H1195" s="108" t="s">
        <v>13165</v>
      </c>
      <c r="I1195" s="116">
        <v>1</v>
      </c>
      <c r="J1195" s="111" t="s">
        <v>157</v>
      </c>
      <c r="K1195" s="108" t="s">
        <v>13166</v>
      </c>
      <c r="L1195" s="112">
        <v>4</v>
      </c>
      <c r="M1195" s="113"/>
      <c r="N1195" s="108" t="s">
        <v>13164</v>
      </c>
      <c r="O1195" s="117">
        <v>2</v>
      </c>
      <c r="P1195" s="111" t="s">
        <v>53</v>
      </c>
      <c r="Q1195" s="108" t="s">
        <v>13167</v>
      </c>
      <c r="R1195" s="110">
        <v>3</v>
      </c>
      <c r="S1195" s="111" t="s">
        <v>46</v>
      </c>
      <c r="T1195" s="108" t="s">
        <v>47</v>
      </c>
      <c r="U1195" s="114"/>
      <c r="V1195" s="113"/>
      <c r="W1195" s="108" t="s">
        <v>47</v>
      </c>
      <c r="X1195" s="114"/>
      <c r="Y1195" s="113"/>
      <c r="Z1195" s="108" t="s">
        <v>47</v>
      </c>
      <c r="AA1195" s="114"/>
      <c r="AB1195" s="113"/>
      <c r="AC1195" s="105" t="s">
        <v>2922</v>
      </c>
      <c r="AD1195" s="115" t="s">
        <v>424</v>
      </c>
    </row>
    <row r="1196" spans="1:30" x14ac:dyDescent="0.2">
      <c r="A1196" s="104" t="s">
        <v>2923</v>
      </c>
      <c r="B1196" s="105" t="s">
        <v>2816</v>
      </c>
      <c r="C1196" s="105" t="s">
        <v>112</v>
      </c>
      <c r="D1196" s="106"/>
      <c r="E1196" s="107"/>
      <c r="F1196" s="108" t="s">
        <v>13168</v>
      </c>
      <c r="G1196" s="109">
        <v>4</v>
      </c>
      <c r="H1196" s="108" t="s">
        <v>13169</v>
      </c>
      <c r="I1196" s="116">
        <v>1</v>
      </c>
      <c r="J1196" s="111" t="s">
        <v>157</v>
      </c>
      <c r="K1196" s="108" t="s">
        <v>13170</v>
      </c>
      <c r="L1196" s="112">
        <v>4</v>
      </c>
      <c r="M1196" s="113"/>
      <c r="N1196" s="108" t="s">
        <v>13168</v>
      </c>
      <c r="O1196" s="112">
        <v>4</v>
      </c>
      <c r="P1196" s="113"/>
      <c r="Q1196" s="108" t="s">
        <v>13171</v>
      </c>
      <c r="R1196" s="112">
        <v>4</v>
      </c>
      <c r="S1196" s="113"/>
      <c r="T1196" s="108" t="s">
        <v>47</v>
      </c>
      <c r="U1196" s="114"/>
      <c r="V1196" s="113"/>
      <c r="W1196" s="108" t="s">
        <v>47</v>
      </c>
      <c r="X1196" s="114"/>
      <c r="Y1196" s="113"/>
      <c r="Z1196" s="108" t="s">
        <v>47</v>
      </c>
      <c r="AA1196" s="114"/>
      <c r="AB1196" s="113"/>
      <c r="AC1196" s="105" t="s">
        <v>2924</v>
      </c>
      <c r="AD1196" s="115" t="s">
        <v>424</v>
      </c>
    </row>
    <row r="1197" spans="1:30" x14ac:dyDescent="0.2">
      <c r="A1197" s="104" t="s">
        <v>2925</v>
      </c>
      <c r="B1197" s="105" t="s">
        <v>2816</v>
      </c>
      <c r="C1197" s="105" t="s">
        <v>384</v>
      </c>
      <c r="D1197" s="106"/>
      <c r="E1197" s="107"/>
      <c r="F1197" s="108" t="s">
        <v>47</v>
      </c>
      <c r="G1197" s="113"/>
      <c r="H1197" s="108" t="s">
        <v>47</v>
      </c>
      <c r="I1197" s="114"/>
      <c r="J1197" s="113"/>
      <c r="K1197" s="108" t="s">
        <v>47</v>
      </c>
      <c r="L1197" s="114"/>
      <c r="M1197" s="113"/>
      <c r="N1197" s="108" t="s">
        <v>47</v>
      </c>
      <c r="O1197" s="114"/>
      <c r="P1197" s="113"/>
      <c r="Q1197" s="108" t="s">
        <v>47</v>
      </c>
      <c r="R1197" s="114"/>
      <c r="S1197" s="113"/>
      <c r="T1197" s="108" t="s">
        <v>47</v>
      </c>
      <c r="U1197" s="114"/>
      <c r="V1197" s="113"/>
      <c r="W1197" s="108" t="s">
        <v>47</v>
      </c>
      <c r="X1197" s="114"/>
      <c r="Y1197" s="113"/>
      <c r="Z1197" s="108" t="s">
        <v>47</v>
      </c>
      <c r="AA1197" s="114"/>
      <c r="AB1197" s="113"/>
      <c r="AC1197" s="105" t="s">
        <v>2926</v>
      </c>
      <c r="AD1197" s="115" t="s">
        <v>424</v>
      </c>
    </row>
    <row r="1198" spans="1:30" x14ac:dyDescent="0.2">
      <c r="A1198" s="104" t="s">
        <v>2927</v>
      </c>
      <c r="B1198" s="105" t="s">
        <v>2816</v>
      </c>
      <c r="C1198" s="105" t="s">
        <v>112</v>
      </c>
      <c r="D1198" s="106"/>
      <c r="E1198" s="107"/>
      <c r="F1198" s="108" t="s">
        <v>13172</v>
      </c>
      <c r="G1198" s="118">
        <v>3</v>
      </c>
      <c r="H1198" s="108" t="s">
        <v>13173</v>
      </c>
      <c r="I1198" s="117">
        <v>2</v>
      </c>
      <c r="J1198" s="111" t="s">
        <v>53</v>
      </c>
      <c r="K1198" s="108" t="s">
        <v>13174</v>
      </c>
      <c r="L1198" s="110">
        <v>3</v>
      </c>
      <c r="M1198" s="113"/>
      <c r="N1198" s="108" t="s">
        <v>13172</v>
      </c>
      <c r="O1198" s="110">
        <v>3</v>
      </c>
      <c r="P1198" s="111" t="s">
        <v>40</v>
      </c>
      <c r="Q1198" s="108" t="s">
        <v>13175</v>
      </c>
      <c r="R1198" s="112">
        <v>4</v>
      </c>
      <c r="S1198" s="113"/>
      <c r="T1198" s="108" t="s">
        <v>47</v>
      </c>
      <c r="U1198" s="114"/>
      <c r="V1198" s="113"/>
      <c r="W1198" s="108" t="s">
        <v>47</v>
      </c>
      <c r="X1198" s="114"/>
      <c r="Y1198" s="113"/>
      <c r="Z1198" s="108" t="s">
        <v>47</v>
      </c>
      <c r="AA1198" s="114"/>
      <c r="AB1198" s="113"/>
      <c r="AC1198" s="105" t="s">
        <v>2928</v>
      </c>
      <c r="AD1198" s="115" t="s">
        <v>424</v>
      </c>
    </row>
    <row r="1199" spans="1:30" x14ac:dyDescent="0.2">
      <c r="A1199" s="104" t="s">
        <v>2929</v>
      </c>
      <c r="B1199" s="105" t="s">
        <v>2816</v>
      </c>
      <c r="C1199" s="105" t="s">
        <v>2930</v>
      </c>
      <c r="D1199" s="106"/>
      <c r="E1199" s="107"/>
      <c r="F1199" s="108" t="s">
        <v>13176</v>
      </c>
      <c r="G1199" s="119">
        <v>1</v>
      </c>
      <c r="H1199" s="108" t="s">
        <v>13177</v>
      </c>
      <c r="I1199" s="116">
        <v>1</v>
      </c>
      <c r="J1199" s="113"/>
      <c r="K1199" s="108" t="s">
        <v>13178</v>
      </c>
      <c r="L1199" s="116">
        <v>1</v>
      </c>
      <c r="M1199" s="113"/>
      <c r="N1199" s="108" t="s">
        <v>13176</v>
      </c>
      <c r="O1199" s="116">
        <v>1</v>
      </c>
      <c r="P1199" s="111" t="s">
        <v>40</v>
      </c>
      <c r="Q1199" s="108" t="s">
        <v>13179</v>
      </c>
      <c r="R1199" s="110">
        <v>3</v>
      </c>
      <c r="S1199" s="113"/>
      <c r="T1199" s="108" t="s">
        <v>47</v>
      </c>
      <c r="U1199" s="114"/>
      <c r="V1199" s="113"/>
      <c r="W1199" s="108" t="s">
        <v>47</v>
      </c>
      <c r="X1199" s="114"/>
      <c r="Y1199" s="113"/>
      <c r="Z1199" s="108" t="s">
        <v>47</v>
      </c>
      <c r="AA1199" s="114"/>
      <c r="AB1199" s="113"/>
      <c r="AC1199" s="105" t="s">
        <v>2931</v>
      </c>
      <c r="AD1199" s="115" t="s">
        <v>424</v>
      </c>
    </row>
    <row r="1200" spans="1:30" x14ac:dyDescent="0.2">
      <c r="A1200" s="104" t="s">
        <v>2932</v>
      </c>
      <c r="B1200" s="105" t="s">
        <v>2816</v>
      </c>
      <c r="C1200" s="105" t="s">
        <v>112</v>
      </c>
      <c r="D1200" s="106"/>
      <c r="E1200" s="107"/>
      <c r="F1200" s="108" t="s">
        <v>13180</v>
      </c>
      <c r="G1200" s="120">
        <v>2</v>
      </c>
      <c r="H1200" s="108" t="s">
        <v>13181</v>
      </c>
      <c r="I1200" s="116">
        <v>1</v>
      </c>
      <c r="J1200" s="113"/>
      <c r="K1200" s="108" t="s">
        <v>13182</v>
      </c>
      <c r="L1200" s="116">
        <v>1</v>
      </c>
      <c r="M1200" s="111" t="s">
        <v>157</v>
      </c>
      <c r="N1200" s="108" t="s">
        <v>13180</v>
      </c>
      <c r="O1200" s="117">
        <v>2</v>
      </c>
      <c r="P1200" s="111" t="s">
        <v>53</v>
      </c>
      <c r="Q1200" s="108" t="s">
        <v>13183</v>
      </c>
      <c r="R1200" s="110">
        <v>3</v>
      </c>
      <c r="S1200" s="111" t="s">
        <v>46</v>
      </c>
      <c r="T1200" s="108" t="s">
        <v>47</v>
      </c>
      <c r="U1200" s="114"/>
      <c r="V1200" s="113"/>
      <c r="W1200" s="108" t="s">
        <v>47</v>
      </c>
      <c r="X1200" s="114"/>
      <c r="Y1200" s="113"/>
      <c r="Z1200" s="108" t="s">
        <v>47</v>
      </c>
      <c r="AA1200" s="114"/>
      <c r="AB1200" s="113"/>
      <c r="AC1200" s="105" t="s">
        <v>2933</v>
      </c>
      <c r="AD1200" s="115" t="s">
        <v>424</v>
      </c>
    </row>
    <row r="1201" spans="1:30" x14ac:dyDescent="0.2">
      <c r="A1201" s="104" t="s">
        <v>2934</v>
      </c>
      <c r="B1201" s="105" t="s">
        <v>2816</v>
      </c>
      <c r="C1201" s="105" t="s">
        <v>112</v>
      </c>
      <c r="D1201" s="106"/>
      <c r="E1201" s="107"/>
      <c r="F1201" s="108" t="s">
        <v>13184</v>
      </c>
      <c r="G1201" s="120">
        <v>2</v>
      </c>
      <c r="H1201" s="108" t="s">
        <v>13185</v>
      </c>
      <c r="I1201" s="110">
        <v>3</v>
      </c>
      <c r="J1201" s="113"/>
      <c r="K1201" s="108" t="s">
        <v>13186</v>
      </c>
      <c r="L1201" s="112">
        <v>4</v>
      </c>
      <c r="M1201" s="113"/>
      <c r="N1201" s="108" t="s">
        <v>13184</v>
      </c>
      <c r="O1201" s="117">
        <v>2</v>
      </c>
      <c r="P1201" s="111" t="s">
        <v>40</v>
      </c>
      <c r="Q1201" s="108" t="s">
        <v>13187</v>
      </c>
      <c r="R1201" s="112">
        <v>4</v>
      </c>
      <c r="S1201" s="111" t="s">
        <v>46</v>
      </c>
      <c r="T1201" s="108" t="s">
        <v>47</v>
      </c>
      <c r="U1201" s="114"/>
      <c r="V1201" s="113"/>
      <c r="W1201" s="108" t="s">
        <v>47</v>
      </c>
      <c r="X1201" s="114"/>
      <c r="Y1201" s="113"/>
      <c r="Z1201" s="108" t="s">
        <v>47</v>
      </c>
      <c r="AA1201" s="114"/>
      <c r="AB1201" s="113"/>
      <c r="AC1201" s="105" t="s">
        <v>2935</v>
      </c>
      <c r="AD1201" s="115" t="s">
        <v>424</v>
      </c>
    </row>
    <row r="1202" spans="1:30" x14ac:dyDescent="0.2">
      <c r="A1202" s="104" t="s">
        <v>2936</v>
      </c>
      <c r="B1202" s="105" t="s">
        <v>2816</v>
      </c>
      <c r="C1202" s="105" t="s">
        <v>2930</v>
      </c>
      <c r="D1202" s="106" t="s">
        <v>94</v>
      </c>
      <c r="E1202" s="107"/>
      <c r="F1202" s="108" t="s">
        <v>13188</v>
      </c>
      <c r="G1202" s="119">
        <v>1</v>
      </c>
      <c r="H1202" s="108" t="s">
        <v>13189</v>
      </c>
      <c r="I1202" s="116">
        <v>1</v>
      </c>
      <c r="J1202" s="113"/>
      <c r="K1202" s="108" t="s">
        <v>13190</v>
      </c>
      <c r="L1202" s="116">
        <v>1</v>
      </c>
      <c r="M1202" s="113"/>
      <c r="N1202" s="108" t="s">
        <v>13188</v>
      </c>
      <c r="O1202" s="116">
        <v>1</v>
      </c>
      <c r="P1202" s="111" t="s">
        <v>40</v>
      </c>
      <c r="Q1202" s="108" t="s">
        <v>13191</v>
      </c>
      <c r="R1202" s="110">
        <v>3</v>
      </c>
      <c r="S1202" s="113"/>
      <c r="T1202" s="108" t="s">
        <v>13192</v>
      </c>
      <c r="U1202" s="117">
        <v>2</v>
      </c>
      <c r="V1202" s="113"/>
      <c r="W1202" s="108" t="s">
        <v>13193</v>
      </c>
      <c r="X1202" s="117">
        <v>2</v>
      </c>
      <c r="Y1202" s="113"/>
      <c r="Z1202" s="108" t="s">
        <v>47</v>
      </c>
      <c r="AA1202" s="114"/>
      <c r="AB1202" s="113"/>
      <c r="AC1202" s="105" t="s">
        <v>2937</v>
      </c>
      <c r="AD1202" s="115" t="s">
        <v>424</v>
      </c>
    </row>
    <row r="1203" spans="1:30" x14ac:dyDescent="0.2">
      <c r="A1203" s="104" t="s">
        <v>2938</v>
      </c>
      <c r="B1203" s="105" t="s">
        <v>2816</v>
      </c>
      <c r="C1203" s="105" t="s">
        <v>2930</v>
      </c>
      <c r="D1203" s="106"/>
      <c r="E1203" s="107"/>
      <c r="F1203" s="108" t="s">
        <v>13194</v>
      </c>
      <c r="G1203" s="119">
        <v>1</v>
      </c>
      <c r="H1203" s="108" t="s">
        <v>13195</v>
      </c>
      <c r="I1203" s="116">
        <v>1</v>
      </c>
      <c r="J1203" s="113"/>
      <c r="K1203" s="108" t="s">
        <v>13196</v>
      </c>
      <c r="L1203" s="116">
        <v>1</v>
      </c>
      <c r="M1203" s="113"/>
      <c r="N1203" s="108" t="s">
        <v>13194</v>
      </c>
      <c r="O1203" s="116">
        <v>1</v>
      </c>
      <c r="P1203" s="111" t="s">
        <v>40</v>
      </c>
      <c r="Q1203" s="108" t="s">
        <v>13197</v>
      </c>
      <c r="R1203" s="110">
        <v>3</v>
      </c>
      <c r="S1203" s="113"/>
      <c r="T1203" s="108" t="s">
        <v>47</v>
      </c>
      <c r="U1203" s="114"/>
      <c r="V1203" s="113"/>
      <c r="W1203" s="108" t="s">
        <v>47</v>
      </c>
      <c r="X1203" s="114"/>
      <c r="Y1203" s="113"/>
      <c r="Z1203" s="108" t="s">
        <v>47</v>
      </c>
      <c r="AA1203" s="114"/>
      <c r="AB1203" s="113"/>
      <c r="AC1203" s="105" t="s">
        <v>2939</v>
      </c>
      <c r="AD1203" s="115" t="s">
        <v>424</v>
      </c>
    </row>
    <row r="1204" spans="1:30" x14ac:dyDescent="0.2">
      <c r="A1204" s="104" t="s">
        <v>2940</v>
      </c>
      <c r="B1204" s="105" t="s">
        <v>2816</v>
      </c>
      <c r="C1204" s="105" t="s">
        <v>2930</v>
      </c>
      <c r="D1204" s="106" t="s">
        <v>514</v>
      </c>
      <c r="E1204" s="107"/>
      <c r="F1204" s="108" t="s">
        <v>13198</v>
      </c>
      <c r="G1204" s="119">
        <v>1</v>
      </c>
      <c r="H1204" s="108" t="s">
        <v>13199</v>
      </c>
      <c r="I1204" s="116">
        <v>1</v>
      </c>
      <c r="J1204" s="113"/>
      <c r="K1204" s="108" t="s">
        <v>13200</v>
      </c>
      <c r="L1204" s="116">
        <v>1</v>
      </c>
      <c r="M1204" s="113"/>
      <c r="N1204" s="108" t="s">
        <v>13198</v>
      </c>
      <c r="O1204" s="116">
        <v>1</v>
      </c>
      <c r="P1204" s="111" t="s">
        <v>40</v>
      </c>
      <c r="Q1204" s="108" t="s">
        <v>2941</v>
      </c>
      <c r="R1204" s="117">
        <v>2</v>
      </c>
      <c r="S1204" s="111" t="s">
        <v>40</v>
      </c>
      <c r="T1204" s="108" t="s">
        <v>13201</v>
      </c>
      <c r="U1204" s="117">
        <v>2</v>
      </c>
      <c r="V1204" s="113"/>
      <c r="W1204" s="108" t="s">
        <v>13202</v>
      </c>
      <c r="X1204" s="116">
        <v>1</v>
      </c>
      <c r="Y1204" s="113"/>
      <c r="Z1204" s="108" t="s">
        <v>47</v>
      </c>
      <c r="AA1204" s="114"/>
      <c r="AB1204" s="113"/>
      <c r="AC1204" s="105" t="s">
        <v>2942</v>
      </c>
      <c r="AD1204" s="115" t="s">
        <v>424</v>
      </c>
    </row>
    <row r="1205" spans="1:30" x14ac:dyDescent="0.2">
      <c r="A1205" s="104" t="s">
        <v>2943</v>
      </c>
      <c r="B1205" s="105" t="s">
        <v>2816</v>
      </c>
      <c r="C1205" s="105" t="s">
        <v>2248</v>
      </c>
      <c r="D1205" s="106"/>
      <c r="E1205" s="107" t="s">
        <v>146</v>
      </c>
      <c r="F1205" s="108" t="s">
        <v>13203</v>
      </c>
      <c r="G1205" s="119">
        <v>1</v>
      </c>
      <c r="H1205" s="108" t="s">
        <v>13204</v>
      </c>
      <c r="I1205" s="116">
        <v>1</v>
      </c>
      <c r="J1205" s="111" t="s">
        <v>157</v>
      </c>
      <c r="K1205" s="108" t="s">
        <v>13205</v>
      </c>
      <c r="L1205" s="117">
        <v>2</v>
      </c>
      <c r="M1205" s="111" t="s">
        <v>53</v>
      </c>
      <c r="N1205" s="108" t="s">
        <v>13203</v>
      </c>
      <c r="O1205" s="116">
        <v>1</v>
      </c>
      <c r="P1205" s="111" t="s">
        <v>40</v>
      </c>
      <c r="Q1205" s="108" t="s">
        <v>13206</v>
      </c>
      <c r="R1205" s="117">
        <v>2</v>
      </c>
      <c r="S1205" s="113"/>
      <c r="T1205" s="108" t="s">
        <v>47</v>
      </c>
      <c r="U1205" s="114"/>
      <c r="V1205" s="113"/>
      <c r="W1205" s="108" t="s">
        <v>47</v>
      </c>
      <c r="X1205" s="114"/>
      <c r="Y1205" s="113"/>
      <c r="Z1205" s="108" t="s">
        <v>47</v>
      </c>
      <c r="AA1205" s="114"/>
      <c r="AB1205" s="113"/>
      <c r="AC1205" s="105" t="s">
        <v>2944</v>
      </c>
      <c r="AD1205" s="115" t="s">
        <v>424</v>
      </c>
    </row>
    <row r="1206" spans="1:30" x14ac:dyDescent="0.2">
      <c r="A1206" s="104" t="s">
        <v>2945</v>
      </c>
      <c r="B1206" s="105" t="s">
        <v>2816</v>
      </c>
      <c r="C1206" s="105" t="s">
        <v>2248</v>
      </c>
      <c r="D1206" s="106"/>
      <c r="E1206" s="107" t="s">
        <v>146</v>
      </c>
      <c r="F1206" s="108" t="s">
        <v>13207</v>
      </c>
      <c r="G1206" s="119">
        <v>1</v>
      </c>
      <c r="H1206" s="108" t="s">
        <v>13208</v>
      </c>
      <c r="I1206" s="116">
        <v>1</v>
      </c>
      <c r="J1206" s="111" t="s">
        <v>53</v>
      </c>
      <c r="K1206" s="108" t="s">
        <v>13209</v>
      </c>
      <c r="L1206" s="116">
        <v>1</v>
      </c>
      <c r="M1206" s="111" t="s">
        <v>157</v>
      </c>
      <c r="N1206" s="108" t="s">
        <v>13207</v>
      </c>
      <c r="O1206" s="116">
        <v>1</v>
      </c>
      <c r="P1206" s="111" t="s">
        <v>53</v>
      </c>
      <c r="Q1206" s="108" t="s">
        <v>13210</v>
      </c>
      <c r="R1206" s="110">
        <v>3</v>
      </c>
      <c r="S1206" s="111" t="s">
        <v>40</v>
      </c>
      <c r="T1206" s="108" t="s">
        <v>47</v>
      </c>
      <c r="U1206" s="114"/>
      <c r="V1206" s="113"/>
      <c r="W1206" s="108" t="s">
        <v>47</v>
      </c>
      <c r="X1206" s="114"/>
      <c r="Y1206" s="113"/>
      <c r="Z1206" s="108" t="s">
        <v>47</v>
      </c>
      <c r="AA1206" s="114"/>
      <c r="AB1206" s="113"/>
      <c r="AC1206" s="105" t="s">
        <v>2946</v>
      </c>
      <c r="AD1206" s="115" t="s">
        <v>424</v>
      </c>
    </row>
    <row r="1207" spans="1:30" x14ac:dyDescent="0.2">
      <c r="A1207" s="104" t="s">
        <v>2947</v>
      </c>
      <c r="B1207" s="105" t="s">
        <v>2816</v>
      </c>
      <c r="C1207" s="105" t="s">
        <v>2248</v>
      </c>
      <c r="D1207" s="106"/>
      <c r="E1207" s="107" t="s">
        <v>146</v>
      </c>
      <c r="F1207" s="108" t="s">
        <v>13211</v>
      </c>
      <c r="G1207" s="119">
        <v>1</v>
      </c>
      <c r="H1207" s="108" t="s">
        <v>13212</v>
      </c>
      <c r="I1207" s="116">
        <v>1</v>
      </c>
      <c r="J1207" s="113"/>
      <c r="K1207" s="108" t="s">
        <v>13213</v>
      </c>
      <c r="L1207" s="116">
        <v>1</v>
      </c>
      <c r="M1207" s="113"/>
      <c r="N1207" s="108" t="s">
        <v>13211</v>
      </c>
      <c r="O1207" s="116">
        <v>1</v>
      </c>
      <c r="P1207" s="113"/>
      <c r="Q1207" s="108" t="s">
        <v>13214</v>
      </c>
      <c r="R1207" s="110">
        <v>3</v>
      </c>
      <c r="S1207" s="113"/>
      <c r="T1207" s="108" t="s">
        <v>47</v>
      </c>
      <c r="U1207" s="114"/>
      <c r="V1207" s="113"/>
      <c r="W1207" s="108" t="s">
        <v>47</v>
      </c>
      <c r="X1207" s="114"/>
      <c r="Y1207" s="113"/>
      <c r="Z1207" s="108" t="s">
        <v>47</v>
      </c>
      <c r="AA1207" s="114"/>
      <c r="AB1207" s="113"/>
      <c r="AC1207" s="105" t="s">
        <v>2948</v>
      </c>
      <c r="AD1207" s="115" t="s">
        <v>424</v>
      </c>
    </row>
    <row r="1208" spans="1:30" x14ac:dyDescent="0.2">
      <c r="A1208" s="104" t="s">
        <v>2949</v>
      </c>
      <c r="B1208" s="105" t="s">
        <v>2816</v>
      </c>
      <c r="C1208" s="105" t="s">
        <v>2248</v>
      </c>
      <c r="D1208" s="106"/>
      <c r="E1208" s="107" t="s">
        <v>146</v>
      </c>
      <c r="F1208" s="108" t="s">
        <v>13215</v>
      </c>
      <c r="G1208" s="119">
        <v>1</v>
      </c>
      <c r="H1208" s="108" t="s">
        <v>13216</v>
      </c>
      <c r="I1208" s="116">
        <v>1</v>
      </c>
      <c r="J1208" s="111" t="s">
        <v>157</v>
      </c>
      <c r="K1208" s="108" t="s">
        <v>13217</v>
      </c>
      <c r="L1208" s="116">
        <v>1</v>
      </c>
      <c r="M1208" s="111" t="s">
        <v>40</v>
      </c>
      <c r="N1208" s="108" t="s">
        <v>13215</v>
      </c>
      <c r="O1208" s="116">
        <v>1</v>
      </c>
      <c r="P1208" s="113"/>
      <c r="Q1208" s="108" t="s">
        <v>13218</v>
      </c>
      <c r="R1208" s="112">
        <v>4</v>
      </c>
      <c r="S1208" s="113"/>
      <c r="T1208" s="108" t="s">
        <v>47</v>
      </c>
      <c r="U1208" s="114"/>
      <c r="V1208" s="113"/>
      <c r="W1208" s="108" t="s">
        <v>47</v>
      </c>
      <c r="X1208" s="114"/>
      <c r="Y1208" s="113"/>
      <c r="Z1208" s="108" t="s">
        <v>47</v>
      </c>
      <c r="AA1208" s="114"/>
      <c r="AB1208" s="113"/>
      <c r="AC1208" s="105" t="s">
        <v>2950</v>
      </c>
      <c r="AD1208" s="115" t="s">
        <v>424</v>
      </c>
    </row>
    <row r="1209" spans="1:30" x14ac:dyDescent="0.2">
      <c r="A1209" s="104" t="s">
        <v>2951</v>
      </c>
      <c r="B1209" s="105" t="s">
        <v>2816</v>
      </c>
      <c r="C1209" s="105" t="s">
        <v>332</v>
      </c>
      <c r="D1209" s="106"/>
      <c r="E1209" s="107" t="s">
        <v>146</v>
      </c>
      <c r="F1209" s="108" t="s">
        <v>13219</v>
      </c>
      <c r="G1209" s="119">
        <v>1</v>
      </c>
      <c r="H1209" s="108" t="s">
        <v>13220</v>
      </c>
      <c r="I1209" s="116">
        <v>1</v>
      </c>
      <c r="J1209" s="111" t="s">
        <v>53</v>
      </c>
      <c r="K1209" s="108" t="s">
        <v>13221</v>
      </c>
      <c r="L1209" s="116">
        <v>1</v>
      </c>
      <c r="M1209" s="111" t="s">
        <v>40</v>
      </c>
      <c r="N1209" s="108" t="s">
        <v>13219</v>
      </c>
      <c r="O1209" s="116">
        <v>1</v>
      </c>
      <c r="P1209" s="113"/>
      <c r="Q1209" s="108" t="s">
        <v>13222</v>
      </c>
      <c r="R1209" s="112">
        <v>4</v>
      </c>
      <c r="S1209" s="113"/>
      <c r="T1209" s="108" t="s">
        <v>47</v>
      </c>
      <c r="U1209" s="114"/>
      <c r="V1209" s="113"/>
      <c r="W1209" s="108" t="s">
        <v>47</v>
      </c>
      <c r="X1209" s="114"/>
      <c r="Y1209" s="113"/>
      <c r="Z1209" s="108" t="s">
        <v>47</v>
      </c>
      <c r="AA1209" s="114"/>
      <c r="AB1209" s="113"/>
      <c r="AC1209" s="105" t="s">
        <v>2952</v>
      </c>
      <c r="AD1209" s="115" t="s">
        <v>424</v>
      </c>
    </row>
    <row r="1210" spans="1:30" x14ac:dyDescent="0.2">
      <c r="A1210" s="104" t="s">
        <v>2953</v>
      </c>
      <c r="B1210" s="105" t="s">
        <v>2816</v>
      </c>
      <c r="C1210" s="105" t="s">
        <v>332</v>
      </c>
      <c r="D1210" s="106"/>
      <c r="E1210" s="107" t="s">
        <v>146</v>
      </c>
      <c r="F1210" s="108" t="s">
        <v>13223</v>
      </c>
      <c r="G1210" s="119">
        <v>1</v>
      </c>
      <c r="H1210" s="108" t="s">
        <v>13224</v>
      </c>
      <c r="I1210" s="116">
        <v>1</v>
      </c>
      <c r="J1210" s="111" t="s">
        <v>53</v>
      </c>
      <c r="K1210" s="108" t="s">
        <v>13225</v>
      </c>
      <c r="L1210" s="116">
        <v>1</v>
      </c>
      <c r="M1210" s="111" t="s">
        <v>40</v>
      </c>
      <c r="N1210" s="108" t="s">
        <v>13223</v>
      </c>
      <c r="O1210" s="116">
        <v>1</v>
      </c>
      <c r="P1210" s="113"/>
      <c r="Q1210" s="108" t="s">
        <v>13226</v>
      </c>
      <c r="R1210" s="112">
        <v>4</v>
      </c>
      <c r="S1210" s="113"/>
      <c r="T1210" s="108" t="s">
        <v>47</v>
      </c>
      <c r="U1210" s="114"/>
      <c r="V1210" s="113"/>
      <c r="W1210" s="108" t="s">
        <v>47</v>
      </c>
      <c r="X1210" s="114"/>
      <c r="Y1210" s="113"/>
      <c r="Z1210" s="108" t="s">
        <v>47</v>
      </c>
      <c r="AA1210" s="114"/>
      <c r="AB1210" s="113"/>
      <c r="AC1210" s="105" t="s">
        <v>2954</v>
      </c>
      <c r="AD1210" s="115" t="s">
        <v>424</v>
      </c>
    </row>
    <row r="1211" spans="1:30" x14ac:dyDescent="0.2">
      <c r="A1211" s="104" t="s">
        <v>2955</v>
      </c>
      <c r="B1211" s="105" t="s">
        <v>2816</v>
      </c>
      <c r="C1211" s="105" t="s">
        <v>2248</v>
      </c>
      <c r="D1211" s="106"/>
      <c r="E1211" s="107" t="s">
        <v>146</v>
      </c>
      <c r="F1211" s="108" t="s">
        <v>13227</v>
      </c>
      <c r="G1211" s="119">
        <v>1</v>
      </c>
      <c r="H1211" s="108" t="s">
        <v>13228</v>
      </c>
      <c r="I1211" s="116">
        <v>1</v>
      </c>
      <c r="J1211" s="113"/>
      <c r="K1211" s="108" t="s">
        <v>13229</v>
      </c>
      <c r="L1211" s="116">
        <v>1</v>
      </c>
      <c r="M1211" s="111" t="s">
        <v>157</v>
      </c>
      <c r="N1211" s="108" t="s">
        <v>13227</v>
      </c>
      <c r="O1211" s="116">
        <v>1</v>
      </c>
      <c r="P1211" s="111" t="s">
        <v>40</v>
      </c>
      <c r="Q1211" s="108" t="s">
        <v>13230</v>
      </c>
      <c r="R1211" s="117">
        <v>2</v>
      </c>
      <c r="S1211" s="111" t="s">
        <v>46</v>
      </c>
      <c r="T1211" s="108" t="s">
        <v>47</v>
      </c>
      <c r="U1211" s="114"/>
      <c r="V1211" s="113"/>
      <c r="W1211" s="108" t="s">
        <v>47</v>
      </c>
      <c r="X1211" s="114"/>
      <c r="Y1211" s="113"/>
      <c r="Z1211" s="108" t="s">
        <v>47</v>
      </c>
      <c r="AA1211" s="114"/>
      <c r="AB1211" s="113"/>
      <c r="AC1211" s="105" t="s">
        <v>2956</v>
      </c>
      <c r="AD1211" s="115" t="s">
        <v>424</v>
      </c>
    </row>
    <row r="1212" spans="1:30" x14ac:dyDescent="0.2">
      <c r="A1212" s="104" t="s">
        <v>2957</v>
      </c>
      <c r="B1212" s="105" t="s">
        <v>2816</v>
      </c>
      <c r="C1212" s="105" t="s">
        <v>332</v>
      </c>
      <c r="D1212" s="106"/>
      <c r="E1212" s="107" t="s">
        <v>146</v>
      </c>
      <c r="F1212" s="108" t="s">
        <v>13231</v>
      </c>
      <c r="G1212" s="119">
        <v>1</v>
      </c>
      <c r="H1212" s="108" t="s">
        <v>13232</v>
      </c>
      <c r="I1212" s="116">
        <v>1</v>
      </c>
      <c r="J1212" s="111" t="s">
        <v>53</v>
      </c>
      <c r="K1212" s="108" t="s">
        <v>13233</v>
      </c>
      <c r="L1212" s="116">
        <v>1</v>
      </c>
      <c r="M1212" s="111" t="s">
        <v>40</v>
      </c>
      <c r="N1212" s="108" t="s">
        <v>13231</v>
      </c>
      <c r="O1212" s="116">
        <v>1</v>
      </c>
      <c r="P1212" s="113"/>
      <c r="Q1212" s="108" t="s">
        <v>13234</v>
      </c>
      <c r="R1212" s="112">
        <v>4</v>
      </c>
      <c r="S1212" s="113"/>
      <c r="T1212" s="108" t="s">
        <v>47</v>
      </c>
      <c r="U1212" s="114"/>
      <c r="V1212" s="113"/>
      <c r="W1212" s="108" t="s">
        <v>47</v>
      </c>
      <c r="X1212" s="114"/>
      <c r="Y1212" s="113"/>
      <c r="Z1212" s="108" t="s">
        <v>47</v>
      </c>
      <c r="AA1212" s="114"/>
      <c r="AB1212" s="113"/>
      <c r="AC1212" s="105" t="s">
        <v>2958</v>
      </c>
      <c r="AD1212" s="115" t="s">
        <v>424</v>
      </c>
    </row>
    <row r="1213" spans="1:30" x14ac:dyDescent="0.2">
      <c r="A1213" s="104" t="s">
        <v>2959</v>
      </c>
      <c r="B1213" s="105" t="s">
        <v>2816</v>
      </c>
      <c r="C1213" s="105" t="s">
        <v>332</v>
      </c>
      <c r="D1213" s="106"/>
      <c r="E1213" s="107" t="s">
        <v>146</v>
      </c>
      <c r="F1213" s="108" t="s">
        <v>13235</v>
      </c>
      <c r="G1213" s="119">
        <v>1</v>
      </c>
      <c r="H1213" s="108" t="s">
        <v>13236</v>
      </c>
      <c r="I1213" s="116">
        <v>1</v>
      </c>
      <c r="J1213" s="111" t="s">
        <v>53</v>
      </c>
      <c r="K1213" s="108" t="s">
        <v>13237</v>
      </c>
      <c r="L1213" s="116">
        <v>1</v>
      </c>
      <c r="M1213" s="111" t="s">
        <v>40</v>
      </c>
      <c r="N1213" s="108" t="s">
        <v>13235</v>
      </c>
      <c r="O1213" s="116">
        <v>1</v>
      </c>
      <c r="P1213" s="113"/>
      <c r="Q1213" s="108" t="s">
        <v>13238</v>
      </c>
      <c r="R1213" s="112">
        <v>4</v>
      </c>
      <c r="S1213" s="113"/>
      <c r="T1213" s="108" t="s">
        <v>47</v>
      </c>
      <c r="U1213" s="114"/>
      <c r="V1213" s="113"/>
      <c r="W1213" s="108" t="s">
        <v>47</v>
      </c>
      <c r="X1213" s="114"/>
      <c r="Y1213" s="113"/>
      <c r="Z1213" s="108" t="s">
        <v>47</v>
      </c>
      <c r="AA1213" s="114"/>
      <c r="AB1213" s="113"/>
      <c r="AC1213" s="105" t="s">
        <v>2960</v>
      </c>
      <c r="AD1213" s="115" t="s">
        <v>424</v>
      </c>
    </row>
    <row r="1214" spans="1:30" x14ac:dyDescent="0.2">
      <c r="A1214" s="104" t="s">
        <v>2961</v>
      </c>
      <c r="B1214" s="105" t="s">
        <v>2816</v>
      </c>
      <c r="C1214" s="105" t="s">
        <v>2248</v>
      </c>
      <c r="D1214" s="106"/>
      <c r="E1214" s="107" t="s">
        <v>146</v>
      </c>
      <c r="F1214" s="108" t="s">
        <v>13239</v>
      </c>
      <c r="G1214" s="119">
        <v>1</v>
      </c>
      <c r="H1214" s="108" t="s">
        <v>13240</v>
      </c>
      <c r="I1214" s="116">
        <v>1</v>
      </c>
      <c r="J1214" s="111" t="s">
        <v>40</v>
      </c>
      <c r="K1214" s="108" t="s">
        <v>13241</v>
      </c>
      <c r="L1214" s="117">
        <v>2</v>
      </c>
      <c r="M1214" s="111" t="s">
        <v>40</v>
      </c>
      <c r="N1214" s="108" t="s">
        <v>13239</v>
      </c>
      <c r="O1214" s="116">
        <v>1</v>
      </c>
      <c r="P1214" s="113"/>
      <c r="Q1214" s="108" t="s">
        <v>13242</v>
      </c>
      <c r="R1214" s="110">
        <v>3</v>
      </c>
      <c r="S1214" s="113"/>
      <c r="T1214" s="108" t="s">
        <v>47</v>
      </c>
      <c r="U1214" s="114"/>
      <c r="V1214" s="113"/>
      <c r="W1214" s="108" t="s">
        <v>47</v>
      </c>
      <c r="X1214" s="114"/>
      <c r="Y1214" s="113"/>
      <c r="Z1214" s="108" t="s">
        <v>47</v>
      </c>
      <c r="AA1214" s="114"/>
      <c r="AB1214" s="113"/>
      <c r="AC1214" s="105" t="s">
        <v>2962</v>
      </c>
      <c r="AD1214" s="115" t="s">
        <v>424</v>
      </c>
    </row>
    <row r="1215" spans="1:30" x14ac:dyDescent="0.2">
      <c r="A1215" s="104" t="s">
        <v>2963</v>
      </c>
      <c r="B1215" s="105" t="s">
        <v>2816</v>
      </c>
      <c r="C1215" s="105" t="s">
        <v>2248</v>
      </c>
      <c r="D1215" s="106"/>
      <c r="E1215" s="107" t="s">
        <v>146</v>
      </c>
      <c r="F1215" s="108" t="s">
        <v>13243</v>
      </c>
      <c r="G1215" s="119">
        <v>1</v>
      </c>
      <c r="H1215" s="108" t="s">
        <v>13244</v>
      </c>
      <c r="I1215" s="116">
        <v>1</v>
      </c>
      <c r="J1215" s="111" t="s">
        <v>40</v>
      </c>
      <c r="K1215" s="108" t="s">
        <v>13245</v>
      </c>
      <c r="L1215" s="117">
        <v>2</v>
      </c>
      <c r="M1215" s="111" t="s">
        <v>40</v>
      </c>
      <c r="N1215" s="108" t="s">
        <v>13243</v>
      </c>
      <c r="O1215" s="116">
        <v>1</v>
      </c>
      <c r="P1215" s="113"/>
      <c r="Q1215" s="108" t="s">
        <v>13246</v>
      </c>
      <c r="R1215" s="110">
        <v>3</v>
      </c>
      <c r="S1215" s="113"/>
      <c r="T1215" s="108" t="s">
        <v>47</v>
      </c>
      <c r="U1215" s="114"/>
      <c r="V1215" s="113"/>
      <c r="W1215" s="108" t="s">
        <v>47</v>
      </c>
      <c r="X1215" s="114"/>
      <c r="Y1215" s="113"/>
      <c r="Z1215" s="108" t="s">
        <v>47</v>
      </c>
      <c r="AA1215" s="114"/>
      <c r="AB1215" s="113"/>
      <c r="AC1215" s="105" t="s">
        <v>2964</v>
      </c>
      <c r="AD1215" s="115" t="s">
        <v>424</v>
      </c>
    </row>
    <row r="1216" spans="1:30" x14ac:dyDescent="0.2">
      <c r="A1216" s="104" t="s">
        <v>2965</v>
      </c>
      <c r="B1216" s="105" t="s">
        <v>2816</v>
      </c>
      <c r="C1216" s="105" t="s">
        <v>2248</v>
      </c>
      <c r="D1216" s="106"/>
      <c r="E1216" s="107" t="s">
        <v>146</v>
      </c>
      <c r="F1216" s="108" t="s">
        <v>13247</v>
      </c>
      <c r="G1216" s="119">
        <v>1</v>
      </c>
      <c r="H1216" s="108" t="s">
        <v>13248</v>
      </c>
      <c r="I1216" s="116">
        <v>1</v>
      </c>
      <c r="J1216" s="111" t="s">
        <v>40</v>
      </c>
      <c r="K1216" s="108" t="s">
        <v>13249</v>
      </c>
      <c r="L1216" s="117">
        <v>2</v>
      </c>
      <c r="M1216" s="111" t="s">
        <v>40</v>
      </c>
      <c r="N1216" s="108" t="s">
        <v>13247</v>
      </c>
      <c r="O1216" s="116">
        <v>1</v>
      </c>
      <c r="P1216" s="113"/>
      <c r="Q1216" s="108" t="s">
        <v>13250</v>
      </c>
      <c r="R1216" s="110">
        <v>3</v>
      </c>
      <c r="S1216" s="113"/>
      <c r="T1216" s="108" t="s">
        <v>47</v>
      </c>
      <c r="U1216" s="114"/>
      <c r="V1216" s="113"/>
      <c r="W1216" s="108" t="s">
        <v>47</v>
      </c>
      <c r="X1216" s="114"/>
      <c r="Y1216" s="113"/>
      <c r="Z1216" s="108" t="s">
        <v>47</v>
      </c>
      <c r="AA1216" s="114"/>
      <c r="AB1216" s="113"/>
      <c r="AC1216" s="105" t="s">
        <v>2966</v>
      </c>
      <c r="AD1216" s="115" t="s">
        <v>424</v>
      </c>
    </row>
    <row r="1217" spans="1:30" x14ac:dyDescent="0.2">
      <c r="A1217" s="104" t="s">
        <v>2967</v>
      </c>
      <c r="B1217" s="105" t="s">
        <v>2816</v>
      </c>
      <c r="C1217" s="105" t="s">
        <v>332</v>
      </c>
      <c r="D1217" s="106"/>
      <c r="E1217" s="107" t="s">
        <v>146</v>
      </c>
      <c r="F1217" s="108" t="s">
        <v>13251</v>
      </c>
      <c r="G1217" s="119">
        <v>1</v>
      </c>
      <c r="H1217" s="108" t="s">
        <v>13252</v>
      </c>
      <c r="I1217" s="116">
        <v>1</v>
      </c>
      <c r="J1217" s="111" t="s">
        <v>53</v>
      </c>
      <c r="K1217" s="108" t="s">
        <v>13253</v>
      </c>
      <c r="L1217" s="116">
        <v>1</v>
      </c>
      <c r="M1217" s="111" t="s">
        <v>40</v>
      </c>
      <c r="N1217" s="108" t="s">
        <v>13251</v>
      </c>
      <c r="O1217" s="116">
        <v>1</v>
      </c>
      <c r="P1217" s="113"/>
      <c r="Q1217" s="108" t="s">
        <v>13254</v>
      </c>
      <c r="R1217" s="112">
        <v>4</v>
      </c>
      <c r="S1217" s="113"/>
      <c r="T1217" s="108" t="s">
        <v>47</v>
      </c>
      <c r="U1217" s="114"/>
      <c r="V1217" s="113"/>
      <c r="W1217" s="108" t="s">
        <v>47</v>
      </c>
      <c r="X1217" s="114"/>
      <c r="Y1217" s="113"/>
      <c r="Z1217" s="108" t="s">
        <v>47</v>
      </c>
      <c r="AA1217" s="114"/>
      <c r="AB1217" s="113"/>
      <c r="AC1217" s="105" t="s">
        <v>2968</v>
      </c>
      <c r="AD1217" s="115" t="s">
        <v>424</v>
      </c>
    </row>
    <row r="1218" spans="1:30" x14ac:dyDescent="0.2">
      <c r="A1218" s="104" t="s">
        <v>2969</v>
      </c>
      <c r="B1218" s="105" t="s">
        <v>2816</v>
      </c>
      <c r="C1218" s="105" t="s">
        <v>332</v>
      </c>
      <c r="D1218" s="106"/>
      <c r="E1218" s="107" t="s">
        <v>146</v>
      </c>
      <c r="F1218" s="108" t="s">
        <v>13255</v>
      </c>
      <c r="G1218" s="119">
        <v>1</v>
      </c>
      <c r="H1218" s="108" t="s">
        <v>13256</v>
      </c>
      <c r="I1218" s="116">
        <v>1</v>
      </c>
      <c r="J1218" s="111" t="s">
        <v>53</v>
      </c>
      <c r="K1218" s="108" t="s">
        <v>13257</v>
      </c>
      <c r="L1218" s="116">
        <v>1</v>
      </c>
      <c r="M1218" s="111" t="s">
        <v>40</v>
      </c>
      <c r="N1218" s="108" t="s">
        <v>13255</v>
      </c>
      <c r="O1218" s="116">
        <v>1</v>
      </c>
      <c r="P1218" s="113"/>
      <c r="Q1218" s="108" t="s">
        <v>13258</v>
      </c>
      <c r="R1218" s="112">
        <v>4</v>
      </c>
      <c r="S1218" s="113"/>
      <c r="T1218" s="108" t="s">
        <v>47</v>
      </c>
      <c r="U1218" s="114"/>
      <c r="V1218" s="113"/>
      <c r="W1218" s="108" t="s">
        <v>47</v>
      </c>
      <c r="X1218" s="114"/>
      <c r="Y1218" s="113"/>
      <c r="Z1218" s="108" t="s">
        <v>47</v>
      </c>
      <c r="AA1218" s="114"/>
      <c r="AB1218" s="113"/>
      <c r="AC1218" s="105" t="s">
        <v>2970</v>
      </c>
      <c r="AD1218" s="115" t="s">
        <v>424</v>
      </c>
    </row>
    <row r="1219" spans="1:30" x14ac:dyDescent="0.2">
      <c r="A1219" s="104" t="s">
        <v>2971</v>
      </c>
      <c r="B1219" s="105" t="s">
        <v>2816</v>
      </c>
      <c r="C1219" s="105" t="s">
        <v>332</v>
      </c>
      <c r="D1219" s="106"/>
      <c r="E1219" s="107" t="s">
        <v>146</v>
      </c>
      <c r="F1219" s="108" t="s">
        <v>13259</v>
      </c>
      <c r="G1219" s="119">
        <v>1</v>
      </c>
      <c r="H1219" s="108" t="s">
        <v>13260</v>
      </c>
      <c r="I1219" s="116">
        <v>1</v>
      </c>
      <c r="J1219" s="111" t="s">
        <v>53</v>
      </c>
      <c r="K1219" s="108" t="s">
        <v>13261</v>
      </c>
      <c r="L1219" s="116">
        <v>1</v>
      </c>
      <c r="M1219" s="111" t="s">
        <v>40</v>
      </c>
      <c r="N1219" s="108" t="s">
        <v>13259</v>
      </c>
      <c r="O1219" s="116">
        <v>1</v>
      </c>
      <c r="P1219" s="113"/>
      <c r="Q1219" s="108" t="s">
        <v>13262</v>
      </c>
      <c r="R1219" s="112">
        <v>4</v>
      </c>
      <c r="S1219" s="113"/>
      <c r="T1219" s="108" t="s">
        <v>47</v>
      </c>
      <c r="U1219" s="114"/>
      <c r="V1219" s="113"/>
      <c r="W1219" s="108" t="s">
        <v>47</v>
      </c>
      <c r="X1219" s="114"/>
      <c r="Y1219" s="113"/>
      <c r="Z1219" s="108" t="s">
        <v>47</v>
      </c>
      <c r="AA1219" s="114"/>
      <c r="AB1219" s="113"/>
      <c r="AC1219" s="105" t="s">
        <v>2972</v>
      </c>
      <c r="AD1219" s="115" t="s">
        <v>424</v>
      </c>
    </row>
    <row r="1220" spans="1:30" x14ac:dyDescent="0.2">
      <c r="A1220" s="104" t="s">
        <v>2973</v>
      </c>
      <c r="B1220" s="105" t="s">
        <v>2816</v>
      </c>
      <c r="C1220" s="105" t="s">
        <v>332</v>
      </c>
      <c r="D1220" s="106"/>
      <c r="E1220" s="107" t="s">
        <v>146</v>
      </c>
      <c r="F1220" s="108" t="s">
        <v>47</v>
      </c>
      <c r="G1220" s="113"/>
      <c r="H1220" s="108" t="s">
        <v>47</v>
      </c>
      <c r="I1220" s="114"/>
      <c r="J1220" s="113"/>
      <c r="K1220" s="108" t="s">
        <v>47</v>
      </c>
      <c r="L1220" s="114"/>
      <c r="M1220" s="113"/>
      <c r="N1220" s="108" t="s">
        <v>47</v>
      </c>
      <c r="O1220" s="114"/>
      <c r="P1220" s="113"/>
      <c r="Q1220" s="108" t="s">
        <v>47</v>
      </c>
      <c r="R1220" s="114"/>
      <c r="S1220" s="113"/>
      <c r="T1220" s="108" t="s">
        <v>47</v>
      </c>
      <c r="U1220" s="114"/>
      <c r="V1220" s="113"/>
      <c r="W1220" s="108" t="s">
        <v>47</v>
      </c>
      <c r="X1220" s="114"/>
      <c r="Y1220" s="113"/>
      <c r="Z1220" s="108" t="s">
        <v>47</v>
      </c>
      <c r="AA1220" s="114"/>
      <c r="AB1220" s="113"/>
      <c r="AC1220" s="105" t="s">
        <v>2974</v>
      </c>
      <c r="AD1220" s="115" t="s">
        <v>424</v>
      </c>
    </row>
    <row r="1221" spans="1:30" x14ac:dyDescent="0.2">
      <c r="A1221" s="104" t="s">
        <v>2975</v>
      </c>
      <c r="B1221" s="105" t="s">
        <v>2816</v>
      </c>
      <c r="C1221" s="105" t="s">
        <v>332</v>
      </c>
      <c r="D1221" s="106" t="s">
        <v>125</v>
      </c>
      <c r="E1221" s="107" t="s">
        <v>99</v>
      </c>
      <c r="F1221" s="108" t="s">
        <v>13263</v>
      </c>
      <c r="G1221" s="109">
        <v>4</v>
      </c>
      <c r="H1221" s="108" t="s">
        <v>13264</v>
      </c>
      <c r="I1221" s="110">
        <v>3</v>
      </c>
      <c r="J1221" s="113"/>
      <c r="K1221" s="108" t="s">
        <v>13265</v>
      </c>
      <c r="L1221" s="110">
        <v>3</v>
      </c>
      <c r="M1221" s="113"/>
      <c r="N1221" s="108" t="s">
        <v>13263</v>
      </c>
      <c r="O1221" s="112">
        <v>4</v>
      </c>
      <c r="P1221" s="111" t="s">
        <v>46</v>
      </c>
      <c r="Q1221" s="108" t="s">
        <v>13266</v>
      </c>
      <c r="R1221" s="110">
        <v>3</v>
      </c>
      <c r="S1221" s="113"/>
      <c r="T1221" s="108" t="s">
        <v>13267</v>
      </c>
      <c r="U1221" s="110">
        <v>3</v>
      </c>
      <c r="V1221" s="113"/>
      <c r="W1221" s="108" t="s">
        <v>13268</v>
      </c>
      <c r="X1221" s="110">
        <v>3</v>
      </c>
      <c r="Y1221" s="111" t="s">
        <v>46</v>
      </c>
      <c r="Z1221" s="108" t="s">
        <v>13269</v>
      </c>
      <c r="AA1221" s="117">
        <v>2</v>
      </c>
      <c r="AB1221" s="111" t="s">
        <v>40</v>
      </c>
      <c r="AC1221" s="105" t="s">
        <v>2976</v>
      </c>
      <c r="AD1221" s="115" t="s">
        <v>101</v>
      </c>
    </row>
    <row r="1222" spans="1:30" x14ac:dyDescent="0.2">
      <c r="A1222" s="104" t="s">
        <v>2977</v>
      </c>
      <c r="B1222" s="105" t="s">
        <v>2816</v>
      </c>
      <c r="C1222" s="105" t="s">
        <v>2978</v>
      </c>
      <c r="D1222" s="106" t="s">
        <v>125</v>
      </c>
      <c r="E1222" s="107" t="s">
        <v>146</v>
      </c>
      <c r="F1222" s="108" t="s">
        <v>13270</v>
      </c>
      <c r="G1222" s="119">
        <v>1</v>
      </c>
      <c r="H1222" s="108" t="s">
        <v>13271</v>
      </c>
      <c r="I1222" s="116">
        <v>1</v>
      </c>
      <c r="J1222" s="113"/>
      <c r="K1222" s="108" t="s">
        <v>13272</v>
      </c>
      <c r="L1222" s="116">
        <v>1</v>
      </c>
      <c r="M1222" s="113"/>
      <c r="N1222" s="108" t="s">
        <v>13270</v>
      </c>
      <c r="O1222" s="116">
        <v>1</v>
      </c>
      <c r="P1222" s="113"/>
      <c r="Q1222" s="108" t="s">
        <v>13273</v>
      </c>
      <c r="R1222" s="116">
        <v>1</v>
      </c>
      <c r="S1222" s="113"/>
      <c r="T1222" s="108" t="s">
        <v>13274</v>
      </c>
      <c r="U1222" s="117">
        <v>2</v>
      </c>
      <c r="V1222" s="113"/>
      <c r="W1222" s="108" t="s">
        <v>13275</v>
      </c>
      <c r="X1222" s="117">
        <v>2</v>
      </c>
      <c r="Y1222" s="113"/>
      <c r="Z1222" s="108" t="s">
        <v>47</v>
      </c>
      <c r="AA1222" s="114"/>
      <c r="AB1222" s="113"/>
      <c r="AC1222" s="105" t="s">
        <v>2979</v>
      </c>
      <c r="AD1222" s="115" t="s">
        <v>424</v>
      </c>
    </row>
    <row r="1223" spans="1:30" x14ac:dyDescent="0.2">
      <c r="A1223" s="104" t="s">
        <v>2980</v>
      </c>
      <c r="B1223" s="105" t="s">
        <v>2816</v>
      </c>
      <c r="C1223" s="105" t="s">
        <v>2978</v>
      </c>
      <c r="D1223" s="106" t="s">
        <v>94</v>
      </c>
      <c r="E1223" s="107" t="s">
        <v>146</v>
      </c>
      <c r="F1223" s="108" t="s">
        <v>13276</v>
      </c>
      <c r="G1223" s="119">
        <v>1</v>
      </c>
      <c r="H1223" s="108" t="s">
        <v>13277</v>
      </c>
      <c r="I1223" s="116">
        <v>1</v>
      </c>
      <c r="J1223" s="113"/>
      <c r="K1223" s="108" t="s">
        <v>13278</v>
      </c>
      <c r="L1223" s="116">
        <v>1</v>
      </c>
      <c r="M1223" s="113"/>
      <c r="N1223" s="108" t="s">
        <v>13276</v>
      </c>
      <c r="O1223" s="116">
        <v>1</v>
      </c>
      <c r="P1223" s="113"/>
      <c r="Q1223" s="108" t="s">
        <v>13279</v>
      </c>
      <c r="R1223" s="116">
        <v>1</v>
      </c>
      <c r="S1223" s="113"/>
      <c r="T1223" s="108" t="s">
        <v>13280</v>
      </c>
      <c r="U1223" s="116">
        <v>1</v>
      </c>
      <c r="V1223" s="113"/>
      <c r="W1223" s="108" t="s">
        <v>13281</v>
      </c>
      <c r="X1223" s="116">
        <v>1</v>
      </c>
      <c r="Y1223" s="111" t="s">
        <v>40</v>
      </c>
      <c r="Z1223" s="108" t="s">
        <v>47</v>
      </c>
      <c r="AA1223" s="114"/>
      <c r="AB1223" s="113"/>
      <c r="AC1223" s="105" t="s">
        <v>2981</v>
      </c>
      <c r="AD1223" s="115" t="s">
        <v>424</v>
      </c>
    </row>
    <row r="1224" spans="1:30" x14ac:dyDescent="0.2">
      <c r="A1224" s="104" t="s">
        <v>2982</v>
      </c>
      <c r="B1224" s="105" t="s">
        <v>2816</v>
      </c>
      <c r="C1224" s="105" t="s">
        <v>165</v>
      </c>
      <c r="D1224" s="106"/>
      <c r="E1224" s="107"/>
      <c r="F1224" s="108" t="s">
        <v>13282</v>
      </c>
      <c r="G1224" s="109">
        <v>4</v>
      </c>
      <c r="H1224" s="108" t="s">
        <v>13283</v>
      </c>
      <c r="I1224" s="110">
        <v>3</v>
      </c>
      <c r="J1224" s="113"/>
      <c r="K1224" s="108" t="s">
        <v>13284</v>
      </c>
      <c r="L1224" s="112">
        <v>4</v>
      </c>
      <c r="M1224" s="113"/>
      <c r="N1224" s="108" t="s">
        <v>13282</v>
      </c>
      <c r="O1224" s="112">
        <v>4</v>
      </c>
      <c r="P1224" s="113"/>
      <c r="Q1224" s="108" t="s">
        <v>13285</v>
      </c>
      <c r="R1224" s="110">
        <v>3</v>
      </c>
      <c r="S1224" s="111" t="s">
        <v>46</v>
      </c>
      <c r="T1224" s="108" t="s">
        <v>13286</v>
      </c>
      <c r="U1224" s="116">
        <v>1</v>
      </c>
      <c r="V1224" s="113"/>
      <c r="W1224" s="108" t="s">
        <v>13287</v>
      </c>
      <c r="X1224" s="116">
        <v>1</v>
      </c>
      <c r="Y1224" s="113"/>
      <c r="Z1224" s="108" t="s">
        <v>47</v>
      </c>
      <c r="AA1224" s="114"/>
      <c r="AB1224" s="113"/>
      <c r="AC1224" s="105" t="s">
        <v>2983</v>
      </c>
      <c r="AD1224" s="115" t="s">
        <v>424</v>
      </c>
    </row>
    <row r="1225" spans="1:30" x14ac:dyDescent="0.2">
      <c r="A1225" s="104" t="s">
        <v>2984</v>
      </c>
      <c r="B1225" s="105" t="s">
        <v>2816</v>
      </c>
      <c r="C1225" s="105" t="s">
        <v>421</v>
      </c>
      <c r="D1225" s="106"/>
      <c r="E1225" s="107" t="s">
        <v>99</v>
      </c>
      <c r="F1225" s="108" t="s">
        <v>13288</v>
      </c>
      <c r="G1225" s="120">
        <v>2</v>
      </c>
      <c r="H1225" s="108" t="s">
        <v>13289</v>
      </c>
      <c r="I1225" s="116">
        <v>1</v>
      </c>
      <c r="J1225" s="111" t="s">
        <v>157</v>
      </c>
      <c r="K1225" s="108" t="s">
        <v>13290</v>
      </c>
      <c r="L1225" s="112">
        <v>4</v>
      </c>
      <c r="M1225" s="113"/>
      <c r="N1225" s="108" t="s">
        <v>13288</v>
      </c>
      <c r="O1225" s="117">
        <v>2</v>
      </c>
      <c r="P1225" s="111" t="s">
        <v>40</v>
      </c>
      <c r="Q1225" s="108" t="s">
        <v>2985</v>
      </c>
      <c r="R1225" s="117">
        <v>2</v>
      </c>
      <c r="S1225" s="111" t="s">
        <v>46</v>
      </c>
      <c r="T1225" s="108" t="s">
        <v>13291</v>
      </c>
      <c r="U1225" s="110">
        <v>3</v>
      </c>
      <c r="V1225" s="113"/>
      <c r="W1225" s="108" t="s">
        <v>47</v>
      </c>
      <c r="X1225" s="114"/>
      <c r="Y1225" s="113"/>
      <c r="Z1225" s="108" t="s">
        <v>47</v>
      </c>
      <c r="AA1225" s="114"/>
      <c r="AB1225" s="113"/>
      <c r="AC1225" s="105" t="s">
        <v>2986</v>
      </c>
      <c r="AD1225" s="115" t="s">
        <v>424</v>
      </c>
    </row>
    <row r="1226" spans="1:30" x14ac:dyDescent="0.2">
      <c r="A1226" s="104" t="s">
        <v>2987</v>
      </c>
      <c r="B1226" s="105" t="s">
        <v>2816</v>
      </c>
      <c r="C1226" s="105" t="s">
        <v>421</v>
      </c>
      <c r="D1226" s="106"/>
      <c r="E1226" s="107" t="s">
        <v>99</v>
      </c>
      <c r="F1226" s="108" t="s">
        <v>13292</v>
      </c>
      <c r="G1226" s="120">
        <v>2</v>
      </c>
      <c r="H1226" s="108" t="s">
        <v>13293</v>
      </c>
      <c r="I1226" s="116">
        <v>1</v>
      </c>
      <c r="J1226" s="111" t="s">
        <v>157</v>
      </c>
      <c r="K1226" s="108" t="s">
        <v>2988</v>
      </c>
      <c r="L1226" s="112">
        <v>4</v>
      </c>
      <c r="M1226" s="113"/>
      <c r="N1226" s="108" t="s">
        <v>13292</v>
      </c>
      <c r="O1226" s="117">
        <v>2</v>
      </c>
      <c r="P1226" s="111" t="s">
        <v>40</v>
      </c>
      <c r="Q1226" s="108" t="s">
        <v>2989</v>
      </c>
      <c r="R1226" s="117">
        <v>2</v>
      </c>
      <c r="S1226" s="111" t="s">
        <v>46</v>
      </c>
      <c r="T1226" s="108" t="s">
        <v>13294</v>
      </c>
      <c r="U1226" s="110">
        <v>3</v>
      </c>
      <c r="V1226" s="113"/>
      <c r="W1226" s="108" t="s">
        <v>47</v>
      </c>
      <c r="X1226" s="114"/>
      <c r="Y1226" s="113"/>
      <c r="Z1226" s="108" t="s">
        <v>47</v>
      </c>
      <c r="AA1226" s="114"/>
      <c r="AB1226" s="113"/>
      <c r="AC1226" s="105" t="s">
        <v>2990</v>
      </c>
      <c r="AD1226" s="115" t="s">
        <v>424</v>
      </c>
    </row>
    <row r="1227" spans="1:30" x14ac:dyDescent="0.2">
      <c r="A1227" s="104" t="s">
        <v>2991</v>
      </c>
      <c r="B1227" s="105" t="s">
        <v>2816</v>
      </c>
      <c r="C1227" s="105" t="s">
        <v>421</v>
      </c>
      <c r="D1227" s="106"/>
      <c r="E1227" s="107" t="s">
        <v>99</v>
      </c>
      <c r="F1227" s="108" t="s">
        <v>13295</v>
      </c>
      <c r="G1227" s="118">
        <v>3</v>
      </c>
      <c r="H1227" s="108" t="s">
        <v>13296</v>
      </c>
      <c r="I1227" s="116">
        <v>1</v>
      </c>
      <c r="J1227" s="111" t="s">
        <v>40</v>
      </c>
      <c r="K1227" s="108" t="s">
        <v>13297</v>
      </c>
      <c r="L1227" s="110">
        <v>3</v>
      </c>
      <c r="M1227" s="111" t="s">
        <v>40</v>
      </c>
      <c r="N1227" s="108" t="s">
        <v>13295</v>
      </c>
      <c r="O1227" s="110">
        <v>3</v>
      </c>
      <c r="P1227" s="113"/>
      <c r="Q1227" s="108" t="s">
        <v>13298</v>
      </c>
      <c r="R1227" s="110">
        <v>3</v>
      </c>
      <c r="S1227" s="113"/>
      <c r="T1227" s="108" t="s">
        <v>47</v>
      </c>
      <c r="U1227" s="114"/>
      <c r="V1227" s="113"/>
      <c r="W1227" s="108" t="s">
        <v>47</v>
      </c>
      <c r="X1227" s="114"/>
      <c r="Y1227" s="113"/>
      <c r="Z1227" s="108" t="s">
        <v>47</v>
      </c>
      <c r="AA1227" s="114"/>
      <c r="AB1227" s="113"/>
      <c r="AC1227" s="105" t="s">
        <v>2992</v>
      </c>
      <c r="AD1227" s="115" t="s">
        <v>424</v>
      </c>
    </row>
    <row r="1228" spans="1:30" x14ac:dyDescent="0.2">
      <c r="A1228" s="104" t="s">
        <v>2993</v>
      </c>
      <c r="B1228" s="105" t="s">
        <v>2816</v>
      </c>
      <c r="C1228" s="105" t="s">
        <v>421</v>
      </c>
      <c r="D1228" s="106"/>
      <c r="E1228" s="107" t="s">
        <v>99</v>
      </c>
      <c r="F1228" s="108" t="s">
        <v>2994</v>
      </c>
      <c r="G1228" s="120">
        <v>2</v>
      </c>
      <c r="H1228" s="108" t="s">
        <v>13299</v>
      </c>
      <c r="I1228" s="110">
        <v>3</v>
      </c>
      <c r="J1228" s="111" t="s">
        <v>55</v>
      </c>
      <c r="K1228" s="108" t="s">
        <v>13300</v>
      </c>
      <c r="L1228" s="117">
        <v>2</v>
      </c>
      <c r="M1228" s="111" t="s">
        <v>46</v>
      </c>
      <c r="N1228" s="108" t="s">
        <v>2994</v>
      </c>
      <c r="O1228" s="117">
        <v>2</v>
      </c>
      <c r="P1228" s="111" t="s">
        <v>46</v>
      </c>
      <c r="Q1228" s="108" t="s">
        <v>2995</v>
      </c>
      <c r="R1228" s="110">
        <v>3</v>
      </c>
      <c r="S1228" s="111" t="s">
        <v>46</v>
      </c>
      <c r="T1228" s="108" t="s">
        <v>47</v>
      </c>
      <c r="U1228" s="114"/>
      <c r="V1228" s="113"/>
      <c r="W1228" s="108" t="s">
        <v>47</v>
      </c>
      <c r="X1228" s="114"/>
      <c r="Y1228" s="113"/>
      <c r="Z1228" s="108" t="s">
        <v>47</v>
      </c>
      <c r="AA1228" s="114"/>
      <c r="AB1228" s="113"/>
      <c r="AC1228" s="105" t="s">
        <v>2996</v>
      </c>
      <c r="AD1228" s="115" t="s">
        <v>424</v>
      </c>
    </row>
    <row r="1229" spans="1:30" x14ac:dyDescent="0.2">
      <c r="A1229" s="104" t="s">
        <v>2997</v>
      </c>
      <c r="B1229" s="105" t="s">
        <v>2816</v>
      </c>
      <c r="C1229" s="105" t="s">
        <v>421</v>
      </c>
      <c r="D1229" s="106"/>
      <c r="E1229" s="107" t="s">
        <v>99</v>
      </c>
      <c r="F1229" s="108" t="s">
        <v>2998</v>
      </c>
      <c r="G1229" s="120">
        <v>2</v>
      </c>
      <c r="H1229" s="108" t="s">
        <v>13301</v>
      </c>
      <c r="I1229" s="112">
        <v>4</v>
      </c>
      <c r="J1229" s="111" t="s">
        <v>46</v>
      </c>
      <c r="K1229" s="108" t="s">
        <v>13302</v>
      </c>
      <c r="L1229" s="117">
        <v>2</v>
      </c>
      <c r="M1229" s="113"/>
      <c r="N1229" s="108" t="s">
        <v>2998</v>
      </c>
      <c r="O1229" s="117">
        <v>2</v>
      </c>
      <c r="P1229" s="113"/>
      <c r="Q1229" s="108" t="s">
        <v>13303</v>
      </c>
      <c r="R1229" s="112">
        <v>4</v>
      </c>
      <c r="S1229" s="113"/>
      <c r="T1229" s="108" t="s">
        <v>47</v>
      </c>
      <c r="U1229" s="114"/>
      <c r="V1229" s="113"/>
      <c r="W1229" s="108" t="s">
        <v>47</v>
      </c>
      <c r="X1229" s="114"/>
      <c r="Y1229" s="113"/>
      <c r="Z1229" s="108" t="s">
        <v>47</v>
      </c>
      <c r="AA1229" s="114"/>
      <c r="AB1229" s="113"/>
      <c r="AC1229" s="105" t="s">
        <v>2999</v>
      </c>
      <c r="AD1229" s="115" t="s">
        <v>424</v>
      </c>
    </row>
    <row r="1230" spans="1:30" x14ac:dyDescent="0.2">
      <c r="A1230" s="104" t="s">
        <v>3000</v>
      </c>
      <c r="B1230" s="105" t="s">
        <v>2816</v>
      </c>
      <c r="C1230" s="105" t="s">
        <v>13304</v>
      </c>
      <c r="D1230" s="106" t="s">
        <v>125</v>
      </c>
      <c r="E1230" s="107" t="s">
        <v>99</v>
      </c>
      <c r="F1230" s="108" t="s">
        <v>3001</v>
      </c>
      <c r="G1230" s="120">
        <v>2</v>
      </c>
      <c r="H1230" s="108" t="s">
        <v>13305</v>
      </c>
      <c r="I1230" s="110">
        <v>3</v>
      </c>
      <c r="J1230" s="111" t="s">
        <v>46</v>
      </c>
      <c r="K1230" s="108" t="s">
        <v>13306</v>
      </c>
      <c r="L1230" s="110">
        <v>3</v>
      </c>
      <c r="M1230" s="113"/>
      <c r="N1230" s="108" t="s">
        <v>3001</v>
      </c>
      <c r="O1230" s="117">
        <v>2</v>
      </c>
      <c r="P1230" s="113"/>
      <c r="Q1230" s="108" t="s">
        <v>13307</v>
      </c>
      <c r="R1230" s="110">
        <v>3</v>
      </c>
      <c r="S1230" s="113"/>
      <c r="T1230" s="108" t="s">
        <v>13308</v>
      </c>
      <c r="U1230" s="110">
        <v>3</v>
      </c>
      <c r="V1230" s="113"/>
      <c r="W1230" s="108" t="s">
        <v>47</v>
      </c>
      <c r="X1230" s="114"/>
      <c r="Y1230" s="113"/>
      <c r="Z1230" s="108" t="s">
        <v>47</v>
      </c>
      <c r="AA1230" s="114"/>
      <c r="AB1230" s="113"/>
      <c r="AC1230" s="105" t="s">
        <v>3002</v>
      </c>
      <c r="AD1230" s="115" t="s">
        <v>424</v>
      </c>
    </row>
    <row r="1231" spans="1:30" x14ac:dyDescent="0.2">
      <c r="A1231" s="104" t="s">
        <v>3003</v>
      </c>
      <c r="B1231" s="105" t="s">
        <v>2816</v>
      </c>
      <c r="C1231" s="105" t="s">
        <v>13304</v>
      </c>
      <c r="D1231" s="106" t="s">
        <v>125</v>
      </c>
      <c r="E1231" s="107" t="s">
        <v>99</v>
      </c>
      <c r="F1231" s="108" t="s">
        <v>3004</v>
      </c>
      <c r="G1231" s="120">
        <v>2</v>
      </c>
      <c r="H1231" s="108" t="s">
        <v>13309</v>
      </c>
      <c r="I1231" s="110">
        <v>3</v>
      </c>
      <c r="J1231" s="111" t="s">
        <v>46</v>
      </c>
      <c r="K1231" s="108" t="s">
        <v>13310</v>
      </c>
      <c r="L1231" s="110">
        <v>3</v>
      </c>
      <c r="M1231" s="113"/>
      <c r="N1231" s="108" t="s">
        <v>3004</v>
      </c>
      <c r="O1231" s="117">
        <v>2</v>
      </c>
      <c r="P1231" s="113"/>
      <c r="Q1231" s="108" t="s">
        <v>13311</v>
      </c>
      <c r="R1231" s="110">
        <v>3</v>
      </c>
      <c r="S1231" s="113"/>
      <c r="T1231" s="108" t="s">
        <v>13312</v>
      </c>
      <c r="U1231" s="110">
        <v>3</v>
      </c>
      <c r="V1231" s="113"/>
      <c r="W1231" s="108" t="s">
        <v>47</v>
      </c>
      <c r="X1231" s="114"/>
      <c r="Y1231" s="113"/>
      <c r="Z1231" s="108" t="s">
        <v>47</v>
      </c>
      <c r="AA1231" s="114"/>
      <c r="AB1231" s="113"/>
      <c r="AC1231" s="105" t="s">
        <v>3005</v>
      </c>
      <c r="AD1231" s="115" t="s">
        <v>424</v>
      </c>
    </row>
    <row r="1232" spans="1:30" x14ac:dyDescent="0.2">
      <c r="A1232" s="104" t="s">
        <v>3006</v>
      </c>
      <c r="B1232" s="105" t="s">
        <v>2816</v>
      </c>
      <c r="C1232" s="105" t="s">
        <v>421</v>
      </c>
      <c r="D1232" s="106"/>
      <c r="E1232" s="107" t="s">
        <v>99</v>
      </c>
      <c r="F1232" s="108" t="s">
        <v>13313</v>
      </c>
      <c r="G1232" s="120">
        <v>2</v>
      </c>
      <c r="H1232" s="108" t="s">
        <v>13314</v>
      </c>
      <c r="I1232" s="116">
        <v>1</v>
      </c>
      <c r="J1232" s="113"/>
      <c r="K1232" s="108" t="s">
        <v>13315</v>
      </c>
      <c r="L1232" s="117">
        <v>2</v>
      </c>
      <c r="M1232" s="111" t="s">
        <v>53</v>
      </c>
      <c r="N1232" s="108" t="s">
        <v>13313</v>
      </c>
      <c r="O1232" s="117">
        <v>2</v>
      </c>
      <c r="P1232" s="111" t="s">
        <v>40</v>
      </c>
      <c r="Q1232" s="108" t="s">
        <v>13316</v>
      </c>
      <c r="R1232" s="117">
        <v>2</v>
      </c>
      <c r="S1232" s="111" t="s">
        <v>46</v>
      </c>
      <c r="T1232" s="108" t="s">
        <v>47</v>
      </c>
      <c r="U1232" s="114"/>
      <c r="V1232" s="113"/>
      <c r="W1232" s="108" t="s">
        <v>47</v>
      </c>
      <c r="X1232" s="114"/>
      <c r="Y1232" s="113"/>
      <c r="Z1232" s="108" t="s">
        <v>47</v>
      </c>
      <c r="AA1232" s="114"/>
      <c r="AB1232" s="113"/>
      <c r="AC1232" s="105" t="s">
        <v>3007</v>
      </c>
      <c r="AD1232" s="115" t="s">
        <v>424</v>
      </c>
    </row>
    <row r="1233" spans="1:30" x14ac:dyDescent="0.2">
      <c r="A1233" s="104" t="s">
        <v>3008</v>
      </c>
      <c r="B1233" s="105" t="s">
        <v>2816</v>
      </c>
      <c r="C1233" s="105" t="s">
        <v>13304</v>
      </c>
      <c r="D1233" s="106" t="s">
        <v>125</v>
      </c>
      <c r="E1233" s="107" t="s">
        <v>99</v>
      </c>
      <c r="F1233" s="108" t="s">
        <v>13317</v>
      </c>
      <c r="G1233" s="120">
        <v>2</v>
      </c>
      <c r="H1233" s="108" t="s">
        <v>13318</v>
      </c>
      <c r="I1233" s="110">
        <v>3</v>
      </c>
      <c r="J1233" s="111" t="s">
        <v>46</v>
      </c>
      <c r="K1233" s="108" t="s">
        <v>13319</v>
      </c>
      <c r="L1233" s="110">
        <v>3</v>
      </c>
      <c r="M1233" s="113"/>
      <c r="N1233" s="108" t="s">
        <v>13317</v>
      </c>
      <c r="O1233" s="117">
        <v>2</v>
      </c>
      <c r="P1233" s="113"/>
      <c r="Q1233" s="108" t="s">
        <v>12796</v>
      </c>
      <c r="R1233" s="110">
        <v>3</v>
      </c>
      <c r="S1233" s="111" t="s">
        <v>46</v>
      </c>
      <c r="T1233" s="108" t="s">
        <v>13320</v>
      </c>
      <c r="U1233" s="110">
        <v>3</v>
      </c>
      <c r="V1233" s="113"/>
      <c r="W1233" s="108" t="s">
        <v>47</v>
      </c>
      <c r="X1233" s="114"/>
      <c r="Y1233" s="113"/>
      <c r="Z1233" s="108" t="s">
        <v>47</v>
      </c>
      <c r="AA1233" s="114"/>
      <c r="AB1233" s="113"/>
      <c r="AC1233" s="105" t="s">
        <v>3009</v>
      </c>
      <c r="AD1233" s="115" t="s">
        <v>424</v>
      </c>
    </row>
    <row r="1234" spans="1:30" x14ac:dyDescent="0.2">
      <c r="A1234" s="104" t="s">
        <v>3010</v>
      </c>
      <c r="B1234" s="105" t="s">
        <v>2816</v>
      </c>
      <c r="C1234" s="105" t="s">
        <v>13304</v>
      </c>
      <c r="D1234" s="106" t="s">
        <v>125</v>
      </c>
      <c r="E1234" s="107" t="s">
        <v>99</v>
      </c>
      <c r="F1234" s="108" t="s">
        <v>13321</v>
      </c>
      <c r="G1234" s="120">
        <v>2</v>
      </c>
      <c r="H1234" s="108" t="s">
        <v>13322</v>
      </c>
      <c r="I1234" s="110">
        <v>3</v>
      </c>
      <c r="J1234" s="111" t="s">
        <v>46</v>
      </c>
      <c r="K1234" s="108" t="s">
        <v>13323</v>
      </c>
      <c r="L1234" s="110">
        <v>3</v>
      </c>
      <c r="M1234" s="113"/>
      <c r="N1234" s="108" t="s">
        <v>13321</v>
      </c>
      <c r="O1234" s="117">
        <v>2</v>
      </c>
      <c r="P1234" s="113"/>
      <c r="Q1234" s="108" t="s">
        <v>13324</v>
      </c>
      <c r="R1234" s="110">
        <v>3</v>
      </c>
      <c r="S1234" s="113"/>
      <c r="T1234" s="108" t="s">
        <v>13325</v>
      </c>
      <c r="U1234" s="110">
        <v>3</v>
      </c>
      <c r="V1234" s="113"/>
      <c r="W1234" s="108" t="s">
        <v>47</v>
      </c>
      <c r="X1234" s="114"/>
      <c r="Y1234" s="113"/>
      <c r="Z1234" s="108" t="s">
        <v>47</v>
      </c>
      <c r="AA1234" s="114"/>
      <c r="AB1234" s="113"/>
      <c r="AC1234" s="105" t="s">
        <v>3011</v>
      </c>
      <c r="AD1234" s="115" t="s">
        <v>424</v>
      </c>
    </row>
    <row r="1235" spans="1:30" x14ac:dyDescent="0.2">
      <c r="A1235" s="104" t="s">
        <v>3012</v>
      </c>
      <c r="B1235" s="105" t="s">
        <v>2816</v>
      </c>
      <c r="C1235" s="105" t="s">
        <v>421</v>
      </c>
      <c r="D1235" s="106"/>
      <c r="E1235" s="107" t="s">
        <v>99</v>
      </c>
      <c r="F1235" s="108" t="s">
        <v>13326</v>
      </c>
      <c r="G1235" s="120">
        <v>2</v>
      </c>
      <c r="H1235" s="108" t="s">
        <v>13327</v>
      </c>
      <c r="I1235" s="112">
        <v>4</v>
      </c>
      <c r="J1235" s="111" t="s">
        <v>55</v>
      </c>
      <c r="K1235" s="108" t="s">
        <v>13328</v>
      </c>
      <c r="L1235" s="110">
        <v>3</v>
      </c>
      <c r="M1235" s="113"/>
      <c r="N1235" s="108" t="s">
        <v>13326</v>
      </c>
      <c r="O1235" s="117">
        <v>2</v>
      </c>
      <c r="P1235" s="113"/>
      <c r="Q1235" s="108" t="s">
        <v>3013</v>
      </c>
      <c r="R1235" s="110">
        <v>3</v>
      </c>
      <c r="S1235" s="111" t="s">
        <v>46</v>
      </c>
      <c r="T1235" s="108" t="s">
        <v>10718</v>
      </c>
      <c r="U1235" s="116">
        <v>1</v>
      </c>
      <c r="V1235" s="113"/>
      <c r="W1235" s="108" t="s">
        <v>47</v>
      </c>
      <c r="X1235" s="114"/>
      <c r="Y1235" s="113"/>
      <c r="Z1235" s="108" t="s">
        <v>47</v>
      </c>
      <c r="AA1235" s="114"/>
      <c r="AB1235" s="113"/>
      <c r="AC1235" s="105" t="s">
        <v>3014</v>
      </c>
      <c r="AD1235" s="115" t="s">
        <v>424</v>
      </c>
    </row>
    <row r="1236" spans="1:30" x14ac:dyDescent="0.2">
      <c r="A1236" s="104" t="s">
        <v>3015</v>
      </c>
      <c r="B1236" s="105" t="s">
        <v>2816</v>
      </c>
      <c r="C1236" s="105" t="s">
        <v>421</v>
      </c>
      <c r="D1236" s="106"/>
      <c r="E1236" s="107" t="s">
        <v>99</v>
      </c>
      <c r="F1236" s="108" t="s">
        <v>3016</v>
      </c>
      <c r="G1236" s="120">
        <v>2</v>
      </c>
      <c r="H1236" s="108" t="s">
        <v>13329</v>
      </c>
      <c r="I1236" s="112">
        <v>4</v>
      </c>
      <c r="J1236" s="111" t="s">
        <v>55</v>
      </c>
      <c r="K1236" s="108" t="s">
        <v>13330</v>
      </c>
      <c r="L1236" s="110">
        <v>3</v>
      </c>
      <c r="M1236" s="113"/>
      <c r="N1236" s="108" t="s">
        <v>3016</v>
      </c>
      <c r="O1236" s="117">
        <v>2</v>
      </c>
      <c r="P1236" s="113"/>
      <c r="Q1236" s="108" t="s">
        <v>13331</v>
      </c>
      <c r="R1236" s="110">
        <v>3</v>
      </c>
      <c r="S1236" s="111" t="s">
        <v>46</v>
      </c>
      <c r="T1236" s="108" t="s">
        <v>1695</v>
      </c>
      <c r="U1236" s="116">
        <v>1</v>
      </c>
      <c r="V1236" s="113"/>
      <c r="W1236" s="108" t="s">
        <v>47</v>
      </c>
      <c r="X1236" s="114"/>
      <c r="Y1236" s="113"/>
      <c r="Z1236" s="108" t="s">
        <v>47</v>
      </c>
      <c r="AA1236" s="114"/>
      <c r="AB1236" s="113"/>
      <c r="AC1236" s="105" t="s">
        <v>3017</v>
      </c>
      <c r="AD1236" s="115" t="s">
        <v>424</v>
      </c>
    </row>
    <row r="1237" spans="1:30" x14ac:dyDescent="0.2">
      <c r="A1237" s="104" t="s">
        <v>3018</v>
      </c>
      <c r="B1237" s="105" t="s">
        <v>2816</v>
      </c>
      <c r="C1237" s="105" t="s">
        <v>421</v>
      </c>
      <c r="D1237" s="106"/>
      <c r="E1237" s="107" t="s">
        <v>99</v>
      </c>
      <c r="F1237" s="108" t="s">
        <v>47</v>
      </c>
      <c r="G1237" s="113"/>
      <c r="H1237" s="108" t="s">
        <v>47</v>
      </c>
      <c r="I1237" s="114"/>
      <c r="J1237" s="113"/>
      <c r="K1237" s="108" t="s">
        <v>47</v>
      </c>
      <c r="L1237" s="114"/>
      <c r="M1237" s="113"/>
      <c r="N1237" s="108" t="s">
        <v>47</v>
      </c>
      <c r="O1237" s="114"/>
      <c r="P1237" s="113"/>
      <c r="Q1237" s="108" t="s">
        <v>47</v>
      </c>
      <c r="R1237" s="114"/>
      <c r="S1237" s="113"/>
      <c r="T1237" s="108" t="s">
        <v>47</v>
      </c>
      <c r="U1237" s="114"/>
      <c r="V1237" s="113"/>
      <c r="W1237" s="108" t="s">
        <v>47</v>
      </c>
      <c r="X1237" s="114"/>
      <c r="Y1237" s="113"/>
      <c r="Z1237" s="108" t="s">
        <v>47</v>
      </c>
      <c r="AA1237" s="114"/>
      <c r="AB1237" s="113"/>
      <c r="AC1237" s="105" t="s">
        <v>3019</v>
      </c>
      <c r="AD1237" s="115" t="s">
        <v>424</v>
      </c>
    </row>
    <row r="1238" spans="1:30" x14ac:dyDescent="0.2">
      <c r="A1238" s="104" t="s">
        <v>3020</v>
      </c>
      <c r="B1238" s="105" t="s">
        <v>2816</v>
      </c>
      <c r="C1238" s="105" t="s">
        <v>421</v>
      </c>
      <c r="D1238" s="106"/>
      <c r="E1238" s="107" t="s">
        <v>99</v>
      </c>
      <c r="F1238" s="108" t="s">
        <v>47</v>
      </c>
      <c r="G1238" s="113"/>
      <c r="H1238" s="108" t="s">
        <v>47</v>
      </c>
      <c r="I1238" s="114"/>
      <c r="J1238" s="113"/>
      <c r="K1238" s="108" t="s">
        <v>47</v>
      </c>
      <c r="L1238" s="114"/>
      <c r="M1238" s="113"/>
      <c r="N1238" s="108" t="s">
        <v>47</v>
      </c>
      <c r="O1238" s="114"/>
      <c r="P1238" s="113"/>
      <c r="Q1238" s="108" t="s">
        <v>47</v>
      </c>
      <c r="R1238" s="114"/>
      <c r="S1238" s="113"/>
      <c r="T1238" s="108" t="s">
        <v>47</v>
      </c>
      <c r="U1238" s="114"/>
      <c r="V1238" s="113"/>
      <c r="W1238" s="108" t="s">
        <v>47</v>
      </c>
      <c r="X1238" s="114"/>
      <c r="Y1238" s="113"/>
      <c r="Z1238" s="108" t="s">
        <v>47</v>
      </c>
      <c r="AA1238" s="114"/>
      <c r="AB1238" s="113"/>
      <c r="AC1238" s="105" t="s">
        <v>3021</v>
      </c>
      <c r="AD1238" s="115" t="s">
        <v>424</v>
      </c>
    </row>
    <row r="1239" spans="1:30" x14ac:dyDescent="0.2">
      <c r="A1239" s="104" t="s">
        <v>3022</v>
      </c>
      <c r="B1239" s="105" t="s">
        <v>2816</v>
      </c>
      <c r="C1239" s="105" t="s">
        <v>13304</v>
      </c>
      <c r="D1239" s="106" t="s">
        <v>125</v>
      </c>
      <c r="E1239" s="107" t="s">
        <v>99</v>
      </c>
      <c r="F1239" s="108" t="s">
        <v>13332</v>
      </c>
      <c r="G1239" s="120">
        <v>2</v>
      </c>
      <c r="H1239" s="108" t="s">
        <v>8812</v>
      </c>
      <c r="I1239" s="110">
        <v>3</v>
      </c>
      <c r="J1239" s="111" t="s">
        <v>46</v>
      </c>
      <c r="K1239" s="108" t="s">
        <v>13333</v>
      </c>
      <c r="L1239" s="110">
        <v>3</v>
      </c>
      <c r="M1239" s="113"/>
      <c r="N1239" s="108" t="s">
        <v>13332</v>
      </c>
      <c r="O1239" s="117">
        <v>2</v>
      </c>
      <c r="P1239" s="113"/>
      <c r="Q1239" s="108" t="s">
        <v>13334</v>
      </c>
      <c r="R1239" s="110">
        <v>3</v>
      </c>
      <c r="S1239" s="113"/>
      <c r="T1239" s="108" t="s">
        <v>13335</v>
      </c>
      <c r="U1239" s="110">
        <v>3</v>
      </c>
      <c r="V1239" s="113"/>
      <c r="W1239" s="108" t="s">
        <v>47</v>
      </c>
      <c r="X1239" s="114"/>
      <c r="Y1239" s="113"/>
      <c r="Z1239" s="108" t="s">
        <v>47</v>
      </c>
      <c r="AA1239" s="114"/>
      <c r="AB1239" s="113"/>
      <c r="AC1239" s="105" t="s">
        <v>3023</v>
      </c>
      <c r="AD1239" s="115" t="s">
        <v>424</v>
      </c>
    </row>
    <row r="1240" spans="1:30" x14ac:dyDescent="0.2">
      <c r="A1240" s="104" t="s">
        <v>3024</v>
      </c>
      <c r="B1240" s="105" t="s">
        <v>2816</v>
      </c>
      <c r="C1240" s="105" t="s">
        <v>13304</v>
      </c>
      <c r="D1240" s="106" t="s">
        <v>125</v>
      </c>
      <c r="E1240" s="107" t="s">
        <v>99</v>
      </c>
      <c r="F1240" s="108" t="s">
        <v>13336</v>
      </c>
      <c r="G1240" s="120">
        <v>2</v>
      </c>
      <c r="H1240" s="108" t="s">
        <v>13337</v>
      </c>
      <c r="I1240" s="110">
        <v>3</v>
      </c>
      <c r="J1240" s="111" t="s">
        <v>46</v>
      </c>
      <c r="K1240" s="108" t="s">
        <v>13338</v>
      </c>
      <c r="L1240" s="110">
        <v>3</v>
      </c>
      <c r="M1240" s="113"/>
      <c r="N1240" s="108" t="s">
        <v>13336</v>
      </c>
      <c r="O1240" s="117">
        <v>2</v>
      </c>
      <c r="P1240" s="113"/>
      <c r="Q1240" s="108" t="s">
        <v>13339</v>
      </c>
      <c r="R1240" s="110">
        <v>3</v>
      </c>
      <c r="S1240" s="113"/>
      <c r="T1240" s="108" t="s">
        <v>13340</v>
      </c>
      <c r="U1240" s="110">
        <v>3</v>
      </c>
      <c r="V1240" s="113"/>
      <c r="W1240" s="108" t="s">
        <v>47</v>
      </c>
      <c r="X1240" s="114"/>
      <c r="Y1240" s="113"/>
      <c r="Z1240" s="108" t="s">
        <v>47</v>
      </c>
      <c r="AA1240" s="114"/>
      <c r="AB1240" s="113"/>
      <c r="AC1240" s="105" t="s">
        <v>3025</v>
      </c>
      <c r="AD1240" s="115" t="s">
        <v>424</v>
      </c>
    </row>
    <row r="1241" spans="1:30" x14ac:dyDescent="0.2">
      <c r="A1241" s="104" t="s">
        <v>3026</v>
      </c>
      <c r="B1241" s="105" t="s">
        <v>42</v>
      </c>
      <c r="C1241" s="105" t="s">
        <v>112</v>
      </c>
      <c r="D1241" s="106"/>
      <c r="E1241" s="107" t="s">
        <v>99</v>
      </c>
      <c r="F1241" s="108" t="s">
        <v>13341</v>
      </c>
      <c r="G1241" s="119">
        <v>1</v>
      </c>
      <c r="H1241" s="108" t="s">
        <v>13342</v>
      </c>
      <c r="I1241" s="112">
        <v>4</v>
      </c>
      <c r="J1241" s="111" t="s">
        <v>44</v>
      </c>
      <c r="K1241" s="108" t="s">
        <v>13343</v>
      </c>
      <c r="L1241" s="116">
        <v>1</v>
      </c>
      <c r="M1241" s="113"/>
      <c r="N1241" s="108" t="s">
        <v>13341</v>
      </c>
      <c r="O1241" s="116">
        <v>1</v>
      </c>
      <c r="P1241" s="113"/>
      <c r="Q1241" s="108" t="s">
        <v>13344</v>
      </c>
      <c r="R1241" s="117">
        <v>2</v>
      </c>
      <c r="S1241" s="113"/>
      <c r="T1241" s="108" t="s">
        <v>13345</v>
      </c>
      <c r="U1241" s="116">
        <v>1</v>
      </c>
      <c r="V1241" s="113"/>
      <c r="W1241" s="108" t="s">
        <v>47</v>
      </c>
      <c r="X1241" s="114"/>
      <c r="Y1241" s="113"/>
      <c r="Z1241" s="108" t="s">
        <v>47</v>
      </c>
      <c r="AA1241" s="114"/>
      <c r="AB1241" s="113"/>
      <c r="AC1241" s="105" t="s">
        <v>3027</v>
      </c>
      <c r="AD1241" s="115" t="s">
        <v>49</v>
      </c>
    </row>
    <row r="1242" spans="1:30" x14ac:dyDescent="0.2">
      <c r="A1242" s="104" t="s">
        <v>3028</v>
      </c>
      <c r="B1242" s="105" t="s">
        <v>42</v>
      </c>
      <c r="C1242" s="105" t="s">
        <v>1449</v>
      </c>
      <c r="D1242" s="106"/>
      <c r="E1242" s="107" t="s">
        <v>376</v>
      </c>
      <c r="F1242" s="108" t="s">
        <v>13346</v>
      </c>
      <c r="G1242" s="118">
        <v>3</v>
      </c>
      <c r="H1242" s="108" t="s">
        <v>13347</v>
      </c>
      <c r="I1242" s="112">
        <v>4</v>
      </c>
      <c r="J1242" s="111" t="s">
        <v>55</v>
      </c>
      <c r="K1242" s="108" t="s">
        <v>13348</v>
      </c>
      <c r="L1242" s="117">
        <v>2</v>
      </c>
      <c r="M1242" s="113"/>
      <c r="N1242" s="108" t="s">
        <v>13346</v>
      </c>
      <c r="O1242" s="110">
        <v>3</v>
      </c>
      <c r="P1242" s="113"/>
      <c r="Q1242" s="108" t="s">
        <v>47</v>
      </c>
      <c r="R1242" s="114"/>
      <c r="S1242" s="113"/>
      <c r="T1242" s="108" t="s">
        <v>47</v>
      </c>
      <c r="U1242" s="114"/>
      <c r="V1242" s="113"/>
      <c r="W1242" s="108" t="s">
        <v>47</v>
      </c>
      <c r="X1242" s="114"/>
      <c r="Y1242" s="113"/>
      <c r="Z1242" s="108" t="s">
        <v>47</v>
      </c>
      <c r="AA1242" s="114"/>
      <c r="AB1242" s="113"/>
      <c r="AC1242" s="105" t="s">
        <v>3029</v>
      </c>
      <c r="AD1242" s="115" t="s">
        <v>49</v>
      </c>
    </row>
    <row r="1243" spans="1:30" x14ac:dyDescent="0.2">
      <c r="A1243" s="104" t="s">
        <v>3030</v>
      </c>
      <c r="B1243" s="105" t="s">
        <v>42</v>
      </c>
      <c r="C1243" s="105" t="s">
        <v>1449</v>
      </c>
      <c r="D1243" s="106"/>
      <c r="E1243" s="107" t="s">
        <v>376</v>
      </c>
      <c r="F1243" s="108" t="s">
        <v>13349</v>
      </c>
      <c r="G1243" s="118">
        <v>3</v>
      </c>
      <c r="H1243" s="108" t="s">
        <v>13350</v>
      </c>
      <c r="I1243" s="112">
        <v>4</v>
      </c>
      <c r="J1243" s="111" t="s">
        <v>55</v>
      </c>
      <c r="K1243" s="108" t="s">
        <v>13351</v>
      </c>
      <c r="L1243" s="117">
        <v>2</v>
      </c>
      <c r="M1243" s="113"/>
      <c r="N1243" s="108" t="s">
        <v>13349</v>
      </c>
      <c r="O1243" s="110">
        <v>3</v>
      </c>
      <c r="P1243" s="113"/>
      <c r="Q1243" s="108" t="s">
        <v>47</v>
      </c>
      <c r="R1243" s="114"/>
      <c r="S1243" s="113"/>
      <c r="T1243" s="108" t="s">
        <v>47</v>
      </c>
      <c r="U1243" s="114"/>
      <c r="V1243" s="113"/>
      <c r="W1243" s="108" t="s">
        <v>47</v>
      </c>
      <c r="X1243" s="114"/>
      <c r="Y1243" s="113"/>
      <c r="Z1243" s="108" t="s">
        <v>47</v>
      </c>
      <c r="AA1243" s="114"/>
      <c r="AB1243" s="113"/>
      <c r="AC1243" s="105" t="s">
        <v>3031</v>
      </c>
      <c r="AD1243" s="115" t="s">
        <v>49</v>
      </c>
    </row>
    <row r="1244" spans="1:30" x14ac:dyDescent="0.2">
      <c r="A1244" s="104" t="s">
        <v>3032</v>
      </c>
      <c r="B1244" s="105" t="s">
        <v>42</v>
      </c>
      <c r="C1244" s="105" t="s">
        <v>1449</v>
      </c>
      <c r="D1244" s="106"/>
      <c r="E1244" s="107" t="s">
        <v>376</v>
      </c>
      <c r="F1244" s="108" t="s">
        <v>13352</v>
      </c>
      <c r="G1244" s="118">
        <v>3</v>
      </c>
      <c r="H1244" s="108" t="s">
        <v>13353</v>
      </c>
      <c r="I1244" s="112">
        <v>4</v>
      </c>
      <c r="J1244" s="111" t="s">
        <v>55</v>
      </c>
      <c r="K1244" s="108" t="s">
        <v>13354</v>
      </c>
      <c r="L1244" s="117">
        <v>2</v>
      </c>
      <c r="M1244" s="113"/>
      <c r="N1244" s="108" t="s">
        <v>13352</v>
      </c>
      <c r="O1244" s="110">
        <v>3</v>
      </c>
      <c r="P1244" s="113"/>
      <c r="Q1244" s="108" t="s">
        <v>47</v>
      </c>
      <c r="R1244" s="114"/>
      <c r="S1244" s="113"/>
      <c r="T1244" s="108" t="s">
        <v>47</v>
      </c>
      <c r="U1244" s="114"/>
      <c r="V1244" s="113"/>
      <c r="W1244" s="108" t="s">
        <v>47</v>
      </c>
      <c r="X1244" s="114"/>
      <c r="Y1244" s="113"/>
      <c r="Z1244" s="108" t="s">
        <v>47</v>
      </c>
      <c r="AA1244" s="114"/>
      <c r="AB1244" s="113"/>
      <c r="AC1244" s="105" t="s">
        <v>3033</v>
      </c>
      <c r="AD1244" s="115" t="s">
        <v>49</v>
      </c>
    </row>
    <row r="1245" spans="1:30" x14ac:dyDescent="0.2">
      <c r="A1245" s="104" t="s">
        <v>3034</v>
      </c>
      <c r="B1245" s="105" t="s">
        <v>420</v>
      </c>
      <c r="C1245" s="105" t="s">
        <v>2346</v>
      </c>
      <c r="D1245" s="106" t="s">
        <v>125</v>
      </c>
      <c r="E1245" s="107"/>
      <c r="F1245" s="108" t="s">
        <v>13355</v>
      </c>
      <c r="G1245" s="119">
        <v>1</v>
      </c>
      <c r="H1245" s="108" t="s">
        <v>13356</v>
      </c>
      <c r="I1245" s="112">
        <v>4</v>
      </c>
      <c r="J1245" s="113"/>
      <c r="K1245" s="108" t="s">
        <v>13357</v>
      </c>
      <c r="L1245" s="110">
        <v>3</v>
      </c>
      <c r="M1245" s="111" t="s">
        <v>55</v>
      </c>
      <c r="N1245" s="108" t="s">
        <v>13355</v>
      </c>
      <c r="O1245" s="116">
        <v>1</v>
      </c>
      <c r="P1245" s="113"/>
      <c r="Q1245" s="108" t="s">
        <v>13358</v>
      </c>
      <c r="R1245" s="116">
        <v>1</v>
      </c>
      <c r="S1245" s="113"/>
      <c r="T1245" s="108" t="s">
        <v>13359</v>
      </c>
      <c r="U1245" s="116">
        <v>1</v>
      </c>
      <c r="V1245" s="113"/>
      <c r="W1245" s="108" t="s">
        <v>13360</v>
      </c>
      <c r="X1245" s="116">
        <v>1</v>
      </c>
      <c r="Y1245" s="113"/>
      <c r="Z1245" s="108" t="s">
        <v>929</v>
      </c>
      <c r="AA1245" s="112">
        <v>4</v>
      </c>
      <c r="AB1245" s="113"/>
      <c r="AC1245" s="105" t="s">
        <v>3035</v>
      </c>
      <c r="AD1245" s="115" t="s">
        <v>424</v>
      </c>
    </row>
    <row r="1246" spans="1:30" x14ac:dyDescent="0.2">
      <c r="A1246" s="104" t="s">
        <v>3036</v>
      </c>
      <c r="B1246" s="105" t="s">
        <v>420</v>
      </c>
      <c r="C1246" s="105" t="s">
        <v>2346</v>
      </c>
      <c r="D1246" s="106" t="s">
        <v>125</v>
      </c>
      <c r="E1246" s="107"/>
      <c r="F1246" s="108" t="s">
        <v>13361</v>
      </c>
      <c r="G1246" s="119">
        <v>1</v>
      </c>
      <c r="H1246" s="108" t="s">
        <v>13362</v>
      </c>
      <c r="I1246" s="112">
        <v>4</v>
      </c>
      <c r="J1246" s="113"/>
      <c r="K1246" s="108" t="s">
        <v>13363</v>
      </c>
      <c r="L1246" s="110">
        <v>3</v>
      </c>
      <c r="M1246" s="111" t="s">
        <v>55</v>
      </c>
      <c r="N1246" s="108" t="s">
        <v>13361</v>
      </c>
      <c r="O1246" s="116">
        <v>1</v>
      </c>
      <c r="P1246" s="113"/>
      <c r="Q1246" s="108" t="s">
        <v>13364</v>
      </c>
      <c r="R1246" s="116">
        <v>1</v>
      </c>
      <c r="S1246" s="113"/>
      <c r="T1246" s="108" t="s">
        <v>13365</v>
      </c>
      <c r="U1246" s="116">
        <v>1</v>
      </c>
      <c r="V1246" s="113"/>
      <c r="W1246" s="108" t="s">
        <v>13366</v>
      </c>
      <c r="X1246" s="116">
        <v>1</v>
      </c>
      <c r="Y1246" s="113"/>
      <c r="Z1246" s="108" t="s">
        <v>9187</v>
      </c>
      <c r="AA1246" s="112">
        <v>4</v>
      </c>
      <c r="AB1246" s="113"/>
      <c r="AC1246" s="105" t="s">
        <v>3037</v>
      </c>
      <c r="AD1246" s="115" t="s">
        <v>424</v>
      </c>
    </row>
    <row r="1247" spans="1:30" x14ac:dyDescent="0.2">
      <c r="A1247" s="104" t="s">
        <v>3038</v>
      </c>
      <c r="B1247" s="105" t="s">
        <v>420</v>
      </c>
      <c r="C1247" s="105" t="s">
        <v>145</v>
      </c>
      <c r="D1247" s="106"/>
      <c r="E1247" s="107"/>
      <c r="F1247" s="108" t="s">
        <v>13367</v>
      </c>
      <c r="G1247" s="118">
        <v>3</v>
      </c>
      <c r="H1247" s="108" t="s">
        <v>13368</v>
      </c>
      <c r="I1247" s="117">
        <v>2</v>
      </c>
      <c r="J1247" s="111" t="s">
        <v>53</v>
      </c>
      <c r="K1247" s="108" t="s">
        <v>13369</v>
      </c>
      <c r="L1247" s="112">
        <v>4</v>
      </c>
      <c r="M1247" s="111" t="s">
        <v>46</v>
      </c>
      <c r="N1247" s="108" t="s">
        <v>13367</v>
      </c>
      <c r="O1247" s="110">
        <v>3</v>
      </c>
      <c r="P1247" s="113"/>
      <c r="Q1247" s="108" t="s">
        <v>13370</v>
      </c>
      <c r="R1247" s="116">
        <v>1</v>
      </c>
      <c r="S1247" s="113"/>
      <c r="T1247" s="108" t="s">
        <v>13371</v>
      </c>
      <c r="U1247" s="116">
        <v>1</v>
      </c>
      <c r="V1247" s="113"/>
      <c r="W1247" s="108" t="s">
        <v>47</v>
      </c>
      <c r="X1247" s="114"/>
      <c r="Y1247" s="113"/>
      <c r="Z1247" s="108" t="s">
        <v>47</v>
      </c>
      <c r="AA1247" s="114"/>
      <c r="AB1247" s="113"/>
      <c r="AC1247" s="105" t="s">
        <v>3039</v>
      </c>
      <c r="AD1247" s="115" t="s">
        <v>424</v>
      </c>
    </row>
    <row r="1248" spans="1:30" x14ac:dyDescent="0.2">
      <c r="A1248" s="104" t="s">
        <v>3040</v>
      </c>
      <c r="B1248" s="105" t="s">
        <v>381</v>
      </c>
      <c r="C1248" s="105" t="s">
        <v>411</v>
      </c>
      <c r="D1248" s="106" t="s">
        <v>298</v>
      </c>
      <c r="E1248" s="107" t="s">
        <v>182</v>
      </c>
      <c r="F1248" s="108" t="s">
        <v>13372</v>
      </c>
      <c r="G1248" s="118">
        <v>3</v>
      </c>
      <c r="H1248" s="108" t="s">
        <v>9887</v>
      </c>
      <c r="I1248" s="116">
        <v>1</v>
      </c>
      <c r="J1248" s="111" t="s">
        <v>157</v>
      </c>
      <c r="K1248" s="108" t="s">
        <v>13373</v>
      </c>
      <c r="L1248" s="117">
        <v>2</v>
      </c>
      <c r="M1248" s="113"/>
      <c r="N1248" s="108" t="s">
        <v>13372</v>
      </c>
      <c r="O1248" s="110">
        <v>3</v>
      </c>
      <c r="P1248" s="111" t="s">
        <v>55</v>
      </c>
      <c r="Q1248" s="108" t="s">
        <v>13374</v>
      </c>
      <c r="R1248" s="110">
        <v>3</v>
      </c>
      <c r="S1248" s="111" t="s">
        <v>46</v>
      </c>
      <c r="T1248" s="108" t="s">
        <v>13375</v>
      </c>
      <c r="U1248" s="112">
        <v>4</v>
      </c>
      <c r="V1248" s="113"/>
      <c r="W1248" s="108" t="s">
        <v>13376</v>
      </c>
      <c r="X1248" s="112">
        <v>4</v>
      </c>
      <c r="Y1248" s="113"/>
      <c r="Z1248" s="108" t="s">
        <v>47</v>
      </c>
      <c r="AA1248" s="114"/>
      <c r="AB1248" s="113"/>
      <c r="AC1248" s="105" t="s">
        <v>3041</v>
      </c>
      <c r="AD1248" s="115" t="s">
        <v>101</v>
      </c>
    </row>
    <row r="1249" spans="1:30" x14ac:dyDescent="0.2">
      <c r="A1249" s="104" t="s">
        <v>3042</v>
      </c>
      <c r="B1249" s="105" t="s">
        <v>42</v>
      </c>
      <c r="C1249" s="105" t="s">
        <v>1492</v>
      </c>
      <c r="D1249" s="106" t="s">
        <v>125</v>
      </c>
      <c r="E1249" s="107"/>
      <c r="F1249" s="108" t="s">
        <v>13377</v>
      </c>
      <c r="G1249" s="109">
        <v>4</v>
      </c>
      <c r="H1249" s="108" t="s">
        <v>13378</v>
      </c>
      <c r="I1249" s="117">
        <v>2</v>
      </c>
      <c r="J1249" s="111" t="s">
        <v>53</v>
      </c>
      <c r="K1249" s="108" t="s">
        <v>12442</v>
      </c>
      <c r="L1249" s="112">
        <v>4</v>
      </c>
      <c r="M1249" s="113"/>
      <c r="N1249" s="108" t="s">
        <v>13377</v>
      </c>
      <c r="O1249" s="112">
        <v>4</v>
      </c>
      <c r="P1249" s="113"/>
      <c r="Q1249" s="108" t="s">
        <v>13379</v>
      </c>
      <c r="R1249" s="117">
        <v>2</v>
      </c>
      <c r="S1249" s="111" t="s">
        <v>40</v>
      </c>
      <c r="T1249" s="108" t="s">
        <v>13380</v>
      </c>
      <c r="U1249" s="110">
        <v>3</v>
      </c>
      <c r="V1249" s="113"/>
      <c r="W1249" s="108" t="s">
        <v>3043</v>
      </c>
      <c r="X1249" s="117">
        <v>2</v>
      </c>
      <c r="Y1249" s="113"/>
      <c r="Z1249" s="108" t="s">
        <v>13381</v>
      </c>
      <c r="AA1249" s="110">
        <v>3</v>
      </c>
      <c r="AB1249" s="111" t="s">
        <v>46</v>
      </c>
      <c r="AC1249" s="105" t="s">
        <v>3044</v>
      </c>
      <c r="AD1249" s="115" t="s">
        <v>49</v>
      </c>
    </row>
    <row r="1250" spans="1:30" x14ac:dyDescent="0.2">
      <c r="A1250" s="104" t="s">
        <v>3045</v>
      </c>
      <c r="B1250" s="105" t="s">
        <v>42</v>
      </c>
      <c r="C1250" s="105" t="s">
        <v>1492</v>
      </c>
      <c r="D1250" s="106" t="s">
        <v>125</v>
      </c>
      <c r="E1250" s="107"/>
      <c r="F1250" s="108" t="s">
        <v>12387</v>
      </c>
      <c r="G1250" s="109">
        <v>4</v>
      </c>
      <c r="H1250" s="108" t="s">
        <v>12281</v>
      </c>
      <c r="I1250" s="110">
        <v>3</v>
      </c>
      <c r="J1250" s="111" t="s">
        <v>40</v>
      </c>
      <c r="K1250" s="108" t="s">
        <v>13382</v>
      </c>
      <c r="L1250" s="112">
        <v>4</v>
      </c>
      <c r="M1250" s="113"/>
      <c r="N1250" s="108" t="s">
        <v>12387</v>
      </c>
      <c r="O1250" s="112">
        <v>4</v>
      </c>
      <c r="P1250" s="113"/>
      <c r="Q1250" s="108" t="s">
        <v>13383</v>
      </c>
      <c r="R1250" s="110">
        <v>3</v>
      </c>
      <c r="S1250" s="113"/>
      <c r="T1250" s="108" t="s">
        <v>13384</v>
      </c>
      <c r="U1250" s="110">
        <v>3</v>
      </c>
      <c r="V1250" s="113"/>
      <c r="W1250" s="108" t="s">
        <v>2706</v>
      </c>
      <c r="X1250" s="110">
        <v>3</v>
      </c>
      <c r="Y1250" s="113"/>
      <c r="Z1250" s="108" t="s">
        <v>3046</v>
      </c>
      <c r="AA1250" s="110">
        <v>3</v>
      </c>
      <c r="AB1250" s="113"/>
      <c r="AC1250" s="105" t="s">
        <v>3047</v>
      </c>
      <c r="AD1250" s="115" t="s">
        <v>49</v>
      </c>
    </row>
    <row r="1251" spans="1:30" x14ac:dyDescent="0.2">
      <c r="A1251" s="104" t="s">
        <v>3048</v>
      </c>
      <c r="B1251" s="105" t="s">
        <v>42</v>
      </c>
      <c r="C1251" s="105" t="s">
        <v>154</v>
      </c>
      <c r="D1251" s="106"/>
      <c r="E1251" s="107"/>
      <c r="F1251" s="108" t="s">
        <v>13385</v>
      </c>
      <c r="G1251" s="118">
        <v>3</v>
      </c>
      <c r="H1251" s="108" t="s">
        <v>13386</v>
      </c>
      <c r="I1251" s="116">
        <v>1</v>
      </c>
      <c r="J1251" s="111" t="s">
        <v>53</v>
      </c>
      <c r="K1251" s="108" t="s">
        <v>13387</v>
      </c>
      <c r="L1251" s="110">
        <v>3</v>
      </c>
      <c r="M1251" s="111" t="s">
        <v>40</v>
      </c>
      <c r="N1251" s="108" t="s">
        <v>13385</v>
      </c>
      <c r="O1251" s="110">
        <v>3</v>
      </c>
      <c r="P1251" s="111" t="s">
        <v>46</v>
      </c>
      <c r="Q1251" s="108" t="s">
        <v>13388</v>
      </c>
      <c r="R1251" s="116">
        <v>1</v>
      </c>
      <c r="S1251" s="113"/>
      <c r="T1251" s="108" t="s">
        <v>13389</v>
      </c>
      <c r="U1251" s="112">
        <v>4</v>
      </c>
      <c r="V1251" s="113"/>
      <c r="W1251" s="108" t="s">
        <v>13390</v>
      </c>
      <c r="X1251" s="112">
        <v>4</v>
      </c>
      <c r="Y1251" s="113"/>
      <c r="Z1251" s="108" t="s">
        <v>47</v>
      </c>
      <c r="AA1251" s="114"/>
      <c r="AB1251" s="113"/>
      <c r="AC1251" s="105" t="s">
        <v>3049</v>
      </c>
      <c r="AD1251" s="115" t="s">
        <v>49</v>
      </c>
    </row>
    <row r="1252" spans="1:30" x14ac:dyDescent="0.2">
      <c r="A1252" s="104" t="s">
        <v>3050</v>
      </c>
      <c r="B1252" s="105" t="s">
        <v>805</v>
      </c>
      <c r="C1252" s="105" t="s">
        <v>1241</v>
      </c>
      <c r="D1252" s="106" t="s">
        <v>125</v>
      </c>
      <c r="E1252" s="107"/>
      <c r="F1252" s="108" t="s">
        <v>13391</v>
      </c>
      <c r="G1252" s="119">
        <v>1</v>
      </c>
      <c r="H1252" s="108" t="s">
        <v>13392</v>
      </c>
      <c r="I1252" s="116">
        <v>1</v>
      </c>
      <c r="J1252" s="113"/>
      <c r="K1252" s="108" t="s">
        <v>13393</v>
      </c>
      <c r="L1252" s="116">
        <v>1</v>
      </c>
      <c r="M1252" s="113"/>
      <c r="N1252" s="108" t="s">
        <v>13391</v>
      </c>
      <c r="O1252" s="116">
        <v>1</v>
      </c>
      <c r="P1252" s="113"/>
      <c r="Q1252" s="108" t="s">
        <v>13394</v>
      </c>
      <c r="R1252" s="116">
        <v>1</v>
      </c>
      <c r="S1252" s="111" t="s">
        <v>40</v>
      </c>
      <c r="T1252" s="108" t="s">
        <v>13395</v>
      </c>
      <c r="U1252" s="112">
        <v>4</v>
      </c>
      <c r="V1252" s="113"/>
      <c r="W1252" s="108" t="s">
        <v>13396</v>
      </c>
      <c r="X1252" s="110">
        <v>3</v>
      </c>
      <c r="Y1252" s="111" t="s">
        <v>46</v>
      </c>
      <c r="Z1252" s="108" t="s">
        <v>13397</v>
      </c>
      <c r="AA1252" s="110">
        <v>3</v>
      </c>
      <c r="AB1252" s="111" t="s">
        <v>55</v>
      </c>
      <c r="AC1252" s="105" t="s">
        <v>3051</v>
      </c>
      <c r="AD1252" s="115" t="s">
        <v>107</v>
      </c>
    </row>
    <row r="1253" spans="1:30" x14ac:dyDescent="0.2">
      <c r="A1253" s="104" t="s">
        <v>3052</v>
      </c>
      <c r="B1253" s="105" t="s">
        <v>805</v>
      </c>
      <c r="C1253" s="105" t="s">
        <v>1241</v>
      </c>
      <c r="D1253" s="106" t="s">
        <v>125</v>
      </c>
      <c r="E1253" s="107"/>
      <c r="F1253" s="108" t="s">
        <v>13398</v>
      </c>
      <c r="G1253" s="119">
        <v>1</v>
      </c>
      <c r="H1253" s="108" t="s">
        <v>13399</v>
      </c>
      <c r="I1253" s="116">
        <v>1</v>
      </c>
      <c r="J1253" s="113"/>
      <c r="K1253" s="108" t="s">
        <v>13400</v>
      </c>
      <c r="L1253" s="116">
        <v>1</v>
      </c>
      <c r="M1253" s="113"/>
      <c r="N1253" s="108" t="s">
        <v>13398</v>
      </c>
      <c r="O1253" s="116">
        <v>1</v>
      </c>
      <c r="P1253" s="113"/>
      <c r="Q1253" s="108" t="s">
        <v>13401</v>
      </c>
      <c r="R1253" s="116">
        <v>1</v>
      </c>
      <c r="S1253" s="111" t="s">
        <v>40</v>
      </c>
      <c r="T1253" s="108" t="s">
        <v>13402</v>
      </c>
      <c r="U1253" s="112">
        <v>4</v>
      </c>
      <c r="V1253" s="113"/>
      <c r="W1253" s="108" t="s">
        <v>13403</v>
      </c>
      <c r="X1253" s="117">
        <v>2</v>
      </c>
      <c r="Y1253" s="113"/>
      <c r="Z1253" s="108" t="s">
        <v>13404</v>
      </c>
      <c r="AA1253" s="110">
        <v>3</v>
      </c>
      <c r="AB1253" s="113"/>
      <c r="AC1253" s="105" t="s">
        <v>3053</v>
      </c>
      <c r="AD1253" s="115" t="s">
        <v>107</v>
      </c>
    </row>
    <row r="1254" spans="1:30" x14ac:dyDescent="0.2">
      <c r="A1254" s="104" t="s">
        <v>3054</v>
      </c>
      <c r="B1254" s="105" t="s">
        <v>805</v>
      </c>
      <c r="C1254" s="105" t="s">
        <v>3055</v>
      </c>
      <c r="D1254" s="106" t="s">
        <v>94</v>
      </c>
      <c r="E1254" s="107"/>
      <c r="F1254" s="108" t="s">
        <v>13405</v>
      </c>
      <c r="G1254" s="118">
        <v>3</v>
      </c>
      <c r="H1254" s="108" t="s">
        <v>13406</v>
      </c>
      <c r="I1254" s="116">
        <v>1</v>
      </c>
      <c r="J1254" s="111" t="s">
        <v>53</v>
      </c>
      <c r="K1254" s="108" t="s">
        <v>13407</v>
      </c>
      <c r="L1254" s="110">
        <v>3</v>
      </c>
      <c r="M1254" s="111" t="s">
        <v>40</v>
      </c>
      <c r="N1254" s="108" t="s">
        <v>13405</v>
      </c>
      <c r="O1254" s="110">
        <v>3</v>
      </c>
      <c r="P1254" s="111" t="s">
        <v>40</v>
      </c>
      <c r="Q1254" s="108" t="s">
        <v>13408</v>
      </c>
      <c r="R1254" s="110">
        <v>3</v>
      </c>
      <c r="S1254" s="111" t="s">
        <v>46</v>
      </c>
      <c r="T1254" s="108" t="s">
        <v>13409</v>
      </c>
      <c r="U1254" s="116">
        <v>1</v>
      </c>
      <c r="V1254" s="113"/>
      <c r="W1254" s="108" t="s">
        <v>47</v>
      </c>
      <c r="X1254" s="114"/>
      <c r="Y1254" s="113"/>
      <c r="Z1254" s="108" t="s">
        <v>47</v>
      </c>
      <c r="AA1254" s="114"/>
      <c r="AB1254" s="113"/>
      <c r="AC1254" s="105" t="s">
        <v>3056</v>
      </c>
      <c r="AD1254" s="115" t="s">
        <v>107</v>
      </c>
    </row>
    <row r="1255" spans="1:30" x14ac:dyDescent="0.2">
      <c r="A1255" s="104" t="s">
        <v>3057</v>
      </c>
      <c r="B1255" s="105" t="s">
        <v>805</v>
      </c>
      <c r="C1255" s="105" t="s">
        <v>3055</v>
      </c>
      <c r="D1255" s="106" t="s">
        <v>94</v>
      </c>
      <c r="E1255" s="107"/>
      <c r="F1255" s="108" t="s">
        <v>13410</v>
      </c>
      <c r="G1255" s="118">
        <v>3</v>
      </c>
      <c r="H1255" s="108" t="s">
        <v>13411</v>
      </c>
      <c r="I1255" s="116">
        <v>1</v>
      </c>
      <c r="J1255" s="111" t="s">
        <v>53</v>
      </c>
      <c r="K1255" s="108" t="s">
        <v>13412</v>
      </c>
      <c r="L1255" s="110">
        <v>3</v>
      </c>
      <c r="M1255" s="111" t="s">
        <v>40</v>
      </c>
      <c r="N1255" s="108" t="s">
        <v>13410</v>
      </c>
      <c r="O1255" s="110">
        <v>3</v>
      </c>
      <c r="P1255" s="111" t="s">
        <v>40</v>
      </c>
      <c r="Q1255" s="108" t="s">
        <v>13413</v>
      </c>
      <c r="R1255" s="110">
        <v>3</v>
      </c>
      <c r="S1255" s="111" t="s">
        <v>46</v>
      </c>
      <c r="T1255" s="108" t="s">
        <v>13414</v>
      </c>
      <c r="U1255" s="116">
        <v>1</v>
      </c>
      <c r="V1255" s="111" t="s">
        <v>40</v>
      </c>
      <c r="W1255" s="108" t="s">
        <v>47</v>
      </c>
      <c r="X1255" s="114"/>
      <c r="Y1255" s="113"/>
      <c r="Z1255" s="108" t="s">
        <v>47</v>
      </c>
      <c r="AA1255" s="114"/>
      <c r="AB1255" s="113"/>
      <c r="AC1255" s="105" t="s">
        <v>3058</v>
      </c>
      <c r="AD1255" s="115" t="s">
        <v>107</v>
      </c>
    </row>
    <row r="1256" spans="1:30" x14ac:dyDescent="0.2">
      <c r="A1256" s="104" t="s">
        <v>3059</v>
      </c>
      <c r="B1256" s="105" t="s">
        <v>805</v>
      </c>
      <c r="C1256" s="105" t="s">
        <v>2716</v>
      </c>
      <c r="D1256" s="106" t="s">
        <v>94</v>
      </c>
      <c r="E1256" s="107"/>
      <c r="F1256" s="108" t="s">
        <v>13415</v>
      </c>
      <c r="G1256" s="118">
        <v>3</v>
      </c>
      <c r="H1256" s="108" t="s">
        <v>13416</v>
      </c>
      <c r="I1256" s="116">
        <v>1</v>
      </c>
      <c r="J1256" s="111" t="s">
        <v>40</v>
      </c>
      <c r="K1256" s="108" t="s">
        <v>13417</v>
      </c>
      <c r="L1256" s="116">
        <v>1</v>
      </c>
      <c r="M1256" s="111" t="s">
        <v>40</v>
      </c>
      <c r="N1256" s="108" t="s">
        <v>13415</v>
      </c>
      <c r="O1256" s="110">
        <v>3</v>
      </c>
      <c r="P1256" s="113"/>
      <c r="Q1256" s="108" t="s">
        <v>13418</v>
      </c>
      <c r="R1256" s="110">
        <v>3</v>
      </c>
      <c r="S1256" s="113"/>
      <c r="T1256" s="108" t="s">
        <v>13419</v>
      </c>
      <c r="U1256" s="110">
        <v>3</v>
      </c>
      <c r="V1256" s="113"/>
      <c r="W1256" s="108" t="s">
        <v>13420</v>
      </c>
      <c r="X1256" s="117">
        <v>2</v>
      </c>
      <c r="Y1256" s="111" t="s">
        <v>40</v>
      </c>
      <c r="Z1256" s="108" t="s">
        <v>13421</v>
      </c>
      <c r="AA1256" s="110">
        <v>3</v>
      </c>
      <c r="AB1256" s="111" t="s">
        <v>55</v>
      </c>
      <c r="AC1256" s="105" t="s">
        <v>3060</v>
      </c>
      <c r="AD1256" s="115" t="s">
        <v>107</v>
      </c>
    </row>
    <row r="1257" spans="1:30" x14ac:dyDescent="0.2">
      <c r="A1257" s="104" t="s">
        <v>13422</v>
      </c>
      <c r="B1257" s="105" t="s">
        <v>442</v>
      </c>
      <c r="C1257" s="105" t="s">
        <v>13423</v>
      </c>
      <c r="D1257" s="106"/>
      <c r="E1257" s="107"/>
      <c r="F1257" s="108" t="s">
        <v>13424</v>
      </c>
      <c r="G1257" s="120">
        <v>2</v>
      </c>
      <c r="H1257" s="108" t="s">
        <v>13425</v>
      </c>
      <c r="I1257" s="112">
        <v>4</v>
      </c>
      <c r="J1257" s="111" t="s">
        <v>44</v>
      </c>
      <c r="K1257" s="108" t="s">
        <v>3061</v>
      </c>
      <c r="L1257" s="117">
        <v>2</v>
      </c>
      <c r="M1257" s="113"/>
      <c r="N1257" s="108" t="s">
        <v>13424</v>
      </c>
      <c r="O1257" s="117">
        <v>2</v>
      </c>
      <c r="P1257" s="113"/>
      <c r="Q1257" s="108" t="s">
        <v>3062</v>
      </c>
      <c r="R1257" s="112">
        <v>4</v>
      </c>
      <c r="S1257" s="113"/>
      <c r="T1257" s="108" t="s">
        <v>47</v>
      </c>
      <c r="U1257" s="114"/>
      <c r="V1257" s="113"/>
      <c r="W1257" s="108" t="s">
        <v>47</v>
      </c>
      <c r="X1257" s="114"/>
      <c r="Y1257" s="113"/>
      <c r="Z1257" s="108" t="s">
        <v>47</v>
      </c>
      <c r="AA1257" s="114"/>
      <c r="AB1257" s="113"/>
      <c r="AC1257" s="105" t="s">
        <v>13426</v>
      </c>
      <c r="AD1257" s="115" t="s">
        <v>424</v>
      </c>
    </row>
    <row r="1258" spans="1:30" x14ac:dyDescent="0.2">
      <c r="A1258" s="104" t="s">
        <v>13427</v>
      </c>
      <c r="B1258" s="105" t="s">
        <v>442</v>
      </c>
      <c r="C1258" s="105" t="s">
        <v>13423</v>
      </c>
      <c r="D1258" s="106"/>
      <c r="E1258" s="107"/>
      <c r="F1258" s="108" t="s">
        <v>11117</v>
      </c>
      <c r="G1258" s="109">
        <v>4</v>
      </c>
      <c r="H1258" s="108" t="s">
        <v>3063</v>
      </c>
      <c r="I1258" s="110">
        <v>3</v>
      </c>
      <c r="J1258" s="113"/>
      <c r="K1258" s="108" t="s">
        <v>13428</v>
      </c>
      <c r="L1258" s="112">
        <v>4</v>
      </c>
      <c r="M1258" s="113"/>
      <c r="N1258" s="108" t="s">
        <v>11117</v>
      </c>
      <c r="O1258" s="112">
        <v>4</v>
      </c>
      <c r="P1258" s="113"/>
      <c r="Q1258" s="108" t="s">
        <v>3064</v>
      </c>
      <c r="R1258" s="110">
        <v>3</v>
      </c>
      <c r="S1258" s="113"/>
      <c r="T1258" s="108" t="s">
        <v>47</v>
      </c>
      <c r="U1258" s="114"/>
      <c r="V1258" s="113"/>
      <c r="W1258" s="108" t="s">
        <v>47</v>
      </c>
      <c r="X1258" s="114"/>
      <c r="Y1258" s="113"/>
      <c r="Z1258" s="108" t="s">
        <v>47</v>
      </c>
      <c r="AA1258" s="114"/>
      <c r="AB1258" s="113"/>
      <c r="AC1258" s="105" t="s">
        <v>13429</v>
      </c>
      <c r="AD1258" s="115" t="s">
        <v>424</v>
      </c>
    </row>
    <row r="1259" spans="1:30" x14ac:dyDescent="0.2">
      <c r="A1259" s="104" t="s">
        <v>13430</v>
      </c>
      <c r="B1259" s="105" t="s">
        <v>805</v>
      </c>
      <c r="C1259" s="105" t="s">
        <v>513</v>
      </c>
      <c r="D1259" s="106" t="s">
        <v>125</v>
      </c>
      <c r="E1259" s="107" t="s">
        <v>146</v>
      </c>
      <c r="F1259" s="108" t="s">
        <v>13431</v>
      </c>
      <c r="G1259" s="118">
        <v>3</v>
      </c>
      <c r="H1259" s="108" t="s">
        <v>13432</v>
      </c>
      <c r="I1259" s="112">
        <v>4</v>
      </c>
      <c r="J1259" s="111" t="s">
        <v>46</v>
      </c>
      <c r="K1259" s="108" t="s">
        <v>13433</v>
      </c>
      <c r="L1259" s="110">
        <v>3</v>
      </c>
      <c r="M1259" s="113"/>
      <c r="N1259" s="108" t="s">
        <v>13431</v>
      </c>
      <c r="O1259" s="110">
        <v>3</v>
      </c>
      <c r="P1259" s="113"/>
      <c r="Q1259" s="108" t="s">
        <v>3065</v>
      </c>
      <c r="R1259" s="110">
        <v>3</v>
      </c>
      <c r="S1259" s="113"/>
      <c r="T1259" s="108" t="s">
        <v>13434</v>
      </c>
      <c r="U1259" s="110">
        <v>3</v>
      </c>
      <c r="V1259" s="113"/>
      <c r="W1259" s="108" t="s">
        <v>47</v>
      </c>
      <c r="X1259" s="114"/>
      <c r="Y1259" s="113"/>
      <c r="Z1259" s="108" t="s">
        <v>47</v>
      </c>
      <c r="AA1259" s="114"/>
      <c r="AB1259" s="113"/>
      <c r="AC1259" s="105" t="s">
        <v>3066</v>
      </c>
      <c r="AD1259" s="115" t="s">
        <v>107</v>
      </c>
    </row>
    <row r="1260" spans="1:30" x14ac:dyDescent="0.2">
      <c r="A1260" s="104" t="s">
        <v>13435</v>
      </c>
      <c r="B1260" s="105" t="s">
        <v>805</v>
      </c>
      <c r="C1260" s="105" t="s">
        <v>513</v>
      </c>
      <c r="D1260" s="106" t="s">
        <v>125</v>
      </c>
      <c r="E1260" s="107" t="s">
        <v>146</v>
      </c>
      <c r="F1260" s="108" t="s">
        <v>13436</v>
      </c>
      <c r="G1260" s="118">
        <v>3</v>
      </c>
      <c r="H1260" s="108" t="s">
        <v>13437</v>
      </c>
      <c r="I1260" s="112">
        <v>4</v>
      </c>
      <c r="J1260" s="111" t="s">
        <v>46</v>
      </c>
      <c r="K1260" s="108" t="s">
        <v>13438</v>
      </c>
      <c r="L1260" s="110">
        <v>3</v>
      </c>
      <c r="M1260" s="113"/>
      <c r="N1260" s="108" t="s">
        <v>13436</v>
      </c>
      <c r="O1260" s="110">
        <v>3</v>
      </c>
      <c r="P1260" s="113"/>
      <c r="Q1260" s="108" t="s">
        <v>13439</v>
      </c>
      <c r="R1260" s="110">
        <v>3</v>
      </c>
      <c r="S1260" s="113"/>
      <c r="T1260" s="108" t="s">
        <v>13440</v>
      </c>
      <c r="U1260" s="110">
        <v>3</v>
      </c>
      <c r="V1260" s="113"/>
      <c r="W1260" s="108" t="s">
        <v>47</v>
      </c>
      <c r="X1260" s="114"/>
      <c r="Y1260" s="113"/>
      <c r="Z1260" s="108" t="s">
        <v>47</v>
      </c>
      <c r="AA1260" s="114"/>
      <c r="AB1260" s="113"/>
      <c r="AC1260" s="105" t="s">
        <v>3067</v>
      </c>
      <c r="AD1260" s="115" t="s">
        <v>107</v>
      </c>
    </row>
    <row r="1261" spans="1:30" x14ac:dyDescent="0.2">
      <c r="A1261" s="104" t="s">
        <v>13441</v>
      </c>
      <c r="B1261" s="105" t="s">
        <v>805</v>
      </c>
      <c r="C1261" s="105" t="s">
        <v>513</v>
      </c>
      <c r="D1261" s="106" t="s">
        <v>125</v>
      </c>
      <c r="E1261" s="107" t="s">
        <v>146</v>
      </c>
      <c r="F1261" s="108" t="s">
        <v>13442</v>
      </c>
      <c r="G1261" s="118">
        <v>3</v>
      </c>
      <c r="H1261" s="108" t="s">
        <v>13443</v>
      </c>
      <c r="I1261" s="112">
        <v>4</v>
      </c>
      <c r="J1261" s="111" t="s">
        <v>46</v>
      </c>
      <c r="K1261" s="108" t="s">
        <v>13444</v>
      </c>
      <c r="L1261" s="110">
        <v>3</v>
      </c>
      <c r="M1261" s="113"/>
      <c r="N1261" s="108" t="s">
        <v>13442</v>
      </c>
      <c r="O1261" s="110">
        <v>3</v>
      </c>
      <c r="P1261" s="113"/>
      <c r="Q1261" s="108" t="s">
        <v>13445</v>
      </c>
      <c r="R1261" s="110">
        <v>3</v>
      </c>
      <c r="S1261" s="113"/>
      <c r="T1261" s="108" t="s">
        <v>13446</v>
      </c>
      <c r="U1261" s="117">
        <v>2</v>
      </c>
      <c r="V1261" s="113"/>
      <c r="W1261" s="108" t="s">
        <v>47</v>
      </c>
      <c r="X1261" s="114"/>
      <c r="Y1261" s="113"/>
      <c r="Z1261" s="108" t="s">
        <v>47</v>
      </c>
      <c r="AA1261" s="114"/>
      <c r="AB1261" s="113"/>
      <c r="AC1261" s="105" t="s">
        <v>3068</v>
      </c>
      <c r="AD1261" s="115" t="s">
        <v>107</v>
      </c>
    </row>
    <row r="1262" spans="1:30" x14ac:dyDescent="0.2">
      <c r="A1262" s="104" t="s">
        <v>13447</v>
      </c>
      <c r="B1262" s="105" t="s">
        <v>805</v>
      </c>
      <c r="C1262" s="105" t="s">
        <v>513</v>
      </c>
      <c r="D1262" s="106" t="s">
        <v>125</v>
      </c>
      <c r="E1262" s="107" t="s">
        <v>146</v>
      </c>
      <c r="F1262" s="108" t="s">
        <v>13448</v>
      </c>
      <c r="G1262" s="118">
        <v>3</v>
      </c>
      <c r="H1262" s="108" t="s">
        <v>13449</v>
      </c>
      <c r="I1262" s="112">
        <v>4</v>
      </c>
      <c r="J1262" s="111" t="s">
        <v>46</v>
      </c>
      <c r="K1262" s="108" t="s">
        <v>13450</v>
      </c>
      <c r="L1262" s="110">
        <v>3</v>
      </c>
      <c r="M1262" s="113"/>
      <c r="N1262" s="108" t="s">
        <v>13448</v>
      </c>
      <c r="O1262" s="110">
        <v>3</v>
      </c>
      <c r="P1262" s="113"/>
      <c r="Q1262" s="108" t="s">
        <v>13451</v>
      </c>
      <c r="R1262" s="110">
        <v>3</v>
      </c>
      <c r="S1262" s="113"/>
      <c r="T1262" s="108" t="s">
        <v>13452</v>
      </c>
      <c r="U1262" s="117">
        <v>2</v>
      </c>
      <c r="V1262" s="113"/>
      <c r="W1262" s="108" t="s">
        <v>47</v>
      </c>
      <c r="X1262" s="114"/>
      <c r="Y1262" s="113"/>
      <c r="Z1262" s="108" t="s">
        <v>47</v>
      </c>
      <c r="AA1262" s="114"/>
      <c r="AB1262" s="113"/>
      <c r="AC1262" s="105" t="s">
        <v>3069</v>
      </c>
      <c r="AD1262" s="115" t="s">
        <v>107</v>
      </c>
    </row>
    <row r="1263" spans="1:30" x14ac:dyDescent="0.2">
      <c r="A1263" s="104" t="s">
        <v>13453</v>
      </c>
      <c r="B1263" s="105" t="s">
        <v>805</v>
      </c>
      <c r="C1263" s="105" t="s">
        <v>513</v>
      </c>
      <c r="D1263" s="106" t="s">
        <v>125</v>
      </c>
      <c r="E1263" s="107" t="s">
        <v>146</v>
      </c>
      <c r="F1263" s="108" t="s">
        <v>13454</v>
      </c>
      <c r="G1263" s="118">
        <v>3</v>
      </c>
      <c r="H1263" s="108" t="s">
        <v>13455</v>
      </c>
      <c r="I1263" s="112">
        <v>4</v>
      </c>
      <c r="J1263" s="111" t="s">
        <v>46</v>
      </c>
      <c r="K1263" s="108" t="s">
        <v>13456</v>
      </c>
      <c r="L1263" s="110">
        <v>3</v>
      </c>
      <c r="M1263" s="113"/>
      <c r="N1263" s="108" t="s">
        <v>13454</v>
      </c>
      <c r="O1263" s="110">
        <v>3</v>
      </c>
      <c r="P1263" s="113"/>
      <c r="Q1263" s="108" t="s">
        <v>13457</v>
      </c>
      <c r="R1263" s="110">
        <v>3</v>
      </c>
      <c r="S1263" s="113"/>
      <c r="T1263" s="108" t="s">
        <v>13458</v>
      </c>
      <c r="U1263" s="117">
        <v>2</v>
      </c>
      <c r="V1263" s="113"/>
      <c r="W1263" s="108" t="s">
        <v>47</v>
      </c>
      <c r="X1263" s="114"/>
      <c r="Y1263" s="113"/>
      <c r="Z1263" s="108" t="s">
        <v>47</v>
      </c>
      <c r="AA1263" s="114"/>
      <c r="AB1263" s="113"/>
      <c r="AC1263" s="105" t="s">
        <v>3070</v>
      </c>
      <c r="AD1263" s="115" t="s">
        <v>107</v>
      </c>
    </row>
    <row r="1264" spans="1:30" x14ac:dyDescent="0.2">
      <c r="A1264" s="104" t="s">
        <v>13459</v>
      </c>
      <c r="B1264" s="105" t="s">
        <v>805</v>
      </c>
      <c r="C1264" s="105" t="s">
        <v>513</v>
      </c>
      <c r="D1264" s="106" t="s">
        <v>125</v>
      </c>
      <c r="E1264" s="107" t="s">
        <v>146</v>
      </c>
      <c r="F1264" s="108" t="s">
        <v>13460</v>
      </c>
      <c r="G1264" s="118">
        <v>3</v>
      </c>
      <c r="H1264" s="108" t="s">
        <v>13461</v>
      </c>
      <c r="I1264" s="112">
        <v>4</v>
      </c>
      <c r="J1264" s="111" t="s">
        <v>46</v>
      </c>
      <c r="K1264" s="108" t="s">
        <v>13462</v>
      </c>
      <c r="L1264" s="110">
        <v>3</v>
      </c>
      <c r="M1264" s="113"/>
      <c r="N1264" s="108" t="s">
        <v>13460</v>
      </c>
      <c r="O1264" s="110">
        <v>3</v>
      </c>
      <c r="P1264" s="113"/>
      <c r="Q1264" s="108" t="s">
        <v>13463</v>
      </c>
      <c r="R1264" s="110">
        <v>3</v>
      </c>
      <c r="S1264" s="113"/>
      <c r="T1264" s="108" t="s">
        <v>13464</v>
      </c>
      <c r="U1264" s="117">
        <v>2</v>
      </c>
      <c r="V1264" s="113"/>
      <c r="W1264" s="108" t="s">
        <v>47</v>
      </c>
      <c r="X1264" s="114"/>
      <c r="Y1264" s="113"/>
      <c r="Z1264" s="108" t="s">
        <v>47</v>
      </c>
      <c r="AA1264" s="114"/>
      <c r="AB1264" s="113"/>
      <c r="AC1264" s="105" t="s">
        <v>3071</v>
      </c>
      <c r="AD1264" s="115" t="s">
        <v>107</v>
      </c>
    </row>
    <row r="1265" spans="1:30" x14ac:dyDescent="0.2">
      <c r="A1265" s="104" t="s">
        <v>13465</v>
      </c>
      <c r="B1265" s="105" t="s">
        <v>805</v>
      </c>
      <c r="C1265" s="105" t="s">
        <v>513</v>
      </c>
      <c r="D1265" s="106" t="s">
        <v>125</v>
      </c>
      <c r="E1265" s="107" t="s">
        <v>146</v>
      </c>
      <c r="F1265" s="108" t="s">
        <v>13466</v>
      </c>
      <c r="G1265" s="118">
        <v>3</v>
      </c>
      <c r="H1265" s="108" t="s">
        <v>13467</v>
      </c>
      <c r="I1265" s="112">
        <v>4</v>
      </c>
      <c r="J1265" s="111" t="s">
        <v>46</v>
      </c>
      <c r="K1265" s="108" t="s">
        <v>13468</v>
      </c>
      <c r="L1265" s="110">
        <v>3</v>
      </c>
      <c r="M1265" s="113"/>
      <c r="N1265" s="108" t="s">
        <v>13466</v>
      </c>
      <c r="O1265" s="110">
        <v>3</v>
      </c>
      <c r="P1265" s="113"/>
      <c r="Q1265" s="108" t="s">
        <v>13469</v>
      </c>
      <c r="R1265" s="110">
        <v>3</v>
      </c>
      <c r="S1265" s="113"/>
      <c r="T1265" s="108" t="s">
        <v>13470</v>
      </c>
      <c r="U1265" s="117">
        <v>2</v>
      </c>
      <c r="V1265" s="113"/>
      <c r="W1265" s="108" t="s">
        <v>47</v>
      </c>
      <c r="X1265" s="114"/>
      <c r="Y1265" s="113"/>
      <c r="Z1265" s="108" t="s">
        <v>47</v>
      </c>
      <c r="AA1265" s="114"/>
      <c r="AB1265" s="113"/>
      <c r="AC1265" s="105" t="s">
        <v>3072</v>
      </c>
      <c r="AD1265" s="115" t="s">
        <v>107</v>
      </c>
    </row>
    <row r="1266" spans="1:30" x14ac:dyDescent="0.2">
      <c r="A1266" s="104" t="s">
        <v>13471</v>
      </c>
      <c r="B1266" s="105" t="s">
        <v>805</v>
      </c>
      <c r="C1266" s="105" t="s">
        <v>1449</v>
      </c>
      <c r="D1266" s="106"/>
      <c r="E1266" s="107"/>
      <c r="F1266" s="108" t="s">
        <v>47</v>
      </c>
      <c r="G1266" s="113"/>
      <c r="H1266" s="108" t="s">
        <v>13472</v>
      </c>
      <c r="I1266" s="110">
        <v>3</v>
      </c>
      <c r="J1266" s="111" t="s">
        <v>46</v>
      </c>
      <c r="K1266" s="108" t="s">
        <v>13473</v>
      </c>
      <c r="L1266" s="117">
        <v>2</v>
      </c>
      <c r="M1266" s="113"/>
      <c r="N1266" s="108" t="s">
        <v>47</v>
      </c>
      <c r="O1266" s="114"/>
      <c r="P1266" s="113"/>
      <c r="Q1266" s="108" t="s">
        <v>47</v>
      </c>
      <c r="R1266" s="114"/>
      <c r="S1266" s="113"/>
      <c r="T1266" s="108" t="s">
        <v>47</v>
      </c>
      <c r="U1266" s="114"/>
      <c r="V1266" s="113"/>
      <c r="W1266" s="108" t="s">
        <v>47</v>
      </c>
      <c r="X1266" s="114"/>
      <c r="Y1266" s="113"/>
      <c r="Z1266" s="108" t="s">
        <v>47</v>
      </c>
      <c r="AA1266" s="114"/>
      <c r="AB1266" s="113"/>
      <c r="AC1266" s="105" t="s">
        <v>3073</v>
      </c>
      <c r="AD1266" s="115" t="s">
        <v>107</v>
      </c>
    </row>
    <row r="1267" spans="1:30" x14ac:dyDescent="0.2">
      <c r="A1267" s="104" t="s">
        <v>13474</v>
      </c>
      <c r="B1267" s="105" t="s">
        <v>805</v>
      </c>
      <c r="C1267" s="105" t="s">
        <v>1241</v>
      </c>
      <c r="D1267" s="106"/>
      <c r="E1267" s="107"/>
      <c r="F1267" s="108" t="s">
        <v>13475</v>
      </c>
      <c r="G1267" s="118">
        <v>3</v>
      </c>
      <c r="H1267" s="108" t="s">
        <v>13476</v>
      </c>
      <c r="I1267" s="110">
        <v>3</v>
      </c>
      <c r="J1267" s="113"/>
      <c r="K1267" s="108" t="s">
        <v>13477</v>
      </c>
      <c r="L1267" s="110">
        <v>3</v>
      </c>
      <c r="M1267" s="113"/>
      <c r="N1267" s="108" t="s">
        <v>13475</v>
      </c>
      <c r="O1267" s="110">
        <v>3</v>
      </c>
      <c r="P1267" s="113"/>
      <c r="Q1267" s="108" t="s">
        <v>47</v>
      </c>
      <c r="R1267" s="114"/>
      <c r="S1267" s="113"/>
      <c r="T1267" s="108" t="s">
        <v>47</v>
      </c>
      <c r="U1267" s="114"/>
      <c r="V1267" s="113"/>
      <c r="W1267" s="108" t="s">
        <v>47</v>
      </c>
      <c r="X1267" s="114"/>
      <c r="Y1267" s="113"/>
      <c r="Z1267" s="108" t="s">
        <v>47</v>
      </c>
      <c r="AA1267" s="114"/>
      <c r="AB1267" s="113"/>
      <c r="AC1267" s="105" t="s">
        <v>3074</v>
      </c>
      <c r="AD1267" s="115" t="s">
        <v>107</v>
      </c>
    </row>
    <row r="1268" spans="1:30" x14ac:dyDescent="0.2">
      <c r="A1268" s="104" t="s">
        <v>13478</v>
      </c>
      <c r="B1268" s="105" t="s">
        <v>805</v>
      </c>
      <c r="C1268" s="105" t="s">
        <v>1241</v>
      </c>
      <c r="D1268" s="106"/>
      <c r="E1268" s="107"/>
      <c r="F1268" s="108" t="s">
        <v>47</v>
      </c>
      <c r="G1268" s="113"/>
      <c r="H1268" s="108" t="s">
        <v>13479</v>
      </c>
      <c r="I1268" s="110">
        <v>3</v>
      </c>
      <c r="J1268" s="113"/>
      <c r="K1268" s="108" t="s">
        <v>13480</v>
      </c>
      <c r="L1268" s="110">
        <v>3</v>
      </c>
      <c r="M1268" s="113"/>
      <c r="N1268" s="108" t="s">
        <v>47</v>
      </c>
      <c r="O1268" s="114"/>
      <c r="P1268" s="113"/>
      <c r="Q1268" s="108" t="s">
        <v>47</v>
      </c>
      <c r="R1268" s="114"/>
      <c r="S1268" s="113"/>
      <c r="T1268" s="108" t="s">
        <v>47</v>
      </c>
      <c r="U1268" s="114"/>
      <c r="V1268" s="113"/>
      <c r="W1268" s="108" t="s">
        <v>47</v>
      </c>
      <c r="X1268" s="114"/>
      <c r="Y1268" s="113"/>
      <c r="Z1268" s="108" t="s">
        <v>47</v>
      </c>
      <c r="AA1268" s="114"/>
      <c r="AB1268" s="113"/>
      <c r="AC1268" s="105" t="s">
        <v>3075</v>
      </c>
      <c r="AD1268" s="115" t="s">
        <v>107</v>
      </c>
    </row>
    <row r="1269" spans="1:30" x14ac:dyDescent="0.2">
      <c r="A1269" s="104" t="s">
        <v>13481</v>
      </c>
      <c r="B1269" s="105" t="s">
        <v>805</v>
      </c>
      <c r="C1269" s="105" t="s">
        <v>1449</v>
      </c>
      <c r="D1269" s="106"/>
      <c r="E1269" s="107"/>
      <c r="F1269" s="108" t="s">
        <v>13482</v>
      </c>
      <c r="G1269" s="118">
        <v>3</v>
      </c>
      <c r="H1269" s="108" t="s">
        <v>13483</v>
      </c>
      <c r="I1269" s="110">
        <v>3</v>
      </c>
      <c r="J1269" s="111" t="s">
        <v>46</v>
      </c>
      <c r="K1269" s="108" t="s">
        <v>13484</v>
      </c>
      <c r="L1269" s="117">
        <v>2</v>
      </c>
      <c r="M1269" s="113"/>
      <c r="N1269" s="108" t="s">
        <v>13482</v>
      </c>
      <c r="O1269" s="110">
        <v>3</v>
      </c>
      <c r="P1269" s="113"/>
      <c r="Q1269" s="108" t="s">
        <v>47</v>
      </c>
      <c r="R1269" s="114"/>
      <c r="S1269" s="113"/>
      <c r="T1269" s="108" t="s">
        <v>47</v>
      </c>
      <c r="U1269" s="114"/>
      <c r="V1269" s="113"/>
      <c r="W1269" s="108" t="s">
        <v>47</v>
      </c>
      <c r="X1269" s="114"/>
      <c r="Y1269" s="113"/>
      <c r="Z1269" s="108" t="s">
        <v>47</v>
      </c>
      <c r="AA1269" s="114"/>
      <c r="AB1269" s="113"/>
      <c r="AC1269" s="105" t="s">
        <v>3076</v>
      </c>
      <c r="AD1269" s="115" t="s">
        <v>107</v>
      </c>
    </row>
    <row r="1270" spans="1:30" x14ac:dyDescent="0.2">
      <c r="A1270" s="104" t="s">
        <v>13485</v>
      </c>
      <c r="B1270" s="105" t="s">
        <v>805</v>
      </c>
      <c r="C1270" s="105" t="s">
        <v>1241</v>
      </c>
      <c r="D1270" s="106"/>
      <c r="E1270" s="107"/>
      <c r="F1270" s="108" t="s">
        <v>13486</v>
      </c>
      <c r="G1270" s="118">
        <v>3</v>
      </c>
      <c r="H1270" s="108" t="s">
        <v>13487</v>
      </c>
      <c r="I1270" s="110">
        <v>3</v>
      </c>
      <c r="J1270" s="113"/>
      <c r="K1270" s="108" t="s">
        <v>13488</v>
      </c>
      <c r="L1270" s="110">
        <v>3</v>
      </c>
      <c r="M1270" s="113"/>
      <c r="N1270" s="108" t="s">
        <v>13486</v>
      </c>
      <c r="O1270" s="110">
        <v>3</v>
      </c>
      <c r="P1270" s="113"/>
      <c r="Q1270" s="108" t="s">
        <v>47</v>
      </c>
      <c r="R1270" s="114"/>
      <c r="S1270" s="113"/>
      <c r="T1270" s="108" t="s">
        <v>47</v>
      </c>
      <c r="U1270" s="114"/>
      <c r="V1270" s="113"/>
      <c r="W1270" s="108" t="s">
        <v>47</v>
      </c>
      <c r="X1270" s="114"/>
      <c r="Y1270" s="113"/>
      <c r="Z1270" s="108" t="s">
        <v>47</v>
      </c>
      <c r="AA1270" s="114"/>
      <c r="AB1270" s="113"/>
      <c r="AC1270" s="105" t="s">
        <v>3077</v>
      </c>
      <c r="AD1270" s="115" t="s">
        <v>107</v>
      </c>
    </row>
    <row r="1271" spans="1:30" x14ac:dyDescent="0.2">
      <c r="A1271" s="104" t="s">
        <v>13489</v>
      </c>
      <c r="B1271" s="105" t="s">
        <v>805</v>
      </c>
      <c r="C1271" s="105" t="s">
        <v>1591</v>
      </c>
      <c r="D1271" s="106"/>
      <c r="E1271" s="107" t="s">
        <v>182</v>
      </c>
      <c r="F1271" s="108" t="s">
        <v>13490</v>
      </c>
      <c r="G1271" s="109">
        <v>4</v>
      </c>
      <c r="H1271" s="108" t="s">
        <v>13491</v>
      </c>
      <c r="I1271" s="112">
        <v>4</v>
      </c>
      <c r="J1271" s="113"/>
      <c r="K1271" s="108" t="s">
        <v>13492</v>
      </c>
      <c r="L1271" s="112">
        <v>4</v>
      </c>
      <c r="M1271" s="113"/>
      <c r="N1271" s="108" t="s">
        <v>13490</v>
      </c>
      <c r="O1271" s="112">
        <v>4</v>
      </c>
      <c r="P1271" s="113"/>
      <c r="Q1271" s="108" t="s">
        <v>47</v>
      </c>
      <c r="R1271" s="114"/>
      <c r="S1271" s="113"/>
      <c r="T1271" s="108" t="s">
        <v>47</v>
      </c>
      <c r="U1271" s="114"/>
      <c r="V1271" s="113"/>
      <c r="W1271" s="108" t="s">
        <v>47</v>
      </c>
      <c r="X1271" s="114"/>
      <c r="Y1271" s="113"/>
      <c r="Z1271" s="108" t="s">
        <v>47</v>
      </c>
      <c r="AA1271" s="114"/>
      <c r="AB1271" s="113"/>
      <c r="AC1271" s="105" t="s">
        <v>3078</v>
      </c>
      <c r="AD1271" s="115" t="s">
        <v>107</v>
      </c>
    </row>
    <row r="1272" spans="1:30" x14ac:dyDescent="0.2">
      <c r="A1272" s="104" t="s">
        <v>13493</v>
      </c>
      <c r="B1272" s="105" t="s">
        <v>805</v>
      </c>
      <c r="C1272" s="105" t="s">
        <v>145</v>
      </c>
      <c r="D1272" s="106"/>
      <c r="E1272" s="107" t="s">
        <v>182</v>
      </c>
      <c r="F1272" s="108" t="s">
        <v>47</v>
      </c>
      <c r="G1272" s="113"/>
      <c r="H1272" s="108" t="s">
        <v>13494</v>
      </c>
      <c r="I1272" s="117">
        <v>2</v>
      </c>
      <c r="J1272" s="113"/>
      <c r="K1272" s="108" t="s">
        <v>47</v>
      </c>
      <c r="L1272" s="114"/>
      <c r="M1272" s="113"/>
      <c r="N1272" s="108" t="s">
        <v>47</v>
      </c>
      <c r="O1272" s="114"/>
      <c r="P1272" s="113"/>
      <c r="Q1272" s="108" t="s">
        <v>47</v>
      </c>
      <c r="R1272" s="114"/>
      <c r="S1272" s="113"/>
      <c r="T1272" s="108" t="s">
        <v>47</v>
      </c>
      <c r="U1272" s="114"/>
      <c r="V1272" s="113"/>
      <c r="W1272" s="108" t="s">
        <v>47</v>
      </c>
      <c r="X1272" s="114"/>
      <c r="Y1272" s="113"/>
      <c r="Z1272" s="108" t="s">
        <v>47</v>
      </c>
      <c r="AA1272" s="114"/>
      <c r="AB1272" s="113"/>
      <c r="AC1272" s="105" t="s">
        <v>13495</v>
      </c>
      <c r="AD1272" s="115" t="s">
        <v>107</v>
      </c>
    </row>
    <row r="1273" spans="1:30" x14ac:dyDescent="0.2">
      <c r="A1273" s="104" t="s">
        <v>13496</v>
      </c>
      <c r="B1273" s="105" t="s">
        <v>805</v>
      </c>
      <c r="C1273" s="105" t="s">
        <v>1591</v>
      </c>
      <c r="D1273" s="106"/>
      <c r="E1273" s="107" t="s">
        <v>182</v>
      </c>
      <c r="F1273" s="108" t="s">
        <v>47</v>
      </c>
      <c r="G1273" s="113"/>
      <c r="H1273" s="108" t="s">
        <v>13497</v>
      </c>
      <c r="I1273" s="112">
        <v>4</v>
      </c>
      <c r="J1273" s="113"/>
      <c r="K1273" s="108" t="s">
        <v>13498</v>
      </c>
      <c r="L1273" s="112">
        <v>4</v>
      </c>
      <c r="M1273" s="113"/>
      <c r="N1273" s="108" t="s">
        <v>47</v>
      </c>
      <c r="O1273" s="114"/>
      <c r="P1273" s="113"/>
      <c r="Q1273" s="108" t="s">
        <v>47</v>
      </c>
      <c r="R1273" s="114"/>
      <c r="S1273" s="113"/>
      <c r="T1273" s="108" t="s">
        <v>47</v>
      </c>
      <c r="U1273" s="114"/>
      <c r="V1273" s="113"/>
      <c r="W1273" s="108" t="s">
        <v>47</v>
      </c>
      <c r="X1273" s="114"/>
      <c r="Y1273" s="113"/>
      <c r="Z1273" s="108" t="s">
        <v>47</v>
      </c>
      <c r="AA1273" s="114"/>
      <c r="AB1273" s="113"/>
      <c r="AC1273" s="105" t="s">
        <v>3079</v>
      </c>
      <c r="AD1273" s="115" t="s">
        <v>107</v>
      </c>
    </row>
    <row r="1274" spans="1:30" x14ac:dyDescent="0.2">
      <c r="A1274" s="104" t="s">
        <v>13499</v>
      </c>
      <c r="B1274" s="105" t="s">
        <v>805</v>
      </c>
      <c r="C1274" s="105" t="s">
        <v>1591</v>
      </c>
      <c r="D1274" s="106"/>
      <c r="E1274" s="107" t="s">
        <v>182</v>
      </c>
      <c r="F1274" s="108" t="s">
        <v>47</v>
      </c>
      <c r="G1274" s="113"/>
      <c r="H1274" s="108" t="s">
        <v>13500</v>
      </c>
      <c r="I1274" s="112">
        <v>4</v>
      </c>
      <c r="J1274" s="113"/>
      <c r="K1274" s="108" t="s">
        <v>47</v>
      </c>
      <c r="L1274" s="114"/>
      <c r="M1274" s="113"/>
      <c r="N1274" s="108" t="s">
        <v>47</v>
      </c>
      <c r="O1274" s="114"/>
      <c r="P1274" s="113"/>
      <c r="Q1274" s="108" t="s">
        <v>47</v>
      </c>
      <c r="R1274" s="114"/>
      <c r="S1274" s="113"/>
      <c r="T1274" s="108" t="s">
        <v>47</v>
      </c>
      <c r="U1274" s="114"/>
      <c r="V1274" s="113"/>
      <c r="W1274" s="108" t="s">
        <v>47</v>
      </c>
      <c r="X1274" s="114"/>
      <c r="Y1274" s="113"/>
      <c r="Z1274" s="108" t="s">
        <v>47</v>
      </c>
      <c r="AA1274" s="114"/>
      <c r="AB1274" s="113"/>
      <c r="AC1274" s="105" t="s">
        <v>13501</v>
      </c>
      <c r="AD1274" s="115" t="s">
        <v>107</v>
      </c>
    </row>
    <row r="1275" spans="1:30" x14ac:dyDescent="0.2">
      <c r="A1275" s="104" t="s">
        <v>13502</v>
      </c>
      <c r="B1275" s="105" t="s">
        <v>805</v>
      </c>
      <c r="C1275" s="105" t="s">
        <v>513</v>
      </c>
      <c r="D1275" s="106"/>
      <c r="E1275" s="107" t="s">
        <v>146</v>
      </c>
      <c r="F1275" s="108" t="s">
        <v>13503</v>
      </c>
      <c r="G1275" s="118">
        <v>3</v>
      </c>
      <c r="H1275" s="108" t="s">
        <v>13504</v>
      </c>
      <c r="I1275" s="117">
        <v>2</v>
      </c>
      <c r="J1275" s="111" t="s">
        <v>40</v>
      </c>
      <c r="K1275" s="108" t="s">
        <v>13505</v>
      </c>
      <c r="L1275" s="110">
        <v>3</v>
      </c>
      <c r="M1275" s="111" t="s">
        <v>40</v>
      </c>
      <c r="N1275" s="108" t="s">
        <v>13503</v>
      </c>
      <c r="O1275" s="110">
        <v>3</v>
      </c>
      <c r="P1275" s="113"/>
      <c r="Q1275" s="108" t="s">
        <v>47</v>
      </c>
      <c r="R1275" s="114"/>
      <c r="S1275" s="113"/>
      <c r="T1275" s="108" t="s">
        <v>47</v>
      </c>
      <c r="U1275" s="114"/>
      <c r="V1275" s="113"/>
      <c r="W1275" s="108" t="s">
        <v>47</v>
      </c>
      <c r="X1275" s="114"/>
      <c r="Y1275" s="113"/>
      <c r="Z1275" s="108" t="s">
        <v>47</v>
      </c>
      <c r="AA1275" s="114"/>
      <c r="AB1275" s="113"/>
      <c r="AC1275" s="105" t="s">
        <v>3080</v>
      </c>
      <c r="AD1275" s="115" t="s">
        <v>107</v>
      </c>
    </row>
    <row r="1276" spans="1:30" x14ac:dyDescent="0.2">
      <c r="A1276" s="104" t="s">
        <v>13506</v>
      </c>
      <c r="B1276" s="105" t="s">
        <v>805</v>
      </c>
      <c r="C1276" s="105" t="s">
        <v>513</v>
      </c>
      <c r="D1276" s="106"/>
      <c r="E1276" s="107" t="s">
        <v>146</v>
      </c>
      <c r="F1276" s="108" t="s">
        <v>47</v>
      </c>
      <c r="G1276" s="113"/>
      <c r="H1276" s="108" t="s">
        <v>13507</v>
      </c>
      <c r="I1276" s="117">
        <v>2</v>
      </c>
      <c r="J1276" s="111" t="s">
        <v>40</v>
      </c>
      <c r="K1276" s="108" t="s">
        <v>47</v>
      </c>
      <c r="L1276" s="114"/>
      <c r="M1276" s="113"/>
      <c r="N1276" s="108" t="s">
        <v>47</v>
      </c>
      <c r="O1276" s="114"/>
      <c r="P1276" s="113"/>
      <c r="Q1276" s="108" t="s">
        <v>47</v>
      </c>
      <c r="R1276" s="114"/>
      <c r="S1276" s="113"/>
      <c r="T1276" s="108" t="s">
        <v>47</v>
      </c>
      <c r="U1276" s="114"/>
      <c r="V1276" s="113"/>
      <c r="W1276" s="108" t="s">
        <v>47</v>
      </c>
      <c r="X1276" s="114"/>
      <c r="Y1276" s="113"/>
      <c r="Z1276" s="108" t="s">
        <v>47</v>
      </c>
      <c r="AA1276" s="114"/>
      <c r="AB1276" s="113"/>
      <c r="AC1276" s="105" t="s">
        <v>13508</v>
      </c>
      <c r="AD1276" s="115" t="s">
        <v>107</v>
      </c>
    </row>
    <row r="1277" spans="1:30" x14ac:dyDescent="0.2">
      <c r="A1277" s="104" t="s">
        <v>13509</v>
      </c>
      <c r="B1277" s="105" t="s">
        <v>805</v>
      </c>
      <c r="C1277" s="105" t="s">
        <v>513</v>
      </c>
      <c r="D1277" s="106"/>
      <c r="E1277" s="107" t="s">
        <v>146</v>
      </c>
      <c r="F1277" s="108" t="s">
        <v>47</v>
      </c>
      <c r="G1277" s="113"/>
      <c r="H1277" s="108" t="s">
        <v>13507</v>
      </c>
      <c r="I1277" s="117">
        <v>2</v>
      </c>
      <c r="J1277" s="111" t="s">
        <v>40</v>
      </c>
      <c r="K1277" s="108" t="s">
        <v>47</v>
      </c>
      <c r="L1277" s="114"/>
      <c r="M1277" s="113"/>
      <c r="N1277" s="108" t="s">
        <v>47</v>
      </c>
      <c r="O1277" s="114"/>
      <c r="P1277" s="113"/>
      <c r="Q1277" s="108" t="s">
        <v>47</v>
      </c>
      <c r="R1277" s="114"/>
      <c r="S1277" s="113"/>
      <c r="T1277" s="108" t="s">
        <v>47</v>
      </c>
      <c r="U1277" s="114"/>
      <c r="V1277" s="113"/>
      <c r="W1277" s="108" t="s">
        <v>47</v>
      </c>
      <c r="X1277" s="114"/>
      <c r="Y1277" s="113"/>
      <c r="Z1277" s="108" t="s">
        <v>47</v>
      </c>
      <c r="AA1277" s="114"/>
      <c r="AB1277" s="113"/>
      <c r="AC1277" s="105" t="s">
        <v>13510</v>
      </c>
      <c r="AD1277" s="115" t="s">
        <v>107</v>
      </c>
    </row>
    <row r="1278" spans="1:30" x14ac:dyDescent="0.2">
      <c r="A1278" s="104" t="s">
        <v>13511</v>
      </c>
      <c r="B1278" s="105" t="s">
        <v>805</v>
      </c>
      <c r="C1278" s="105" t="s">
        <v>3081</v>
      </c>
      <c r="D1278" s="106"/>
      <c r="E1278" s="107"/>
      <c r="F1278" s="108" t="s">
        <v>13512</v>
      </c>
      <c r="G1278" s="120">
        <v>2</v>
      </c>
      <c r="H1278" s="108" t="s">
        <v>13513</v>
      </c>
      <c r="I1278" s="110">
        <v>3</v>
      </c>
      <c r="J1278" s="111" t="s">
        <v>46</v>
      </c>
      <c r="K1278" s="108" t="s">
        <v>13514</v>
      </c>
      <c r="L1278" s="110">
        <v>3</v>
      </c>
      <c r="M1278" s="111" t="s">
        <v>46</v>
      </c>
      <c r="N1278" s="108" t="s">
        <v>13512</v>
      </c>
      <c r="O1278" s="117">
        <v>2</v>
      </c>
      <c r="P1278" s="113"/>
      <c r="Q1278" s="108" t="s">
        <v>47</v>
      </c>
      <c r="R1278" s="114"/>
      <c r="S1278" s="113"/>
      <c r="T1278" s="108" t="s">
        <v>47</v>
      </c>
      <c r="U1278" s="114"/>
      <c r="V1278" s="113"/>
      <c r="W1278" s="108" t="s">
        <v>47</v>
      </c>
      <c r="X1278" s="114"/>
      <c r="Y1278" s="113"/>
      <c r="Z1278" s="108" t="s">
        <v>47</v>
      </c>
      <c r="AA1278" s="114"/>
      <c r="AB1278" s="113"/>
      <c r="AC1278" s="105" t="s">
        <v>3082</v>
      </c>
      <c r="AD1278" s="115" t="s">
        <v>107</v>
      </c>
    </row>
    <row r="1279" spans="1:30" x14ac:dyDescent="0.2">
      <c r="A1279" s="104" t="s">
        <v>13515</v>
      </c>
      <c r="B1279" s="105" t="s">
        <v>805</v>
      </c>
      <c r="C1279" s="105" t="s">
        <v>332</v>
      </c>
      <c r="D1279" s="106"/>
      <c r="E1279" s="107" t="s">
        <v>182</v>
      </c>
      <c r="F1279" s="108" t="s">
        <v>47</v>
      </c>
      <c r="G1279" s="113"/>
      <c r="H1279" s="108" t="s">
        <v>47</v>
      </c>
      <c r="I1279" s="114"/>
      <c r="J1279" s="113"/>
      <c r="K1279" s="108" t="s">
        <v>47</v>
      </c>
      <c r="L1279" s="114"/>
      <c r="M1279" s="113"/>
      <c r="N1279" s="108" t="s">
        <v>47</v>
      </c>
      <c r="O1279" s="114"/>
      <c r="P1279" s="113"/>
      <c r="Q1279" s="108" t="s">
        <v>47</v>
      </c>
      <c r="R1279" s="114"/>
      <c r="S1279" s="113"/>
      <c r="T1279" s="108" t="s">
        <v>47</v>
      </c>
      <c r="U1279" s="114"/>
      <c r="V1279" s="113"/>
      <c r="W1279" s="108" t="s">
        <v>47</v>
      </c>
      <c r="X1279" s="114"/>
      <c r="Y1279" s="113"/>
      <c r="Z1279" s="108" t="s">
        <v>47</v>
      </c>
      <c r="AA1279" s="114"/>
      <c r="AB1279" s="113"/>
      <c r="AC1279" s="105" t="s">
        <v>13516</v>
      </c>
      <c r="AD1279" s="115" t="s">
        <v>107</v>
      </c>
    </row>
    <row r="1280" spans="1:30" x14ac:dyDescent="0.2">
      <c r="A1280" s="104" t="s">
        <v>13517</v>
      </c>
      <c r="B1280" s="105" t="s">
        <v>805</v>
      </c>
      <c r="C1280" s="105" t="s">
        <v>332</v>
      </c>
      <c r="D1280" s="106"/>
      <c r="E1280" s="107" t="s">
        <v>182</v>
      </c>
      <c r="F1280" s="108" t="s">
        <v>13518</v>
      </c>
      <c r="G1280" s="118">
        <v>3</v>
      </c>
      <c r="H1280" s="108" t="s">
        <v>13519</v>
      </c>
      <c r="I1280" s="117">
        <v>2</v>
      </c>
      <c r="J1280" s="111" t="s">
        <v>40</v>
      </c>
      <c r="K1280" s="108" t="s">
        <v>13520</v>
      </c>
      <c r="L1280" s="117">
        <v>2</v>
      </c>
      <c r="M1280" s="111" t="s">
        <v>40</v>
      </c>
      <c r="N1280" s="108" t="s">
        <v>13518</v>
      </c>
      <c r="O1280" s="110">
        <v>3</v>
      </c>
      <c r="P1280" s="113"/>
      <c r="Q1280" s="108" t="s">
        <v>47</v>
      </c>
      <c r="R1280" s="114"/>
      <c r="S1280" s="113"/>
      <c r="T1280" s="108" t="s">
        <v>47</v>
      </c>
      <c r="U1280" s="114"/>
      <c r="V1280" s="113"/>
      <c r="W1280" s="108" t="s">
        <v>47</v>
      </c>
      <c r="X1280" s="114"/>
      <c r="Y1280" s="113"/>
      <c r="Z1280" s="108" t="s">
        <v>47</v>
      </c>
      <c r="AA1280" s="114"/>
      <c r="AB1280" s="113"/>
      <c r="AC1280" s="105" t="s">
        <v>3083</v>
      </c>
      <c r="AD1280" s="115" t="s">
        <v>107</v>
      </c>
    </row>
    <row r="1281" spans="1:30" x14ac:dyDescent="0.2">
      <c r="A1281" s="104" t="s">
        <v>13521</v>
      </c>
      <c r="B1281" s="105" t="s">
        <v>805</v>
      </c>
      <c r="C1281" s="105" t="s">
        <v>332</v>
      </c>
      <c r="D1281" s="106"/>
      <c r="E1281" s="107" t="s">
        <v>182</v>
      </c>
      <c r="F1281" s="108" t="s">
        <v>47</v>
      </c>
      <c r="G1281" s="113"/>
      <c r="H1281" s="108" t="s">
        <v>47</v>
      </c>
      <c r="I1281" s="114"/>
      <c r="J1281" s="113"/>
      <c r="K1281" s="108" t="s">
        <v>47</v>
      </c>
      <c r="L1281" s="114"/>
      <c r="M1281" s="113"/>
      <c r="N1281" s="108" t="s">
        <v>47</v>
      </c>
      <c r="O1281" s="114"/>
      <c r="P1281" s="113"/>
      <c r="Q1281" s="108" t="s">
        <v>47</v>
      </c>
      <c r="R1281" s="114"/>
      <c r="S1281" s="113"/>
      <c r="T1281" s="108" t="s">
        <v>47</v>
      </c>
      <c r="U1281" s="114"/>
      <c r="V1281" s="113"/>
      <c r="W1281" s="108" t="s">
        <v>47</v>
      </c>
      <c r="X1281" s="114"/>
      <c r="Y1281" s="113"/>
      <c r="Z1281" s="108" t="s">
        <v>47</v>
      </c>
      <c r="AA1281" s="114"/>
      <c r="AB1281" s="113"/>
      <c r="AC1281" s="105" t="s">
        <v>13522</v>
      </c>
      <c r="AD1281" s="115" t="s">
        <v>107</v>
      </c>
    </row>
    <row r="1282" spans="1:30" x14ac:dyDescent="0.2">
      <c r="A1282" s="104" t="s">
        <v>13523</v>
      </c>
      <c r="B1282" s="105" t="s">
        <v>805</v>
      </c>
      <c r="C1282" s="105" t="s">
        <v>332</v>
      </c>
      <c r="D1282" s="106"/>
      <c r="E1282" s="107" t="s">
        <v>182</v>
      </c>
      <c r="F1282" s="108" t="s">
        <v>13524</v>
      </c>
      <c r="G1282" s="118">
        <v>3</v>
      </c>
      <c r="H1282" s="108" t="s">
        <v>13525</v>
      </c>
      <c r="I1282" s="117">
        <v>2</v>
      </c>
      <c r="J1282" s="111" t="s">
        <v>40</v>
      </c>
      <c r="K1282" s="108" t="s">
        <v>13526</v>
      </c>
      <c r="L1282" s="117">
        <v>2</v>
      </c>
      <c r="M1282" s="111" t="s">
        <v>40</v>
      </c>
      <c r="N1282" s="108" t="s">
        <v>13524</v>
      </c>
      <c r="O1282" s="110">
        <v>3</v>
      </c>
      <c r="P1282" s="113"/>
      <c r="Q1282" s="108" t="s">
        <v>47</v>
      </c>
      <c r="R1282" s="114"/>
      <c r="S1282" s="113"/>
      <c r="T1282" s="108" t="s">
        <v>47</v>
      </c>
      <c r="U1282" s="114"/>
      <c r="V1282" s="113"/>
      <c r="W1282" s="108" t="s">
        <v>47</v>
      </c>
      <c r="X1282" s="114"/>
      <c r="Y1282" s="113"/>
      <c r="Z1282" s="108" t="s">
        <v>47</v>
      </c>
      <c r="AA1282" s="114"/>
      <c r="AB1282" s="113"/>
      <c r="AC1282" s="105" t="s">
        <v>3084</v>
      </c>
      <c r="AD1282" s="115" t="s">
        <v>107</v>
      </c>
    </row>
    <row r="1283" spans="1:30" x14ac:dyDescent="0.2">
      <c r="A1283" s="104" t="s">
        <v>13527</v>
      </c>
      <c r="B1283" s="105" t="s">
        <v>805</v>
      </c>
      <c r="C1283" s="105" t="s">
        <v>332</v>
      </c>
      <c r="D1283" s="106"/>
      <c r="E1283" s="107" t="s">
        <v>182</v>
      </c>
      <c r="F1283" s="108" t="s">
        <v>47</v>
      </c>
      <c r="G1283" s="113"/>
      <c r="H1283" s="108" t="s">
        <v>47</v>
      </c>
      <c r="I1283" s="114"/>
      <c r="J1283" s="113"/>
      <c r="K1283" s="108" t="s">
        <v>47</v>
      </c>
      <c r="L1283" s="114"/>
      <c r="M1283" s="113"/>
      <c r="N1283" s="108" t="s">
        <v>47</v>
      </c>
      <c r="O1283" s="114"/>
      <c r="P1283" s="113"/>
      <c r="Q1283" s="108" t="s">
        <v>47</v>
      </c>
      <c r="R1283" s="114"/>
      <c r="S1283" s="113"/>
      <c r="T1283" s="108" t="s">
        <v>47</v>
      </c>
      <c r="U1283" s="114"/>
      <c r="V1283" s="113"/>
      <c r="W1283" s="108" t="s">
        <v>47</v>
      </c>
      <c r="X1283" s="114"/>
      <c r="Y1283" s="113"/>
      <c r="Z1283" s="108" t="s">
        <v>47</v>
      </c>
      <c r="AA1283" s="114"/>
      <c r="AB1283" s="113"/>
      <c r="AC1283" s="105" t="s">
        <v>13528</v>
      </c>
      <c r="AD1283" s="115" t="s">
        <v>107</v>
      </c>
    </row>
    <row r="1284" spans="1:30" x14ac:dyDescent="0.2">
      <c r="A1284" s="104" t="s">
        <v>13529</v>
      </c>
      <c r="B1284" s="105" t="s">
        <v>805</v>
      </c>
      <c r="C1284" s="105" t="s">
        <v>279</v>
      </c>
      <c r="D1284" s="106"/>
      <c r="E1284" s="107" t="s">
        <v>146</v>
      </c>
      <c r="F1284" s="108" t="s">
        <v>13530</v>
      </c>
      <c r="G1284" s="120">
        <v>2</v>
      </c>
      <c r="H1284" s="108" t="s">
        <v>13531</v>
      </c>
      <c r="I1284" s="117">
        <v>2</v>
      </c>
      <c r="J1284" s="111" t="s">
        <v>40</v>
      </c>
      <c r="K1284" s="108" t="s">
        <v>13532</v>
      </c>
      <c r="L1284" s="110">
        <v>3</v>
      </c>
      <c r="M1284" s="113"/>
      <c r="N1284" s="108" t="s">
        <v>13530</v>
      </c>
      <c r="O1284" s="117">
        <v>2</v>
      </c>
      <c r="P1284" s="113"/>
      <c r="Q1284" s="108" t="s">
        <v>47</v>
      </c>
      <c r="R1284" s="114"/>
      <c r="S1284" s="113"/>
      <c r="T1284" s="108" t="s">
        <v>47</v>
      </c>
      <c r="U1284" s="114"/>
      <c r="V1284" s="113"/>
      <c r="W1284" s="108" t="s">
        <v>47</v>
      </c>
      <c r="X1284" s="114"/>
      <c r="Y1284" s="113"/>
      <c r="Z1284" s="108" t="s">
        <v>47</v>
      </c>
      <c r="AA1284" s="114"/>
      <c r="AB1284" s="113"/>
      <c r="AC1284" s="105" t="s">
        <v>3085</v>
      </c>
      <c r="AD1284" s="115" t="s">
        <v>107</v>
      </c>
    </row>
    <row r="1285" spans="1:30" x14ac:dyDescent="0.2">
      <c r="A1285" s="104" t="s">
        <v>13533</v>
      </c>
      <c r="B1285" s="105" t="s">
        <v>805</v>
      </c>
      <c r="C1285" s="105" t="s">
        <v>279</v>
      </c>
      <c r="D1285" s="106"/>
      <c r="E1285" s="107" t="s">
        <v>146</v>
      </c>
      <c r="F1285" s="108" t="s">
        <v>13534</v>
      </c>
      <c r="G1285" s="120">
        <v>2</v>
      </c>
      <c r="H1285" s="108" t="s">
        <v>13535</v>
      </c>
      <c r="I1285" s="117">
        <v>2</v>
      </c>
      <c r="J1285" s="111" t="s">
        <v>40</v>
      </c>
      <c r="K1285" s="108" t="s">
        <v>13536</v>
      </c>
      <c r="L1285" s="110">
        <v>3</v>
      </c>
      <c r="M1285" s="113"/>
      <c r="N1285" s="108" t="s">
        <v>13534</v>
      </c>
      <c r="O1285" s="117">
        <v>2</v>
      </c>
      <c r="P1285" s="113"/>
      <c r="Q1285" s="108" t="s">
        <v>47</v>
      </c>
      <c r="R1285" s="114"/>
      <c r="S1285" s="113"/>
      <c r="T1285" s="108" t="s">
        <v>47</v>
      </c>
      <c r="U1285" s="114"/>
      <c r="V1285" s="113"/>
      <c r="W1285" s="108" t="s">
        <v>47</v>
      </c>
      <c r="X1285" s="114"/>
      <c r="Y1285" s="113"/>
      <c r="Z1285" s="108" t="s">
        <v>47</v>
      </c>
      <c r="AA1285" s="114"/>
      <c r="AB1285" s="113"/>
      <c r="AC1285" s="105" t="s">
        <v>3086</v>
      </c>
      <c r="AD1285" s="115" t="s">
        <v>107</v>
      </c>
    </row>
    <row r="1286" spans="1:30" x14ac:dyDescent="0.2">
      <c r="A1286" s="104" t="s">
        <v>13537</v>
      </c>
      <c r="B1286" s="105" t="s">
        <v>805</v>
      </c>
      <c r="C1286" s="105" t="s">
        <v>279</v>
      </c>
      <c r="D1286" s="106"/>
      <c r="E1286" s="107" t="s">
        <v>146</v>
      </c>
      <c r="F1286" s="108" t="s">
        <v>13538</v>
      </c>
      <c r="G1286" s="119">
        <v>1</v>
      </c>
      <c r="H1286" s="108" t="s">
        <v>13539</v>
      </c>
      <c r="I1286" s="117">
        <v>2</v>
      </c>
      <c r="J1286" s="111" t="s">
        <v>40</v>
      </c>
      <c r="K1286" s="108" t="s">
        <v>13540</v>
      </c>
      <c r="L1286" s="110">
        <v>3</v>
      </c>
      <c r="M1286" s="113"/>
      <c r="N1286" s="108" t="s">
        <v>13538</v>
      </c>
      <c r="O1286" s="116">
        <v>1</v>
      </c>
      <c r="P1286" s="113"/>
      <c r="Q1286" s="108" t="s">
        <v>47</v>
      </c>
      <c r="R1286" s="114"/>
      <c r="S1286" s="113"/>
      <c r="T1286" s="108" t="s">
        <v>47</v>
      </c>
      <c r="U1286" s="114"/>
      <c r="V1286" s="113"/>
      <c r="W1286" s="108" t="s">
        <v>47</v>
      </c>
      <c r="X1286" s="114"/>
      <c r="Y1286" s="113"/>
      <c r="Z1286" s="108" t="s">
        <v>47</v>
      </c>
      <c r="AA1286" s="114"/>
      <c r="AB1286" s="113"/>
      <c r="AC1286" s="105" t="s">
        <v>3087</v>
      </c>
      <c r="AD1286" s="115" t="s">
        <v>107</v>
      </c>
    </row>
    <row r="1287" spans="1:30" x14ac:dyDescent="0.2">
      <c r="A1287" s="104" t="s">
        <v>13541</v>
      </c>
      <c r="B1287" s="105" t="s">
        <v>805</v>
      </c>
      <c r="C1287" s="105" t="s">
        <v>279</v>
      </c>
      <c r="D1287" s="106"/>
      <c r="E1287" s="107" t="s">
        <v>146</v>
      </c>
      <c r="F1287" s="108" t="s">
        <v>13542</v>
      </c>
      <c r="G1287" s="120">
        <v>2</v>
      </c>
      <c r="H1287" s="108" t="s">
        <v>13543</v>
      </c>
      <c r="I1287" s="117">
        <v>2</v>
      </c>
      <c r="J1287" s="111" t="s">
        <v>40</v>
      </c>
      <c r="K1287" s="108" t="s">
        <v>13544</v>
      </c>
      <c r="L1287" s="110">
        <v>3</v>
      </c>
      <c r="M1287" s="113"/>
      <c r="N1287" s="108" t="s">
        <v>13542</v>
      </c>
      <c r="O1287" s="117">
        <v>2</v>
      </c>
      <c r="P1287" s="113"/>
      <c r="Q1287" s="108" t="s">
        <v>47</v>
      </c>
      <c r="R1287" s="114"/>
      <c r="S1287" s="113"/>
      <c r="T1287" s="108" t="s">
        <v>47</v>
      </c>
      <c r="U1287" s="114"/>
      <c r="V1287" s="113"/>
      <c r="W1287" s="108" t="s">
        <v>47</v>
      </c>
      <c r="X1287" s="114"/>
      <c r="Y1287" s="113"/>
      <c r="Z1287" s="108" t="s">
        <v>47</v>
      </c>
      <c r="AA1287" s="114"/>
      <c r="AB1287" s="113"/>
      <c r="AC1287" s="105" t="s">
        <v>3088</v>
      </c>
      <c r="AD1287" s="115" t="s">
        <v>107</v>
      </c>
    </row>
    <row r="1288" spans="1:30" x14ac:dyDescent="0.2">
      <c r="A1288" s="104" t="s">
        <v>13545</v>
      </c>
      <c r="B1288" s="105" t="s">
        <v>805</v>
      </c>
      <c r="C1288" s="105" t="s">
        <v>279</v>
      </c>
      <c r="D1288" s="106"/>
      <c r="E1288" s="107" t="s">
        <v>146</v>
      </c>
      <c r="F1288" s="108" t="s">
        <v>13546</v>
      </c>
      <c r="G1288" s="120">
        <v>2</v>
      </c>
      <c r="H1288" s="108" t="s">
        <v>13547</v>
      </c>
      <c r="I1288" s="117">
        <v>2</v>
      </c>
      <c r="J1288" s="111" t="s">
        <v>40</v>
      </c>
      <c r="K1288" s="108" t="s">
        <v>13548</v>
      </c>
      <c r="L1288" s="110">
        <v>3</v>
      </c>
      <c r="M1288" s="113"/>
      <c r="N1288" s="108" t="s">
        <v>13546</v>
      </c>
      <c r="O1288" s="117">
        <v>2</v>
      </c>
      <c r="P1288" s="113"/>
      <c r="Q1288" s="108" t="s">
        <v>47</v>
      </c>
      <c r="R1288" s="114"/>
      <c r="S1288" s="113"/>
      <c r="T1288" s="108" t="s">
        <v>47</v>
      </c>
      <c r="U1288" s="114"/>
      <c r="V1288" s="113"/>
      <c r="W1288" s="108" t="s">
        <v>47</v>
      </c>
      <c r="X1288" s="114"/>
      <c r="Y1288" s="113"/>
      <c r="Z1288" s="108" t="s">
        <v>47</v>
      </c>
      <c r="AA1288" s="114"/>
      <c r="AB1288" s="113"/>
      <c r="AC1288" s="105" t="s">
        <v>3089</v>
      </c>
      <c r="AD1288" s="115" t="s">
        <v>107</v>
      </c>
    </row>
    <row r="1289" spans="1:30" x14ac:dyDescent="0.2">
      <c r="A1289" s="104" t="s">
        <v>13549</v>
      </c>
      <c r="B1289" s="105" t="s">
        <v>805</v>
      </c>
      <c r="C1289" s="105" t="s">
        <v>279</v>
      </c>
      <c r="D1289" s="106"/>
      <c r="E1289" s="107" t="s">
        <v>146</v>
      </c>
      <c r="F1289" s="108" t="s">
        <v>13550</v>
      </c>
      <c r="G1289" s="120">
        <v>2</v>
      </c>
      <c r="H1289" s="108" t="s">
        <v>13551</v>
      </c>
      <c r="I1289" s="117">
        <v>2</v>
      </c>
      <c r="J1289" s="111" t="s">
        <v>40</v>
      </c>
      <c r="K1289" s="108" t="s">
        <v>13552</v>
      </c>
      <c r="L1289" s="110">
        <v>3</v>
      </c>
      <c r="M1289" s="113"/>
      <c r="N1289" s="108" t="s">
        <v>13550</v>
      </c>
      <c r="O1289" s="117">
        <v>2</v>
      </c>
      <c r="P1289" s="113"/>
      <c r="Q1289" s="108" t="s">
        <v>47</v>
      </c>
      <c r="R1289" s="114"/>
      <c r="S1289" s="113"/>
      <c r="T1289" s="108" t="s">
        <v>47</v>
      </c>
      <c r="U1289" s="114"/>
      <c r="V1289" s="113"/>
      <c r="W1289" s="108" t="s">
        <v>47</v>
      </c>
      <c r="X1289" s="114"/>
      <c r="Y1289" s="113"/>
      <c r="Z1289" s="108" t="s">
        <v>47</v>
      </c>
      <c r="AA1289" s="114"/>
      <c r="AB1289" s="113"/>
      <c r="AC1289" s="105" t="s">
        <v>3090</v>
      </c>
      <c r="AD1289" s="115" t="s">
        <v>107</v>
      </c>
    </row>
    <row r="1290" spans="1:30" x14ac:dyDescent="0.2">
      <c r="A1290" s="104" t="s">
        <v>13553</v>
      </c>
      <c r="B1290" s="105" t="s">
        <v>805</v>
      </c>
      <c r="C1290" s="105" t="s">
        <v>332</v>
      </c>
      <c r="D1290" s="106"/>
      <c r="E1290" s="107" t="s">
        <v>146</v>
      </c>
      <c r="F1290" s="108" t="s">
        <v>13554</v>
      </c>
      <c r="G1290" s="118">
        <v>3</v>
      </c>
      <c r="H1290" s="108" t="s">
        <v>13555</v>
      </c>
      <c r="I1290" s="117">
        <v>2</v>
      </c>
      <c r="J1290" s="111" t="s">
        <v>53</v>
      </c>
      <c r="K1290" s="108" t="s">
        <v>13556</v>
      </c>
      <c r="L1290" s="110">
        <v>3</v>
      </c>
      <c r="M1290" s="111" t="s">
        <v>40</v>
      </c>
      <c r="N1290" s="108" t="s">
        <v>13554</v>
      </c>
      <c r="O1290" s="110">
        <v>3</v>
      </c>
      <c r="P1290" s="113"/>
      <c r="Q1290" s="108" t="s">
        <v>47</v>
      </c>
      <c r="R1290" s="114"/>
      <c r="S1290" s="113"/>
      <c r="T1290" s="108" t="s">
        <v>47</v>
      </c>
      <c r="U1290" s="114"/>
      <c r="V1290" s="113"/>
      <c r="W1290" s="108" t="s">
        <v>47</v>
      </c>
      <c r="X1290" s="114"/>
      <c r="Y1290" s="113"/>
      <c r="Z1290" s="108" t="s">
        <v>47</v>
      </c>
      <c r="AA1290" s="114"/>
      <c r="AB1290" s="113"/>
      <c r="AC1290" s="105" t="s">
        <v>3091</v>
      </c>
      <c r="AD1290" s="115" t="s">
        <v>107</v>
      </c>
    </row>
    <row r="1291" spans="1:30" x14ac:dyDescent="0.2">
      <c r="A1291" s="104" t="s">
        <v>13557</v>
      </c>
      <c r="B1291" s="105" t="s">
        <v>805</v>
      </c>
      <c r="C1291" s="105" t="s">
        <v>332</v>
      </c>
      <c r="D1291" s="106"/>
      <c r="E1291" s="107" t="s">
        <v>146</v>
      </c>
      <c r="F1291" s="108" t="s">
        <v>13558</v>
      </c>
      <c r="G1291" s="118">
        <v>3</v>
      </c>
      <c r="H1291" s="108" t="s">
        <v>13559</v>
      </c>
      <c r="I1291" s="117">
        <v>2</v>
      </c>
      <c r="J1291" s="111" t="s">
        <v>53</v>
      </c>
      <c r="K1291" s="108" t="s">
        <v>13560</v>
      </c>
      <c r="L1291" s="110">
        <v>3</v>
      </c>
      <c r="M1291" s="111" t="s">
        <v>40</v>
      </c>
      <c r="N1291" s="108" t="s">
        <v>13558</v>
      </c>
      <c r="O1291" s="110">
        <v>3</v>
      </c>
      <c r="P1291" s="113"/>
      <c r="Q1291" s="108" t="s">
        <v>47</v>
      </c>
      <c r="R1291" s="114"/>
      <c r="S1291" s="113"/>
      <c r="T1291" s="108" t="s">
        <v>47</v>
      </c>
      <c r="U1291" s="114"/>
      <c r="V1291" s="113"/>
      <c r="W1291" s="108" t="s">
        <v>47</v>
      </c>
      <c r="X1291" s="114"/>
      <c r="Y1291" s="113"/>
      <c r="Z1291" s="108" t="s">
        <v>47</v>
      </c>
      <c r="AA1291" s="114"/>
      <c r="AB1291" s="113"/>
      <c r="AC1291" s="105" t="s">
        <v>3092</v>
      </c>
      <c r="AD1291" s="115" t="s">
        <v>107</v>
      </c>
    </row>
    <row r="1292" spans="1:30" x14ac:dyDescent="0.2">
      <c r="A1292" s="104" t="s">
        <v>13561</v>
      </c>
      <c r="B1292" s="105" t="s">
        <v>805</v>
      </c>
      <c r="C1292" s="105" t="s">
        <v>332</v>
      </c>
      <c r="D1292" s="106"/>
      <c r="E1292" s="107" t="s">
        <v>146</v>
      </c>
      <c r="F1292" s="108" t="s">
        <v>13562</v>
      </c>
      <c r="G1292" s="118">
        <v>3</v>
      </c>
      <c r="H1292" s="108" t="s">
        <v>13563</v>
      </c>
      <c r="I1292" s="117">
        <v>2</v>
      </c>
      <c r="J1292" s="111" t="s">
        <v>53</v>
      </c>
      <c r="K1292" s="108" t="s">
        <v>13564</v>
      </c>
      <c r="L1292" s="110">
        <v>3</v>
      </c>
      <c r="M1292" s="111" t="s">
        <v>40</v>
      </c>
      <c r="N1292" s="108" t="s">
        <v>13562</v>
      </c>
      <c r="O1292" s="110">
        <v>3</v>
      </c>
      <c r="P1292" s="113"/>
      <c r="Q1292" s="108" t="s">
        <v>47</v>
      </c>
      <c r="R1292" s="114"/>
      <c r="S1292" s="113"/>
      <c r="T1292" s="108" t="s">
        <v>47</v>
      </c>
      <c r="U1292" s="114"/>
      <c r="V1292" s="113"/>
      <c r="W1292" s="108" t="s">
        <v>47</v>
      </c>
      <c r="X1292" s="114"/>
      <c r="Y1292" s="113"/>
      <c r="Z1292" s="108" t="s">
        <v>47</v>
      </c>
      <c r="AA1292" s="114"/>
      <c r="AB1292" s="113"/>
      <c r="AC1292" s="105" t="s">
        <v>3093</v>
      </c>
      <c r="AD1292" s="115" t="s">
        <v>107</v>
      </c>
    </row>
    <row r="1293" spans="1:30" x14ac:dyDescent="0.2">
      <c r="A1293" s="104" t="s">
        <v>13565</v>
      </c>
      <c r="B1293" s="105" t="s">
        <v>805</v>
      </c>
      <c r="C1293" s="105" t="s">
        <v>332</v>
      </c>
      <c r="D1293" s="106"/>
      <c r="E1293" s="107" t="s">
        <v>146</v>
      </c>
      <c r="F1293" s="108" t="s">
        <v>13566</v>
      </c>
      <c r="G1293" s="118">
        <v>3</v>
      </c>
      <c r="H1293" s="108" t="s">
        <v>13567</v>
      </c>
      <c r="I1293" s="117">
        <v>2</v>
      </c>
      <c r="J1293" s="111" t="s">
        <v>53</v>
      </c>
      <c r="K1293" s="108" t="s">
        <v>13568</v>
      </c>
      <c r="L1293" s="110">
        <v>3</v>
      </c>
      <c r="M1293" s="111" t="s">
        <v>40</v>
      </c>
      <c r="N1293" s="108" t="s">
        <v>13566</v>
      </c>
      <c r="O1293" s="110">
        <v>3</v>
      </c>
      <c r="P1293" s="113"/>
      <c r="Q1293" s="108" t="s">
        <v>47</v>
      </c>
      <c r="R1293" s="114"/>
      <c r="S1293" s="113"/>
      <c r="T1293" s="108" t="s">
        <v>47</v>
      </c>
      <c r="U1293" s="114"/>
      <c r="V1293" s="113"/>
      <c r="W1293" s="108" t="s">
        <v>47</v>
      </c>
      <c r="X1293" s="114"/>
      <c r="Y1293" s="113"/>
      <c r="Z1293" s="108" t="s">
        <v>47</v>
      </c>
      <c r="AA1293" s="114"/>
      <c r="AB1293" s="113"/>
      <c r="AC1293" s="105" t="s">
        <v>3094</v>
      </c>
      <c r="AD1293" s="115" t="s">
        <v>107</v>
      </c>
    </row>
    <row r="1294" spans="1:30" x14ac:dyDescent="0.2">
      <c r="A1294" s="104" t="s">
        <v>13569</v>
      </c>
      <c r="B1294" s="105" t="s">
        <v>805</v>
      </c>
      <c r="C1294" s="105" t="s">
        <v>332</v>
      </c>
      <c r="D1294" s="106"/>
      <c r="E1294" s="107" t="s">
        <v>146</v>
      </c>
      <c r="F1294" s="108" t="s">
        <v>13570</v>
      </c>
      <c r="G1294" s="118">
        <v>3</v>
      </c>
      <c r="H1294" s="108" t="s">
        <v>13571</v>
      </c>
      <c r="I1294" s="117">
        <v>2</v>
      </c>
      <c r="J1294" s="111" t="s">
        <v>53</v>
      </c>
      <c r="K1294" s="108" t="s">
        <v>13572</v>
      </c>
      <c r="L1294" s="110">
        <v>3</v>
      </c>
      <c r="M1294" s="111" t="s">
        <v>40</v>
      </c>
      <c r="N1294" s="108" t="s">
        <v>13570</v>
      </c>
      <c r="O1294" s="110">
        <v>3</v>
      </c>
      <c r="P1294" s="113"/>
      <c r="Q1294" s="108" t="s">
        <v>47</v>
      </c>
      <c r="R1294" s="114"/>
      <c r="S1294" s="113"/>
      <c r="T1294" s="108" t="s">
        <v>47</v>
      </c>
      <c r="U1294" s="114"/>
      <c r="V1294" s="113"/>
      <c r="W1294" s="108" t="s">
        <v>47</v>
      </c>
      <c r="X1294" s="114"/>
      <c r="Y1294" s="113"/>
      <c r="Z1294" s="108" t="s">
        <v>47</v>
      </c>
      <c r="AA1294" s="114"/>
      <c r="AB1294" s="113"/>
      <c r="AC1294" s="105" t="s">
        <v>3095</v>
      </c>
      <c r="AD1294" s="115" t="s">
        <v>107</v>
      </c>
    </row>
    <row r="1295" spans="1:30" x14ac:dyDescent="0.2">
      <c r="A1295" s="104" t="s">
        <v>13573</v>
      </c>
      <c r="B1295" s="105" t="s">
        <v>805</v>
      </c>
      <c r="C1295" s="105" t="s">
        <v>332</v>
      </c>
      <c r="D1295" s="106"/>
      <c r="E1295" s="107" t="s">
        <v>146</v>
      </c>
      <c r="F1295" s="108" t="s">
        <v>13574</v>
      </c>
      <c r="G1295" s="118">
        <v>3</v>
      </c>
      <c r="H1295" s="108" t="s">
        <v>13575</v>
      </c>
      <c r="I1295" s="117">
        <v>2</v>
      </c>
      <c r="J1295" s="111" t="s">
        <v>53</v>
      </c>
      <c r="K1295" s="108" t="s">
        <v>13576</v>
      </c>
      <c r="L1295" s="110">
        <v>3</v>
      </c>
      <c r="M1295" s="111" t="s">
        <v>40</v>
      </c>
      <c r="N1295" s="108" t="s">
        <v>13574</v>
      </c>
      <c r="O1295" s="110">
        <v>3</v>
      </c>
      <c r="P1295" s="113"/>
      <c r="Q1295" s="108" t="s">
        <v>47</v>
      </c>
      <c r="R1295" s="114"/>
      <c r="S1295" s="113"/>
      <c r="T1295" s="108" t="s">
        <v>47</v>
      </c>
      <c r="U1295" s="114"/>
      <c r="V1295" s="113"/>
      <c r="W1295" s="108" t="s">
        <v>47</v>
      </c>
      <c r="X1295" s="114"/>
      <c r="Y1295" s="113"/>
      <c r="Z1295" s="108" t="s">
        <v>47</v>
      </c>
      <c r="AA1295" s="114"/>
      <c r="AB1295" s="113"/>
      <c r="AC1295" s="105" t="s">
        <v>3096</v>
      </c>
      <c r="AD1295" s="115" t="s">
        <v>107</v>
      </c>
    </row>
    <row r="1296" spans="1:30" x14ac:dyDescent="0.2">
      <c r="A1296" s="104" t="s">
        <v>13577</v>
      </c>
      <c r="B1296" s="105" t="s">
        <v>805</v>
      </c>
      <c r="C1296" s="105" t="s">
        <v>329</v>
      </c>
      <c r="D1296" s="106"/>
      <c r="E1296" s="107" t="s">
        <v>182</v>
      </c>
      <c r="F1296" s="108" t="s">
        <v>13578</v>
      </c>
      <c r="G1296" s="118">
        <v>3</v>
      </c>
      <c r="H1296" s="108" t="s">
        <v>13579</v>
      </c>
      <c r="I1296" s="110">
        <v>3</v>
      </c>
      <c r="J1296" s="111" t="s">
        <v>46</v>
      </c>
      <c r="K1296" s="108" t="s">
        <v>13580</v>
      </c>
      <c r="L1296" s="112">
        <v>4</v>
      </c>
      <c r="M1296" s="111" t="s">
        <v>46</v>
      </c>
      <c r="N1296" s="108" t="s">
        <v>13578</v>
      </c>
      <c r="O1296" s="110">
        <v>3</v>
      </c>
      <c r="P1296" s="113"/>
      <c r="Q1296" s="108" t="s">
        <v>13581</v>
      </c>
      <c r="R1296" s="110">
        <v>3</v>
      </c>
      <c r="S1296" s="111" t="s">
        <v>46</v>
      </c>
      <c r="T1296" s="108" t="s">
        <v>47</v>
      </c>
      <c r="U1296" s="114"/>
      <c r="V1296" s="113"/>
      <c r="W1296" s="108" t="s">
        <v>47</v>
      </c>
      <c r="X1296" s="114"/>
      <c r="Y1296" s="113"/>
      <c r="Z1296" s="108" t="s">
        <v>47</v>
      </c>
      <c r="AA1296" s="114"/>
      <c r="AB1296" s="113"/>
      <c r="AC1296" s="105" t="s">
        <v>3097</v>
      </c>
      <c r="AD1296" s="115" t="s">
        <v>107</v>
      </c>
    </row>
    <row r="1297" spans="1:30" x14ac:dyDescent="0.2">
      <c r="A1297" s="104" t="s">
        <v>13582</v>
      </c>
      <c r="B1297" s="105" t="s">
        <v>805</v>
      </c>
      <c r="C1297" s="105" t="s">
        <v>329</v>
      </c>
      <c r="D1297" s="106"/>
      <c r="E1297" s="107" t="s">
        <v>182</v>
      </c>
      <c r="F1297" s="108" t="s">
        <v>13583</v>
      </c>
      <c r="G1297" s="118">
        <v>3</v>
      </c>
      <c r="H1297" s="108" t="s">
        <v>13584</v>
      </c>
      <c r="I1297" s="110">
        <v>3</v>
      </c>
      <c r="J1297" s="113"/>
      <c r="K1297" s="108" t="s">
        <v>13585</v>
      </c>
      <c r="L1297" s="112">
        <v>4</v>
      </c>
      <c r="M1297" s="111" t="s">
        <v>46</v>
      </c>
      <c r="N1297" s="108" t="s">
        <v>13583</v>
      </c>
      <c r="O1297" s="110">
        <v>3</v>
      </c>
      <c r="P1297" s="113"/>
      <c r="Q1297" s="108" t="s">
        <v>13586</v>
      </c>
      <c r="R1297" s="110">
        <v>3</v>
      </c>
      <c r="S1297" s="111" t="s">
        <v>46</v>
      </c>
      <c r="T1297" s="108" t="s">
        <v>47</v>
      </c>
      <c r="U1297" s="114"/>
      <c r="V1297" s="113"/>
      <c r="W1297" s="108" t="s">
        <v>47</v>
      </c>
      <c r="X1297" s="114"/>
      <c r="Y1297" s="113"/>
      <c r="Z1297" s="108" t="s">
        <v>47</v>
      </c>
      <c r="AA1297" s="114"/>
      <c r="AB1297" s="113"/>
      <c r="AC1297" s="105" t="s">
        <v>3098</v>
      </c>
      <c r="AD1297" s="115" t="s">
        <v>107</v>
      </c>
    </row>
    <row r="1298" spans="1:30" x14ac:dyDescent="0.2">
      <c r="A1298" s="104" t="s">
        <v>13587</v>
      </c>
      <c r="B1298" s="105" t="s">
        <v>805</v>
      </c>
      <c r="C1298" s="105" t="s">
        <v>329</v>
      </c>
      <c r="D1298" s="106"/>
      <c r="E1298" s="107" t="s">
        <v>182</v>
      </c>
      <c r="F1298" s="108" t="s">
        <v>3099</v>
      </c>
      <c r="G1298" s="118">
        <v>3</v>
      </c>
      <c r="H1298" s="108" t="s">
        <v>13588</v>
      </c>
      <c r="I1298" s="117">
        <v>2</v>
      </c>
      <c r="J1298" s="113"/>
      <c r="K1298" s="108" t="s">
        <v>13589</v>
      </c>
      <c r="L1298" s="110">
        <v>3</v>
      </c>
      <c r="M1298" s="113"/>
      <c r="N1298" s="108" t="s">
        <v>3099</v>
      </c>
      <c r="O1298" s="110">
        <v>3</v>
      </c>
      <c r="P1298" s="111" t="s">
        <v>46</v>
      </c>
      <c r="Q1298" s="108" t="s">
        <v>13590</v>
      </c>
      <c r="R1298" s="110">
        <v>3</v>
      </c>
      <c r="S1298" s="111" t="s">
        <v>46</v>
      </c>
      <c r="T1298" s="108" t="s">
        <v>47</v>
      </c>
      <c r="U1298" s="114"/>
      <c r="V1298" s="113"/>
      <c r="W1298" s="108" t="s">
        <v>47</v>
      </c>
      <c r="X1298" s="114"/>
      <c r="Y1298" s="113"/>
      <c r="Z1298" s="108" t="s">
        <v>47</v>
      </c>
      <c r="AA1298" s="114"/>
      <c r="AB1298" s="113"/>
      <c r="AC1298" s="105" t="s">
        <v>3100</v>
      </c>
      <c r="AD1298" s="115" t="s">
        <v>107</v>
      </c>
    </row>
    <row r="1299" spans="1:30" x14ac:dyDescent="0.2">
      <c r="A1299" s="104" t="s">
        <v>13591</v>
      </c>
      <c r="B1299" s="105" t="s">
        <v>805</v>
      </c>
      <c r="C1299" s="105" t="s">
        <v>329</v>
      </c>
      <c r="D1299" s="106"/>
      <c r="E1299" s="107" t="s">
        <v>182</v>
      </c>
      <c r="F1299" s="108" t="s">
        <v>13592</v>
      </c>
      <c r="G1299" s="118">
        <v>3</v>
      </c>
      <c r="H1299" s="108" t="s">
        <v>13593</v>
      </c>
      <c r="I1299" s="110">
        <v>3</v>
      </c>
      <c r="J1299" s="113"/>
      <c r="K1299" s="108" t="s">
        <v>13594</v>
      </c>
      <c r="L1299" s="112">
        <v>4</v>
      </c>
      <c r="M1299" s="111" t="s">
        <v>46</v>
      </c>
      <c r="N1299" s="108" t="s">
        <v>13592</v>
      </c>
      <c r="O1299" s="110">
        <v>3</v>
      </c>
      <c r="P1299" s="113"/>
      <c r="Q1299" s="108" t="s">
        <v>13595</v>
      </c>
      <c r="R1299" s="110">
        <v>3</v>
      </c>
      <c r="S1299" s="111" t="s">
        <v>46</v>
      </c>
      <c r="T1299" s="108" t="s">
        <v>47</v>
      </c>
      <c r="U1299" s="114"/>
      <c r="V1299" s="113"/>
      <c r="W1299" s="108" t="s">
        <v>47</v>
      </c>
      <c r="X1299" s="114"/>
      <c r="Y1299" s="113"/>
      <c r="Z1299" s="108" t="s">
        <v>47</v>
      </c>
      <c r="AA1299" s="114"/>
      <c r="AB1299" s="113"/>
      <c r="AC1299" s="105" t="s">
        <v>3101</v>
      </c>
      <c r="AD1299" s="115" t="s">
        <v>107</v>
      </c>
    </row>
    <row r="1300" spans="1:30" x14ac:dyDescent="0.2">
      <c r="A1300" s="104" t="s">
        <v>13596</v>
      </c>
      <c r="B1300" s="105" t="s">
        <v>805</v>
      </c>
      <c r="C1300" s="105" t="s">
        <v>329</v>
      </c>
      <c r="D1300" s="106"/>
      <c r="E1300" s="107" t="s">
        <v>182</v>
      </c>
      <c r="F1300" s="108" t="s">
        <v>13597</v>
      </c>
      <c r="G1300" s="118">
        <v>3</v>
      </c>
      <c r="H1300" s="108" t="s">
        <v>13598</v>
      </c>
      <c r="I1300" s="117">
        <v>2</v>
      </c>
      <c r="J1300" s="113"/>
      <c r="K1300" s="108" t="s">
        <v>13599</v>
      </c>
      <c r="L1300" s="110">
        <v>3</v>
      </c>
      <c r="M1300" s="113"/>
      <c r="N1300" s="108" t="s">
        <v>13597</v>
      </c>
      <c r="O1300" s="110">
        <v>3</v>
      </c>
      <c r="P1300" s="111" t="s">
        <v>46</v>
      </c>
      <c r="Q1300" s="108" t="s">
        <v>13600</v>
      </c>
      <c r="R1300" s="110">
        <v>3</v>
      </c>
      <c r="S1300" s="111" t="s">
        <v>46</v>
      </c>
      <c r="T1300" s="108" t="s">
        <v>47</v>
      </c>
      <c r="U1300" s="114"/>
      <c r="V1300" s="113"/>
      <c r="W1300" s="108" t="s">
        <v>47</v>
      </c>
      <c r="X1300" s="114"/>
      <c r="Y1300" s="113"/>
      <c r="Z1300" s="108" t="s">
        <v>47</v>
      </c>
      <c r="AA1300" s="114"/>
      <c r="AB1300" s="113"/>
      <c r="AC1300" s="105" t="s">
        <v>3102</v>
      </c>
      <c r="AD1300" s="115" t="s">
        <v>107</v>
      </c>
    </row>
    <row r="1301" spans="1:30" x14ac:dyDescent="0.2">
      <c r="A1301" s="104" t="s">
        <v>13601</v>
      </c>
      <c r="B1301" s="105" t="s">
        <v>805</v>
      </c>
      <c r="C1301" s="105" t="s">
        <v>329</v>
      </c>
      <c r="D1301" s="106"/>
      <c r="E1301" s="107" t="s">
        <v>182</v>
      </c>
      <c r="F1301" s="108" t="s">
        <v>13602</v>
      </c>
      <c r="G1301" s="118">
        <v>3</v>
      </c>
      <c r="H1301" s="108" t="s">
        <v>13603</v>
      </c>
      <c r="I1301" s="110">
        <v>3</v>
      </c>
      <c r="J1301" s="111" t="s">
        <v>46</v>
      </c>
      <c r="K1301" s="108" t="s">
        <v>13604</v>
      </c>
      <c r="L1301" s="112">
        <v>4</v>
      </c>
      <c r="M1301" s="111" t="s">
        <v>46</v>
      </c>
      <c r="N1301" s="108" t="s">
        <v>13602</v>
      </c>
      <c r="O1301" s="110">
        <v>3</v>
      </c>
      <c r="P1301" s="113"/>
      <c r="Q1301" s="108" t="s">
        <v>13605</v>
      </c>
      <c r="R1301" s="110">
        <v>3</v>
      </c>
      <c r="S1301" s="111" t="s">
        <v>46</v>
      </c>
      <c r="T1301" s="108" t="s">
        <v>47</v>
      </c>
      <c r="U1301" s="114"/>
      <c r="V1301" s="113"/>
      <c r="W1301" s="108" t="s">
        <v>47</v>
      </c>
      <c r="X1301" s="114"/>
      <c r="Y1301" s="113"/>
      <c r="Z1301" s="108" t="s">
        <v>47</v>
      </c>
      <c r="AA1301" s="114"/>
      <c r="AB1301" s="113"/>
      <c r="AC1301" s="105" t="s">
        <v>3103</v>
      </c>
      <c r="AD1301" s="115" t="s">
        <v>107</v>
      </c>
    </row>
    <row r="1302" spans="1:30" x14ac:dyDescent="0.2">
      <c r="A1302" s="104" t="s">
        <v>13606</v>
      </c>
      <c r="B1302" s="105" t="s">
        <v>805</v>
      </c>
      <c r="C1302" s="105" t="s">
        <v>329</v>
      </c>
      <c r="D1302" s="106"/>
      <c r="E1302" s="107" t="s">
        <v>182</v>
      </c>
      <c r="F1302" s="108" t="s">
        <v>13607</v>
      </c>
      <c r="G1302" s="118">
        <v>3</v>
      </c>
      <c r="H1302" s="108" t="s">
        <v>13608</v>
      </c>
      <c r="I1302" s="110">
        <v>3</v>
      </c>
      <c r="J1302" s="111" t="s">
        <v>46</v>
      </c>
      <c r="K1302" s="108" t="s">
        <v>13609</v>
      </c>
      <c r="L1302" s="112">
        <v>4</v>
      </c>
      <c r="M1302" s="111" t="s">
        <v>46</v>
      </c>
      <c r="N1302" s="108" t="s">
        <v>13607</v>
      </c>
      <c r="O1302" s="110">
        <v>3</v>
      </c>
      <c r="P1302" s="113"/>
      <c r="Q1302" s="108" t="s">
        <v>13610</v>
      </c>
      <c r="R1302" s="110">
        <v>3</v>
      </c>
      <c r="S1302" s="111" t="s">
        <v>46</v>
      </c>
      <c r="T1302" s="108" t="s">
        <v>47</v>
      </c>
      <c r="U1302" s="114"/>
      <c r="V1302" s="113"/>
      <c r="W1302" s="108" t="s">
        <v>47</v>
      </c>
      <c r="X1302" s="114"/>
      <c r="Y1302" s="113"/>
      <c r="Z1302" s="108" t="s">
        <v>47</v>
      </c>
      <c r="AA1302" s="114"/>
      <c r="AB1302" s="113"/>
      <c r="AC1302" s="105" t="s">
        <v>3104</v>
      </c>
      <c r="AD1302" s="115" t="s">
        <v>107</v>
      </c>
    </row>
    <row r="1303" spans="1:30" x14ac:dyDescent="0.2">
      <c r="A1303" s="104" t="s">
        <v>13611</v>
      </c>
      <c r="B1303" s="105" t="s">
        <v>805</v>
      </c>
      <c r="C1303" s="105" t="s">
        <v>329</v>
      </c>
      <c r="D1303" s="106"/>
      <c r="E1303" s="107" t="s">
        <v>182</v>
      </c>
      <c r="F1303" s="108" t="s">
        <v>13612</v>
      </c>
      <c r="G1303" s="118">
        <v>3</v>
      </c>
      <c r="H1303" s="108" t="s">
        <v>13613</v>
      </c>
      <c r="I1303" s="110">
        <v>3</v>
      </c>
      <c r="J1303" s="113"/>
      <c r="K1303" s="108" t="s">
        <v>13614</v>
      </c>
      <c r="L1303" s="112">
        <v>4</v>
      </c>
      <c r="M1303" s="111" t="s">
        <v>46</v>
      </c>
      <c r="N1303" s="108" t="s">
        <v>13612</v>
      </c>
      <c r="O1303" s="110">
        <v>3</v>
      </c>
      <c r="P1303" s="113"/>
      <c r="Q1303" s="108" t="s">
        <v>13615</v>
      </c>
      <c r="R1303" s="110">
        <v>3</v>
      </c>
      <c r="S1303" s="111" t="s">
        <v>46</v>
      </c>
      <c r="T1303" s="108" t="s">
        <v>47</v>
      </c>
      <c r="U1303" s="114"/>
      <c r="V1303" s="113"/>
      <c r="W1303" s="108" t="s">
        <v>47</v>
      </c>
      <c r="X1303" s="114"/>
      <c r="Y1303" s="113"/>
      <c r="Z1303" s="108" t="s">
        <v>47</v>
      </c>
      <c r="AA1303" s="114"/>
      <c r="AB1303" s="113"/>
      <c r="AC1303" s="105" t="s">
        <v>3105</v>
      </c>
      <c r="AD1303" s="115" t="s">
        <v>107</v>
      </c>
    </row>
    <row r="1304" spans="1:30" x14ac:dyDescent="0.2">
      <c r="A1304" s="104" t="s">
        <v>13616</v>
      </c>
      <c r="B1304" s="105" t="s">
        <v>805</v>
      </c>
      <c r="C1304" s="105" t="s">
        <v>329</v>
      </c>
      <c r="D1304" s="106"/>
      <c r="E1304" s="107" t="s">
        <v>182</v>
      </c>
      <c r="F1304" s="108" t="s">
        <v>13617</v>
      </c>
      <c r="G1304" s="118">
        <v>3</v>
      </c>
      <c r="H1304" s="108" t="s">
        <v>13618</v>
      </c>
      <c r="I1304" s="110">
        <v>3</v>
      </c>
      <c r="J1304" s="113"/>
      <c r="K1304" s="108" t="s">
        <v>13619</v>
      </c>
      <c r="L1304" s="112">
        <v>4</v>
      </c>
      <c r="M1304" s="111" t="s">
        <v>46</v>
      </c>
      <c r="N1304" s="108" t="s">
        <v>13617</v>
      </c>
      <c r="O1304" s="110">
        <v>3</v>
      </c>
      <c r="P1304" s="113"/>
      <c r="Q1304" s="108" t="s">
        <v>13620</v>
      </c>
      <c r="R1304" s="110">
        <v>3</v>
      </c>
      <c r="S1304" s="111" t="s">
        <v>46</v>
      </c>
      <c r="T1304" s="108" t="s">
        <v>47</v>
      </c>
      <c r="U1304" s="114"/>
      <c r="V1304" s="113"/>
      <c r="W1304" s="108" t="s">
        <v>47</v>
      </c>
      <c r="X1304" s="114"/>
      <c r="Y1304" s="113"/>
      <c r="Z1304" s="108" t="s">
        <v>47</v>
      </c>
      <c r="AA1304" s="114"/>
      <c r="AB1304" s="113"/>
      <c r="AC1304" s="105" t="s">
        <v>3106</v>
      </c>
      <c r="AD1304" s="115" t="s">
        <v>107</v>
      </c>
    </row>
    <row r="1305" spans="1:30" x14ac:dyDescent="0.2">
      <c r="A1305" s="104" t="s">
        <v>13621</v>
      </c>
      <c r="B1305" s="105" t="s">
        <v>805</v>
      </c>
      <c r="C1305" s="105" t="s">
        <v>329</v>
      </c>
      <c r="D1305" s="106"/>
      <c r="E1305" s="107" t="s">
        <v>182</v>
      </c>
      <c r="F1305" s="108" t="s">
        <v>13622</v>
      </c>
      <c r="G1305" s="118">
        <v>3</v>
      </c>
      <c r="H1305" s="108" t="s">
        <v>13623</v>
      </c>
      <c r="I1305" s="110">
        <v>3</v>
      </c>
      <c r="J1305" s="113"/>
      <c r="K1305" s="108" t="s">
        <v>13624</v>
      </c>
      <c r="L1305" s="112">
        <v>4</v>
      </c>
      <c r="M1305" s="111" t="s">
        <v>46</v>
      </c>
      <c r="N1305" s="108" t="s">
        <v>13622</v>
      </c>
      <c r="O1305" s="110">
        <v>3</v>
      </c>
      <c r="P1305" s="113"/>
      <c r="Q1305" s="108" t="s">
        <v>13625</v>
      </c>
      <c r="R1305" s="110">
        <v>3</v>
      </c>
      <c r="S1305" s="111" t="s">
        <v>46</v>
      </c>
      <c r="T1305" s="108" t="s">
        <v>47</v>
      </c>
      <c r="U1305" s="114"/>
      <c r="V1305" s="113"/>
      <c r="W1305" s="108" t="s">
        <v>47</v>
      </c>
      <c r="X1305" s="114"/>
      <c r="Y1305" s="113"/>
      <c r="Z1305" s="108" t="s">
        <v>47</v>
      </c>
      <c r="AA1305" s="114"/>
      <c r="AB1305" s="113"/>
      <c r="AC1305" s="105" t="s">
        <v>3107</v>
      </c>
      <c r="AD1305" s="115" t="s">
        <v>107</v>
      </c>
    </row>
    <row r="1306" spans="1:30" x14ac:dyDescent="0.2">
      <c r="A1306" s="104" t="s">
        <v>13626</v>
      </c>
      <c r="B1306" s="105" t="s">
        <v>805</v>
      </c>
      <c r="C1306" s="105" t="s">
        <v>329</v>
      </c>
      <c r="D1306" s="106"/>
      <c r="E1306" s="107" t="s">
        <v>182</v>
      </c>
      <c r="F1306" s="108" t="s">
        <v>13627</v>
      </c>
      <c r="G1306" s="118">
        <v>3</v>
      </c>
      <c r="H1306" s="108" t="s">
        <v>13628</v>
      </c>
      <c r="I1306" s="110">
        <v>3</v>
      </c>
      <c r="J1306" s="111" t="s">
        <v>46</v>
      </c>
      <c r="K1306" s="108" t="s">
        <v>13629</v>
      </c>
      <c r="L1306" s="112">
        <v>4</v>
      </c>
      <c r="M1306" s="111" t="s">
        <v>46</v>
      </c>
      <c r="N1306" s="108" t="s">
        <v>13627</v>
      </c>
      <c r="O1306" s="110">
        <v>3</v>
      </c>
      <c r="P1306" s="113"/>
      <c r="Q1306" s="108" t="s">
        <v>13630</v>
      </c>
      <c r="R1306" s="110">
        <v>3</v>
      </c>
      <c r="S1306" s="111" t="s">
        <v>46</v>
      </c>
      <c r="T1306" s="108" t="s">
        <v>47</v>
      </c>
      <c r="U1306" s="114"/>
      <c r="V1306" s="113"/>
      <c r="W1306" s="108" t="s">
        <v>47</v>
      </c>
      <c r="X1306" s="114"/>
      <c r="Y1306" s="113"/>
      <c r="Z1306" s="108" t="s">
        <v>47</v>
      </c>
      <c r="AA1306" s="114"/>
      <c r="AB1306" s="113"/>
      <c r="AC1306" s="105" t="s">
        <v>3108</v>
      </c>
      <c r="AD1306" s="115" t="s">
        <v>107</v>
      </c>
    </row>
    <row r="1307" spans="1:30" x14ac:dyDescent="0.2">
      <c r="A1307" s="104" t="s">
        <v>13631</v>
      </c>
      <c r="B1307" s="105" t="s">
        <v>805</v>
      </c>
      <c r="C1307" s="105" t="s">
        <v>329</v>
      </c>
      <c r="D1307" s="106"/>
      <c r="E1307" s="107" t="s">
        <v>182</v>
      </c>
      <c r="F1307" s="108" t="s">
        <v>13632</v>
      </c>
      <c r="G1307" s="118">
        <v>3</v>
      </c>
      <c r="H1307" s="108" t="s">
        <v>13633</v>
      </c>
      <c r="I1307" s="110">
        <v>3</v>
      </c>
      <c r="J1307" s="113"/>
      <c r="K1307" s="108" t="s">
        <v>13634</v>
      </c>
      <c r="L1307" s="112">
        <v>4</v>
      </c>
      <c r="M1307" s="111" t="s">
        <v>46</v>
      </c>
      <c r="N1307" s="108" t="s">
        <v>13632</v>
      </c>
      <c r="O1307" s="110">
        <v>3</v>
      </c>
      <c r="P1307" s="113"/>
      <c r="Q1307" s="108" t="s">
        <v>13635</v>
      </c>
      <c r="R1307" s="110">
        <v>3</v>
      </c>
      <c r="S1307" s="111" t="s">
        <v>46</v>
      </c>
      <c r="T1307" s="108" t="s">
        <v>47</v>
      </c>
      <c r="U1307" s="114"/>
      <c r="V1307" s="113"/>
      <c r="W1307" s="108" t="s">
        <v>47</v>
      </c>
      <c r="X1307" s="114"/>
      <c r="Y1307" s="113"/>
      <c r="Z1307" s="108" t="s">
        <v>47</v>
      </c>
      <c r="AA1307" s="114"/>
      <c r="AB1307" s="113"/>
      <c r="AC1307" s="105" t="s">
        <v>3109</v>
      </c>
      <c r="AD1307" s="115" t="s">
        <v>107</v>
      </c>
    </row>
    <row r="1308" spans="1:30" x14ac:dyDescent="0.2">
      <c r="A1308" s="104" t="s">
        <v>13636</v>
      </c>
      <c r="B1308" s="105" t="s">
        <v>805</v>
      </c>
      <c r="C1308" s="105" t="s">
        <v>329</v>
      </c>
      <c r="D1308" s="106"/>
      <c r="E1308" s="107" t="s">
        <v>182</v>
      </c>
      <c r="F1308" s="108" t="s">
        <v>13578</v>
      </c>
      <c r="G1308" s="118">
        <v>3</v>
      </c>
      <c r="H1308" s="108" t="s">
        <v>13579</v>
      </c>
      <c r="I1308" s="110">
        <v>3</v>
      </c>
      <c r="J1308" s="111" t="s">
        <v>46</v>
      </c>
      <c r="K1308" s="108" t="s">
        <v>13580</v>
      </c>
      <c r="L1308" s="112">
        <v>4</v>
      </c>
      <c r="M1308" s="111" t="s">
        <v>46</v>
      </c>
      <c r="N1308" s="108" t="s">
        <v>13578</v>
      </c>
      <c r="O1308" s="110">
        <v>3</v>
      </c>
      <c r="P1308" s="113"/>
      <c r="Q1308" s="108" t="s">
        <v>13581</v>
      </c>
      <c r="R1308" s="110">
        <v>3</v>
      </c>
      <c r="S1308" s="111" t="s">
        <v>46</v>
      </c>
      <c r="T1308" s="108" t="s">
        <v>47</v>
      </c>
      <c r="U1308" s="114"/>
      <c r="V1308" s="113"/>
      <c r="W1308" s="108" t="s">
        <v>47</v>
      </c>
      <c r="X1308" s="114"/>
      <c r="Y1308" s="113"/>
      <c r="Z1308" s="108" t="s">
        <v>47</v>
      </c>
      <c r="AA1308" s="114"/>
      <c r="AB1308" s="113"/>
      <c r="AC1308" s="105" t="s">
        <v>3110</v>
      </c>
      <c r="AD1308" s="115" t="s">
        <v>107</v>
      </c>
    </row>
    <row r="1309" spans="1:30" x14ac:dyDescent="0.2">
      <c r="A1309" s="104" t="s">
        <v>13637</v>
      </c>
      <c r="B1309" s="105" t="s">
        <v>805</v>
      </c>
      <c r="C1309" s="105" t="s">
        <v>329</v>
      </c>
      <c r="D1309" s="106"/>
      <c r="E1309" s="107" t="s">
        <v>182</v>
      </c>
      <c r="F1309" s="108" t="s">
        <v>13638</v>
      </c>
      <c r="G1309" s="118">
        <v>3</v>
      </c>
      <c r="H1309" s="108" t="s">
        <v>13639</v>
      </c>
      <c r="I1309" s="117">
        <v>2</v>
      </c>
      <c r="J1309" s="111" t="s">
        <v>40</v>
      </c>
      <c r="K1309" s="108" t="s">
        <v>13640</v>
      </c>
      <c r="L1309" s="110">
        <v>3</v>
      </c>
      <c r="M1309" s="113"/>
      <c r="N1309" s="108" t="s">
        <v>13638</v>
      </c>
      <c r="O1309" s="110">
        <v>3</v>
      </c>
      <c r="P1309" s="111" t="s">
        <v>46</v>
      </c>
      <c r="Q1309" s="108" t="s">
        <v>13641</v>
      </c>
      <c r="R1309" s="110">
        <v>3</v>
      </c>
      <c r="S1309" s="111" t="s">
        <v>46</v>
      </c>
      <c r="T1309" s="108" t="s">
        <v>47</v>
      </c>
      <c r="U1309" s="114"/>
      <c r="V1309" s="113"/>
      <c r="W1309" s="108" t="s">
        <v>47</v>
      </c>
      <c r="X1309" s="114"/>
      <c r="Y1309" s="113"/>
      <c r="Z1309" s="108" t="s">
        <v>47</v>
      </c>
      <c r="AA1309" s="114"/>
      <c r="AB1309" s="113"/>
      <c r="AC1309" s="105" t="s">
        <v>3111</v>
      </c>
      <c r="AD1309" s="115" t="s">
        <v>107</v>
      </c>
    </row>
    <row r="1310" spans="1:30" x14ac:dyDescent="0.2">
      <c r="A1310" s="104" t="s">
        <v>13642</v>
      </c>
      <c r="B1310" s="105" t="s">
        <v>805</v>
      </c>
      <c r="C1310" s="105" t="s">
        <v>638</v>
      </c>
      <c r="D1310" s="106" t="s">
        <v>125</v>
      </c>
      <c r="E1310" s="107"/>
      <c r="F1310" s="108" t="s">
        <v>13643</v>
      </c>
      <c r="G1310" s="119">
        <v>1</v>
      </c>
      <c r="H1310" s="108" t="s">
        <v>13644</v>
      </c>
      <c r="I1310" s="110">
        <v>3</v>
      </c>
      <c r="J1310" s="111" t="s">
        <v>55</v>
      </c>
      <c r="K1310" s="108" t="s">
        <v>13645</v>
      </c>
      <c r="L1310" s="117">
        <v>2</v>
      </c>
      <c r="M1310" s="111" t="s">
        <v>46</v>
      </c>
      <c r="N1310" s="108" t="s">
        <v>13643</v>
      </c>
      <c r="O1310" s="116">
        <v>1</v>
      </c>
      <c r="P1310" s="113"/>
      <c r="Q1310" s="108" t="s">
        <v>13646</v>
      </c>
      <c r="R1310" s="116">
        <v>1</v>
      </c>
      <c r="S1310" s="113"/>
      <c r="T1310" s="108" t="s">
        <v>13647</v>
      </c>
      <c r="U1310" s="117">
        <v>2</v>
      </c>
      <c r="V1310" s="113"/>
      <c r="W1310" s="108" t="s">
        <v>47</v>
      </c>
      <c r="X1310" s="114"/>
      <c r="Y1310" s="113"/>
      <c r="Z1310" s="108" t="s">
        <v>47</v>
      </c>
      <c r="AA1310" s="114"/>
      <c r="AB1310" s="113"/>
      <c r="AC1310" s="105" t="s">
        <v>3112</v>
      </c>
      <c r="AD1310" s="115" t="s">
        <v>107</v>
      </c>
    </row>
    <row r="1311" spans="1:30" x14ac:dyDescent="0.2">
      <c r="A1311" s="104" t="s">
        <v>13648</v>
      </c>
      <c r="B1311" s="105" t="s">
        <v>805</v>
      </c>
      <c r="C1311" s="105" t="s">
        <v>638</v>
      </c>
      <c r="D1311" s="106" t="s">
        <v>125</v>
      </c>
      <c r="E1311" s="107"/>
      <c r="F1311" s="108" t="s">
        <v>13649</v>
      </c>
      <c r="G1311" s="119">
        <v>1</v>
      </c>
      <c r="H1311" s="108" t="s">
        <v>13650</v>
      </c>
      <c r="I1311" s="110">
        <v>3</v>
      </c>
      <c r="J1311" s="111" t="s">
        <v>55</v>
      </c>
      <c r="K1311" s="108" t="s">
        <v>13651</v>
      </c>
      <c r="L1311" s="110">
        <v>3</v>
      </c>
      <c r="M1311" s="111" t="s">
        <v>55</v>
      </c>
      <c r="N1311" s="108" t="s">
        <v>13649</v>
      </c>
      <c r="O1311" s="116">
        <v>1</v>
      </c>
      <c r="P1311" s="113"/>
      <c r="Q1311" s="108" t="s">
        <v>13652</v>
      </c>
      <c r="R1311" s="116">
        <v>1</v>
      </c>
      <c r="S1311" s="113"/>
      <c r="T1311" s="108" t="s">
        <v>13653</v>
      </c>
      <c r="U1311" s="117">
        <v>2</v>
      </c>
      <c r="V1311" s="113"/>
      <c r="W1311" s="108" t="s">
        <v>47</v>
      </c>
      <c r="X1311" s="114"/>
      <c r="Y1311" s="113"/>
      <c r="Z1311" s="108" t="s">
        <v>47</v>
      </c>
      <c r="AA1311" s="114"/>
      <c r="AB1311" s="113"/>
      <c r="AC1311" s="105" t="s">
        <v>3113</v>
      </c>
      <c r="AD1311" s="115" t="s">
        <v>107</v>
      </c>
    </row>
    <row r="1312" spans="1:30" x14ac:dyDescent="0.2">
      <c r="A1312" s="104" t="s">
        <v>13654</v>
      </c>
      <c r="B1312" s="105" t="s">
        <v>805</v>
      </c>
      <c r="C1312" s="105" t="s">
        <v>638</v>
      </c>
      <c r="D1312" s="106" t="s">
        <v>125</v>
      </c>
      <c r="E1312" s="107"/>
      <c r="F1312" s="108" t="s">
        <v>13655</v>
      </c>
      <c r="G1312" s="119">
        <v>1</v>
      </c>
      <c r="H1312" s="108" t="s">
        <v>13656</v>
      </c>
      <c r="I1312" s="110">
        <v>3</v>
      </c>
      <c r="J1312" s="111" t="s">
        <v>55</v>
      </c>
      <c r="K1312" s="108" t="s">
        <v>13657</v>
      </c>
      <c r="L1312" s="117">
        <v>2</v>
      </c>
      <c r="M1312" s="111" t="s">
        <v>46</v>
      </c>
      <c r="N1312" s="108" t="s">
        <v>13655</v>
      </c>
      <c r="O1312" s="116">
        <v>1</v>
      </c>
      <c r="P1312" s="113"/>
      <c r="Q1312" s="108" t="s">
        <v>13658</v>
      </c>
      <c r="R1312" s="116">
        <v>1</v>
      </c>
      <c r="S1312" s="113"/>
      <c r="T1312" s="108" t="s">
        <v>13659</v>
      </c>
      <c r="U1312" s="117">
        <v>2</v>
      </c>
      <c r="V1312" s="113"/>
      <c r="W1312" s="108" t="s">
        <v>47</v>
      </c>
      <c r="X1312" s="114"/>
      <c r="Y1312" s="113"/>
      <c r="Z1312" s="108" t="s">
        <v>47</v>
      </c>
      <c r="AA1312" s="114"/>
      <c r="AB1312" s="113"/>
      <c r="AC1312" s="105" t="s">
        <v>3114</v>
      </c>
      <c r="AD1312" s="115" t="s">
        <v>107</v>
      </c>
    </row>
    <row r="1313" spans="1:30" x14ac:dyDescent="0.2">
      <c r="A1313" s="104" t="s">
        <v>13660</v>
      </c>
      <c r="B1313" s="105" t="s">
        <v>805</v>
      </c>
      <c r="C1313" s="105" t="s">
        <v>638</v>
      </c>
      <c r="D1313" s="106" t="s">
        <v>125</v>
      </c>
      <c r="E1313" s="107"/>
      <c r="F1313" s="108" t="s">
        <v>13661</v>
      </c>
      <c r="G1313" s="119">
        <v>1</v>
      </c>
      <c r="H1313" s="108" t="s">
        <v>13662</v>
      </c>
      <c r="I1313" s="110">
        <v>3</v>
      </c>
      <c r="J1313" s="111" t="s">
        <v>55</v>
      </c>
      <c r="K1313" s="108" t="s">
        <v>13663</v>
      </c>
      <c r="L1313" s="117">
        <v>2</v>
      </c>
      <c r="M1313" s="111" t="s">
        <v>46</v>
      </c>
      <c r="N1313" s="108" t="s">
        <v>13661</v>
      </c>
      <c r="O1313" s="116">
        <v>1</v>
      </c>
      <c r="P1313" s="113"/>
      <c r="Q1313" s="108" t="s">
        <v>13664</v>
      </c>
      <c r="R1313" s="116">
        <v>1</v>
      </c>
      <c r="S1313" s="113"/>
      <c r="T1313" s="108" t="s">
        <v>13665</v>
      </c>
      <c r="U1313" s="117">
        <v>2</v>
      </c>
      <c r="V1313" s="113"/>
      <c r="W1313" s="108" t="s">
        <v>47</v>
      </c>
      <c r="X1313" s="114"/>
      <c r="Y1313" s="113"/>
      <c r="Z1313" s="108" t="s">
        <v>47</v>
      </c>
      <c r="AA1313" s="114"/>
      <c r="AB1313" s="113"/>
      <c r="AC1313" s="105" t="s">
        <v>3115</v>
      </c>
      <c r="AD1313" s="115" t="s">
        <v>107</v>
      </c>
    </row>
    <row r="1314" spans="1:30" x14ac:dyDescent="0.2">
      <c r="A1314" s="104" t="s">
        <v>13666</v>
      </c>
      <c r="B1314" s="105" t="s">
        <v>805</v>
      </c>
      <c r="C1314" s="105" t="s">
        <v>638</v>
      </c>
      <c r="D1314" s="106" t="s">
        <v>94</v>
      </c>
      <c r="E1314" s="107"/>
      <c r="F1314" s="108" t="s">
        <v>13667</v>
      </c>
      <c r="G1314" s="119">
        <v>1</v>
      </c>
      <c r="H1314" s="108" t="s">
        <v>13668</v>
      </c>
      <c r="I1314" s="110">
        <v>3</v>
      </c>
      <c r="J1314" s="111" t="s">
        <v>55</v>
      </c>
      <c r="K1314" s="108" t="s">
        <v>13669</v>
      </c>
      <c r="L1314" s="117">
        <v>2</v>
      </c>
      <c r="M1314" s="111" t="s">
        <v>46</v>
      </c>
      <c r="N1314" s="108" t="s">
        <v>13667</v>
      </c>
      <c r="O1314" s="116">
        <v>1</v>
      </c>
      <c r="P1314" s="113"/>
      <c r="Q1314" s="108" t="s">
        <v>13670</v>
      </c>
      <c r="R1314" s="116">
        <v>1</v>
      </c>
      <c r="S1314" s="113"/>
      <c r="T1314" s="108" t="s">
        <v>13671</v>
      </c>
      <c r="U1314" s="117">
        <v>2</v>
      </c>
      <c r="V1314" s="113"/>
      <c r="W1314" s="108" t="s">
        <v>47</v>
      </c>
      <c r="X1314" s="114"/>
      <c r="Y1314" s="113"/>
      <c r="Z1314" s="108" t="s">
        <v>47</v>
      </c>
      <c r="AA1314" s="114"/>
      <c r="AB1314" s="113"/>
      <c r="AC1314" s="105" t="s">
        <v>3116</v>
      </c>
      <c r="AD1314" s="115" t="s">
        <v>107</v>
      </c>
    </row>
    <row r="1315" spans="1:30" x14ac:dyDescent="0.2">
      <c r="A1315" s="104" t="s">
        <v>13672</v>
      </c>
      <c r="B1315" s="105" t="s">
        <v>805</v>
      </c>
      <c r="C1315" s="105" t="s">
        <v>638</v>
      </c>
      <c r="D1315" s="106" t="s">
        <v>94</v>
      </c>
      <c r="E1315" s="107"/>
      <c r="F1315" s="108" t="s">
        <v>13667</v>
      </c>
      <c r="G1315" s="119">
        <v>1</v>
      </c>
      <c r="H1315" s="108" t="s">
        <v>13668</v>
      </c>
      <c r="I1315" s="110">
        <v>3</v>
      </c>
      <c r="J1315" s="111" t="s">
        <v>55</v>
      </c>
      <c r="K1315" s="108" t="s">
        <v>13669</v>
      </c>
      <c r="L1315" s="117">
        <v>2</v>
      </c>
      <c r="M1315" s="111" t="s">
        <v>46</v>
      </c>
      <c r="N1315" s="108" t="s">
        <v>13667</v>
      </c>
      <c r="O1315" s="116">
        <v>1</v>
      </c>
      <c r="P1315" s="113"/>
      <c r="Q1315" s="108" t="s">
        <v>13670</v>
      </c>
      <c r="R1315" s="116">
        <v>1</v>
      </c>
      <c r="S1315" s="113"/>
      <c r="T1315" s="108" t="s">
        <v>13671</v>
      </c>
      <c r="U1315" s="117">
        <v>2</v>
      </c>
      <c r="V1315" s="113"/>
      <c r="W1315" s="108" t="s">
        <v>47</v>
      </c>
      <c r="X1315" s="114"/>
      <c r="Y1315" s="113"/>
      <c r="Z1315" s="108" t="s">
        <v>47</v>
      </c>
      <c r="AA1315" s="114"/>
      <c r="AB1315" s="113"/>
      <c r="AC1315" s="105" t="s">
        <v>3117</v>
      </c>
      <c r="AD1315" s="115" t="s">
        <v>107</v>
      </c>
    </row>
    <row r="1316" spans="1:30" x14ac:dyDescent="0.2">
      <c r="A1316" s="104" t="s">
        <v>13673</v>
      </c>
      <c r="B1316" s="105" t="s">
        <v>805</v>
      </c>
      <c r="C1316" s="105" t="s">
        <v>638</v>
      </c>
      <c r="D1316" s="106" t="s">
        <v>125</v>
      </c>
      <c r="E1316" s="107"/>
      <c r="F1316" s="108" t="s">
        <v>13674</v>
      </c>
      <c r="G1316" s="119">
        <v>1</v>
      </c>
      <c r="H1316" s="108" t="s">
        <v>13675</v>
      </c>
      <c r="I1316" s="110">
        <v>3</v>
      </c>
      <c r="J1316" s="111" t="s">
        <v>55</v>
      </c>
      <c r="K1316" s="108" t="s">
        <v>13676</v>
      </c>
      <c r="L1316" s="117">
        <v>2</v>
      </c>
      <c r="M1316" s="111" t="s">
        <v>46</v>
      </c>
      <c r="N1316" s="108" t="s">
        <v>13674</v>
      </c>
      <c r="O1316" s="116">
        <v>1</v>
      </c>
      <c r="P1316" s="113"/>
      <c r="Q1316" s="108" t="s">
        <v>13677</v>
      </c>
      <c r="R1316" s="116">
        <v>1</v>
      </c>
      <c r="S1316" s="113"/>
      <c r="T1316" s="108" t="s">
        <v>13678</v>
      </c>
      <c r="U1316" s="117">
        <v>2</v>
      </c>
      <c r="V1316" s="113"/>
      <c r="W1316" s="108" t="s">
        <v>47</v>
      </c>
      <c r="X1316" s="114"/>
      <c r="Y1316" s="113"/>
      <c r="Z1316" s="108" t="s">
        <v>47</v>
      </c>
      <c r="AA1316" s="114"/>
      <c r="AB1316" s="113"/>
      <c r="AC1316" s="105" t="s">
        <v>3118</v>
      </c>
      <c r="AD1316" s="115" t="s">
        <v>107</v>
      </c>
    </row>
    <row r="1317" spans="1:30" x14ac:dyDescent="0.2">
      <c r="A1317" s="104" t="s">
        <v>13679</v>
      </c>
      <c r="B1317" s="105" t="s">
        <v>805</v>
      </c>
      <c r="C1317" s="105" t="s">
        <v>1449</v>
      </c>
      <c r="D1317" s="106" t="s">
        <v>125</v>
      </c>
      <c r="E1317" s="107"/>
      <c r="F1317" s="108" t="s">
        <v>13680</v>
      </c>
      <c r="G1317" s="109">
        <v>4</v>
      </c>
      <c r="H1317" s="108" t="s">
        <v>13681</v>
      </c>
      <c r="I1317" s="112">
        <v>4</v>
      </c>
      <c r="J1317" s="111" t="s">
        <v>55</v>
      </c>
      <c r="K1317" s="108" t="s">
        <v>13682</v>
      </c>
      <c r="L1317" s="110">
        <v>3</v>
      </c>
      <c r="M1317" s="113"/>
      <c r="N1317" s="108" t="s">
        <v>13680</v>
      </c>
      <c r="O1317" s="112">
        <v>4</v>
      </c>
      <c r="P1317" s="113"/>
      <c r="Q1317" s="108" t="s">
        <v>13683</v>
      </c>
      <c r="R1317" s="112">
        <v>4</v>
      </c>
      <c r="S1317" s="113"/>
      <c r="T1317" s="108" t="s">
        <v>13684</v>
      </c>
      <c r="U1317" s="117">
        <v>2</v>
      </c>
      <c r="V1317" s="111" t="s">
        <v>46</v>
      </c>
      <c r="W1317" s="108" t="s">
        <v>13685</v>
      </c>
      <c r="X1317" s="110">
        <v>3</v>
      </c>
      <c r="Y1317" s="113"/>
      <c r="Z1317" s="108" t="s">
        <v>13686</v>
      </c>
      <c r="AA1317" s="110">
        <v>3</v>
      </c>
      <c r="AB1317" s="113"/>
      <c r="AC1317" s="105" t="s">
        <v>3119</v>
      </c>
      <c r="AD1317" s="115" t="s">
        <v>107</v>
      </c>
    </row>
    <row r="1318" spans="1:30" x14ac:dyDescent="0.2">
      <c r="A1318" s="104" t="s">
        <v>13687</v>
      </c>
      <c r="B1318" s="105" t="s">
        <v>805</v>
      </c>
      <c r="C1318" s="105" t="s">
        <v>1449</v>
      </c>
      <c r="D1318" s="106" t="s">
        <v>125</v>
      </c>
      <c r="E1318" s="107"/>
      <c r="F1318" s="108" t="s">
        <v>13688</v>
      </c>
      <c r="G1318" s="109">
        <v>4</v>
      </c>
      <c r="H1318" s="108" t="s">
        <v>13689</v>
      </c>
      <c r="I1318" s="112">
        <v>4</v>
      </c>
      <c r="J1318" s="111" t="s">
        <v>55</v>
      </c>
      <c r="K1318" s="108" t="s">
        <v>13690</v>
      </c>
      <c r="L1318" s="110">
        <v>3</v>
      </c>
      <c r="M1318" s="113"/>
      <c r="N1318" s="108" t="s">
        <v>13688</v>
      </c>
      <c r="O1318" s="112">
        <v>4</v>
      </c>
      <c r="P1318" s="113"/>
      <c r="Q1318" s="108" t="s">
        <v>13691</v>
      </c>
      <c r="R1318" s="112">
        <v>4</v>
      </c>
      <c r="S1318" s="113"/>
      <c r="T1318" s="108" t="s">
        <v>13692</v>
      </c>
      <c r="U1318" s="117">
        <v>2</v>
      </c>
      <c r="V1318" s="111" t="s">
        <v>46</v>
      </c>
      <c r="W1318" s="108" t="s">
        <v>13693</v>
      </c>
      <c r="X1318" s="110">
        <v>3</v>
      </c>
      <c r="Y1318" s="113"/>
      <c r="Z1318" s="108" t="s">
        <v>13694</v>
      </c>
      <c r="AA1318" s="110">
        <v>3</v>
      </c>
      <c r="AB1318" s="113"/>
      <c r="AC1318" s="105" t="s">
        <v>3120</v>
      </c>
      <c r="AD1318" s="115" t="s">
        <v>107</v>
      </c>
    </row>
    <row r="1319" spans="1:30" x14ac:dyDescent="0.2">
      <c r="A1319" s="104" t="s">
        <v>13695</v>
      </c>
      <c r="B1319" s="105" t="s">
        <v>805</v>
      </c>
      <c r="C1319" s="105" t="s">
        <v>1241</v>
      </c>
      <c r="D1319" s="106"/>
      <c r="E1319" s="107"/>
      <c r="F1319" s="108" t="s">
        <v>13696</v>
      </c>
      <c r="G1319" s="118">
        <v>3</v>
      </c>
      <c r="H1319" s="108" t="s">
        <v>13461</v>
      </c>
      <c r="I1319" s="112">
        <v>4</v>
      </c>
      <c r="J1319" s="111" t="s">
        <v>46</v>
      </c>
      <c r="K1319" s="108" t="s">
        <v>13697</v>
      </c>
      <c r="L1319" s="110">
        <v>3</v>
      </c>
      <c r="M1319" s="113"/>
      <c r="N1319" s="108" t="s">
        <v>13696</v>
      </c>
      <c r="O1319" s="110">
        <v>3</v>
      </c>
      <c r="P1319" s="113"/>
      <c r="Q1319" s="108" t="s">
        <v>47</v>
      </c>
      <c r="R1319" s="114"/>
      <c r="S1319" s="113"/>
      <c r="T1319" s="108" t="s">
        <v>47</v>
      </c>
      <c r="U1319" s="114"/>
      <c r="V1319" s="113"/>
      <c r="W1319" s="108" t="s">
        <v>47</v>
      </c>
      <c r="X1319" s="114"/>
      <c r="Y1319" s="113"/>
      <c r="Z1319" s="108" t="s">
        <v>47</v>
      </c>
      <c r="AA1319" s="114"/>
      <c r="AB1319" s="113"/>
      <c r="AC1319" s="105" t="s">
        <v>3121</v>
      </c>
      <c r="AD1319" s="115" t="s">
        <v>107</v>
      </c>
    </row>
    <row r="1320" spans="1:30" x14ac:dyDescent="0.2">
      <c r="A1320" s="104" t="s">
        <v>13698</v>
      </c>
      <c r="B1320" s="105" t="s">
        <v>805</v>
      </c>
      <c r="C1320" s="105" t="s">
        <v>1449</v>
      </c>
      <c r="D1320" s="106" t="s">
        <v>125</v>
      </c>
      <c r="E1320" s="107"/>
      <c r="F1320" s="108" t="s">
        <v>13699</v>
      </c>
      <c r="G1320" s="109">
        <v>4</v>
      </c>
      <c r="H1320" s="108" t="s">
        <v>13700</v>
      </c>
      <c r="I1320" s="112">
        <v>4</v>
      </c>
      <c r="J1320" s="111" t="s">
        <v>55</v>
      </c>
      <c r="K1320" s="108" t="s">
        <v>13701</v>
      </c>
      <c r="L1320" s="110">
        <v>3</v>
      </c>
      <c r="M1320" s="111" t="s">
        <v>46</v>
      </c>
      <c r="N1320" s="108" t="s">
        <v>13699</v>
      </c>
      <c r="O1320" s="112">
        <v>4</v>
      </c>
      <c r="P1320" s="111" t="s">
        <v>46</v>
      </c>
      <c r="Q1320" s="108" t="s">
        <v>13702</v>
      </c>
      <c r="R1320" s="112">
        <v>4</v>
      </c>
      <c r="S1320" s="113"/>
      <c r="T1320" s="108" t="s">
        <v>13703</v>
      </c>
      <c r="U1320" s="116">
        <v>1</v>
      </c>
      <c r="V1320" s="113"/>
      <c r="W1320" s="108" t="s">
        <v>13704</v>
      </c>
      <c r="X1320" s="117">
        <v>2</v>
      </c>
      <c r="Y1320" s="113"/>
      <c r="Z1320" s="108" t="s">
        <v>3122</v>
      </c>
      <c r="AA1320" s="110">
        <v>3</v>
      </c>
      <c r="AB1320" s="113"/>
      <c r="AC1320" s="105" t="s">
        <v>3123</v>
      </c>
      <c r="AD1320" s="115" t="s">
        <v>107</v>
      </c>
    </row>
    <row r="1321" spans="1:30" x14ac:dyDescent="0.2">
      <c r="A1321" s="104" t="s">
        <v>13705</v>
      </c>
      <c r="B1321" s="105" t="s">
        <v>805</v>
      </c>
      <c r="C1321" s="105" t="s">
        <v>1449</v>
      </c>
      <c r="D1321" s="106" t="s">
        <v>94</v>
      </c>
      <c r="E1321" s="107"/>
      <c r="F1321" s="108" t="s">
        <v>13706</v>
      </c>
      <c r="G1321" s="109">
        <v>4</v>
      </c>
      <c r="H1321" s="108" t="s">
        <v>3124</v>
      </c>
      <c r="I1321" s="112">
        <v>4</v>
      </c>
      <c r="J1321" s="111" t="s">
        <v>55</v>
      </c>
      <c r="K1321" s="108" t="s">
        <v>13707</v>
      </c>
      <c r="L1321" s="110">
        <v>3</v>
      </c>
      <c r="M1321" s="111" t="s">
        <v>46</v>
      </c>
      <c r="N1321" s="108" t="s">
        <v>13706</v>
      </c>
      <c r="O1321" s="112">
        <v>4</v>
      </c>
      <c r="P1321" s="111" t="s">
        <v>46</v>
      </c>
      <c r="Q1321" s="108" t="s">
        <v>13708</v>
      </c>
      <c r="R1321" s="112">
        <v>4</v>
      </c>
      <c r="S1321" s="113"/>
      <c r="T1321" s="108" t="s">
        <v>13709</v>
      </c>
      <c r="U1321" s="116">
        <v>1</v>
      </c>
      <c r="V1321" s="113"/>
      <c r="W1321" s="108" t="s">
        <v>47</v>
      </c>
      <c r="X1321" s="114"/>
      <c r="Y1321" s="113"/>
      <c r="Z1321" s="108" t="s">
        <v>47</v>
      </c>
      <c r="AA1321" s="114"/>
      <c r="AB1321" s="113"/>
      <c r="AC1321" s="105" t="s">
        <v>3125</v>
      </c>
      <c r="AD1321" s="115" t="s">
        <v>107</v>
      </c>
    </row>
    <row r="1322" spans="1:30" x14ac:dyDescent="0.2">
      <c r="A1322" s="104" t="s">
        <v>13710</v>
      </c>
      <c r="B1322" s="105" t="s">
        <v>805</v>
      </c>
      <c r="C1322" s="105" t="s">
        <v>1449</v>
      </c>
      <c r="D1322" s="106" t="s">
        <v>125</v>
      </c>
      <c r="E1322" s="107"/>
      <c r="F1322" s="108" t="s">
        <v>13711</v>
      </c>
      <c r="G1322" s="109">
        <v>4</v>
      </c>
      <c r="H1322" s="108" t="s">
        <v>13712</v>
      </c>
      <c r="I1322" s="112">
        <v>4</v>
      </c>
      <c r="J1322" s="111" t="s">
        <v>55</v>
      </c>
      <c r="K1322" s="108" t="s">
        <v>13713</v>
      </c>
      <c r="L1322" s="110">
        <v>3</v>
      </c>
      <c r="M1322" s="111" t="s">
        <v>46</v>
      </c>
      <c r="N1322" s="108" t="s">
        <v>13711</v>
      </c>
      <c r="O1322" s="112">
        <v>4</v>
      </c>
      <c r="P1322" s="111" t="s">
        <v>46</v>
      </c>
      <c r="Q1322" s="108" t="s">
        <v>13714</v>
      </c>
      <c r="R1322" s="112">
        <v>4</v>
      </c>
      <c r="S1322" s="113"/>
      <c r="T1322" s="108" t="s">
        <v>13715</v>
      </c>
      <c r="U1322" s="116">
        <v>1</v>
      </c>
      <c r="V1322" s="113"/>
      <c r="W1322" s="108" t="s">
        <v>13716</v>
      </c>
      <c r="X1322" s="117">
        <v>2</v>
      </c>
      <c r="Y1322" s="111" t="s">
        <v>40</v>
      </c>
      <c r="Z1322" s="108" t="s">
        <v>13717</v>
      </c>
      <c r="AA1322" s="110">
        <v>3</v>
      </c>
      <c r="AB1322" s="113"/>
      <c r="AC1322" s="105" t="s">
        <v>3126</v>
      </c>
      <c r="AD1322" s="115" t="s">
        <v>107</v>
      </c>
    </row>
    <row r="1323" spans="1:30" x14ac:dyDescent="0.2">
      <c r="A1323" s="104" t="s">
        <v>13718</v>
      </c>
      <c r="B1323" s="105" t="s">
        <v>805</v>
      </c>
      <c r="C1323" s="105" t="s">
        <v>1449</v>
      </c>
      <c r="D1323" s="106"/>
      <c r="E1323" s="107"/>
      <c r="F1323" s="108" t="s">
        <v>47</v>
      </c>
      <c r="G1323" s="113"/>
      <c r="H1323" s="108" t="s">
        <v>47</v>
      </c>
      <c r="I1323" s="114"/>
      <c r="J1323" s="113"/>
      <c r="K1323" s="108" t="s">
        <v>47</v>
      </c>
      <c r="L1323" s="114"/>
      <c r="M1323" s="113"/>
      <c r="N1323" s="108" t="s">
        <v>47</v>
      </c>
      <c r="O1323" s="114"/>
      <c r="P1323" s="113"/>
      <c r="Q1323" s="108" t="s">
        <v>47</v>
      </c>
      <c r="R1323" s="114"/>
      <c r="S1323" s="113"/>
      <c r="T1323" s="108" t="s">
        <v>47</v>
      </c>
      <c r="U1323" s="114"/>
      <c r="V1323" s="113"/>
      <c r="W1323" s="108" t="s">
        <v>47</v>
      </c>
      <c r="X1323" s="114"/>
      <c r="Y1323" s="113"/>
      <c r="Z1323" s="108" t="s">
        <v>47</v>
      </c>
      <c r="AA1323" s="114"/>
      <c r="AB1323" s="113"/>
      <c r="AC1323" s="105" t="s">
        <v>3127</v>
      </c>
      <c r="AD1323" s="115" t="s">
        <v>107</v>
      </c>
    </row>
    <row r="1324" spans="1:30" x14ac:dyDescent="0.2">
      <c r="A1324" s="104" t="s">
        <v>13719</v>
      </c>
      <c r="B1324" s="105" t="s">
        <v>805</v>
      </c>
      <c r="C1324" s="105" t="s">
        <v>1449</v>
      </c>
      <c r="D1324" s="106" t="s">
        <v>94</v>
      </c>
      <c r="E1324" s="107"/>
      <c r="F1324" s="108" t="s">
        <v>13720</v>
      </c>
      <c r="G1324" s="109">
        <v>4</v>
      </c>
      <c r="H1324" s="108" t="s">
        <v>3128</v>
      </c>
      <c r="I1324" s="112">
        <v>4</v>
      </c>
      <c r="J1324" s="111" t="s">
        <v>55</v>
      </c>
      <c r="K1324" s="108" t="s">
        <v>13721</v>
      </c>
      <c r="L1324" s="110">
        <v>3</v>
      </c>
      <c r="M1324" s="111" t="s">
        <v>46</v>
      </c>
      <c r="N1324" s="108" t="s">
        <v>13720</v>
      </c>
      <c r="O1324" s="112">
        <v>4</v>
      </c>
      <c r="P1324" s="111" t="s">
        <v>46</v>
      </c>
      <c r="Q1324" s="108" t="s">
        <v>13722</v>
      </c>
      <c r="R1324" s="112">
        <v>4</v>
      </c>
      <c r="S1324" s="111" t="s">
        <v>46</v>
      </c>
      <c r="T1324" s="108" t="s">
        <v>13723</v>
      </c>
      <c r="U1324" s="116">
        <v>1</v>
      </c>
      <c r="V1324" s="113"/>
      <c r="W1324" s="108" t="s">
        <v>47</v>
      </c>
      <c r="X1324" s="114"/>
      <c r="Y1324" s="113"/>
      <c r="Z1324" s="108" t="s">
        <v>47</v>
      </c>
      <c r="AA1324" s="114"/>
      <c r="AB1324" s="113"/>
      <c r="AC1324" s="105" t="s">
        <v>3129</v>
      </c>
      <c r="AD1324" s="115" t="s">
        <v>107</v>
      </c>
    </row>
    <row r="1325" spans="1:30" x14ac:dyDescent="0.2">
      <c r="A1325" s="104" t="s">
        <v>13724</v>
      </c>
      <c r="B1325" s="105" t="s">
        <v>805</v>
      </c>
      <c r="C1325" s="105" t="s">
        <v>3130</v>
      </c>
      <c r="D1325" s="106"/>
      <c r="E1325" s="107"/>
      <c r="F1325" s="108" t="s">
        <v>47</v>
      </c>
      <c r="G1325" s="113"/>
      <c r="H1325" s="108" t="s">
        <v>47</v>
      </c>
      <c r="I1325" s="114"/>
      <c r="J1325" s="113"/>
      <c r="K1325" s="108" t="s">
        <v>47</v>
      </c>
      <c r="L1325" s="114"/>
      <c r="M1325" s="113"/>
      <c r="N1325" s="108" t="s">
        <v>47</v>
      </c>
      <c r="O1325" s="114"/>
      <c r="P1325" s="113"/>
      <c r="Q1325" s="108" t="s">
        <v>47</v>
      </c>
      <c r="R1325" s="114"/>
      <c r="S1325" s="113"/>
      <c r="T1325" s="108" t="s">
        <v>47</v>
      </c>
      <c r="U1325" s="114"/>
      <c r="V1325" s="113"/>
      <c r="W1325" s="108" t="s">
        <v>47</v>
      </c>
      <c r="X1325" s="114"/>
      <c r="Y1325" s="113"/>
      <c r="Z1325" s="108" t="s">
        <v>47</v>
      </c>
      <c r="AA1325" s="114"/>
      <c r="AB1325" s="113"/>
      <c r="AC1325" s="105" t="s">
        <v>3131</v>
      </c>
      <c r="AD1325" s="115" t="s">
        <v>107</v>
      </c>
    </row>
    <row r="1326" spans="1:30" x14ac:dyDescent="0.2">
      <c r="A1326" s="104" t="s">
        <v>13725</v>
      </c>
      <c r="B1326" s="105" t="s">
        <v>805</v>
      </c>
      <c r="C1326" s="105" t="s">
        <v>3130</v>
      </c>
      <c r="D1326" s="106"/>
      <c r="E1326" s="107"/>
      <c r="F1326" s="108" t="s">
        <v>47</v>
      </c>
      <c r="G1326" s="113"/>
      <c r="H1326" s="108" t="s">
        <v>47</v>
      </c>
      <c r="I1326" s="114"/>
      <c r="J1326" s="113"/>
      <c r="K1326" s="108" t="s">
        <v>47</v>
      </c>
      <c r="L1326" s="114"/>
      <c r="M1326" s="113"/>
      <c r="N1326" s="108" t="s">
        <v>47</v>
      </c>
      <c r="O1326" s="114"/>
      <c r="P1326" s="113"/>
      <c r="Q1326" s="108" t="s">
        <v>47</v>
      </c>
      <c r="R1326" s="114"/>
      <c r="S1326" s="113"/>
      <c r="T1326" s="108" t="s">
        <v>47</v>
      </c>
      <c r="U1326" s="114"/>
      <c r="V1326" s="113"/>
      <c r="W1326" s="108" t="s">
        <v>47</v>
      </c>
      <c r="X1326" s="114"/>
      <c r="Y1326" s="113"/>
      <c r="Z1326" s="108" t="s">
        <v>47</v>
      </c>
      <c r="AA1326" s="114"/>
      <c r="AB1326" s="113"/>
      <c r="AC1326" s="105" t="s">
        <v>3132</v>
      </c>
      <c r="AD1326" s="115" t="s">
        <v>107</v>
      </c>
    </row>
    <row r="1327" spans="1:30" x14ac:dyDescent="0.2">
      <c r="A1327" s="104" t="s">
        <v>13726</v>
      </c>
      <c r="B1327" s="105" t="s">
        <v>805</v>
      </c>
      <c r="C1327" s="105" t="s">
        <v>104</v>
      </c>
      <c r="D1327" s="106"/>
      <c r="E1327" s="107" t="s">
        <v>182</v>
      </c>
      <c r="F1327" s="108" t="s">
        <v>13727</v>
      </c>
      <c r="G1327" s="118">
        <v>3</v>
      </c>
      <c r="H1327" s="108" t="s">
        <v>13728</v>
      </c>
      <c r="I1327" s="110">
        <v>3</v>
      </c>
      <c r="J1327" s="111" t="s">
        <v>46</v>
      </c>
      <c r="K1327" s="108" t="s">
        <v>13729</v>
      </c>
      <c r="L1327" s="117">
        <v>2</v>
      </c>
      <c r="M1327" s="113"/>
      <c r="N1327" s="108" t="s">
        <v>13727</v>
      </c>
      <c r="O1327" s="110">
        <v>3</v>
      </c>
      <c r="P1327" s="113"/>
      <c r="Q1327" s="108" t="s">
        <v>13730</v>
      </c>
      <c r="R1327" s="117">
        <v>2</v>
      </c>
      <c r="S1327" s="113"/>
      <c r="T1327" s="108" t="s">
        <v>47</v>
      </c>
      <c r="U1327" s="114"/>
      <c r="V1327" s="113"/>
      <c r="W1327" s="108" t="s">
        <v>47</v>
      </c>
      <c r="X1327" s="114"/>
      <c r="Y1327" s="113"/>
      <c r="Z1327" s="108" t="s">
        <v>47</v>
      </c>
      <c r="AA1327" s="114"/>
      <c r="AB1327" s="113"/>
      <c r="AC1327" s="105" t="s">
        <v>3133</v>
      </c>
      <c r="AD1327" s="115" t="s">
        <v>107</v>
      </c>
    </row>
    <row r="1328" spans="1:30" x14ac:dyDescent="0.2">
      <c r="A1328" s="104" t="s">
        <v>13731</v>
      </c>
      <c r="B1328" s="105" t="s">
        <v>805</v>
      </c>
      <c r="C1328" s="105" t="s">
        <v>104</v>
      </c>
      <c r="D1328" s="106"/>
      <c r="E1328" s="107" t="s">
        <v>182</v>
      </c>
      <c r="F1328" s="108" t="s">
        <v>13732</v>
      </c>
      <c r="G1328" s="118">
        <v>3</v>
      </c>
      <c r="H1328" s="108" t="s">
        <v>13733</v>
      </c>
      <c r="I1328" s="110">
        <v>3</v>
      </c>
      <c r="J1328" s="111" t="s">
        <v>46</v>
      </c>
      <c r="K1328" s="108" t="s">
        <v>13734</v>
      </c>
      <c r="L1328" s="117">
        <v>2</v>
      </c>
      <c r="M1328" s="113"/>
      <c r="N1328" s="108" t="s">
        <v>13732</v>
      </c>
      <c r="O1328" s="110">
        <v>3</v>
      </c>
      <c r="P1328" s="113"/>
      <c r="Q1328" s="108" t="s">
        <v>13735</v>
      </c>
      <c r="R1328" s="117">
        <v>2</v>
      </c>
      <c r="S1328" s="113"/>
      <c r="T1328" s="108" t="s">
        <v>47</v>
      </c>
      <c r="U1328" s="114"/>
      <c r="V1328" s="113"/>
      <c r="W1328" s="108" t="s">
        <v>47</v>
      </c>
      <c r="X1328" s="114"/>
      <c r="Y1328" s="113"/>
      <c r="Z1328" s="108" t="s">
        <v>47</v>
      </c>
      <c r="AA1328" s="114"/>
      <c r="AB1328" s="113"/>
      <c r="AC1328" s="105" t="s">
        <v>3134</v>
      </c>
      <c r="AD1328" s="115" t="s">
        <v>107</v>
      </c>
    </row>
    <row r="1329" spans="1:30" x14ac:dyDescent="0.2">
      <c r="A1329" s="104" t="s">
        <v>13736</v>
      </c>
      <c r="B1329" s="105" t="s">
        <v>805</v>
      </c>
      <c r="C1329" s="105" t="s">
        <v>104</v>
      </c>
      <c r="D1329" s="106"/>
      <c r="E1329" s="107" t="s">
        <v>182</v>
      </c>
      <c r="F1329" s="108" t="s">
        <v>13737</v>
      </c>
      <c r="G1329" s="118">
        <v>3</v>
      </c>
      <c r="H1329" s="108" t="s">
        <v>13738</v>
      </c>
      <c r="I1329" s="110">
        <v>3</v>
      </c>
      <c r="J1329" s="111" t="s">
        <v>46</v>
      </c>
      <c r="K1329" s="108" t="s">
        <v>13739</v>
      </c>
      <c r="L1329" s="117">
        <v>2</v>
      </c>
      <c r="M1329" s="113"/>
      <c r="N1329" s="108" t="s">
        <v>13737</v>
      </c>
      <c r="O1329" s="110">
        <v>3</v>
      </c>
      <c r="P1329" s="113"/>
      <c r="Q1329" s="108" t="s">
        <v>13740</v>
      </c>
      <c r="R1329" s="117">
        <v>2</v>
      </c>
      <c r="S1329" s="113"/>
      <c r="T1329" s="108" t="s">
        <v>47</v>
      </c>
      <c r="U1329" s="114"/>
      <c r="V1329" s="113"/>
      <c r="W1329" s="108" t="s">
        <v>47</v>
      </c>
      <c r="X1329" s="114"/>
      <c r="Y1329" s="113"/>
      <c r="Z1329" s="108" t="s">
        <v>47</v>
      </c>
      <c r="AA1329" s="114"/>
      <c r="AB1329" s="113"/>
      <c r="AC1329" s="105" t="s">
        <v>3135</v>
      </c>
      <c r="AD1329" s="115" t="s">
        <v>107</v>
      </c>
    </row>
    <row r="1330" spans="1:30" x14ac:dyDescent="0.2">
      <c r="A1330" s="104" t="s">
        <v>13741</v>
      </c>
      <c r="B1330" s="105" t="s">
        <v>805</v>
      </c>
      <c r="C1330" s="105" t="s">
        <v>104</v>
      </c>
      <c r="D1330" s="106"/>
      <c r="E1330" s="107" t="s">
        <v>182</v>
      </c>
      <c r="F1330" s="108" t="s">
        <v>13742</v>
      </c>
      <c r="G1330" s="118">
        <v>3</v>
      </c>
      <c r="H1330" s="108" t="s">
        <v>13743</v>
      </c>
      <c r="I1330" s="110">
        <v>3</v>
      </c>
      <c r="J1330" s="111" t="s">
        <v>46</v>
      </c>
      <c r="K1330" s="108" t="s">
        <v>13744</v>
      </c>
      <c r="L1330" s="117">
        <v>2</v>
      </c>
      <c r="M1330" s="113"/>
      <c r="N1330" s="108" t="s">
        <v>13742</v>
      </c>
      <c r="O1330" s="110">
        <v>3</v>
      </c>
      <c r="P1330" s="113"/>
      <c r="Q1330" s="108" t="s">
        <v>13745</v>
      </c>
      <c r="R1330" s="117">
        <v>2</v>
      </c>
      <c r="S1330" s="113"/>
      <c r="T1330" s="108" t="s">
        <v>47</v>
      </c>
      <c r="U1330" s="114"/>
      <c r="V1330" s="113"/>
      <c r="W1330" s="108" t="s">
        <v>47</v>
      </c>
      <c r="X1330" s="114"/>
      <c r="Y1330" s="113"/>
      <c r="Z1330" s="108" t="s">
        <v>47</v>
      </c>
      <c r="AA1330" s="114"/>
      <c r="AB1330" s="113"/>
      <c r="AC1330" s="105" t="s">
        <v>3136</v>
      </c>
      <c r="AD1330" s="115" t="s">
        <v>107</v>
      </c>
    </row>
    <row r="1331" spans="1:30" x14ac:dyDescent="0.2">
      <c r="A1331" s="104" t="s">
        <v>13746</v>
      </c>
      <c r="B1331" s="105" t="s">
        <v>805</v>
      </c>
      <c r="C1331" s="105" t="s">
        <v>104</v>
      </c>
      <c r="D1331" s="106" t="s">
        <v>125</v>
      </c>
      <c r="E1331" s="107" t="s">
        <v>182</v>
      </c>
      <c r="F1331" s="108" t="s">
        <v>13747</v>
      </c>
      <c r="G1331" s="118">
        <v>3</v>
      </c>
      <c r="H1331" s="108" t="s">
        <v>13748</v>
      </c>
      <c r="I1331" s="110">
        <v>3</v>
      </c>
      <c r="J1331" s="111" t="s">
        <v>46</v>
      </c>
      <c r="K1331" s="108" t="s">
        <v>13749</v>
      </c>
      <c r="L1331" s="117">
        <v>2</v>
      </c>
      <c r="M1331" s="113"/>
      <c r="N1331" s="108" t="s">
        <v>13747</v>
      </c>
      <c r="O1331" s="110">
        <v>3</v>
      </c>
      <c r="P1331" s="113"/>
      <c r="Q1331" s="108" t="s">
        <v>13750</v>
      </c>
      <c r="R1331" s="117">
        <v>2</v>
      </c>
      <c r="S1331" s="113"/>
      <c r="T1331" s="108" t="s">
        <v>13751</v>
      </c>
      <c r="U1331" s="110">
        <v>3</v>
      </c>
      <c r="V1331" s="113"/>
      <c r="W1331" s="108" t="s">
        <v>47</v>
      </c>
      <c r="X1331" s="114"/>
      <c r="Y1331" s="113"/>
      <c r="Z1331" s="108" t="s">
        <v>47</v>
      </c>
      <c r="AA1331" s="114"/>
      <c r="AB1331" s="113"/>
      <c r="AC1331" s="105" t="s">
        <v>3137</v>
      </c>
      <c r="AD1331" s="115" t="s">
        <v>107</v>
      </c>
    </row>
    <row r="1332" spans="1:30" x14ac:dyDescent="0.2">
      <c r="A1332" s="104" t="s">
        <v>13752</v>
      </c>
      <c r="B1332" s="105" t="s">
        <v>805</v>
      </c>
      <c r="C1332" s="105" t="s">
        <v>104</v>
      </c>
      <c r="D1332" s="106" t="s">
        <v>125</v>
      </c>
      <c r="E1332" s="107" t="s">
        <v>182</v>
      </c>
      <c r="F1332" s="108" t="s">
        <v>13753</v>
      </c>
      <c r="G1332" s="118">
        <v>3</v>
      </c>
      <c r="H1332" s="108" t="s">
        <v>13754</v>
      </c>
      <c r="I1332" s="110">
        <v>3</v>
      </c>
      <c r="J1332" s="111" t="s">
        <v>46</v>
      </c>
      <c r="K1332" s="108" t="s">
        <v>13755</v>
      </c>
      <c r="L1332" s="117">
        <v>2</v>
      </c>
      <c r="M1332" s="113"/>
      <c r="N1332" s="108" t="s">
        <v>13753</v>
      </c>
      <c r="O1332" s="110">
        <v>3</v>
      </c>
      <c r="P1332" s="113"/>
      <c r="Q1332" s="108" t="s">
        <v>13756</v>
      </c>
      <c r="R1332" s="117">
        <v>2</v>
      </c>
      <c r="S1332" s="113"/>
      <c r="T1332" s="108" t="s">
        <v>13757</v>
      </c>
      <c r="U1332" s="110">
        <v>3</v>
      </c>
      <c r="V1332" s="113"/>
      <c r="W1332" s="108" t="s">
        <v>47</v>
      </c>
      <c r="X1332" s="114"/>
      <c r="Y1332" s="113"/>
      <c r="Z1332" s="108" t="s">
        <v>47</v>
      </c>
      <c r="AA1332" s="114"/>
      <c r="AB1332" s="113"/>
      <c r="AC1332" s="105" t="s">
        <v>3138</v>
      </c>
      <c r="AD1332" s="115" t="s">
        <v>107</v>
      </c>
    </row>
    <row r="1333" spans="1:30" x14ac:dyDescent="0.2">
      <c r="A1333" s="104" t="s">
        <v>13758</v>
      </c>
      <c r="B1333" s="105" t="s">
        <v>805</v>
      </c>
      <c r="C1333" s="105" t="s">
        <v>104</v>
      </c>
      <c r="D1333" s="106" t="s">
        <v>125</v>
      </c>
      <c r="E1333" s="107" t="s">
        <v>182</v>
      </c>
      <c r="F1333" s="108" t="s">
        <v>13759</v>
      </c>
      <c r="G1333" s="118">
        <v>3</v>
      </c>
      <c r="H1333" s="108" t="s">
        <v>13760</v>
      </c>
      <c r="I1333" s="110">
        <v>3</v>
      </c>
      <c r="J1333" s="111" t="s">
        <v>46</v>
      </c>
      <c r="K1333" s="108" t="s">
        <v>13761</v>
      </c>
      <c r="L1333" s="117">
        <v>2</v>
      </c>
      <c r="M1333" s="113"/>
      <c r="N1333" s="108" t="s">
        <v>13759</v>
      </c>
      <c r="O1333" s="110">
        <v>3</v>
      </c>
      <c r="P1333" s="113"/>
      <c r="Q1333" s="108" t="s">
        <v>13762</v>
      </c>
      <c r="R1333" s="117">
        <v>2</v>
      </c>
      <c r="S1333" s="113"/>
      <c r="T1333" s="108" t="s">
        <v>13763</v>
      </c>
      <c r="U1333" s="110">
        <v>3</v>
      </c>
      <c r="V1333" s="113"/>
      <c r="W1333" s="108" t="s">
        <v>47</v>
      </c>
      <c r="X1333" s="114"/>
      <c r="Y1333" s="113"/>
      <c r="Z1333" s="108" t="s">
        <v>47</v>
      </c>
      <c r="AA1333" s="114"/>
      <c r="AB1333" s="113"/>
      <c r="AC1333" s="105" t="s">
        <v>3139</v>
      </c>
      <c r="AD1333" s="115" t="s">
        <v>107</v>
      </c>
    </row>
    <row r="1334" spans="1:30" x14ac:dyDescent="0.2">
      <c r="A1334" s="104" t="s">
        <v>13764</v>
      </c>
      <c r="B1334" s="105" t="s">
        <v>805</v>
      </c>
      <c r="C1334" s="105" t="s">
        <v>104</v>
      </c>
      <c r="D1334" s="106" t="s">
        <v>125</v>
      </c>
      <c r="E1334" s="107" t="s">
        <v>182</v>
      </c>
      <c r="F1334" s="108" t="s">
        <v>13765</v>
      </c>
      <c r="G1334" s="118">
        <v>3</v>
      </c>
      <c r="H1334" s="108" t="s">
        <v>13766</v>
      </c>
      <c r="I1334" s="110">
        <v>3</v>
      </c>
      <c r="J1334" s="111" t="s">
        <v>46</v>
      </c>
      <c r="K1334" s="108" t="s">
        <v>13767</v>
      </c>
      <c r="L1334" s="117">
        <v>2</v>
      </c>
      <c r="M1334" s="113"/>
      <c r="N1334" s="108" t="s">
        <v>13765</v>
      </c>
      <c r="O1334" s="110">
        <v>3</v>
      </c>
      <c r="P1334" s="113"/>
      <c r="Q1334" s="108" t="s">
        <v>13768</v>
      </c>
      <c r="R1334" s="117">
        <v>2</v>
      </c>
      <c r="S1334" s="113"/>
      <c r="T1334" s="108" t="s">
        <v>13769</v>
      </c>
      <c r="U1334" s="110">
        <v>3</v>
      </c>
      <c r="V1334" s="113"/>
      <c r="W1334" s="108" t="s">
        <v>47</v>
      </c>
      <c r="X1334" s="114"/>
      <c r="Y1334" s="113"/>
      <c r="Z1334" s="108" t="s">
        <v>47</v>
      </c>
      <c r="AA1334" s="114"/>
      <c r="AB1334" s="113"/>
      <c r="AC1334" s="105" t="s">
        <v>3140</v>
      </c>
      <c r="AD1334" s="115" t="s">
        <v>107</v>
      </c>
    </row>
    <row r="1335" spans="1:30" x14ac:dyDescent="0.2">
      <c r="A1335" s="104" t="s">
        <v>13770</v>
      </c>
      <c r="B1335" s="105" t="s">
        <v>805</v>
      </c>
      <c r="C1335" s="105" t="s">
        <v>104</v>
      </c>
      <c r="D1335" s="106" t="s">
        <v>125</v>
      </c>
      <c r="E1335" s="107" t="s">
        <v>182</v>
      </c>
      <c r="F1335" s="108" t="s">
        <v>13771</v>
      </c>
      <c r="G1335" s="118">
        <v>3</v>
      </c>
      <c r="H1335" s="108" t="s">
        <v>13772</v>
      </c>
      <c r="I1335" s="110">
        <v>3</v>
      </c>
      <c r="J1335" s="111" t="s">
        <v>46</v>
      </c>
      <c r="K1335" s="108" t="s">
        <v>13773</v>
      </c>
      <c r="L1335" s="117">
        <v>2</v>
      </c>
      <c r="M1335" s="113"/>
      <c r="N1335" s="108" t="s">
        <v>13771</v>
      </c>
      <c r="O1335" s="110">
        <v>3</v>
      </c>
      <c r="P1335" s="113"/>
      <c r="Q1335" s="108" t="s">
        <v>13774</v>
      </c>
      <c r="R1335" s="117">
        <v>2</v>
      </c>
      <c r="S1335" s="113"/>
      <c r="T1335" s="108" t="s">
        <v>13775</v>
      </c>
      <c r="U1335" s="110">
        <v>3</v>
      </c>
      <c r="V1335" s="113"/>
      <c r="W1335" s="108" t="s">
        <v>47</v>
      </c>
      <c r="X1335" s="114"/>
      <c r="Y1335" s="113"/>
      <c r="Z1335" s="108" t="s">
        <v>47</v>
      </c>
      <c r="AA1335" s="114"/>
      <c r="AB1335" s="113"/>
      <c r="AC1335" s="105" t="s">
        <v>3141</v>
      </c>
      <c r="AD1335" s="115" t="s">
        <v>107</v>
      </c>
    </row>
    <row r="1336" spans="1:30" x14ac:dyDescent="0.2">
      <c r="A1336" s="104" t="s">
        <v>13776</v>
      </c>
      <c r="B1336" s="105" t="s">
        <v>805</v>
      </c>
      <c r="C1336" s="105" t="s">
        <v>104</v>
      </c>
      <c r="D1336" s="106" t="s">
        <v>125</v>
      </c>
      <c r="E1336" s="107" t="s">
        <v>182</v>
      </c>
      <c r="F1336" s="108" t="s">
        <v>13777</v>
      </c>
      <c r="G1336" s="118">
        <v>3</v>
      </c>
      <c r="H1336" s="108" t="s">
        <v>13778</v>
      </c>
      <c r="I1336" s="110">
        <v>3</v>
      </c>
      <c r="J1336" s="111" t="s">
        <v>46</v>
      </c>
      <c r="K1336" s="108" t="s">
        <v>13779</v>
      </c>
      <c r="L1336" s="117">
        <v>2</v>
      </c>
      <c r="M1336" s="113"/>
      <c r="N1336" s="108" t="s">
        <v>13777</v>
      </c>
      <c r="O1336" s="110">
        <v>3</v>
      </c>
      <c r="P1336" s="113"/>
      <c r="Q1336" s="108" t="s">
        <v>13780</v>
      </c>
      <c r="R1336" s="117">
        <v>2</v>
      </c>
      <c r="S1336" s="113"/>
      <c r="T1336" s="108" t="s">
        <v>13781</v>
      </c>
      <c r="U1336" s="110">
        <v>3</v>
      </c>
      <c r="V1336" s="113"/>
      <c r="W1336" s="108" t="s">
        <v>47</v>
      </c>
      <c r="X1336" s="114"/>
      <c r="Y1336" s="113"/>
      <c r="Z1336" s="108" t="s">
        <v>47</v>
      </c>
      <c r="AA1336" s="114"/>
      <c r="AB1336" s="113"/>
      <c r="AC1336" s="105" t="s">
        <v>3142</v>
      </c>
      <c r="AD1336" s="115" t="s">
        <v>107</v>
      </c>
    </row>
    <row r="1337" spans="1:30" x14ac:dyDescent="0.2">
      <c r="A1337" s="104" t="s">
        <v>13782</v>
      </c>
      <c r="B1337" s="105" t="s">
        <v>805</v>
      </c>
      <c r="C1337" s="105" t="s">
        <v>104</v>
      </c>
      <c r="D1337" s="106" t="s">
        <v>125</v>
      </c>
      <c r="E1337" s="107" t="s">
        <v>182</v>
      </c>
      <c r="F1337" s="108" t="s">
        <v>13783</v>
      </c>
      <c r="G1337" s="118">
        <v>3</v>
      </c>
      <c r="H1337" s="108" t="s">
        <v>13784</v>
      </c>
      <c r="I1337" s="110">
        <v>3</v>
      </c>
      <c r="J1337" s="111" t="s">
        <v>46</v>
      </c>
      <c r="K1337" s="108" t="s">
        <v>13785</v>
      </c>
      <c r="L1337" s="117">
        <v>2</v>
      </c>
      <c r="M1337" s="113"/>
      <c r="N1337" s="108" t="s">
        <v>13783</v>
      </c>
      <c r="O1337" s="110">
        <v>3</v>
      </c>
      <c r="P1337" s="113"/>
      <c r="Q1337" s="108" t="s">
        <v>13786</v>
      </c>
      <c r="R1337" s="117">
        <v>2</v>
      </c>
      <c r="S1337" s="113"/>
      <c r="T1337" s="108" t="s">
        <v>13787</v>
      </c>
      <c r="U1337" s="110">
        <v>3</v>
      </c>
      <c r="V1337" s="111" t="s">
        <v>46</v>
      </c>
      <c r="W1337" s="108" t="s">
        <v>47</v>
      </c>
      <c r="X1337" s="114"/>
      <c r="Y1337" s="113"/>
      <c r="Z1337" s="108" t="s">
        <v>47</v>
      </c>
      <c r="AA1337" s="114"/>
      <c r="AB1337" s="113"/>
      <c r="AC1337" s="105" t="s">
        <v>3143</v>
      </c>
      <c r="AD1337" s="115" t="s">
        <v>107</v>
      </c>
    </row>
    <row r="1338" spans="1:30" x14ac:dyDescent="0.2">
      <c r="A1338" s="104" t="s">
        <v>13788</v>
      </c>
      <c r="B1338" s="105" t="s">
        <v>805</v>
      </c>
      <c r="C1338" s="105" t="s">
        <v>104</v>
      </c>
      <c r="D1338" s="106" t="s">
        <v>125</v>
      </c>
      <c r="E1338" s="107" t="s">
        <v>182</v>
      </c>
      <c r="F1338" s="108" t="s">
        <v>13789</v>
      </c>
      <c r="G1338" s="118">
        <v>3</v>
      </c>
      <c r="H1338" s="108" t="s">
        <v>13790</v>
      </c>
      <c r="I1338" s="110">
        <v>3</v>
      </c>
      <c r="J1338" s="111" t="s">
        <v>46</v>
      </c>
      <c r="K1338" s="108" t="s">
        <v>13791</v>
      </c>
      <c r="L1338" s="117">
        <v>2</v>
      </c>
      <c r="M1338" s="113"/>
      <c r="N1338" s="108" t="s">
        <v>13789</v>
      </c>
      <c r="O1338" s="110">
        <v>3</v>
      </c>
      <c r="P1338" s="113"/>
      <c r="Q1338" s="108" t="s">
        <v>13792</v>
      </c>
      <c r="R1338" s="117">
        <v>2</v>
      </c>
      <c r="S1338" s="113"/>
      <c r="T1338" s="108" t="s">
        <v>13793</v>
      </c>
      <c r="U1338" s="110">
        <v>3</v>
      </c>
      <c r="V1338" s="111" t="s">
        <v>46</v>
      </c>
      <c r="W1338" s="108" t="s">
        <v>47</v>
      </c>
      <c r="X1338" s="114"/>
      <c r="Y1338" s="113"/>
      <c r="Z1338" s="108" t="s">
        <v>47</v>
      </c>
      <c r="AA1338" s="114"/>
      <c r="AB1338" s="113"/>
      <c r="AC1338" s="105" t="s">
        <v>3144</v>
      </c>
      <c r="AD1338" s="115" t="s">
        <v>107</v>
      </c>
    </row>
    <row r="1339" spans="1:30" x14ac:dyDescent="0.2">
      <c r="A1339" s="104" t="s">
        <v>13794</v>
      </c>
      <c r="B1339" s="105" t="s">
        <v>805</v>
      </c>
      <c r="C1339" s="105" t="s">
        <v>104</v>
      </c>
      <c r="D1339" s="106" t="s">
        <v>125</v>
      </c>
      <c r="E1339" s="107" t="s">
        <v>182</v>
      </c>
      <c r="F1339" s="108" t="s">
        <v>13795</v>
      </c>
      <c r="G1339" s="118">
        <v>3</v>
      </c>
      <c r="H1339" s="108" t="s">
        <v>13796</v>
      </c>
      <c r="I1339" s="110">
        <v>3</v>
      </c>
      <c r="J1339" s="111" t="s">
        <v>46</v>
      </c>
      <c r="K1339" s="108" t="s">
        <v>13797</v>
      </c>
      <c r="L1339" s="117">
        <v>2</v>
      </c>
      <c r="M1339" s="113"/>
      <c r="N1339" s="108" t="s">
        <v>13795</v>
      </c>
      <c r="O1339" s="110">
        <v>3</v>
      </c>
      <c r="P1339" s="113"/>
      <c r="Q1339" s="108" t="s">
        <v>13798</v>
      </c>
      <c r="R1339" s="117">
        <v>2</v>
      </c>
      <c r="S1339" s="113"/>
      <c r="T1339" s="108" t="s">
        <v>13799</v>
      </c>
      <c r="U1339" s="110">
        <v>3</v>
      </c>
      <c r="V1339" s="113"/>
      <c r="W1339" s="108" t="s">
        <v>47</v>
      </c>
      <c r="X1339" s="114"/>
      <c r="Y1339" s="113"/>
      <c r="Z1339" s="108" t="s">
        <v>47</v>
      </c>
      <c r="AA1339" s="114"/>
      <c r="AB1339" s="113"/>
      <c r="AC1339" s="105" t="s">
        <v>3145</v>
      </c>
      <c r="AD1339" s="115" t="s">
        <v>107</v>
      </c>
    </row>
    <row r="1340" spans="1:30" x14ac:dyDescent="0.2">
      <c r="A1340" s="104" t="s">
        <v>13800</v>
      </c>
      <c r="B1340" s="105" t="s">
        <v>805</v>
      </c>
      <c r="C1340" s="105" t="s">
        <v>104</v>
      </c>
      <c r="D1340" s="106" t="s">
        <v>125</v>
      </c>
      <c r="E1340" s="107" t="s">
        <v>182</v>
      </c>
      <c r="F1340" s="108" t="s">
        <v>13801</v>
      </c>
      <c r="G1340" s="118">
        <v>3</v>
      </c>
      <c r="H1340" s="108" t="s">
        <v>13802</v>
      </c>
      <c r="I1340" s="110">
        <v>3</v>
      </c>
      <c r="J1340" s="111" t="s">
        <v>46</v>
      </c>
      <c r="K1340" s="108" t="s">
        <v>13803</v>
      </c>
      <c r="L1340" s="117">
        <v>2</v>
      </c>
      <c r="M1340" s="113"/>
      <c r="N1340" s="108" t="s">
        <v>13801</v>
      </c>
      <c r="O1340" s="110">
        <v>3</v>
      </c>
      <c r="P1340" s="113"/>
      <c r="Q1340" s="108" t="s">
        <v>13804</v>
      </c>
      <c r="R1340" s="117">
        <v>2</v>
      </c>
      <c r="S1340" s="113"/>
      <c r="T1340" s="108" t="s">
        <v>13805</v>
      </c>
      <c r="U1340" s="110">
        <v>3</v>
      </c>
      <c r="V1340" s="111" t="s">
        <v>46</v>
      </c>
      <c r="W1340" s="108" t="s">
        <v>47</v>
      </c>
      <c r="X1340" s="114"/>
      <c r="Y1340" s="113"/>
      <c r="Z1340" s="108" t="s">
        <v>47</v>
      </c>
      <c r="AA1340" s="114"/>
      <c r="AB1340" s="113"/>
      <c r="AC1340" s="105" t="s">
        <v>3146</v>
      </c>
      <c r="AD1340" s="115" t="s">
        <v>107</v>
      </c>
    </row>
    <row r="1341" spans="1:30" x14ac:dyDescent="0.2">
      <c r="A1341" s="104" t="s">
        <v>13806</v>
      </c>
      <c r="B1341" s="105" t="s">
        <v>805</v>
      </c>
      <c r="C1341" s="105" t="s">
        <v>104</v>
      </c>
      <c r="D1341" s="106" t="s">
        <v>125</v>
      </c>
      <c r="E1341" s="107" t="s">
        <v>182</v>
      </c>
      <c r="F1341" s="108" t="s">
        <v>13807</v>
      </c>
      <c r="G1341" s="118">
        <v>3</v>
      </c>
      <c r="H1341" s="108" t="s">
        <v>13808</v>
      </c>
      <c r="I1341" s="110">
        <v>3</v>
      </c>
      <c r="J1341" s="111" t="s">
        <v>46</v>
      </c>
      <c r="K1341" s="108" t="s">
        <v>13809</v>
      </c>
      <c r="L1341" s="117">
        <v>2</v>
      </c>
      <c r="M1341" s="113"/>
      <c r="N1341" s="108" t="s">
        <v>13807</v>
      </c>
      <c r="O1341" s="110">
        <v>3</v>
      </c>
      <c r="P1341" s="113"/>
      <c r="Q1341" s="108" t="s">
        <v>13810</v>
      </c>
      <c r="R1341" s="117">
        <v>2</v>
      </c>
      <c r="S1341" s="113"/>
      <c r="T1341" s="108" t="s">
        <v>13811</v>
      </c>
      <c r="U1341" s="110">
        <v>3</v>
      </c>
      <c r="V1341" s="113"/>
      <c r="W1341" s="108" t="s">
        <v>47</v>
      </c>
      <c r="X1341" s="114"/>
      <c r="Y1341" s="113"/>
      <c r="Z1341" s="108" t="s">
        <v>47</v>
      </c>
      <c r="AA1341" s="114"/>
      <c r="AB1341" s="113"/>
      <c r="AC1341" s="105" t="s">
        <v>3147</v>
      </c>
      <c r="AD1341" s="115" t="s">
        <v>107</v>
      </c>
    </row>
    <row r="1342" spans="1:30" x14ac:dyDescent="0.2">
      <c r="A1342" s="104" t="s">
        <v>13812</v>
      </c>
      <c r="B1342" s="105" t="s">
        <v>805</v>
      </c>
      <c r="C1342" s="105" t="s">
        <v>104</v>
      </c>
      <c r="D1342" s="106" t="s">
        <v>125</v>
      </c>
      <c r="E1342" s="107" t="s">
        <v>182</v>
      </c>
      <c r="F1342" s="108" t="s">
        <v>13813</v>
      </c>
      <c r="G1342" s="118">
        <v>3</v>
      </c>
      <c r="H1342" s="108" t="s">
        <v>13814</v>
      </c>
      <c r="I1342" s="110">
        <v>3</v>
      </c>
      <c r="J1342" s="111" t="s">
        <v>46</v>
      </c>
      <c r="K1342" s="108" t="s">
        <v>13815</v>
      </c>
      <c r="L1342" s="117">
        <v>2</v>
      </c>
      <c r="M1342" s="113"/>
      <c r="N1342" s="108" t="s">
        <v>13813</v>
      </c>
      <c r="O1342" s="110">
        <v>3</v>
      </c>
      <c r="P1342" s="113"/>
      <c r="Q1342" s="108" t="s">
        <v>13816</v>
      </c>
      <c r="R1342" s="117">
        <v>2</v>
      </c>
      <c r="S1342" s="113"/>
      <c r="T1342" s="108" t="s">
        <v>13817</v>
      </c>
      <c r="U1342" s="110">
        <v>3</v>
      </c>
      <c r="V1342" s="113"/>
      <c r="W1342" s="108" t="s">
        <v>47</v>
      </c>
      <c r="X1342" s="114"/>
      <c r="Y1342" s="113"/>
      <c r="Z1342" s="108" t="s">
        <v>47</v>
      </c>
      <c r="AA1342" s="114"/>
      <c r="AB1342" s="113"/>
      <c r="AC1342" s="105" t="s">
        <v>3148</v>
      </c>
      <c r="AD1342" s="115" t="s">
        <v>107</v>
      </c>
    </row>
    <row r="1343" spans="1:30" x14ac:dyDescent="0.2">
      <c r="A1343" s="104" t="s">
        <v>13818</v>
      </c>
      <c r="B1343" s="105" t="s">
        <v>805</v>
      </c>
      <c r="C1343" s="105" t="s">
        <v>104</v>
      </c>
      <c r="D1343" s="106" t="s">
        <v>125</v>
      </c>
      <c r="E1343" s="107" t="s">
        <v>182</v>
      </c>
      <c r="F1343" s="108" t="s">
        <v>13819</v>
      </c>
      <c r="G1343" s="118">
        <v>3</v>
      </c>
      <c r="H1343" s="108" t="s">
        <v>13820</v>
      </c>
      <c r="I1343" s="110">
        <v>3</v>
      </c>
      <c r="J1343" s="111" t="s">
        <v>46</v>
      </c>
      <c r="K1343" s="108" t="s">
        <v>13821</v>
      </c>
      <c r="L1343" s="110">
        <v>3</v>
      </c>
      <c r="M1343" s="113"/>
      <c r="N1343" s="108" t="s">
        <v>13819</v>
      </c>
      <c r="O1343" s="110">
        <v>3</v>
      </c>
      <c r="P1343" s="113"/>
      <c r="Q1343" s="108" t="s">
        <v>13822</v>
      </c>
      <c r="R1343" s="117">
        <v>2</v>
      </c>
      <c r="S1343" s="113"/>
      <c r="T1343" s="108" t="s">
        <v>13823</v>
      </c>
      <c r="U1343" s="110">
        <v>3</v>
      </c>
      <c r="V1343" s="113"/>
      <c r="W1343" s="108" t="s">
        <v>47</v>
      </c>
      <c r="X1343" s="114"/>
      <c r="Y1343" s="113"/>
      <c r="Z1343" s="108" t="s">
        <v>47</v>
      </c>
      <c r="AA1343" s="114"/>
      <c r="AB1343" s="113"/>
      <c r="AC1343" s="105" t="s">
        <v>3149</v>
      </c>
      <c r="AD1343" s="115" t="s">
        <v>107</v>
      </c>
    </row>
    <row r="1344" spans="1:30" x14ac:dyDescent="0.2">
      <c r="A1344" s="104" t="s">
        <v>13824</v>
      </c>
      <c r="B1344" s="105" t="s">
        <v>805</v>
      </c>
      <c r="C1344" s="105" t="s">
        <v>244</v>
      </c>
      <c r="D1344" s="106" t="s">
        <v>94</v>
      </c>
      <c r="E1344" s="107" t="s">
        <v>146</v>
      </c>
      <c r="F1344" s="108" t="s">
        <v>13825</v>
      </c>
      <c r="G1344" s="120">
        <v>2</v>
      </c>
      <c r="H1344" s="108" t="s">
        <v>13826</v>
      </c>
      <c r="I1344" s="110">
        <v>3</v>
      </c>
      <c r="J1344" s="111" t="s">
        <v>46</v>
      </c>
      <c r="K1344" s="108" t="s">
        <v>13827</v>
      </c>
      <c r="L1344" s="110">
        <v>3</v>
      </c>
      <c r="M1344" s="113"/>
      <c r="N1344" s="108" t="s">
        <v>13825</v>
      </c>
      <c r="O1344" s="117">
        <v>2</v>
      </c>
      <c r="P1344" s="113"/>
      <c r="Q1344" s="108" t="s">
        <v>13828</v>
      </c>
      <c r="R1344" s="117">
        <v>2</v>
      </c>
      <c r="S1344" s="113"/>
      <c r="T1344" s="108" t="s">
        <v>13829</v>
      </c>
      <c r="U1344" s="117">
        <v>2</v>
      </c>
      <c r="V1344" s="113"/>
      <c r="W1344" s="108" t="s">
        <v>13830</v>
      </c>
      <c r="X1344" s="117">
        <v>2</v>
      </c>
      <c r="Y1344" s="113"/>
      <c r="Z1344" s="108" t="s">
        <v>13831</v>
      </c>
      <c r="AA1344" s="117">
        <v>2</v>
      </c>
      <c r="AB1344" s="113"/>
      <c r="AC1344" s="105" t="s">
        <v>3150</v>
      </c>
      <c r="AD1344" s="115" t="s">
        <v>107</v>
      </c>
    </row>
    <row r="1345" spans="1:30" x14ac:dyDescent="0.2">
      <c r="A1345" s="104" t="s">
        <v>13832</v>
      </c>
      <c r="B1345" s="105" t="s">
        <v>805</v>
      </c>
      <c r="C1345" s="105" t="s">
        <v>244</v>
      </c>
      <c r="D1345" s="106" t="s">
        <v>94</v>
      </c>
      <c r="E1345" s="107" t="s">
        <v>146</v>
      </c>
      <c r="F1345" s="108" t="s">
        <v>13833</v>
      </c>
      <c r="G1345" s="120">
        <v>2</v>
      </c>
      <c r="H1345" s="108" t="s">
        <v>13834</v>
      </c>
      <c r="I1345" s="110">
        <v>3</v>
      </c>
      <c r="J1345" s="111" t="s">
        <v>46</v>
      </c>
      <c r="K1345" s="108" t="s">
        <v>13835</v>
      </c>
      <c r="L1345" s="110">
        <v>3</v>
      </c>
      <c r="M1345" s="113"/>
      <c r="N1345" s="108" t="s">
        <v>13833</v>
      </c>
      <c r="O1345" s="117">
        <v>2</v>
      </c>
      <c r="P1345" s="113"/>
      <c r="Q1345" s="108" t="s">
        <v>13836</v>
      </c>
      <c r="R1345" s="117">
        <v>2</v>
      </c>
      <c r="S1345" s="113"/>
      <c r="T1345" s="108" t="s">
        <v>13837</v>
      </c>
      <c r="U1345" s="117">
        <v>2</v>
      </c>
      <c r="V1345" s="113"/>
      <c r="W1345" s="108" t="s">
        <v>13838</v>
      </c>
      <c r="X1345" s="117">
        <v>2</v>
      </c>
      <c r="Y1345" s="113"/>
      <c r="Z1345" s="108" t="s">
        <v>13839</v>
      </c>
      <c r="AA1345" s="117">
        <v>2</v>
      </c>
      <c r="AB1345" s="113"/>
      <c r="AC1345" s="105" t="s">
        <v>3151</v>
      </c>
      <c r="AD1345" s="115" t="s">
        <v>107</v>
      </c>
    </row>
    <row r="1346" spans="1:30" x14ac:dyDescent="0.2">
      <c r="A1346" s="104" t="s">
        <v>13840</v>
      </c>
      <c r="B1346" s="105" t="s">
        <v>805</v>
      </c>
      <c r="C1346" s="105" t="s">
        <v>244</v>
      </c>
      <c r="D1346" s="106" t="s">
        <v>94</v>
      </c>
      <c r="E1346" s="107" t="s">
        <v>146</v>
      </c>
      <c r="F1346" s="108" t="s">
        <v>13841</v>
      </c>
      <c r="G1346" s="120">
        <v>2</v>
      </c>
      <c r="H1346" s="108" t="s">
        <v>13842</v>
      </c>
      <c r="I1346" s="110">
        <v>3</v>
      </c>
      <c r="J1346" s="111" t="s">
        <v>46</v>
      </c>
      <c r="K1346" s="108" t="s">
        <v>13843</v>
      </c>
      <c r="L1346" s="110">
        <v>3</v>
      </c>
      <c r="M1346" s="113"/>
      <c r="N1346" s="108" t="s">
        <v>13841</v>
      </c>
      <c r="O1346" s="117">
        <v>2</v>
      </c>
      <c r="P1346" s="113"/>
      <c r="Q1346" s="108" t="s">
        <v>13844</v>
      </c>
      <c r="R1346" s="117">
        <v>2</v>
      </c>
      <c r="S1346" s="111" t="s">
        <v>46</v>
      </c>
      <c r="T1346" s="108" t="s">
        <v>13845</v>
      </c>
      <c r="U1346" s="117">
        <v>2</v>
      </c>
      <c r="V1346" s="113"/>
      <c r="W1346" s="108" t="s">
        <v>13846</v>
      </c>
      <c r="X1346" s="117">
        <v>2</v>
      </c>
      <c r="Y1346" s="111" t="s">
        <v>46</v>
      </c>
      <c r="Z1346" s="108" t="s">
        <v>13847</v>
      </c>
      <c r="AA1346" s="117">
        <v>2</v>
      </c>
      <c r="AB1346" s="113"/>
      <c r="AC1346" s="105" t="s">
        <v>3152</v>
      </c>
      <c r="AD1346" s="115" t="s">
        <v>107</v>
      </c>
    </row>
    <row r="1347" spans="1:30" x14ac:dyDescent="0.2">
      <c r="A1347" s="104" t="s">
        <v>13848</v>
      </c>
      <c r="B1347" s="105" t="s">
        <v>805</v>
      </c>
      <c r="C1347" s="105" t="s">
        <v>244</v>
      </c>
      <c r="D1347" s="106" t="s">
        <v>94</v>
      </c>
      <c r="E1347" s="107" t="s">
        <v>146</v>
      </c>
      <c r="F1347" s="108" t="s">
        <v>13849</v>
      </c>
      <c r="G1347" s="120">
        <v>2</v>
      </c>
      <c r="H1347" s="108" t="s">
        <v>13850</v>
      </c>
      <c r="I1347" s="110">
        <v>3</v>
      </c>
      <c r="J1347" s="111" t="s">
        <v>46</v>
      </c>
      <c r="K1347" s="108" t="s">
        <v>13851</v>
      </c>
      <c r="L1347" s="110">
        <v>3</v>
      </c>
      <c r="M1347" s="113"/>
      <c r="N1347" s="108" t="s">
        <v>13849</v>
      </c>
      <c r="O1347" s="117">
        <v>2</v>
      </c>
      <c r="P1347" s="113"/>
      <c r="Q1347" s="108" t="s">
        <v>13852</v>
      </c>
      <c r="R1347" s="117">
        <v>2</v>
      </c>
      <c r="S1347" s="111" t="s">
        <v>46</v>
      </c>
      <c r="T1347" s="108" t="s">
        <v>13853</v>
      </c>
      <c r="U1347" s="117">
        <v>2</v>
      </c>
      <c r="V1347" s="113"/>
      <c r="W1347" s="108" t="s">
        <v>13854</v>
      </c>
      <c r="X1347" s="117">
        <v>2</v>
      </c>
      <c r="Y1347" s="111" t="s">
        <v>46</v>
      </c>
      <c r="Z1347" s="108" t="s">
        <v>13855</v>
      </c>
      <c r="AA1347" s="117">
        <v>2</v>
      </c>
      <c r="AB1347" s="113"/>
      <c r="AC1347" s="105" t="s">
        <v>3153</v>
      </c>
      <c r="AD1347" s="115" t="s">
        <v>107</v>
      </c>
    </row>
    <row r="1348" spans="1:30" x14ac:dyDescent="0.2">
      <c r="A1348" s="104" t="s">
        <v>13856</v>
      </c>
      <c r="B1348" s="105" t="s">
        <v>805</v>
      </c>
      <c r="C1348" s="105" t="s">
        <v>2125</v>
      </c>
      <c r="D1348" s="106"/>
      <c r="E1348" s="107" t="s">
        <v>99</v>
      </c>
      <c r="F1348" s="108" t="s">
        <v>13857</v>
      </c>
      <c r="G1348" s="120">
        <v>2</v>
      </c>
      <c r="H1348" s="108" t="s">
        <v>13858</v>
      </c>
      <c r="I1348" s="117">
        <v>2</v>
      </c>
      <c r="J1348" s="111" t="s">
        <v>46</v>
      </c>
      <c r="K1348" s="108" t="s">
        <v>13859</v>
      </c>
      <c r="L1348" s="117">
        <v>2</v>
      </c>
      <c r="M1348" s="111" t="s">
        <v>46</v>
      </c>
      <c r="N1348" s="108" t="s">
        <v>13857</v>
      </c>
      <c r="O1348" s="117">
        <v>2</v>
      </c>
      <c r="P1348" s="111" t="s">
        <v>46</v>
      </c>
      <c r="Q1348" s="108" t="s">
        <v>13860</v>
      </c>
      <c r="R1348" s="116">
        <v>1</v>
      </c>
      <c r="S1348" s="113"/>
      <c r="T1348" s="108" t="s">
        <v>47</v>
      </c>
      <c r="U1348" s="114"/>
      <c r="V1348" s="113"/>
      <c r="W1348" s="108" t="s">
        <v>47</v>
      </c>
      <c r="X1348" s="114"/>
      <c r="Y1348" s="113"/>
      <c r="Z1348" s="108" t="s">
        <v>47</v>
      </c>
      <c r="AA1348" s="114"/>
      <c r="AB1348" s="113"/>
      <c r="AC1348" s="105" t="s">
        <v>3154</v>
      </c>
      <c r="AD1348" s="115" t="s">
        <v>107</v>
      </c>
    </row>
    <row r="1349" spans="1:30" x14ac:dyDescent="0.2">
      <c r="A1349" s="104" t="s">
        <v>13861</v>
      </c>
      <c r="B1349" s="105" t="s">
        <v>805</v>
      </c>
      <c r="C1349" s="105" t="s">
        <v>2125</v>
      </c>
      <c r="D1349" s="106"/>
      <c r="E1349" s="107" t="s">
        <v>99</v>
      </c>
      <c r="F1349" s="108" t="s">
        <v>13862</v>
      </c>
      <c r="G1349" s="118">
        <v>3</v>
      </c>
      <c r="H1349" s="108" t="s">
        <v>13863</v>
      </c>
      <c r="I1349" s="110">
        <v>3</v>
      </c>
      <c r="J1349" s="113"/>
      <c r="K1349" s="108" t="s">
        <v>13864</v>
      </c>
      <c r="L1349" s="112">
        <v>4</v>
      </c>
      <c r="M1349" s="111" t="s">
        <v>46</v>
      </c>
      <c r="N1349" s="108" t="s">
        <v>13862</v>
      </c>
      <c r="O1349" s="110">
        <v>3</v>
      </c>
      <c r="P1349" s="111" t="s">
        <v>46</v>
      </c>
      <c r="Q1349" s="108" t="s">
        <v>13865</v>
      </c>
      <c r="R1349" s="116">
        <v>1</v>
      </c>
      <c r="S1349" s="113"/>
      <c r="T1349" s="108" t="s">
        <v>47</v>
      </c>
      <c r="U1349" s="114"/>
      <c r="V1349" s="113"/>
      <c r="W1349" s="108" t="s">
        <v>47</v>
      </c>
      <c r="X1349" s="114"/>
      <c r="Y1349" s="113"/>
      <c r="Z1349" s="108" t="s">
        <v>47</v>
      </c>
      <c r="AA1349" s="114"/>
      <c r="AB1349" s="113"/>
      <c r="AC1349" s="105" t="s">
        <v>3155</v>
      </c>
      <c r="AD1349" s="115" t="s">
        <v>107</v>
      </c>
    </row>
    <row r="1350" spans="1:30" x14ac:dyDescent="0.2">
      <c r="A1350" s="104" t="s">
        <v>13866</v>
      </c>
      <c r="B1350" s="105" t="s">
        <v>805</v>
      </c>
      <c r="C1350" s="105" t="s">
        <v>244</v>
      </c>
      <c r="D1350" s="106" t="s">
        <v>94</v>
      </c>
      <c r="E1350" s="107" t="s">
        <v>146</v>
      </c>
      <c r="F1350" s="108" t="s">
        <v>13867</v>
      </c>
      <c r="G1350" s="120">
        <v>2</v>
      </c>
      <c r="H1350" s="108" t="s">
        <v>13868</v>
      </c>
      <c r="I1350" s="110">
        <v>3</v>
      </c>
      <c r="J1350" s="111" t="s">
        <v>46</v>
      </c>
      <c r="K1350" s="108" t="s">
        <v>13869</v>
      </c>
      <c r="L1350" s="110">
        <v>3</v>
      </c>
      <c r="M1350" s="113"/>
      <c r="N1350" s="108" t="s">
        <v>13867</v>
      </c>
      <c r="O1350" s="117">
        <v>2</v>
      </c>
      <c r="P1350" s="113"/>
      <c r="Q1350" s="108" t="s">
        <v>13870</v>
      </c>
      <c r="R1350" s="117">
        <v>2</v>
      </c>
      <c r="S1350" s="111" t="s">
        <v>46</v>
      </c>
      <c r="T1350" s="108" t="s">
        <v>13871</v>
      </c>
      <c r="U1350" s="117">
        <v>2</v>
      </c>
      <c r="V1350" s="113"/>
      <c r="W1350" s="108" t="s">
        <v>13872</v>
      </c>
      <c r="X1350" s="117">
        <v>2</v>
      </c>
      <c r="Y1350" s="113"/>
      <c r="Z1350" s="108" t="s">
        <v>47</v>
      </c>
      <c r="AA1350" s="114"/>
      <c r="AB1350" s="113"/>
      <c r="AC1350" s="105" t="s">
        <v>3156</v>
      </c>
      <c r="AD1350" s="115" t="s">
        <v>107</v>
      </c>
    </row>
    <row r="1351" spans="1:30" x14ac:dyDescent="0.2">
      <c r="A1351" s="104" t="s">
        <v>13873</v>
      </c>
      <c r="B1351" s="105" t="s">
        <v>805</v>
      </c>
      <c r="C1351" s="105" t="s">
        <v>244</v>
      </c>
      <c r="D1351" s="106" t="s">
        <v>94</v>
      </c>
      <c r="E1351" s="107" t="s">
        <v>146</v>
      </c>
      <c r="F1351" s="108" t="s">
        <v>13874</v>
      </c>
      <c r="G1351" s="120">
        <v>2</v>
      </c>
      <c r="H1351" s="108" t="s">
        <v>13875</v>
      </c>
      <c r="I1351" s="110">
        <v>3</v>
      </c>
      <c r="J1351" s="111" t="s">
        <v>46</v>
      </c>
      <c r="K1351" s="108" t="s">
        <v>13876</v>
      </c>
      <c r="L1351" s="110">
        <v>3</v>
      </c>
      <c r="M1351" s="113"/>
      <c r="N1351" s="108" t="s">
        <v>13874</v>
      </c>
      <c r="O1351" s="117">
        <v>2</v>
      </c>
      <c r="P1351" s="113"/>
      <c r="Q1351" s="108" t="s">
        <v>13877</v>
      </c>
      <c r="R1351" s="117">
        <v>2</v>
      </c>
      <c r="S1351" s="111" t="s">
        <v>46</v>
      </c>
      <c r="T1351" s="108" t="s">
        <v>13878</v>
      </c>
      <c r="U1351" s="117">
        <v>2</v>
      </c>
      <c r="V1351" s="113"/>
      <c r="W1351" s="108" t="s">
        <v>13879</v>
      </c>
      <c r="X1351" s="117">
        <v>2</v>
      </c>
      <c r="Y1351" s="111" t="s">
        <v>46</v>
      </c>
      <c r="Z1351" s="108" t="s">
        <v>13880</v>
      </c>
      <c r="AA1351" s="117">
        <v>2</v>
      </c>
      <c r="AB1351" s="113"/>
      <c r="AC1351" s="105" t="s">
        <v>3157</v>
      </c>
      <c r="AD1351" s="115" t="s">
        <v>107</v>
      </c>
    </row>
    <row r="1352" spans="1:30" x14ac:dyDescent="0.2">
      <c r="A1352" s="104" t="s">
        <v>13881</v>
      </c>
      <c r="B1352" s="105" t="s">
        <v>805</v>
      </c>
      <c r="C1352" s="105" t="s">
        <v>244</v>
      </c>
      <c r="D1352" s="106" t="s">
        <v>94</v>
      </c>
      <c r="E1352" s="107" t="s">
        <v>146</v>
      </c>
      <c r="F1352" s="108" t="s">
        <v>13882</v>
      </c>
      <c r="G1352" s="120">
        <v>2</v>
      </c>
      <c r="H1352" s="108" t="s">
        <v>13883</v>
      </c>
      <c r="I1352" s="110">
        <v>3</v>
      </c>
      <c r="J1352" s="111" t="s">
        <v>46</v>
      </c>
      <c r="K1352" s="108" t="s">
        <v>13884</v>
      </c>
      <c r="L1352" s="110">
        <v>3</v>
      </c>
      <c r="M1352" s="113"/>
      <c r="N1352" s="108" t="s">
        <v>13882</v>
      </c>
      <c r="O1352" s="117">
        <v>2</v>
      </c>
      <c r="P1352" s="113"/>
      <c r="Q1352" s="108" t="s">
        <v>13885</v>
      </c>
      <c r="R1352" s="117">
        <v>2</v>
      </c>
      <c r="S1352" s="111" t="s">
        <v>46</v>
      </c>
      <c r="T1352" s="108" t="s">
        <v>13886</v>
      </c>
      <c r="U1352" s="117">
        <v>2</v>
      </c>
      <c r="V1352" s="113"/>
      <c r="W1352" s="108" t="s">
        <v>13887</v>
      </c>
      <c r="X1352" s="117">
        <v>2</v>
      </c>
      <c r="Y1352" s="111" t="s">
        <v>46</v>
      </c>
      <c r="Z1352" s="108" t="s">
        <v>13888</v>
      </c>
      <c r="AA1352" s="117">
        <v>2</v>
      </c>
      <c r="AB1352" s="113"/>
      <c r="AC1352" s="105" t="s">
        <v>3158</v>
      </c>
      <c r="AD1352" s="115" t="s">
        <v>107</v>
      </c>
    </row>
    <row r="1353" spans="1:30" x14ac:dyDescent="0.2">
      <c r="A1353" s="104" t="s">
        <v>13889</v>
      </c>
      <c r="B1353" s="105" t="s">
        <v>805</v>
      </c>
      <c r="C1353" s="105" t="s">
        <v>2125</v>
      </c>
      <c r="D1353" s="106"/>
      <c r="E1353" s="107" t="s">
        <v>99</v>
      </c>
      <c r="F1353" s="108" t="s">
        <v>13890</v>
      </c>
      <c r="G1353" s="120">
        <v>2</v>
      </c>
      <c r="H1353" s="108" t="s">
        <v>13891</v>
      </c>
      <c r="I1353" s="110">
        <v>3</v>
      </c>
      <c r="J1353" s="111" t="s">
        <v>40</v>
      </c>
      <c r="K1353" s="108" t="s">
        <v>13892</v>
      </c>
      <c r="L1353" s="117">
        <v>2</v>
      </c>
      <c r="M1353" s="111" t="s">
        <v>46</v>
      </c>
      <c r="N1353" s="108" t="s">
        <v>13890</v>
      </c>
      <c r="O1353" s="117">
        <v>2</v>
      </c>
      <c r="P1353" s="111" t="s">
        <v>46</v>
      </c>
      <c r="Q1353" s="108" t="s">
        <v>13893</v>
      </c>
      <c r="R1353" s="117">
        <v>2</v>
      </c>
      <c r="S1353" s="111" t="s">
        <v>53</v>
      </c>
      <c r="T1353" s="108" t="s">
        <v>13894</v>
      </c>
      <c r="U1353" s="112">
        <v>4</v>
      </c>
      <c r="V1353" s="113"/>
      <c r="W1353" s="108" t="s">
        <v>47</v>
      </c>
      <c r="X1353" s="114"/>
      <c r="Y1353" s="113"/>
      <c r="Z1353" s="108" t="s">
        <v>47</v>
      </c>
      <c r="AA1353" s="114"/>
      <c r="AB1353" s="113"/>
      <c r="AC1353" s="105" t="s">
        <v>3159</v>
      </c>
      <c r="AD1353" s="115" t="s">
        <v>107</v>
      </c>
    </row>
    <row r="1354" spans="1:30" x14ac:dyDescent="0.2">
      <c r="A1354" s="104" t="s">
        <v>13895</v>
      </c>
      <c r="B1354" s="105" t="s">
        <v>805</v>
      </c>
      <c r="C1354" s="105" t="s">
        <v>2125</v>
      </c>
      <c r="D1354" s="106"/>
      <c r="E1354" s="107" t="s">
        <v>99</v>
      </c>
      <c r="F1354" s="108" t="s">
        <v>13896</v>
      </c>
      <c r="G1354" s="120">
        <v>2</v>
      </c>
      <c r="H1354" s="108" t="s">
        <v>13897</v>
      </c>
      <c r="I1354" s="110">
        <v>3</v>
      </c>
      <c r="J1354" s="111" t="s">
        <v>40</v>
      </c>
      <c r="K1354" s="108" t="s">
        <v>13898</v>
      </c>
      <c r="L1354" s="117">
        <v>2</v>
      </c>
      <c r="M1354" s="111" t="s">
        <v>46</v>
      </c>
      <c r="N1354" s="108" t="s">
        <v>13896</v>
      </c>
      <c r="O1354" s="117">
        <v>2</v>
      </c>
      <c r="P1354" s="111" t="s">
        <v>46</v>
      </c>
      <c r="Q1354" s="108" t="s">
        <v>13899</v>
      </c>
      <c r="R1354" s="117">
        <v>2</v>
      </c>
      <c r="S1354" s="111" t="s">
        <v>53</v>
      </c>
      <c r="T1354" s="108" t="s">
        <v>13900</v>
      </c>
      <c r="U1354" s="112">
        <v>4</v>
      </c>
      <c r="V1354" s="113"/>
      <c r="W1354" s="108" t="s">
        <v>47</v>
      </c>
      <c r="X1354" s="114"/>
      <c r="Y1354" s="113"/>
      <c r="Z1354" s="108" t="s">
        <v>47</v>
      </c>
      <c r="AA1354" s="114"/>
      <c r="AB1354" s="113"/>
      <c r="AC1354" s="105" t="s">
        <v>3160</v>
      </c>
      <c r="AD1354" s="115" t="s">
        <v>107</v>
      </c>
    </row>
    <row r="1355" spans="1:30" x14ac:dyDescent="0.2">
      <c r="A1355" s="104" t="s">
        <v>13901</v>
      </c>
      <c r="B1355" s="105" t="s">
        <v>805</v>
      </c>
      <c r="C1355" s="105" t="s">
        <v>279</v>
      </c>
      <c r="D1355" s="106"/>
      <c r="E1355" s="107" t="s">
        <v>182</v>
      </c>
      <c r="F1355" s="108" t="s">
        <v>13902</v>
      </c>
      <c r="G1355" s="120">
        <v>2</v>
      </c>
      <c r="H1355" s="108" t="s">
        <v>13903</v>
      </c>
      <c r="I1355" s="117">
        <v>2</v>
      </c>
      <c r="J1355" s="113"/>
      <c r="K1355" s="108" t="s">
        <v>13904</v>
      </c>
      <c r="L1355" s="110">
        <v>3</v>
      </c>
      <c r="M1355" s="113"/>
      <c r="N1355" s="108" t="s">
        <v>13902</v>
      </c>
      <c r="O1355" s="117">
        <v>2</v>
      </c>
      <c r="P1355" s="113"/>
      <c r="Q1355" s="108" t="s">
        <v>13905</v>
      </c>
      <c r="R1355" s="117">
        <v>2</v>
      </c>
      <c r="S1355" s="111" t="s">
        <v>46</v>
      </c>
      <c r="T1355" s="108" t="s">
        <v>47</v>
      </c>
      <c r="U1355" s="114"/>
      <c r="V1355" s="113"/>
      <c r="W1355" s="108" t="s">
        <v>47</v>
      </c>
      <c r="X1355" s="114"/>
      <c r="Y1355" s="113"/>
      <c r="Z1355" s="108" t="s">
        <v>47</v>
      </c>
      <c r="AA1355" s="114"/>
      <c r="AB1355" s="113"/>
      <c r="AC1355" s="105" t="s">
        <v>3161</v>
      </c>
      <c r="AD1355" s="115" t="s">
        <v>107</v>
      </c>
    </row>
    <row r="1356" spans="1:30" x14ac:dyDescent="0.2">
      <c r="A1356" s="104" t="s">
        <v>13906</v>
      </c>
      <c r="B1356" s="105" t="s">
        <v>805</v>
      </c>
      <c r="C1356" s="105" t="s">
        <v>279</v>
      </c>
      <c r="D1356" s="106"/>
      <c r="E1356" s="107" t="s">
        <v>182</v>
      </c>
      <c r="F1356" s="108" t="s">
        <v>13907</v>
      </c>
      <c r="G1356" s="120">
        <v>2</v>
      </c>
      <c r="H1356" s="108" t="s">
        <v>13908</v>
      </c>
      <c r="I1356" s="117">
        <v>2</v>
      </c>
      <c r="J1356" s="113"/>
      <c r="K1356" s="108" t="s">
        <v>13909</v>
      </c>
      <c r="L1356" s="110">
        <v>3</v>
      </c>
      <c r="M1356" s="113"/>
      <c r="N1356" s="108" t="s">
        <v>13907</v>
      </c>
      <c r="O1356" s="117">
        <v>2</v>
      </c>
      <c r="P1356" s="113"/>
      <c r="Q1356" s="108" t="s">
        <v>13910</v>
      </c>
      <c r="R1356" s="117">
        <v>2</v>
      </c>
      <c r="S1356" s="111" t="s">
        <v>46</v>
      </c>
      <c r="T1356" s="108" t="s">
        <v>47</v>
      </c>
      <c r="U1356" s="114"/>
      <c r="V1356" s="113"/>
      <c r="W1356" s="108" t="s">
        <v>47</v>
      </c>
      <c r="X1356" s="114"/>
      <c r="Y1356" s="113"/>
      <c r="Z1356" s="108" t="s">
        <v>47</v>
      </c>
      <c r="AA1356" s="114"/>
      <c r="AB1356" s="113"/>
      <c r="AC1356" s="105" t="s">
        <v>3162</v>
      </c>
      <c r="AD1356" s="115" t="s">
        <v>107</v>
      </c>
    </row>
    <row r="1357" spans="1:30" x14ac:dyDescent="0.2">
      <c r="A1357" s="104" t="s">
        <v>13911</v>
      </c>
      <c r="B1357" s="105" t="s">
        <v>805</v>
      </c>
      <c r="C1357" s="105" t="s">
        <v>279</v>
      </c>
      <c r="D1357" s="106" t="s">
        <v>125</v>
      </c>
      <c r="E1357" s="107" t="s">
        <v>182</v>
      </c>
      <c r="F1357" s="108" t="s">
        <v>13912</v>
      </c>
      <c r="G1357" s="120">
        <v>2</v>
      </c>
      <c r="H1357" s="108" t="s">
        <v>13913</v>
      </c>
      <c r="I1357" s="110">
        <v>3</v>
      </c>
      <c r="J1357" s="111" t="s">
        <v>46</v>
      </c>
      <c r="K1357" s="108" t="s">
        <v>13914</v>
      </c>
      <c r="L1357" s="110">
        <v>3</v>
      </c>
      <c r="M1357" s="113"/>
      <c r="N1357" s="108" t="s">
        <v>13912</v>
      </c>
      <c r="O1357" s="117">
        <v>2</v>
      </c>
      <c r="P1357" s="113"/>
      <c r="Q1357" s="108" t="s">
        <v>13915</v>
      </c>
      <c r="R1357" s="117">
        <v>2</v>
      </c>
      <c r="S1357" s="111" t="s">
        <v>46</v>
      </c>
      <c r="T1357" s="108" t="s">
        <v>13916</v>
      </c>
      <c r="U1357" s="117">
        <v>2</v>
      </c>
      <c r="V1357" s="113"/>
      <c r="W1357" s="108" t="s">
        <v>13917</v>
      </c>
      <c r="X1357" s="117">
        <v>2</v>
      </c>
      <c r="Y1357" s="113"/>
      <c r="Z1357" s="108" t="s">
        <v>13918</v>
      </c>
      <c r="AA1357" s="117">
        <v>2</v>
      </c>
      <c r="AB1357" s="113"/>
      <c r="AC1357" s="105" t="s">
        <v>3163</v>
      </c>
      <c r="AD1357" s="115" t="s">
        <v>107</v>
      </c>
    </row>
    <row r="1358" spans="1:30" x14ac:dyDescent="0.2">
      <c r="A1358" s="104" t="s">
        <v>13919</v>
      </c>
      <c r="B1358" s="105" t="s">
        <v>805</v>
      </c>
      <c r="C1358" s="105" t="s">
        <v>279</v>
      </c>
      <c r="D1358" s="106" t="s">
        <v>125</v>
      </c>
      <c r="E1358" s="107" t="s">
        <v>182</v>
      </c>
      <c r="F1358" s="108" t="s">
        <v>13920</v>
      </c>
      <c r="G1358" s="120">
        <v>2</v>
      </c>
      <c r="H1358" s="108" t="s">
        <v>13921</v>
      </c>
      <c r="I1358" s="110">
        <v>3</v>
      </c>
      <c r="J1358" s="111" t="s">
        <v>46</v>
      </c>
      <c r="K1358" s="108" t="s">
        <v>13922</v>
      </c>
      <c r="L1358" s="110">
        <v>3</v>
      </c>
      <c r="M1358" s="113"/>
      <c r="N1358" s="108" t="s">
        <v>13920</v>
      </c>
      <c r="O1358" s="117">
        <v>2</v>
      </c>
      <c r="P1358" s="113"/>
      <c r="Q1358" s="108" t="s">
        <v>13923</v>
      </c>
      <c r="R1358" s="117">
        <v>2</v>
      </c>
      <c r="S1358" s="111" t="s">
        <v>46</v>
      </c>
      <c r="T1358" s="108" t="s">
        <v>13924</v>
      </c>
      <c r="U1358" s="117">
        <v>2</v>
      </c>
      <c r="V1358" s="113"/>
      <c r="W1358" s="108" t="s">
        <v>13925</v>
      </c>
      <c r="X1358" s="117">
        <v>2</v>
      </c>
      <c r="Y1358" s="113"/>
      <c r="Z1358" s="108" t="s">
        <v>47</v>
      </c>
      <c r="AA1358" s="114"/>
      <c r="AB1358" s="113"/>
      <c r="AC1358" s="105" t="s">
        <v>3164</v>
      </c>
      <c r="AD1358" s="115" t="s">
        <v>107</v>
      </c>
    </row>
    <row r="1359" spans="1:30" x14ac:dyDescent="0.2">
      <c r="A1359" s="104" t="s">
        <v>13926</v>
      </c>
      <c r="B1359" s="105" t="s">
        <v>805</v>
      </c>
      <c r="C1359" s="105" t="s">
        <v>279</v>
      </c>
      <c r="D1359" s="106" t="s">
        <v>94</v>
      </c>
      <c r="E1359" s="107" t="s">
        <v>182</v>
      </c>
      <c r="F1359" s="108" t="s">
        <v>13927</v>
      </c>
      <c r="G1359" s="120">
        <v>2</v>
      </c>
      <c r="H1359" s="108" t="s">
        <v>13928</v>
      </c>
      <c r="I1359" s="117">
        <v>2</v>
      </c>
      <c r="J1359" s="113"/>
      <c r="K1359" s="108" t="s">
        <v>13929</v>
      </c>
      <c r="L1359" s="110">
        <v>3</v>
      </c>
      <c r="M1359" s="113"/>
      <c r="N1359" s="108" t="s">
        <v>13927</v>
      </c>
      <c r="O1359" s="117">
        <v>2</v>
      </c>
      <c r="P1359" s="113"/>
      <c r="Q1359" s="108" t="s">
        <v>13930</v>
      </c>
      <c r="R1359" s="117">
        <v>2</v>
      </c>
      <c r="S1359" s="111" t="s">
        <v>46</v>
      </c>
      <c r="T1359" s="108" t="s">
        <v>13931</v>
      </c>
      <c r="U1359" s="117">
        <v>2</v>
      </c>
      <c r="V1359" s="113"/>
      <c r="W1359" s="108" t="s">
        <v>13932</v>
      </c>
      <c r="X1359" s="117">
        <v>2</v>
      </c>
      <c r="Y1359" s="113"/>
      <c r="Z1359" s="108" t="s">
        <v>13933</v>
      </c>
      <c r="AA1359" s="117">
        <v>2</v>
      </c>
      <c r="AB1359" s="113"/>
      <c r="AC1359" s="105" t="s">
        <v>3165</v>
      </c>
      <c r="AD1359" s="115" t="s">
        <v>107</v>
      </c>
    </row>
    <row r="1360" spans="1:30" x14ac:dyDescent="0.2">
      <c r="A1360" s="104" t="s">
        <v>13934</v>
      </c>
      <c r="B1360" s="105" t="s">
        <v>805</v>
      </c>
      <c r="C1360" s="105" t="s">
        <v>279</v>
      </c>
      <c r="D1360" s="106" t="s">
        <v>94</v>
      </c>
      <c r="E1360" s="107" t="s">
        <v>182</v>
      </c>
      <c r="F1360" s="108" t="s">
        <v>13935</v>
      </c>
      <c r="G1360" s="120">
        <v>2</v>
      </c>
      <c r="H1360" s="108" t="s">
        <v>13936</v>
      </c>
      <c r="I1360" s="117">
        <v>2</v>
      </c>
      <c r="J1360" s="113"/>
      <c r="K1360" s="108" t="s">
        <v>13937</v>
      </c>
      <c r="L1360" s="110">
        <v>3</v>
      </c>
      <c r="M1360" s="113"/>
      <c r="N1360" s="108" t="s">
        <v>13935</v>
      </c>
      <c r="O1360" s="117">
        <v>2</v>
      </c>
      <c r="P1360" s="113"/>
      <c r="Q1360" s="108" t="s">
        <v>13938</v>
      </c>
      <c r="R1360" s="117">
        <v>2</v>
      </c>
      <c r="S1360" s="111" t="s">
        <v>46</v>
      </c>
      <c r="T1360" s="108" t="s">
        <v>13939</v>
      </c>
      <c r="U1360" s="117">
        <v>2</v>
      </c>
      <c r="V1360" s="113"/>
      <c r="W1360" s="108" t="s">
        <v>13940</v>
      </c>
      <c r="X1360" s="117">
        <v>2</v>
      </c>
      <c r="Y1360" s="113"/>
      <c r="Z1360" s="108" t="s">
        <v>13941</v>
      </c>
      <c r="AA1360" s="117">
        <v>2</v>
      </c>
      <c r="AB1360" s="113"/>
      <c r="AC1360" s="105" t="s">
        <v>3166</v>
      </c>
      <c r="AD1360" s="115" t="s">
        <v>107</v>
      </c>
    </row>
    <row r="1361" spans="1:30" x14ac:dyDescent="0.2">
      <c r="A1361" s="104" t="s">
        <v>13942</v>
      </c>
      <c r="B1361" s="105" t="s">
        <v>805</v>
      </c>
      <c r="C1361" s="105" t="s">
        <v>279</v>
      </c>
      <c r="D1361" s="106" t="s">
        <v>94</v>
      </c>
      <c r="E1361" s="107" t="s">
        <v>182</v>
      </c>
      <c r="F1361" s="108" t="s">
        <v>13943</v>
      </c>
      <c r="G1361" s="120">
        <v>2</v>
      </c>
      <c r="H1361" s="108" t="s">
        <v>13944</v>
      </c>
      <c r="I1361" s="117">
        <v>2</v>
      </c>
      <c r="J1361" s="113"/>
      <c r="K1361" s="108" t="s">
        <v>13945</v>
      </c>
      <c r="L1361" s="110">
        <v>3</v>
      </c>
      <c r="M1361" s="113"/>
      <c r="N1361" s="108" t="s">
        <v>13943</v>
      </c>
      <c r="O1361" s="117">
        <v>2</v>
      </c>
      <c r="P1361" s="113"/>
      <c r="Q1361" s="108" t="s">
        <v>13946</v>
      </c>
      <c r="R1361" s="117">
        <v>2</v>
      </c>
      <c r="S1361" s="111" t="s">
        <v>46</v>
      </c>
      <c r="T1361" s="108" t="s">
        <v>13947</v>
      </c>
      <c r="U1361" s="117">
        <v>2</v>
      </c>
      <c r="V1361" s="113"/>
      <c r="W1361" s="108" t="s">
        <v>13948</v>
      </c>
      <c r="X1361" s="117">
        <v>2</v>
      </c>
      <c r="Y1361" s="113"/>
      <c r="Z1361" s="108" t="s">
        <v>13949</v>
      </c>
      <c r="AA1361" s="117">
        <v>2</v>
      </c>
      <c r="AB1361" s="113"/>
      <c r="AC1361" s="105" t="s">
        <v>3167</v>
      </c>
      <c r="AD1361" s="115" t="s">
        <v>107</v>
      </c>
    </row>
    <row r="1362" spans="1:30" x14ac:dyDescent="0.2">
      <c r="A1362" s="104" t="s">
        <v>13950</v>
      </c>
      <c r="B1362" s="105" t="s">
        <v>805</v>
      </c>
      <c r="C1362" s="105" t="s">
        <v>279</v>
      </c>
      <c r="D1362" s="106" t="s">
        <v>125</v>
      </c>
      <c r="E1362" s="107" t="s">
        <v>182</v>
      </c>
      <c r="F1362" s="108" t="s">
        <v>13951</v>
      </c>
      <c r="G1362" s="120">
        <v>2</v>
      </c>
      <c r="H1362" s="108" t="s">
        <v>13952</v>
      </c>
      <c r="I1362" s="110">
        <v>3</v>
      </c>
      <c r="J1362" s="111" t="s">
        <v>46</v>
      </c>
      <c r="K1362" s="108" t="s">
        <v>13953</v>
      </c>
      <c r="L1362" s="110">
        <v>3</v>
      </c>
      <c r="M1362" s="113"/>
      <c r="N1362" s="108" t="s">
        <v>13951</v>
      </c>
      <c r="O1362" s="117">
        <v>2</v>
      </c>
      <c r="P1362" s="113"/>
      <c r="Q1362" s="108" t="s">
        <v>13954</v>
      </c>
      <c r="R1362" s="117">
        <v>2</v>
      </c>
      <c r="S1362" s="111" t="s">
        <v>46</v>
      </c>
      <c r="T1362" s="108" t="s">
        <v>13955</v>
      </c>
      <c r="U1362" s="117">
        <v>2</v>
      </c>
      <c r="V1362" s="113"/>
      <c r="W1362" s="108" t="s">
        <v>47</v>
      </c>
      <c r="X1362" s="114"/>
      <c r="Y1362" s="113"/>
      <c r="Z1362" s="108" t="s">
        <v>47</v>
      </c>
      <c r="AA1362" s="114"/>
      <c r="AB1362" s="113"/>
      <c r="AC1362" s="105" t="s">
        <v>3168</v>
      </c>
      <c r="AD1362" s="115" t="s">
        <v>107</v>
      </c>
    </row>
    <row r="1363" spans="1:30" x14ac:dyDescent="0.2">
      <c r="A1363" s="104" t="s">
        <v>13956</v>
      </c>
      <c r="B1363" s="105" t="s">
        <v>805</v>
      </c>
      <c r="C1363" s="105" t="s">
        <v>279</v>
      </c>
      <c r="D1363" s="106" t="s">
        <v>125</v>
      </c>
      <c r="E1363" s="107" t="s">
        <v>182</v>
      </c>
      <c r="F1363" s="108" t="s">
        <v>13957</v>
      </c>
      <c r="G1363" s="120">
        <v>2</v>
      </c>
      <c r="H1363" s="108" t="s">
        <v>13958</v>
      </c>
      <c r="I1363" s="110">
        <v>3</v>
      </c>
      <c r="J1363" s="111" t="s">
        <v>46</v>
      </c>
      <c r="K1363" s="108" t="s">
        <v>13959</v>
      </c>
      <c r="L1363" s="110">
        <v>3</v>
      </c>
      <c r="M1363" s="113"/>
      <c r="N1363" s="108" t="s">
        <v>13957</v>
      </c>
      <c r="O1363" s="117">
        <v>2</v>
      </c>
      <c r="P1363" s="113"/>
      <c r="Q1363" s="108" t="s">
        <v>13960</v>
      </c>
      <c r="R1363" s="117">
        <v>2</v>
      </c>
      <c r="S1363" s="111" t="s">
        <v>46</v>
      </c>
      <c r="T1363" s="108" t="s">
        <v>13961</v>
      </c>
      <c r="U1363" s="117">
        <v>2</v>
      </c>
      <c r="V1363" s="113"/>
      <c r="W1363" s="108" t="s">
        <v>47</v>
      </c>
      <c r="X1363" s="114"/>
      <c r="Y1363" s="113"/>
      <c r="Z1363" s="108" t="s">
        <v>47</v>
      </c>
      <c r="AA1363" s="114"/>
      <c r="AB1363" s="113"/>
      <c r="AC1363" s="105" t="s">
        <v>3169</v>
      </c>
      <c r="AD1363" s="115" t="s">
        <v>107</v>
      </c>
    </row>
    <row r="1364" spans="1:30" x14ac:dyDescent="0.2">
      <c r="A1364" s="104" t="s">
        <v>13962</v>
      </c>
      <c r="B1364" s="105" t="s">
        <v>805</v>
      </c>
      <c r="C1364" s="105" t="s">
        <v>2125</v>
      </c>
      <c r="D1364" s="106"/>
      <c r="E1364" s="107" t="s">
        <v>146</v>
      </c>
      <c r="F1364" s="108" t="s">
        <v>47</v>
      </c>
      <c r="G1364" s="113"/>
      <c r="H1364" s="108" t="s">
        <v>47</v>
      </c>
      <c r="I1364" s="114"/>
      <c r="J1364" s="113"/>
      <c r="K1364" s="108" t="s">
        <v>47</v>
      </c>
      <c r="L1364" s="114"/>
      <c r="M1364" s="113"/>
      <c r="N1364" s="108" t="s">
        <v>47</v>
      </c>
      <c r="O1364" s="114"/>
      <c r="P1364" s="113"/>
      <c r="Q1364" s="108" t="s">
        <v>47</v>
      </c>
      <c r="R1364" s="114"/>
      <c r="S1364" s="113"/>
      <c r="T1364" s="108" t="s">
        <v>47</v>
      </c>
      <c r="U1364" s="114"/>
      <c r="V1364" s="113"/>
      <c r="W1364" s="108" t="s">
        <v>47</v>
      </c>
      <c r="X1364" s="114"/>
      <c r="Y1364" s="113"/>
      <c r="Z1364" s="108" t="s">
        <v>47</v>
      </c>
      <c r="AA1364" s="114"/>
      <c r="AB1364" s="113"/>
      <c r="AC1364" s="105" t="s">
        <v>3170</v>
      </c>
      <c r="AD1364" s="115" t="s">
        <v>107</v>
      </c>
    </row>
    <row r="1365" spans="1:30" x14ac:dyDescent="0.2">
      <c r="A1365" s="104" t="s">
        <v>13963</v>
      </c>
      <c r="B1365" s="105" t="s">
        <v>805</v>
      </c>
      <c r="C1365" s="105" t="s">
        <v>2125</v>
      </c>
      <c r="D1365" s="106"/>
      <c r="E1365" s="107" t="s">
        <v>146</v>
      </c>
      <c r="F1365" s="108" t="s">
        <v>47</v>
      </c>
      <c r="G1365" s="113"/>
      <c r="H1365" s="108" t="s">
        <v>47</v>
      </c>
      <c r="I1365" s="114"/>
      <c r="J1365" s="113"/>
      <c r="K1365" s="108" t="s">
        <v>47</v>
      </c>
      <c r="L1365" s="114"/>
      <c r="M1365" s="113"/>
      <c r="N1365" s="108" t="s">
        <v>47</v>
      </c>
      <c r="O1365" s="114"/>
      <c r="P1365" s="113"/>
      <c r="Q1365" s="108" t="s">
        <v>47</v>
      </c>
      <c r="R1365" s="114"/>
      <c r="S1365" s="113"/>
      <c r="T1365" s="108" t="s">
        <v>47</v>
      </c>
      <c r="U1365" s="114"/>
      <c r="V1365" s="113"/>
      <c r="W1365" s="108" t="s">
        <v>47</v>
      </c>
      <c r="X1365" s="114"/>
      <c r="Y1365" s="113"/>
      <c r="Z1365" s="108" t="s">
        <v>47</v>
      </c>
      <c r="AA1365" s="114"/>
      <c r="AB1365" s="113"/>
      <c r="AC1365" s="105" t="s">
        <v>3171</v>
      </c>
      <c r="AD1365" s="115" t="s">
        <v>107</v>
      </c>
    </row>
    <row r="1366" spans="1:30" x14ac:dyDescent="0.2">
      <c r="A1366" s="104" t="s">
        <v>13964</v>
      </c>
      <c r="B1366" s="105" t="s">
        <v>805</v>
      </c>
      <c r="C1366" s="105" t="s">
        <v>2414</v>
      </c>
      <c r="D1366" s="106"/>
      <c r="E1366" s="107" t="s">
        <v>146</v>
      </c>
      <c r="F1366" s="108" t="s">
        <v>13965</v>
      </c>
      <c r="G1366" s="118">
        <v>3</v>
      </c>
      <c r="H1366" s="108" t="s">
        <v>13966</v>
      </c>
      <c r="I1366" s="117">
        <v>2</v>
      </c>
      <c r="J1366" s="111" t="s">
        <v>40</v>
      </c>
      <c r="K1366" s="108" t="s">
        <v>13967</v>
      </c>
      <c r="L1366" s="110">
        <v>3</v>
      </c>
      <c r="M1366" s="113"/>
      <c r="N1366" s="108" t="s">
        <v>13965</v>
      </c>
      <c r="O1366" s="110">
        <v>3</v>
      </c>
      <c r="P1366" s="113"/>
      <c r="Q1366" s="108" t="s">
        <v>13968</v>
      </c>
      <c r="R1366" s="110">
        <v>3</v>
      </c>
      <c r="S1366" s="113"/>
      <c r="T1366" s="108" t="s">
        <v>47</v>
      </c>
      <c r="U1366" s="114"/>
      <c r="V1366" s="113"/>
      <c r="W1366" s="108" t="s">
        <v>47</v>
      </c>
      <c r="X1366" s="114"/>
      <c r="Y1366" s="113"/>
      <c r="Z1366" s="108" t="s">
        <v>47</v>
      </c>
      <c r="AA1366" s="114"/>
      <c r="AB1366" s="113"/>
      <c r="AC1366" s="105" t="s">
        <v>3172</v>
      </c>
      <c r="AD1366" s="115" t="s">
        <v>107</v>
      </c>
    </row>
    <row r="1367" spans="1:30" x14ac:dyDescent="0.2">
      <c r="A1367" s="104" t="s">
        <v>13969</v>
      </c>
      <c r="B1367" s="105" t="s">
        <v>805</v>
      </c>
      <c r="C1367" s="105" t="s">
        <v>2414</v>
      </c>
      <c r="D1367" s="106"/>
      <c r="E1367" s="107" t="s">
        <v>146</v>
      </c>
      <c r="F1367" s="108" t="s">
        <v>13970</v>
      </c>
      <c r="G1367" s="118">
        <v>3</v>
      </c>
      <c r="H1367" s="108" t="s">
        <v>13971</v>
      </c>
      <c r="I1367" s="117">
        <v>2</v>
      </c>
      <c r="J1367" s="111" t="s">
        <v>40</v>
      </c>
      <c r="K1367" s="108" t="s">
        <v>13972</v>
      </c>
      <c r="L1367" s="110">
        <v>3</v>
      </c>
      <c r="M1367" s="113"/>
      <c r="N1367" s="108" t="s">
        <v>13970</v>
      </c>
      <c r="O1367" s="110">
        <v>3</v>
      </c>
      <c r="P1367" s="113"/>
      <c r="Q1367" s="108" t="s">
        <v>13973</v>
      </c>
      <c r="R1367" s="110">
        <v>3</v>
      </c>
      <c r="S1367" s="113"/>
      <c r="T1367" s="108" t="s">
        <v>47</v>
      </c>
      <c r="U1367" s="114"/>
      <c r="V1367" s="113"/>
      <c r="W1367" s="108" t="s">
        <v>47</v>
      </c>
      <c r="X1367" s="114"/>
      <c r="Y1367" s="113"/>
      <c r="Z1367" s="108" t="s">
        <v>47</v>
      </c>
      <c r="AA1367" s="114"/>
      <c r="AB1367" s="113"/>
      <c r="AC1367" s="105" t="s">
        <v>3173</v>
      </c>
      <c r="AD1367" s="115" t="s">
        <v>107</v>
      </c>
    </row>
    <row r="1368" spans="1:30" x14ac:dyDescent="0.2">
      <c r="A1368" s="104" t="s">
        <v>13974</v>
      </c>
      <c r="B1368" s="105" t="s">
        <v>805</v>
      </c>
      <c r="C1368" s="105" t="s">
        <v>2414</v>
      </c>
      <c r="D1368" s="106"/>
      <c r="E1368" s="107" t="s">
        <v>146</v>
      </c>
      <c r="F1368" s="108" t="s">
        <v>13975</v>
      </c>
      <c r="G1368" s="118">
        <v>3</v>
      </c>
      <c r="H1368" s="108" t="s">
        <v>13976</v>
      </c>
      <c r="I1368" s="117">
        <v>2</v>
      </c>
      <c r="J1368" s="111" t="s">
        <v>40</v>
      </c>
      <c r="K1368" s="108" t="s">
        <v>13977</v>
      </c>
      <c r="L1368" s="110">
        <v>3</v>
      </c>
      <c r="M1368" s="113"/>
      <c r="N1368" s="108" t="s">
        <v>13975</v>
      </c>
      <c r="O1368" s="110">
        <v>3</v>
      </c>
      <c r="P1368" s="111" t="s">
        <v>46</v>
      </c>
      <c r="Q1368" s="108" t="s">
        <v>13978</v>
      </c>
      <c r="R1368" s="110">
        <v>3</v>
      </c>
      <c r="S1368" s="113"/>
      <c r="T1368" s="108" t="s">
        <v>47</v>
      </c>
      <c r="U1368" s="114"/>
      <c r="V1368" s="113"/>
      <c r="W1368" s="108" t="s">
        <v>47</v>
      </c>
      <c r="X1368" s="114"/>
      <c r="Y1368" s="113"/>
      <c r="Z1368" s="108" t="s">
        <v>47</v>
      </c>
      <c r="AA1368" s="114"/>
      <c r="AB1368" s="113"/>
      <c r="AC1368" s="105" t="s">
        <v>3174</v>
      </c>
      <c r="AD1368" s="115" t="s">
        <v>107</v>
      </c>
    </row>
    <row r="1369" spans="1:30" x14ac:dyDescent="0.2">
      <c r="A1369" s="104" t="s">
        <v>13979</v>
      </c>
      <c r="B1369" s="105" t="s">
        <v>805</v>
      </c>
      <c r="C1369" s="105" t="s">
        <v>2414</v>
      </c>
      <c r="D1369" s="106"/>
      <c r="E1369" s="107" t="s">
        <v>146</v>
      </c>
      <c r="F1369" s="108" t="s">
        <v>13980</v>
      </c>
      <c r="G1369" s="118">
        <v>3</v>
      </c>
      <c r="H1369" s="108" t="s">
        <v>13981</v>
      </c>
      <c r="I1369" s="117">
        <v>2</v>
      </c>
      <c r="J1369" s="111" t="s">
        <v>40</v>
      </c>
      <c r="K1369" s="108" t="s">
        <v>13982</v>
      </c>
      <c r="L1369" s="110">
        <v>3</v>
      </c>
      <c r="M1369" s="113"/>
      <c r="N1369" s="108" t="s">
        <v>13980</v>
      </c>
      <c r="O1369" s="110">
        <v>3</v>
      </c>
      <c r="P1369" s="111" t="s">
        <v>46</v>
      </c>
      <c r="Q1369" s="108" t="s">
        <v>13983</v>
      </c>
      <c r="R1369" s="110">
        <v>3</v>
      </c>
      <c r="S1369" s="113"/>
      <c r="T1369" s="108" t="s">
        <v>47</v>
      </c>
      <c r="U1369" s="114"/>
      <c r="V1369" s="113"/>
      <c r="W1369" s="108" t="s">
        <v>47</v>
      </c>
      <c r="X1369" s="114"/>
      <c r="Y1369" s="113"/>
      <c r="Z1369" s="108" t="s">
        <v>47</v>
      </c>
      <c r="AA1369" s="114"/>
      <c r="AB1369" s="113"/>
      <c r="AC1369" s="105" t="s">
        <v>3175</v>
      </c>
      <c r="AD1369" s="115" t="s">
        <v>107</v>
      </c>
    </row>
    <row r="1370" spans="1:30" x14ac:dyDescent="0.2">
      <c r="A1370" s="104" t="s">
        <v>13984</v>
      </c>
      <c r="B1370" s="105" t="s">
        <v>805</v>
      </c>
      <c r="C1370" s="105" t="s">
        <v>2414</v>
      </c>
      <c r="D1370" s="106" t="s">
        <v>125</v>
      </c>
      <c r="E1370" s="107" t="s">
        <v>146</v>
      </c>
      <c r="F1370" s="108" t="s">
        <v>13985</v>
      </c>
      <c r="G1370" s="118">
        <v>3</v>
      </c>
      <c r="H1370" s="108" t="s">
        <v>13986</v>
      </c>
      <c r="I1370" s="110">
        <v>3</v>
      </c>
      <c r="J1370" s="113"/>
      <c r="K1370" s="108" t="s">
        <v>13987</v>
      </c>
      <c r="L1370" s="110">
        <v>3</v>
      </c>
      <c r="M1370" s="113"/>
      <c r="N1370" s="108" t="s">
        <v>13985</v>
      </c>
      <c r="O1370" s="110">
        <v>3</v>
      </c>
      <c r="P1370" s="113"/>
      <c r="Q1370" s="108" t="s">
        <v>13988</v>
      </c>
      <c r="R1370" s="110">
        <v>3</v>
      </c>
      <c r="S1370" s="113"/>
      <c r="T1370" s="108" t="s">
        <v>13989</v>
      </c>
      <c r="U1370" s="110">
        <v>3</v>
      </c>
      <c r="V1370" s="113"/>
      <c r="W1370" s="108" t="s">
        <v>13990</v>
      </c>
      <c r="X1370" s="110">
        <v>3</v>
      </c>
      <c r="Y1370" s="113"/>
      <c r="Z1370" s="108" t="s">
        <v>3176</v>
      </c>
      <c r="AA1370" s="110">
        <v>3</v>
      </c>
      <c r="AB1370" s="113"/>
      <c r="AC1370" s="105" t="s">
        <v>3177</v>
      </c>
      <c r="AD1370" s="115" t="s">
        <v>107</v>
      </c>
    </row>
    <row r="1371" spans="1:30" x14ac:dyDescent="0.2">
      <c r="A1371" s="104" t="s">
        <v>13991</v>
      </c>
      <c r="B1371" s="105" t="s">
        <v>805</v>
      </c>
      <c r="C1371" s="105" t="s">
        <v>2414</v>
      </c>
      <c r="D1371" s="106" t="s">
        <v>125</v>
      </c>
      <c r="E1371" s="107" t="s">
        <v>146</v>
      </c>
      <c r="F1371" s="108" t="s">
        <v>13992</v>
      </c>
      <c r="G1371" s="118">
        <v>3</v>
      </c>
      <c r="H1371" s="108" t="s">
        <v>13993</v>
      </c>
      <c r="I1371" s="110">
        <v>3</v>
      </c>
      <c r="J1371" s="113"/>
      <c r="K1371" s="108" t="s">
        <v>13994</v>
      </c>
      <c r="L1371" s="110">
        <v>3</v>
      </c>
      <c r="M1371" s="113"/>
      <c r="N1371" s="108" t="s">
        <v>13992</v>
      </c>
      <c r="O1371" s="110">
        <v>3</v>
      </c>
      <c r="P1371" s="113"/>
      <c r="Q1371" s="108" t="s">
        <v>13995</v>
      </c>
      <c r="R1371" s="110">
        <v>3</v>
      </c>
      <c r="S1371" s="113"/>
      <c r="T1371" s="108" t="s">
        <v>13996</v>
      </c>
      <c r="U1371" s="110">
        <v>3</v>
      </c>
      <c r="V1371" s="113"/>
      <c r="W1371" s="108" t="s">
        <v>47</v>
      </c>
      <c r="X1371" s="114"/>
      <c r="Y1371" s="113"/>
      <c r="Z1371" s="108" t="s">
        <v>47</v>
      </c>
      <c r="AA1371" s="114"/>
      <c r="AB1371" s="113"/>
      <c r="AC1371" s="105" t="s">
        <v>3178</v>
      </c>
      <c r="AD1371" s="115" t="s">
        <v>107</v>
      </c>
    </row>
    <row r="1372" spans="1:30" x14ac:dyDescent="0.2">
      <c r="A1372" s="104" t="s">
        <v>13997</v>
      </c>
      <c r="B1372" s="105" t="s">
        <v>805</v>
      </c>
      <c r="C1372" s="105" t="s">
        <v>2414</v>
      </c>
      <c r="D1372" s="106" t="s">
        <v>125</v>
      </c>
      <c r="E1372" s="107" t="s">
        <v>146</v>
      </c>
      <c r="F1372" s="108" t="s">
        <v>13998</v>
      </c>
      <c r="G1372" s="118">
        <v>3</v>
      </c>
      <c r="H1372" s="108" t="s">
        <v>13999</v>
      </c>
      <c r="I1372" s="117">
        <v>2</v>
      </c>
      <c r="J1372" s="111" t="s">
        <v>40</v>
      </c>
      <c r="K1372" s="108" t="s">
        <v>14000</v>
      </c>
      <c r="L1372" s="110">
        <v>3</v>
      </c>
      <c r="M1372" s="113"/>
      <c r="N1372" s="108" t="s">
        <v>13998</v>
      </c>
      <c r="O1372" s="110">
        <v>3</v>
      </c>
      <c r="P1372" s="113"/>
      <c r="Q1372" s="108" t="s">
        <v>14001</v>
      </c>
      <c r="R1372" s="110">
        <v>3</v>
      </c>
      <c r="S1372" s="113"/>
      <c r="T1372" s="108" t="s">
        <v>14002</v>
      </c>
      <c r="U1372" s="117">
        <v>2</v>
      </c>
      <c r="V1372" s="113"/>
      <c r="W1372" s="108" t="s">
        <v>14003</v>
      </c>
      <c r="X1372" s="110">
        <v>3</v>
      </c>
      <c r="Y1372" s="111" t="s">
        <v>46</v>
      </c>
      <c r="Z1372" s="108" t="s">
        <v>14004</v>
      </c>
      <c r="AA1372" s="110">
        <v>3</v>
      </c>
      <c r="AB1372" s="111" t="s">
        <v>46</v>
      </c>
      <c r="AC1372" s="105" t="s">
        <v>3179</v>
      </c>
      <c r="AD1372" s="115" t="s">
        <v>107</v>
      </c>
    </row>
    <row r="1373" spans="1:30" x14ac:dyDescent="0.2">
      <c r="A1373" s="104" t="s">
        <v>14005</v>
      </c>
      <c r="B1373" s="105" t="s">
        <v>805</v>
      </c>
      <c r="C1373" s="105" t="s">
        <v>2414</v>
      </c>
      <c r="D1373" s="106"/>
      <c r="E1373" s="107" t="s">
        <v>146</v>
      </c>
      <c r="F1373" s="108" t="s">
        <v>14006</v>
      </c>
      <c r="G1373" s="118">
        <v>3</v>
      </c>
      <c r="H1373" s="108" t="s">
        <v>14007</v>
      </c>
      <c r="I1373" s="117">
        <v>2</v>
      </c>
      <c r="J1373" s="111" t="s">
        <v>40</v>
      </c>
      <c r="K1373" s="108" t="s">
        <v>14008</v>
      </c>
      <c r="L1373" s="110">
        <v>3</v>
      </c>
      <c r="M1373" s="113"/>
      <c r="N1373" s="108" t="s">
        <v>14006</v>
      </c>
      <c r="O1373" s="110">
        <v>3</v>
      </c>
      <c r="P1373" s="113"/>
      <c r="Q1373" s="108" t="s">
        <v>14009</v>
      </c>
      <c r="R1373" s="110">
        <v>3</v>
      </c>
      <c r="S1373" s="113"/>
      <c r="T1373" s="108" t="s">
        <v>47</v>
      </c>
      <c r="U1373" s="114"/>
      <c r="V1373" s="113"/>
      <c r="W1373" s="108" t="s">
        <v>47</v>
      </c>
      <c r="X1373" s="114"/>
      <c r="Y1373" s="113"/>
      <c r="Z1373" s="108" t="s">
        <v>47</v>
      </c>
      <c r="AA1373" s="114"/>
      <c r="AB1373" s="113"/>
      <c r="AC1373" s="105" t="s">
        <v>3180</v>
      </c>
      <c r="AD1373" s="115" t="s">
        <v>107</v>
      </c>
    </row>
    <row r="1374" spans="1:30" x14ac:dyDescent="0.2">
      <c r="A1374" s="104" t="s">
        <v>14010</v>
      </c>
      <c r="B1374" s="105" t="s">
        <v>805</v>
      </c>
      <c r="C1374" s="105" t="s">
        <v>2414</v>
      </c>
      <c r="D1374" s="106" t="s">
        <v>125</v>
      </c>
      <c r="E1374" s="107" t="s">
        <v>146</v>
      </c>
      <c r="F1374" s="108" t="s">
        <v>14011</v>
      </c>
      <c r="G1374" s="118">
        <v>3</v>
      </c>
      <c r="H1374" s="108" t="s">
        <v>14012</v>
      </c>
      <c r="I1374" s="117">
        <v>2</v>
      </c>
      <c r="J1374" s="111" t="s">
        <v>40</v>
      </c>
      <c r="K1374" s="108" t="s">
        <v>14013</v>
      </c>
      <c r="L1374" s="110">
        <v>3</v>
      </c>
      <c r="M1374" s="113"/>
      <c r="N1374" s="108" t="s">
        <v>14011</v>
      </c>
      <c r="O1374" s="110">
        <v>3</v>
      </c>
      <c r="P1374" s="113"/>
      <c r="Q1374" s="108" t="s">
        <v>14014</v>
      </c>
      <c r="R1374" s="110">
        <v>3</v>
      </c>
      <c r="S1374" s="113"/>
      <c r="T1374" s="108" t="s">
        <v>14015</v>
      </c>
      <c r="U1374" s="117">
        <v>2</v>
      </c>
      <c r="V1374" s="113"/>
      <c r="W1374" s="108" t="s">
        <v>47</v>
      </c>
      <c r="X1374" s="114"/>
      <c r="Y1374" s="113"/>
      <c r="Z1374" s="108" t="s">
        <v>47</v>
      </c>
      <c r="AA1374" s="114"/>
      <c r="AB1374" s="113"/>
      <c r="AC1374" s="105" t="s">
        <v>3181</v>
      </c>
      <c r="AD1374" s="115" t="s">
        <v>107</v>
      </c>
    </row>
    <row r="1375" spans="1:30" x14ac:dyDescent="0.2">
      <c r="A1375" s="104" t="s">
        <v>14016</v>
      </c>
      <c r="B1375" s="105" t="s">
        <v>805</v>
      </c>
      <c r="C1375" s="105" t="s">
        <v>2414</v>
      </c>
      <c r="D1375" s="106" t="s">
        <v>125</v>
      </c>
      <c r="E1375" s="107" t="s">
        <v>146</v>
      </c>
      <c r="F1375" s="108" t="s">
        <v>14017</v>
      </c>
      <c r="G1375" s="118">
        <v>3</v>
      </c>
      <c r="H1375" s="108" t="s">
        <v>14018</v>
      </c>
      <c r="I1375" s="117">
        <v>2</v>
      </c>
      <c r="J1375" s="111" t="s">
        <v>40</v>
      </c>
      <c r="K1375" s="108" t="s">
        <v>14019</v>
      </c>
      <c r="L1375" s="110">
        <v>3</v>
      </c>
      <c r="M1375" s="113"/>
      <c r="N1375" s="108" t="s">
        <v>14017</v>
      </c>
      <c r="O1375" s="110">
        <v>3</v>
      </c>
      <c r="P1375" s="113"/>
      <c r="Q1375" s="108" t="s">
        <v>14020</v>
      </c>
      <c r="R1375" s="110">
        <v>3</v>
      </c>
      <c r="S1375" s="113"/>
      <c r="T1375" s="108" t="s">
        <v>14021</v>
      </c>
      <c r="U1375" s="117">
        <v>2</v>
      </c>
      <c r="V1375" s="113"/>
      <c r="W1375" s="108" t="s">
        <v>47</v>
      </c>
      <c r="X1375" s="114"/>
      <c r="Y1375" s="113"/>
      <c r="Z1375" s="108" t="s">
        <v>47</v>
      </c>
      <c r="AA1375" s="114"/>
      <c r="AB1375" s="113"/>
      <c r="AC1375" s="105" t="s">
        <v>3182</v>
      </c>
      <c r="AD1375" s="115" t="s">
        <v>107</v>
      </c>
    </row>
    <row r="1376" spans="1:30" x14ac:dyDescent="0.2">
      <c r="A1376" s="104" t="s">
        <v>14022</v>
      </c>
      <c r="B1376" s="105" t="s">
        <v>805</v>
      </c>
      <c r="C1376" s="105" t="s">
        <v>2369</v>
      </c>
      <c r="D1376" s="106"/>
      <c r="E1376" s="107" t="s">
        <v>146</v>
      </c>
      <c r="F1376" s="108" t="s">
        <v>14023</v>
      </c>
      <c r="G1376" s="118">
        <v>3</v>
      </c>
      <c r="H1376" s="108" t="s">
        <v>14024</v>
      </c>
      <c r="I1376" s="117">
        <v>2</v>
      </c>
      <c r="J1376" s="113"/>
      <c r="K1376" s="108" t="s">
        <v>14025</v>
      </c>
      <c r="L1376" s="110">
        <v>3</v>
      </c>
      <c r="M1376" s="113"/>
      <c r="N1376" s="108" t="s">
        <v>14023</v>
      </c>
      <c r="O1376" s="110">
        <v>3</v>
      </c>
      <c r="P1376" s="113"/>
      <c r="Q1376" s="108" t="s">
        <v>14026</v>
      </c>
      <c r="R1376" s="110">
        <v>3</v>
      </c>
      <c r="S1376" s="111" t="s">
        <v>46</v>
      </c>
      <c r="T1376" s="108" t="s">
        <v>47</v>
      </c>
      <c r="U1376" s="114"/>
      <c r="V1376" s="113"/>
      <c r="W1376" s="108" t="s">
        <v>47</v>
      </c>
      <c r="X1376" s="114"/>
      <c r="Y1376" s="113"/>
      <c r="Z1376" s="108" t="s">
        <v>47</v>
      </c>
      <c r="AA1376" s="114"/>
      <c r="AB1376" s="113"/>
      <c r="AC1376" s="105" t="s">
        <v>3183</v>
      </c>
      <c r="AD1376" s="115" t="s">
        <v>107</v>
      </c>
    </row>
    <row r="1377" spans="1:30" x14ac:dyDescent="0.2">
      <c r="A1377" s="104" t="s">
        <v>14027</v>
      </c>
      <c r="B1377" s="105" t="s">
        <v>805</v>
      </c>
      <c r="C1377" s="105" t="s">
        <v>2369</v>
      </c>
      <c r="D1377" s="106"/>
      <c r="E1377" s="107" t="s">
        <v>146</v>
      </c>
      <c r="F1377" s="108" t="s">
        <v>14028</v>
      </c>
      <c r="G1377" s="120">
        <v>2</v>
      </c>
      <c r="H1377" s="108" t="s">
        <v>14029</v>
      </c>
      <c r="I1377" s="117">
        <v>2</v>
      </c>
      <c r="J1377" s="113"/>
      <c r="K1377" s="108" t="s">
        <v>14030</v>
      </c>
      <c r="L1377" s="117">
        <v>2</v>
      </c>
      <c r="M1377" s="113"/>
      <c r="N1377" s="108" t="s">
        <v>14028</v>
      </c>
      <c r="O1377" s="117">
        <v>2</v>
      </c>
      <c r="P1377" s="113"/>
      <c r="Q1377" s="108" t="s">
        <v>14031</v>
      </c>
      <c r="R1377" s="117">
        <v>2</v>
      </c>
      <c r="S1377" s="111" t="s">
        <v>40</v>
      </c>
      <c r="T1377" s="108" t="s">
        <v>12164</v>
      </c>
      <c r="U1377" s="110">
        <v>3</v>
      </c>
      <c r="V1377" s="113"/>
      <c r="W1377" s="108" t="s">
        <v>47</v>
      </c>
      <c r="X1377" s="114"/>
      <c r="Y1377" s="113"/>
      <c r="Z1377" s="108" t="s">
        <v>47</v>
      </c>
      <c r="AA1377" s="114"/>
      <c r="AB1377" s="113"/>
      <c r="AC1377" s="105" t="s">
        <v>3184</v>
      </c>
      <c r="AD1377" s="115" t="s">
        <v>107</v>
      </c>
    </row>
    <row r="1378" spans="1:30" x14ac:dyDescent="0.2">
      <c r="A1378" s="104" t="s">
        <v>14032</v>
      </c>
      <c r="B1378" s="105" t="s">
        <v>805</v>
      </c>
      <c r="C1378" s="105" t="s">
        <v>2369</v>
      </c>
      <c r="D1378" s="106"/>
      <c r="E1378" s="107" t="s">
        <v>146</v>
      </c>
      <c r="F1378" s="108" t="s">
        <v>14033</v>
      </c>
      <c r="G1378" s="109">
        <v>4</v>
      </c>
      <c r="H1378" s="108" t="s">
        <v>14034</v>
      </c>
      <c r="I1378" s="110">
        <v>3</v>
      </c>
      <c r="J1378" s="113"/>
      <c r="K1378" s="108" t="s">
        <v>14035</v>
      </c>
      <c r="L1378" s="112">
        <v>4</v>
      </c>
      <c r="M1378" s="113"/>
      <c r="N1378" s="108" t="s">
        <v>14033</v>
      </c>
      <c r="O1378" s="112">
        <v>4</v>
      </c>
      <c r="P1378" s="113"/>
      <c r="Q1378" s="108" t="s">
        <v>14036</v>
      </c>
      <c r="R1378" s="110">
        <v>3</v>
      </c>
      <c r="S1378" s="111" t="s">
        <v>46</v>
      </c>
      <c r="T1378" s="108" t="s">
        <v>47</v>
      </c>
      <c r="U1378" s="114"/>
      <c r="V1378" s="113"/>
      <c r="W1378" s="108" t="s">
        <v>47</v>
      </c>
      <c r="X1378" s="114"/>
      <c r="Y1378" s="113"/>
      <c r="Z1378" s="108" t="s">
        <v>47</v>
      </c>
      <c r="AA1378" s="114"/>
      <c r="AB1378" s="113"/>
      <c r="AC1378" s="105" t="s">
        <v>3185</v>
      </c>
      <c r="AD1378" s="115" t="s">
        <v>107</v>
      </c>
    </row>
    <row r="1379" spans="1:30" x14ac:dyDescent="0.2">
      <c r="A1379" s="104" t="s">
        <v>14037</v>
      </c>
      <c r="B1379" s="105" t="s">
        <v>805</v>
      </c>
      <c r="C1379" s="105" t="s">
        <v>2414</v>
      </c>
      <c r="D1379" s="106" t="s">
        <v>125</v>
      </c>
      <c r="E1379" s="107" t="s">
        <v>146</v>
      </c>
      <c r="F1379" s="108" t="s">
        <v>14038</v>
      </c>
      <c r="G1379" s="118">
        <v>3</v>
      </c>
      <c r="H1379" s="108" t="s">
        <v>14039</v>
      </c>
      <c r="I1379" s="117">
        <v>2</v>
      </c>
      <c r="J1379" s="111" t="s">
        <v>40</v>
      </c>
      <c r="K1379" s="108" t="s">
        <v>14040</v>
      </c>
      <c r="L1379" s="110">
        <v>3</v>
      </c>
      <c r="M1379" s="113"/>
      <c r="N1379" s="108" t="s">
        <v>14038</v>
      </c>
      <c r="O1379" s="110">
        <v>3</v>
      </c>
      <c r="P1379" s="113"/>
      <c r="Q1379" s="108" t="s">
        <v>14041</v>
      </c>
      <c r="R1379" s="110">
        <v>3</v>
      </c>
      <c r="S1379" s="113"/>
      <c r="T1379" s="108" t="s">
        <v>14042</v>
      </c>
      <c r="U1379" s="117">
        <v>2</v>
      </c>
      <c r="V1379" s="113"/>
      <c r="W1379" s="108" t="s">
        <v>47</v>
      </c>
      <c r="X1379" s="114"/>
      <c r="Y1379" s="113"/>
      <c r="Z1379" s="108" t="s">
        <v>47</v>
      </c>
      <c r="AA1379" s="114"/>
      <c r="AB1379" s="113"/>
      <c r="AC1379" s="105" t="s">
        <v>3186</v>
      </c>
      <c r="AD1379" s="115" t="s">
        <v>107</v>
      </c>
    </row>
    <row r="1380" spans="1:30" x14ac:dyDescent="0.2">
      <c r="A1380" s="104" t="s">
        <v>14043</v>
      </c>
      <c r="B1380" s="105" t="s">
        <v>805</v>
      </c>
      <c r="C1380" s="105" t="s">
        <v>2414</v>
      </c>
      <c r="D1380" s="106" t="s">
        <v>125</v>
      </c>
      <c r="E1380" s="107" t="s">
        <v>146</v>
      </c>
      <c r="F1380" s="108" t="s">
        <v>14044</v>
      </c>
      <c r="G1380" s="118">
        <v>3</v>
      </c>
      <c r="H1380" s="108" t="s">
        <v>14045</v>
      </c>
      <c r="I1380" s="117">
        <v>2</v>
      </c>
      <c r="J1380" s="111" t="s">
        <v>40</v>
      </c>
      <c r="K1380" s="108" t="s">
        <v>14046</v>
      </c>
      <c r="L1380" s="110">
        <v>3</v>
      </c>
      <c r="M1380" s="113"/>
      <c r="N1380" s="108" t="s">
        <v>14044</v>
      </c>
      <c r="O1380" s="110">
        <v>3</v>
      </c>
      <c r="P1380" s="113"/>
      <c r="Q1380" s="108" t="s">
        <v>14047</v>
      </c>
      <c r="R1380" s="110">
        <v>3</v>
      </c>
      <c r="S1380" s="113"/>
      <c r="T1380" s="108" t="s">
        <v>14048</v>
      </c>
      <c r="U1380" s="117">
        <v>2</v>
      </c>
      <c r="V1380" s="113"/>
      <c r="W1380" s="108" t="s">
        <v>47</v>
      </c>
      <c r="X1380" s="114"/>
      <c r="Y1380" s="113"/>
      <c r="Z1380" s="108" t="s">
        <v>47</v>
      </c>
      <c r="AA1380" s="114"/>
      <c r="AB1380" s="113"/>
      <c r="AC1380" s="105" t="s">
        <v>3187</v>
      </c>
      <c r="AD1380" s="115" t="s">
        <v>107</v>
      </c>
    </row>
    <row r="1381" spans="1:30" x14ac:dyDescent="0.2">
      <c r="A1381" s="104" t="s">
        <v>14049</v>
      </c>
      <c r="B1381" s="105" t="s">
        <v>805</v>
      </c>
      <c r="C1381" s="105" t="s">
        <v>2414</v>
      </c>
      <c r="D1381" s="106" t="s">
        <v>125</v>
      </c>
      <c r="E1381" s="107" t="s">
        <v>146</v>
      </c>
      <c r="F1381" s="108" t="s">
        <v>14050</v>
      </c>
      <c r="G1381" s="118">
        <v>3</v>
      </c>
      <c r="H1381" s="108" t="s">
        <v>14051</v>
      </c>
      <c r="I1381" s="117">
        <v>2</v>
      </c>
      <c r="J1381" s="111" t="s">
        <v>40</v>
      </c>
      <c r="K1381" s="108" t="s">
        <v>14052</v>
      </c>
      <c r="L1381" s="110">
        <v>3</v>
      </c>
      <c r="M1381" s="113"/>
      <c r="N1381" s="108" t="s">
        <v>14050</v>
      </c>
      <c r="O1381" s="110">
        <v>3</v>
      </c>
      <c r="P1381" s="113"/>
      <c r="Q1381" s="108" t="s">
        <v>14053</v>
      </c>
      <c r="R1381" s="110">
        <v>3</v>
      </c>
      <c r="S1381" s="113"/>
      <c r="T1381" s="108" t="s">
        <v>14054</v>
      </c>
      <c r="U1381" s="117">
        <v>2</v>
      </c>
      <c r="V1381" s="113"/>
      <c r="W1381" s="108" t="s">
        <v>47</v>
      </c>
      <c r="X1381" s="114"/>
      <c r="Y1381" s="113"/>
      <c r="Z1381" s="108" t="s">
        <v>47</v>
      </c>
      <c r="AA1381" s="114"/>
      <c r="AB1381" s="113"/>
      <c r="AC1381" s="105" t="s">
        <v>3188</v>
      </c>
      <c r="AD1381" s="115" t="s">
        <v>107</v>
      </c>
    </row>
    <row r="1382" spans="1:30" x14ac:dyDescent="0.2">
      <c r="A1382" s="104" t="s">
        <v>14055</v>
      </c>
      <c r="B1382" s="105" t="s">
        <v>805</v>
      </c>
      <c r="C1382" s="105" t="s">
        <v>2414</v>
      </c>
      <c r="D1382" s="106" t="s">
        <v>125</v>
      </c>
      <c r="E1382" s="107" t="s">
        <v>146</v>
      </c>
      <c r="F1382" s="108" t="s">
        <v>14056</v>
      </c>
      <c r="G1382" s="118">
        <v>3</v>
      </c>
      <c r="H1382" s="108" t="s">
        <v>14057</v>
      </c>
      <c r="I1382" s="110">
        <v>3</v>
      </c>
      <c r="J1382" s="113"/>
      <c r="K1382" s="108" t="s">
        <v>14058</v>
      </c>
      <c r="L1382" s="110">
        <v>3</v>
      </c>
      <c r="M1382" s="113"/>
      <c r="N1382" s="108" t="s">
        <v>14056</v>
      </c>
      <c r="O1382" s="110">
        <v>3</v>
      </c>
      <c r="P1382" s="113"/>
      <c r="Q1382" s="108" t="s">
        <v>14059</v>
      </c>
      <c r="R1382" s="110">
        <v>3</v>
      </c>
      <c r="S1382" s="113"/>
      <c r="T1382" s="108" t="s">
        <v>14060</v>
      </c>
      <c r="U1382" s="110">
        <v>3</v>
      </c>
      <c r="V1382" s="113"/>
      <c r="W1382" s="108" t="s">
        <v>47</v>
      </c>
      <c r="X1382" s="114"/>
      <c r="Y1382" s="113"/>
      <c r="Z1382" s="108" t="s">
        <v>47</v>
      </c>
      <c r="AA1382" s="114"/>
      <c r="AB1382" s="113"/>
      <c r="AC1382" s="105" t="s">
        <v>3189</v>
      </c>
      <c r="AD1382" s="115" t="s">
        <v>107</v>
      </c>
    </row>
    <row r="1383" spans="1:30" x14ac:dyDescent="0.2">
      <c r="A1383" s="104" t="s">
        <v>14061</v>
      </c>
      <c r="B1383" s="105" t="s">
        <v>805</v>
      </c>
      <c r="C1383" s="105" t="s">
        <v>2414</v>
      </c>
      <c r="D1383" s="106" t="s">
        <v>125</v>
      </c>
      <c r="E1383" s="107" t="s">
        <v>146</v>
      </c>
      <c r="F1383" s="108" t="s">
        <v>14062</v>
      </c>
      <c r="G1383" s="118">
        <v>3</v>
      </c>
      <c r="H1383" s="108" t="s">
        <v>14063</v>
      </c>
      <c r="I1383" s="110">
        <v>3</v>
      </c>
      <c r="J1383" s="113"/>
      <c r="K1383" s="108" t="s">
        <v>14064</v>
      </c>
      <c r="L1383" s="110">
        <v>3</v>
      </c>
      <c r="M1383" s="113"/>
      <c r="N1383" s="108" t="s">
        <v>14062</v>
      </c>
      <c r="O1383" s="110">
        <v>3</v>
      </c>
      <c r="P1383" s="113"/>
      <c r="Q1383" s="108" t="s">
        <v>14065</v>
      </c>
      <c r="R1383" s="110">
        <v>3</v>
      </c>
      <c r="S1383" s="113"/>
      <c r="T1383" s="108" t="s">
        <v>14066</v>
      </c>
      <c r="U1383" s="110">
        <v>3</v>
      </c>
      <c r="V1383" s="113"/>
      <c r="W1383" s="108" t="s">
        <v>47</v>
      </c>
      <c r="X1383" s="114"/>
      <c r="Y1383" s="113"/>
      <c r="Z1383" s="108" t="s">
        <v>47</v>
      </c>
      <c r="AA1383" s="114"/>
      <c r="AB1383" s="113"/>
      <c r="AC1383" s="105" t="s">
        <v>3190</v>
      </c>
      <c r="AD1383" s="115" t="s">
        <v>107</v>
      </c>
    </row>
    <row r="1384" spans="1:30" x14ac:dyDescent="0.2">
      <c r="A1384" s="104" t="s">
        <v>14067</v>
      </c>
      <c r="B1384" s="105" t="s">
        <v>805</v>
      </c>
      <c r="C1384" s="105" t="s">
        <v>375</v>
      </c>
      <c r="D1384" s="106"/>
      <c r="E1384" s="107" t="s">
        <v>146</v>
      </c>
      <c r="F1384" s="108" t="s">
        <v>14068</v>
      </c>
      <c r="G1384" s="120">
        <v>2</v>
      </c>
      <c r="H1384" s="108" t="s">
        <v>14069</v>
      </c>
      <c r="I1384" s="117">
        <v>2</v>
      </c>
      <c r="J1384" s="113"/>
      <c r="K1384" s="108" t="s">
        <v>14070</v>
      </c>
      <c r="L1384" s="117">
        <v>2</v>
      </c>
      <c r="M1384" s="113"/>
      <c r="N1384" s="108" t="s">
        <v>14068</v>
      </c>
      <c r="O1384" s="117">
        <v>2</v>
      </c>
      <c r="P1384" s="113"/>
      <c r="Q1384" s="108" t="s">
        <v>14071</v>
      </c>
      <c r="R1384" s="110">
        <v>3</v>
      </c>
      <c r="S1384" s="111" t="s">
        <v>46</v>
      </c>
      <c r="T1384" s="108" t="s">
        <v>47</v>
      </c>
      <c r="U1384" s="114"/>
      <c r="V1384" s="113"/>
      <c r="W1384" s="108" t="s">
        <v>47</v>
      </c>
      <c r="X1384" s="114"/>
      <c r="Y1384" s="113"/>
      <c r="Z1384" s="108" t="s">
        <v>47</v>
      </c>
      <c r="AA1384" s="114"/>
      <c r="AB1384" s="113"/>
      <c r="AC1384" s="105" t="s">
        <v>3191</v>
      </c>
      <c r="AD1384" s="115" t="s">
        <v>107</v>
      </c>
    </row>
    <row r="1385" spans="1:30" x14ac:dyDescent="0.2">
      <c r="A1385" s="104" t="s">
        <v>14072</v>
      </c>
      <c r="B1385" s="105" t="s">
        <v>805</v>
      </c>
      <c r="C1385" s="105" t="s">
        <v>375</v>
      </c>
      <c r="D1385" s="106"/>
      <c r="E1385" s="107" t="s">
        <v>146</v>
      </c>
      <c r="F1385" s="108" t="s">
        <v>14073</v>
      </c>
      <c r="G1385" s="120">
        <v>2</v>
      </c>
      <c r="H1385" s="108" t="s">
        <v>14074</v>
      </c>
      <c r="I1385" s="117">
        <v>2</v>
      </c>
      <c r="J1385" s="113"/>
      <c r="K1385" s="108" t="s">
        <v>14075</v>
      </c>
      <c r="L1385" s="117">
        <v>2</v>
      </c>
      <c r="M1385" s="113"/>
      <c r="N1385" s="108" t="s">
        <v>14073</v>
      </c>
      <c r="O1385" s="117">
        <v>2</v>
      </c>
      <c r="P1385" s="113"/>
      <c r="Q1385" s="108" t="s">
        <v>14076</v>
      </c>
      <c r="R1385" s="110">
        <v>3</v>
      </c>
      <c r="S1385" s="111" t="s">
        <v>46</v>
      </c>
      <c r="T1385" s="108" t="s">
        <v>47</v>
      </c>
      <c r="U1385" s="114"/>
      <c r="V1385" s="113"/>
      <c r="W1385" s="108" t="s">
        <v>47</v>
      </c>
      <c r="X1385" s="114"/>
      <c r="Y1385" s="113"/>
      <c r="Z1385" s="108" t="s">
        <v>47</v>
      </c>
      <c r="AA1385" s="114"/>
      <c r="AB1385" s="113"/>
      <c r="AC1385" s="105" t="s">
        <v>3192</v>
      </c>
      <c r="AD1385" s="115" t="s">
        <v>107</v>
      </c>
    </row>
    <row r="1386" spans="1:30" x14ac:dyDescent="0.2">
      <c r="A1386" s="104" t="s">
        <v>14077</v>
      </c>
      <c r="B1386" s="105" t="s">
        <v>805</v>
      </c>
      <c r="C1386" s="105" t="s">
        <v>375</v>
      </c>
      <c r="D1386" s="106" t="s">
        <v>125</v>
      </c>
      <c r="E1386" s="107" t="s">
        <v>146</v>
      </c>
      <c r="F1386" s="108" t="s">
        <v>14078</v>
      </c>
      <c r="G1386" s="120">
        <v>2</v>
      </c>
      <c r="H1386" s="108" t="s">
        <v>14079</v>
      </c>
      <c r="I1386" s="117">
        <v>2</v>
      </c>
      <c r="J1386" s="113"/>
      <c r="K1386" s="108" t="s">
        <v>14080</v>
      </c>
      <c r="L1386" s="117">
        <v>2</v>
      </c>
      <c r="M1386" s="113"/>
      <c r="N1386" s="108" t="s">
        <v>14078</v>
      </c>
      <c r="O1386" s="117">
        <v>2</v>
      </c>
      <c r="P1386" s="113"/>
      <c r="Q1386" s="108" t="s">
        <v>14081</v>
      </c>
      <c r="R1386" s="110">
        <v>3</v>
      </c>
      <c r="S1386" s="111" t="s">
        <v>46</v>
      </c>
      <c r="T1386" s="108" t="s">
        <v>14082</v>
      </c>
      <c r="U1386" s="117">
        <v>2</v>
      </c>
      <c r="V1386" s="113"/>
      <c r="W1386" s="108" t="s">
        <v>14083</v>
      </c>
      <c r="X1386" s="117">
        <v>2</v>
      </c>
      <c r="Y1386" s="113"/>
      <c r="Z1386" s="108" t="s">
        <v>14084</v>
      </c>
      <c r="AA1386" s="117">
        <v>2</v>
      </c>
      <c r="AB1386" s="113"/>
      <c r="AC1386" s="105" t="s">
        <v>3193</v>
      </c>
      <c r="AD1386" s="115" t="s">
        <v>107</v>
      </c>
    </row>
    <row r="1387" spans="1:30" x14ac:dyDescent="0.2">
      <c r="A1387" s="104" t="s">
        <v>14085</v>
      </c>
      <c r="B1387" s="105" t="s">
        <v>805</v>
      </c>
      <c r="C1387" s="105" t="s">
        <v>375</v>
      </c>
      <c r="D1387" s="106" t="s">
        <v>125</v>
      </c>
      <c r="E1387" s="107" t="s">
        <v>146</v>
      </c>
      <c r="F1387" s="108" t="s">
        <v>14086</v>
      </c>
      <c r="G1387" s="120">
        <v>2</v>
      </c>
      <c r="H1387" s="108" t="s">
        <v>14087</v>
      </c>
      <c r="I1387" s="117">
        <v>2</v>
      </c>
      <c r="J1387" s="113"/>
      <c r="K1387" s="108" t="s">
        <v>14088</v>
      </c>
      <c r="L1387" s="117">
        <v>2</v>
      </c>
      <c r="M1387" s="113"/>
      <c r="N1387" s="108" t="s">
        <v>14086</v>
      </c>
      <c r="O1387" s="117">
        <v>2</v>
      </c>
      <c r="P1387" s="113"/>
      <c r="Q1387" s="108" t="s">
        <v>14089</v>
      </c>
      <c r="R1387" s="110">
        <v>3</v>
      </c>
      <c r="S1387" s="111" t="s">
        <v>46</v>
      </c>
      <c r="T1387" s="108" t="s">
        <v>14090</v>
      </c>
      <c r="U1387" s="117">
        <v>2</v>
      </c>
      <c r="V1387" s="113"/>
      <c r="W1387" s="108" t="s">
        <v>14091</v>
      </c>
      <c r="X1387" s="117">
        <v>2</v>
      </c>
      <c r="Y1387" s="113"/>
      <c r="Z1387" s="108" t="s">
        <v>47</v>
      </c>
      <c r="AA1387" s="114"/>
      <c r="AB1387" s="113"/>
      <c r="AC1387" s="105" t="s">
        <v>3194</v>
      </c>
      <c r="AD1387" s="115" t="s">
        <v>107</v>
      </c>
    </row>
    <row r="1388" spans="1:30" x14ac:dyDescent="0.2">
      <c r="A1388" s="104" t="s">
        <v>14092</v>
      </c>
      <c r="B1388" s="105" t="s">
        <v>805</v>
      </c>
      <c r="C1388" s="105" t="s">
        <v>2592</v>
      </c>
      <c r="D1388" s="106"/>
      <c r="E1388" s="107" t="s">
        <v>146</v>
      </c>
      <c r="F1388" s="108" t="s">
        <v>14093</v>
      </c>
      <c r="G1388" s="120">
        <v>2</v>
      </c>
      <c r="H1388" s="108" t="s">
        <v>14094</v>
      </c>
      <c r="I1388" s="117">
        <v>2</v>
      </c>
      <c r="J1388" s="113"/>
      <c r="K1388" s="108" t="s">
        <v>14095</v>
      </c>
      <c r="L1388" s="117">
        <v>2</v>
      </c>
      <c r="M1388" s="113"/>
      <c r="N1388" s="108" t="s">
        <v>14093</v>
      </c>
      <c r="O1388" s="117">
        <v>2</v>
      </c>
      <c r="P1388" s="113"/>
      <c r="Q1388" s="108" t="s">
        <v>14096</v>
      </c>
      <c r="R1388" s="117">
        <v>2</v>
      </c>
      <c r="S1388" s="113"/>
      <c r="T1388" s="108" t="s">
        <v>47</v>
      </c>
      <c r="U1388" s="114"/>
      <c r="V1388" s="113"/>
      <c r="W1388" s="108" t="s">
        <v>47</v>
      </c>
      <c r="X1388" s="114"/>
      <c r="Y1388" s="113"/>
      <c r="Z1388" s="108" t="s">
        <v>47</v>
      </c>
      <c r="AA1388" s="114"/>
      <c r="AB1388" s="113"/>
      <c r="AC1388" s="105" t="s">
        <v>3195</v>
      </c>
      <c r="AD1388" s="115" t="s">
        <v>107</v>
      </c>
    </row>
    <row r="1389" spans="1:30" x14ac:dyDescent="0.2">
      <c r="A1389" s="104" t="s">
        <v>14097</v>
      </c>
      <c r="B1389" s="105" t="s">
        <v>805</v>
      </c>
      <c r="C1389" s="105" t="s">
        <v>2592</v>
      </c>
      <c r="D1389" s="106"/>
      <c r="E1389" s="107" t="s">
        <v>146</v>
      </c>
      <c r="F1389" s="108" t="s">
        <v>14098</v>
      </c>
      <c r="G1389" s="119">
        <v>1</v>
      </c>
      <c r="H1389" s="108" t="s">
        <v>14099</v>
      </c>
      <c r="I1389" s="116">
        <v>1</v>
      </c>
      <c r="J1389" s="113"/>
      <c r="K1389" s="108" t="s">
        <v>14100</v>
      </c>
      <c r="L1389" s="116">
        <v>1</v>
      </c>
      <c r="M1389" s="113"/>
      <c r="N1389" s="108" t="s">
        <v>14098</v>
      </c>
      <c r="O1389" s="116">
        <v>1</v>
      </c>
      <c r="P1389" s="113"/>
      <c r="Q1389" s="108" t="s">
        <v>14101</v>
      </c>
      <c r="R1389" s="117">
        <v>2</v>
      </c>
      <c r="S1389" s="113"/>
      <c r="T1389" s="108" t="s">
        <v>47</v>
      </c>
      <c r="U1389" s="114"/>
      <c r="V1389" s="113"/>
      <c r="W1389" s="108" t="s">
        <v>47</v>
      </c>
      <c r="X1389" s="114"/>
      <c r="Y1389" s="113"/>
      <c r="Z1389" s="108" t="s">
        <v>47</v>
      </c>
      <c r="AA1389" s="114"/>
      <c r="AB1389" s="113"/>
      <c r="AC1389" s="105" t="s">
        <v>3196</v>
      </c>
      <c r="AD1389" s="115" t="s">
        <v>107</v>
      </c>
    </row>
    <row r="1390" spans="1:30" x14ac:dyDescent="0.2">
      <c r="A1390" s="104" t="s">
        <v>14102</v>
      </c>
      <c r="B1390" s="105" t="s">
        <v>805</v>
      </c>
      <c r="C1390" s="105" t="s">
        <v>375</v>
      </c>
      <c r="D1390" s="106" t="s">
        <v>125</v>
      </c>
      <c r="E1390" s="107" t="s">
        <v>146</v>
      </c>
      <c r="F1390" s="108" t="s">
        <v>14103</v>
      </c>
      <c r="G1390" s="120">
        <v>2</v>
      </c>
      <c r="H1390" s="108" t="s">
        <v>14104</v>
      </c>
      <c r="I1390" s="117">
        <v>2</v>
      </c>
      <c r="J1390" s="113"/>
      <c r="K1390" s="108" t="s">
        <v>14105</v>
      </c>
      <c r="L1390" s="117">
        <v>2</v>
      </c>
      <c r="M1390" s="113"/>
      <c r="N1390" s="108" t="s">
        <v>14103</v>
      </c>
      <c r="O1390" s="117">
        <v>2</v>
      </c>
      <c r="P1390" s="113"/>
      <c r="Q1390" s="108" t="s">
        <v>14106</v>
      </c>
      <c r="R1390" s="110">
        <v>3</v>
      </c>
      <c r="S1390" s="111" t="s">
        <v>46</v>
      </c>
      <c r="T1390" s="108" t="s">
        <v>14107</v>
      </c>
      <c r="U1390" s="117">
        <v>2</v>
      </c>
      <c r="V1390" s="113"/>
      <c r="W1390" s="108" t="s">
        <v>14108</v>
      </c>
      <c r="X1390" s="117">
        <v>2</v>
      </c>
      <c r="Y1390" s="113"/>
      <c r="Z1390" s="108" t="s">
        <v>47</v>
      </c>
      <c r="AA1390" s="114"/>
      <c r="AB1390" s="113"/>
      <c r="AC1390" s="105" t="s">
        <v>3197</v>
      </c>
      <c r="AD1390" s="115" t="s">
        <v>107</v>
      </c>
    </row>
    <row r="1391" spans="1:30" x14ac:dyDescent="0.2">
      <c r="A1391" s="104" t="s">
        <v>14109</v>
      </c>
      <c r="B1391" s="105" t="s">
        <v>805</v>
      </c>
      <c r="C1391" s="105" t="s">
        <v>375</v>
      </c>
      <c r="D1391" s="106"/>
      <c r="E1391" s="107" t="s">
        <v>146</v>
      </c>
      <c r="F1391" s="108" t="s">
        <v>14110</v>
      </c>
      <c r="G1391" s="120">
        <v>2</v>
      </c>
      <c r="H1391" s="108" t="s">
        <v>14111</v>
      </c>
      <c r="I1391" s="117">
        <v>2</v>
      </c>
      <c r="J1391" s="113"/>
      <c r="K1391" s="108" t="s">
        <v>14112</v>
      </c>
      <c r="L1391" s="117">
        <v>2</v>
      </c>
      <c r="M1391" s="113"/>
      <c r="N1391" s="108" t="s">
        <v>14110</v>
      </c>
      <c r="O1391" s="117">
        <v>2</v>
      </c>
      <c r="P1391" s="113"/>
      <c r="Q1391" s="108" t="s">
        <v>14113</v>
      </c>
      <c r="R1391" s="110">
        <v>3</v>
      </c>
      <c r="S1391" s="111" t="s">
        <v>46</v>
      </c>
      <c r="T1391" s="108" t="s">
        <v>47</v>
      </c>
      <c r="U1391" s="114"/>
      <c r="V1391" s="113"/>
      <c r="W1391" s="108" t="s">
        <v>47</v>
      </c>
      <c r="X1391" s="114"/>
      <c r="Y1391" s="113"/>
      <c r="Z1391" s="108" t="s">
        <v>47</v>
      </c>
      <c r="AA1391" s="114"/>
      <c r="AB1391" s="113"/>
      <c r="AC1391" s="105" t="s">
        <v>3198</v>
      </c>
      <c r="AD1391" s="115" t="s">
        <v>107</v>
      </c>
    </row>
    <row r="1392" spans="1:30" x14ac:dyDescent="0.2">
      <c r="A1392" s="104" t="s">
        <v>14114</v>
      </c>
      <c r="B1392" s="105" t="s">
        <v>805</v>
      </c>
      <c r="C1392" s="105" t="s">
        <v>375</v>
      </c>
      <c r="D1392" s="106" t="s">
        <v>94</v>
      </c>
      <c r="E1392" s="107" t="s">
        <v>146</v>
      </c>
      <c r="F1392" s="108" t="s">
        <v>14115</v>
      </c>
      <c r="G1392" s="120">
        <v>2</v>
      </c>
      <c r="H1392" s="108" t="s">
        <v>14116</v>
      </c>
      <c r="I1392" s="117">
        <v>2</v>
      </c>
      <c r="J1392" s="113"/>
      <c r="K1392" s="108" t="s">
        <v>14117</v>
      </c>
      <c r="L1392" s="117">
        <v>2</v>
      </c>
      <c r="M1392" s="113"/>
      <c r="N1392" s="108" t="s">
        <v>14115</v>
      </c>
      <c r="O1392" s="117">
        <v>2</v>
      </c>
      <c r="P1392" s="113"/>
      <c r="Q1392" s="108" t="s">
        <v>14118</v>
      </c>
      <c r="R1392" s="110">
        <v>3</v>
      </c>
      <c r="S1392" s="111" t="s">
        <v>46</v>
      </c>
      <c r="T1392" s="108" t="s">
        <v>14119</v>
      </c>
      <c r="U1392" s="117">
        <v>2</v>
      </c>
      <c r="V1392" s="113"/>
      <c r="W1392" s="108" t="s">
        <v>14120</v>
      </c>
      <c r="X1392" s="117">
        <v>2</v>
      </c>
      <c r="Y1392" s="113"/>
      <c r="Z1392" s="108" t="s">
        <v>14121</v>
      </c>
      <c r="AA1392" s="117">
        <v>2</v>
      </c>
      <c r="AB1392" s="113"/>
      <c r="AC1392" s="105" t="s">
        <v>3199</v>
      </c>
      <c r="AD1392" s="115" t="s">
        <v>107</v>
      </c>
    </row>
    <row r="1393" spans="1:30" x14ac:dyDescent="0.2">
      <c r="A1393" s="104" t="s">
        <v>14122</v>
      </c>
      <c r="B1393" s="105" t="s">
        <v>805</v>
      </c>
      <c r="C1393" s="105" t="s">
        <v>375</v>
      </c>
      <c r="D1393" s="106" t="s">
        <v>94</v>
      </c>
      <c r="E1393" s="107" t="s">
        <v>146</v>
      </c>
      <c r="F1393" s="108" t="s">
        <v>14123</v>
      </c>
      <c r="G1393" s="120">
        <v>2</v>
      </c>
      <c r="H1393" s="108" t="s">
        <v>14124</v>
      </c>
      <c r="I1393" s="117">
        <v>2</v>
      </c>
      <c r="J1393" s="113"/>
      <c r="K1393" s="108" t="s">
        <v>14125</v>
      </c>
      <c r="L1393" s="117">
        <v>2</v>
      </c>
      <c r="M1393" s="113"/>
      <c r="N1393" s="108" t="s">
        <v>14123</v>
      </c>
      <c r="O1393" s="117">
        <v>2</v>
      </c>
      <c r="P1393" s="113"/>
      <c r="Q1393" s="108" t="s">
        <v>14126</v>
      </c>
      <c r="R1393" s="110">
        <v>3</v>
      </c>
      <c r="S1393" s="111" t="s">
        <v>46</v>
      </c>
      <c r="T1393" s="108" t="s">
        <v>14127</v>
      </c>
      <c r="U1393" s="117">
        <v>2</v>
      </c>
      <c r="V1393" s="113"/>
      <c r="W1393" s="108" t="s">
        <v>14128</v>
      </c>
      <c r="X1393" s="117">
        <v>2</v>
      </c>
      <c r="Y1393" s="113"/>
      <c r="Z1393" s="108" t="s">
        <v>14129</v>
      </c>
      <c r="AA1393" s="117">
        <v>2</v>
      </c>
      <c r="AB1393" s="113"/>
      <c r="AC1393" s="105" t="s">
        <v>3200</v>
      </c>
      <c r="AD1393" s="115" t="s">
        <v>107</v>
      </c>
    </row>
    <row r="1394" spans="1:30" x14ac:dyDescent="0.2">
      <c r="A1394" s="104" t="s">
        <v>14130</v>
      </c>
      <c r="B1394" s="105" t="s">
        <v>805</v>
      </c>
      <c r="C1394" s="105" t="s">
        <v>2592</v>
      </c>
      <c r="D1394" s="106"/>
      <c r="E1394" s="107" t="s">
        <v>146</v>
      </c>
      <c r="F1394" s="108" t="s">
        <v>47</v>
      </c>
      <c r="G1394" s="113"/>
      <c r="H1394" s="108" t="s">
        <v>47</v>
      </c>
      <c r="I1394" s="114"/>
      <c r="J1394" s="113"/>
      <c r="K1394" s="108" t="s">
        <v>47</v>
      </c>
      <c r="L1394" s="114"/>
      <c r="M1394" s="113"/>
      <c r="N1394" s="108" t="s">
        <v>47</v>
      </c>
      <c r="O1394" s="114"/>
      <c r="P1394" s="113"/>
      <c r="Q1394" s="108" t="s">
        <v>47</v>
      </c>
      <c r="R1394" s="114"/>
      <c r="S1394" s="113"/>
      <c r="T1394" s="108" t="s">
        <v>47</v>
      </c>
      <c r="U1394" s="114"/>
      <c r="V1394" s="113"/>
      <c r="W1394" s="108" t="s">
        <v>47</v>
      </c>
      <c r="X1394" s="114"/>
      <c r="Y1394" s="113"/>
      <c r="Z1394" s="108" t="s">
        <v>47</v>
      </c>
      <c r="AA1394" s="114"/>
      <c r="AB1394" s="113"/>
      <c r="AC1394" s="105" t="s">
        <v>3201</v>
      </c>
      <c r="AD1394" s="115" t="s">
        <v>107</v>
      </c>
    </row>
    <row r="1395" spans="1:30" x14ac:dyDescent="0.2">
      <c r="A1395" s="104" t="s">
        <v>14131</v>
      </c>
      <c r="B1395" s="105" t="s">
        <v>805</v>
      </c>
      <c r="C1395" s="105" t="s">
        <v>375</v>
      </c>
      <c r="D1395" s="106" t="s">
        <v>94</v>
      </c>
      <c r="E1395" s="107" t="s">
        <v>146</v>
      </c>
      <c r="F1395" s="108" t="s">
        <v>14132</v>
      </c>
      <c r="G1395" s="120">
        <v>2</v>
      </c>
      <c r="H1395" s="108" t="s">
        <v>14133</v>
      </c>
      <c r="I1395" s="117">
        <v>2</v>
      </c>
      <c r="J1395" s="113"/>
      <c r="K1395" s="108" t="s">
        <v>14134</v>
      </c>
      <c r="L1395" s="117">
        <v>2</v>
      </c>
      <c r="M1395" s="113"/>
      <c r="N1395" s="108" t="s">
        <v>14132</v>
      </c>
      <c r="O1395" s="117">
        <v>2</v>
      </c>
      <c r="P1395" s="113"/>
      <c r="Q1395" s="108" t="s">
        <v>14135</v>
      </c>
      <c r="R1395" s="110">
        <v>3</v>
      </c>
      <c r="S1395" s="111" t="s">
        <v>46</v>
      </c>
      <c r="T1395" s="108" t="s">
        <v>14136</v>
      </c>
      <c r="U1395" s="117">
        <v>2</v>
      </c>
      <c r="V1395" s="113"/>
      <c r="W1395" s="108" t="s">
        <v>14137</v>
      </c>
      <c r="X1395" s="117">
        <v>2</v>
      </c>
      <c r="Y1395" s="113"/>
      <c r="Z1395" s="108" t="s">
        <v>47</v>
      </c>
      <c r="AA1395" s="114"/>
      <c r="AB1395" s="113"/>
      <c r="AC1395" s="105" t="s">
        <v>3202</v>
      </c>
      <c r="AD1395" s="115" t="s">
        <v>107</v>
      </c>
    </row>
    <row r="1396" spans="1:30" x14ac:dyDescent="0.2">
      <c r="A1396" s="104" t="s">
        <v>14138</v>
      </c>
      <c r="B1396" s="105" t="s">
        <v>805</v>
      </c>
      <c r="C1396" s="105" t="s">
        <v>375</v>
      </c>
      <c r="D1396" s="106"/>
      <c r="E1396" s="107" t="s">
        <v>146</v>
      </c>
      <c r="F1396" s="108" t="s">
        <v>14110</v>
      </c>
      <c r="G1396" s="120">
        <v>2</v>
      </c>
      <c r="H1396" s="108" t="s">
        <v>14111</v>
      </c>
      <c r="I1396" s="117">
        <v>2</v>
      </c>
      <c r="J1396" s="113"/>
      <c r="K1396" s="108" t="s">
        <v>14112</v>
      </c>
      <c r="L1396" s="117">
        <v>2</v>
      </c>
      <c r="M1396" s="113"/>
      <c r="N1396" s="108" t="s">
        <v>14110</v>
      </c>
      <c r="O1396" s="117">
        <v>2</v>
      </c>
      <c r="P1396" s="113"/>
      <c r="Q1396" s="108" t="s">
        <v>14113</v>
      </c>
      <c r="R1396" s="110">
        <v>3</v>
      </c>
      <c r="S1396" s="111" t="s">
        <v>46</v>
      </c>
      <c r="T1396" s="108" t="s">
        <v>47</v>
      </c>
      <c r="U1396" s="114"/>
      <c r="V1396" s="113"/>
      <c r="W1396" s="108" t="s">
        <v>47</v>
      </c>
      <c r="X1396" s="114"/>
      <c r="Y1396" s="113"/>
      <c r="Z1396" s="108" t="s">
        <v>47</v>
      </c>
      <c r="AA1396" s="114"/>
      <c r="AB1396" s="113"/>
      <c r="AC1396" s="105" t="s">
        <v>3203</v>
      </c>
      <c r="AD1396" s="115" t="s">
        <v>107</v>
      </c>
    </row>
    <row r="1397" spans="1:30" x14ac:dyDescent="0.2">
      <c r="A1397" s="104" t="s">
        <v>14139</v>
      </c>
      <c r="B1397" s="105" t="s">
        <v>805</v>
      </c>
      <c r="C1397" s="105" t="s">
        <v>375</v>
      </c>
      <c r="D1397" s="106" t="s">
        <v>125</v>
      </c>
      <c r="E1397" s="107" t="s">
        <v>146</v>
      </c>
      <c r="F1397" s="108" t="s">
        <v>14140</v>
      </c>
      <c r="G1397" s="120">
        <v>2</v>
      </c>
      <c r="H1397" s="108" t="s">
        <v>14141</v>
      </c>
      <c r="I1397" s="117">
        <v>2</v>
      </c>
      <c r="J1397" s="113"/>
      <c r="K1397" s="108" t="s">
        <v>14142</v>
      </c>
      <c r="L1397" s="117">
        <v>2</v>
      </c>
      <c r="M1397" s="113"/>
      <c r="N1397" s="108" t="s">
        <v>14140</v>
      </c>
      <c r="O1397" s="117">
        <v>2</v>
      </c>
      <c r="P1397" s="113"/>
      <c r="Q1397" s="108" t="s">
        <v>14143</v>
      </c>
      <c r="R1397" s="110">
        <v>3</v>
      </c>
      <c r="S1397" s="111" t="s">
        <v>46</v>
      </c>
      <c r="T1397" s="108" t="s">
        <v>14144</v>
      </c>
      <c r="U1397" s="117">
        <v>2</v>
      </c>
      <c r="V1397" s="113"/>
      <c r="W1397" s="108" t="s">
        <v>14145</v>
      </c>
      <c r="X1397" s="117">
        <v>2</v>
      </c>
      <c r="Y1397" s="113"/>
      <c r="Z1397" s="108" t="s">
        <v>14146</v>
      </c>
      <c r="AA1397" s="117">
        <v>2</v>
      </c>
      <c r="AB1397" s="113"/>
      <c r="AC1397" s="105" t="s">
        <v>3204</v>
      </c>
      <c r="AD1397" s="115" t="s">
        <v>107</v>
      </c>
    </row>
    <row r="1398" spans="1:30" x14ac:dyDescent="0.2">
      <c r="A1398" s="104" t="s">
        <v>14147</v>
      </c>
      <c r="B1398" s="105" t="s">
        <v>805</v>
      </c>
      <c r="C1398" s="105" t="s">
        <v>375</v>
      </c>
      <c r="D1398" s="106"/>
      <c r="E1398" s="107" t="s">
        <v>146</v>
      </c>
      <c r="F1398" s="108" t="s">
        <v>14148</v>
      </c>
      <c r="G1398" s="120">
        <v>2</v>
      </c>
      <c r="H1398" s="108" t="s">
        <v>14149</v>
      </c>
      <c r="I1398" s="117">
        <v>2</v>
      </c>
      <c r="J1398" s="113"/>
      <c r="K1398" s="108" t="s">
        <v>14150</v>
      </c>
      <c r="L1398" s="117">
        <v>2</v>
      </c>
      <c r="M1398" s="113"/>
      <c r="N1398" s="108" t="s">
        <v>14148</v>
      </c>
      <c r="O1398" s="117">
        <v>2</v>
      </c>
      <c r="P1398" s="113"/>
      <c r="Q1398" s="108" t="s">
        <v>14151</v>
      </c>
      <c r="R1398" s="110">
        <v>3</v>
      </c>
      <c r="S1398" s="111" t="s">
        <v>46</v>
      </c>
      <c r="T1398" s="108" t="s">
        <v>47</v>
      </c>
      <c r="U1398" s="114"/>
      <c r="V1398" s="113"/>
      <c r="W1398" s="108" t="s">
        <v>47</v>
      </c>
      <c r="X1398" s="114"/>
      <c r="Y1398" s="113"/>
      <c r="Z1398" s="108" t="s">
        <v>47</v>
      </c>
      <c r="AA1398" s="114"/>
      <c r="AB1398" s="113"/>
      <c r="AC1398" s="105" t="s">
        <v>3205</v>
      </c>
      <c r="AD1398" s="115" t="s">
        <v>107</v>
      </c>
    </row>
    <row r="1399" spans="1:30" x14ac:dyDescent="0.2">
      <c r="A1399" s="104" t="s">
        <v>14152</v>
      </c>
      <c r="B1399" s="105" t="s">
        <v>805</v>
      </c>
      <c r="C1399" s="105" t="s">
        <v>2592</v>
      </c>
      <c r="D1399" s="106"/>
      <c r="E1399" s="107" t="s">
        <v>146</v>
      </c>
      <c r="F1399" s="108" t="s">
        <v>14153</v>
      </c>
      <c r="G1399" s="120">
        <v>2</v>
      </c>
      <c r="H1399" s="108" t="s">
        <v>14154</v>
      </c>
      <c r="I1399" s="117">
        <v>2</v>
      </c>
      <c r="J1399" s="113"/>
      <c r="K1399" s="108" t="s">
        <v>14155</v>
      </c>
      <c r="L1399" s="117">
        <v>2</v>
      </c>
      <c r="M1399" s="113"/>
      <c r="N1399" s="108" t="s">
        <v>14153</v>
      </c>
      <c r="O1399" s="117">
        <v>2</v>
      </c>
      <c r="P1399" s="113"/>
      <c r="Q1399" s="108" t="s">
        <v>14156</v>
      </c>
      <c r="R1399" s="117">
        <v>2</v>
      </c>
      <c r="S1399" s="113"/>
      <c r="T1399" s="108" t="s">
        <v>47</v>
      </c>
      <c r="U1399" s="114"/>
      <c r="V1399" s="113"/>
      <c r="W1399" s="108" t="s">
        <v>47</v>
      </c>
      <c r="X1399" s="114"/>
      <c r="Y1399" s="113"/>
      <c r="Z1399" s="108" t="s">
        <v>47</v>
      </c>
      <c r="AA1399" s="114"/>
      <c r="AB1399" s="113"/>
      <c r="AC1399" s="105" t="s">
        <v>3206</v>
      </c>
      <c r="AD1399" s="115" t="s">
        <v>107</v>
      </c>
    </row>
    <row r="1400" spans="1:30" x14ac:dyDescent="0.2">
      <c r="A1400" s="104" t="s">
        <v>14157</v>
      </c>
      <c r="B1400" s="105" t="s">
        <v>805</v>
      </c>
      <c r="C1400" s="105" t="s">
        <v>2592</v>
      </c>
      <c r="D1400" s="106"/>
      <c r="E1400" s="107" t="s">
        <v>146</v>
      </c>
      <c r="F1400" s="108" t="s">
        <v>14158</v>
      </c>
      <c r="G1400" s="120">
        <v>2</v>
      </c>
      <c r="H1400" s="108" t="s">
        <v>14159</v>
      </c>
      <c r="I1400" s="117">
        <v>2</v>
      </c>
      <c r="J1400" s="113"/>
      <c r="K1400" s="108" t="s">
        <v>14160</v>
      </c>
      <c r="L1400" s="117">
        <v>2</v>
      </c>
      <c r="M1400" s="113"/>
      <c r="N1400" s="108" t="s">
        <v>14158</v>
      </c>
      <c r="O1400" s="117">
        <v>2</v>
      </c>
      <c r="P1400" s="113"/>
      <c r="Q1400" s="108" t="s">
        <v>14161</v>
      </c>
      <c r="R1400" s="117">
        <v>2</v>
      </c>
      <c r="S1400" s="113"/>
      <c r="T1400" s="108" t="s">
        <v>47</v>
      </c>
      <c r="U1400" s="114"/>
      <c r="V1400" s="113"/>
      <c r="W1400" s="108" t="s">
        <v>47</v>
      </c>
      <c r="X1400" s="114"/>
      <c r="Y1400" s="113"/>
      <c r="Z1400" s="108" t="s">
        <v>47</v>
      </c>
      <c r="AA1400" s="114"/>
      <c r="AB1400" s="113"/>
      <c r="AC1400" s="105" t="s">
        <v>3207</v>
      </c>
      <c r="AD1400" s="115" t="s">
        <v>107</v>
      </c>
    </row>
    <row r="1401" spans="1:30" x14ac:dyDescent="0.2">
      <c r="A1401" s="104" t="s">
        <v>14162</v>
      </c>
      <c r="B1401" s="105" t="s">
        <v>805</v>
      </c>
      <c r="C1401" s="105" t="s">
        <v>2592</v>
      </c>
      <c r="D1401" s="106"/>
      <c r="E1401" s="107" t="s">
        <v>146</v>
      </c>
      <c r="F1401" s="108" t="s">
        <v>14163</v>
      </c>
      <c r="G1401" s="118">
        <v>3</v>
      </c>
      <c r="H1401" s="108" t="s">
        <v>14164</v>
      </c>
      <c r="I1401" s="112">
        <v>4</v>
      </c>
      <c r="J1401" s="113"/>
      <c r="K1401" s="108" t="s">
        <v>14165</v>
      </c>
      <c r="L1401" s="110">
        <v>3</v>
      </c>
      <c r="M1401" s="113"/>
      <c r="N1401" s="108" t="s">
        <v>14163</v>
      </c>
      <c r="O1401" s="110">
        <v>3</v>
      </c>
      <c r="P1401" s="113"/>
      <c r="Q1401" s="108" t="s">
        <v>14166</v>
      </c>
      <c r="R1401" s="112">
        <v>4</v>
      </c>
      <c r="S1401" s="113"/>
      <c r="T1401" s="108" t="s">
        <v>47</v>
      </c>
      <c r="U1401" s="114"/>
      <c r="V1401" s="113"/>
      <c r="W1401" s="108" t="s">
        <v>47</v>
      </c>
      <c r="X1401" s="114"/>
      <c r="Y1401" s="113"/>
      <c r="Z1401" s="108" t="s">
        <v>47</v>
      </c>
      <c r="AA1401" s="114"/>
      <c r="AB1401" s="113"/>
      <c r="AC1401" s="105" t="s">
        <v>3208</v>
      </c>
      <c r="AD1401" s="115" t="s">
        <v>107</v>
      </c>
    </row>
    <row r="1402" spans="1:30" x14ac:dyDescent="0.2">
      <c r="A1402" s="104" t="s">
        <v>14167</v>
      </c>
      <c r="B1402" s="105" t="s">
        <v>805</v>
      </c>
      <c r="C1402" s="105" t="s">
        <v>2592</v>
      </c>
      <c r="D1402" s="106"/>
      <c r="E1402" s="107" t="s">
        <v>146</v>
      </c>
      <c r="F1402" s="108" t="s">
        <v>14168</v>
      </c>
      <c r="G1402" s="118">
        <v>3</v>
      </c>
      <c r="H1402" s="108" t="s">
        <v>14169</v>
      </c>
      <c r="I1402" s="112">
        <v>4</v>
      </c>
      <c r="J1402" s="113"/>
      <c r="K1402" s="108" t="s">
        <v>14170</v>
      </c>
      <c r="L1402" s="110">
        <v>3</v>
      </c>
      <c r="M1402" s="113"/>
      <c r="N1402" s="108" t="s">
        <v>14168</v>
      </c>
      <c r="O1402" s="110">
        <v>3</v>
      </c>
      <c r="P1402" s="113"/>
      <c r="Q1402" s="108" t="s">
        <v>14171</v>
      </c>
      <c r="R1402" s="112">
        <v>4</v>
      </c>
      <c r="S1402" s="113"/>
      <c r="T1402" s="108" t="s">
        <v>47</v>
      </c>
      <c r="U1402" s="114"/>
      <c r="V1402" s="113"/>
      <c r="W1402" s="108" t="s">
        <v>47</v>
      </c>
      <c r="X1402" s="114"/>
      <c r="Y1402" s="113"/>
      <c r="Z1402" s="108" t="s">
        <v>47</v>
      </c>
      <c r="AA1402" s="114"/>
      <c r="AB1402" s="113"/>
      <c r="AC1402" s="105" t="s">
        <v>3209</v>
      </c>
      <c r="AD1402" s="115" t="s">
        <v>107</v>
      </c>
    </row>
    <row r="1403" spans="1:30" x14ac:dyDescent="0.2">
      <c r="A1403" s="104" t="s">
        <v>14172</v>
      </c>
      <c r="B1403" s="105" t="s">
        <v>805</v>
      </c>
      <c r="C1403" s="105" t="s">
        <v>375</v>
      </c>
      <c r="D1403" s="106" t="s">
        <v>125</v>
      </c>
      <c r="E1403" s="107" t="s">
        <v>146</v>
      </c>
      <c r="F1403" s="108" t="s">
        <v>14173</v>
      </c>
      <c r="G1403" s="120">
        <v>2</v>
      </c>
      <c r="H1403" s="108" t="s">
        <v>14174</v>
      </c>
      <c r="I1403" s="117">
        <v>2</v>
      </c>
      <c r="J1403" s="113"/>
      <c r="K1403" s="108" t="s">
        <v>14175</v>
      </c>
      <c r="L1403" s="117">
        <v>2</v>
      </c>
      <c r="M1403" s="113"/>
      <c r="N1403" s="108" t="s">
        <v>14173</v>
      </c>
      <c r="O1403" s="117">
        <v>2</v>
      </c>
      <c r="P1403" s="113"/>
      <c r="Q1403" s="108" t="s">
        <v>14176</v>
      </c>
      <c r="R1403" s="110">
        <v>3</v>
      </c>
      <c r="S1403" s="111" t="s">
        <v>46</v>
      </c>
      <c r="T1403" s="108" t="s">
        <v>14177</v>
      </c>
      <c r="U1403" s="117">
        <v>2</v>
      </c>
      <c r="V1403" s="113"/>
      <c r="W1403" s="108" t="s">
        <v>47</v>
      </c>
      <c r="X1403" s="114"/>
      <c r="Y1403" s="113"/>
      <c r="Z1403" s="108" t="s">
        <v>47</v>
      </c>
      <c r="AA1403" s="114"/>
      <c r="AB1403" s="113"/>
      <c r="AC1403" s="105" t="s">
        <v>3210</v>
      </c>
      <c r="AD1403" s="115" t="s">
        <v>107</v>
      </c>
    </row>
    <row r="1404" spans="1:30" x14ac:dyDescent="0.2">
      <c r="A1404" s="104" t="s">
        <v>14178</v>
      </c>
      <c r="B1404" s="105" t="s">
        <v>805</v>
      </c>
      <c r="C1404" s="105" t="s">
        <v>375</v>
      </c>
      <c r="D1404" s="106" t="s">
        <v>125</v>
      </c>
      <c r="E1404" s="107" t="s">
        <v>146</v>
      </c>
      <c r="F1404" s="108" t="s">
        <v>14179</v>
      </c>
      <c r="G1404" s="120">
        <v>2</v>
      </c>
      <c r="H1404" s="108" t="s">
        <v>14180</v>
      </c>
      <c r="I1404" s="117">
        <v>2</v>
      </c>
      <c r="J1404" s="113"/>
      <c r="K1404" s="108" t="s">
        <v>14181</v>
      </c>
      <c r="L1404" s="117">
        <v>2</v>
      </c>
      <c r="M1404" s="113"/>
      <c r="N1404" s="108" t="s">
        <v>14179</v>
      </c>
      <c r="O1404" s="117">
        <v>2</v>
      </c>
      <c r="P1404" s="113"/>
      <c r="Q1404" s="108" t="s">
        <v>14182</v>
      </c>
      <c r="R1404" s="110">
        <v>3</v>
      </c>
      <c r="S1404" s="111" t="s">
        <v>46</v>
      </c>
      <c r="T1404" s="108" t="s">
        <v>14183</v>
      </c>
      <c r="U1404" s="117">
        <v>2</v>
      </c>
      <c r="V1404" s="113"/>
      <c r="W1404" s="108" t="s">
        <v>47</v>
      </c>
      <c r="X1404" s="114"/>
      <c r="Y1404" s="113"/>
      <c r="Z1404" s="108" t="s">
        <v>47</v>
      </c>
      <c r="AA1404" s="114"/>
      <c r="AB1404" s="113"/>
      <c r="AC1404" s="105" t="s">
        <v>3211</v>
      </c>
      <c r="AD1404" s="115" t="s">
        <v>107</v>
      </c>
    </row>
    <row r="1405" spans="1:30" x14ac:dyDescent="0.2">
      <c r="A1405" s="104" t="s">
        <v>14184</v>
      </c>
      <c r="B1405" s="105" t="s">
        <v>805</v>
      </c>
      <c r="C1405" s="105" t="s">
        <v>428</v>
      </c>
      <c r="D1405" s="106"/>
      <c r="E1405" s="107" t="s">
        <v>376</v>
      </c>
      <c r="F1405" s="108" t="s">
        <v>14185</v>
      </c>
      <c r="G1405" s="109">
        <v>4</v>
      </c>
      <c r="H1405" s="108" t="s">
        <v>14186</v>
      </c>
      <c r="I1405" s="117">
        <v>2</v>
      </c>
      <c r="J1405" s="111" t="s">
        <v>53</v>
      </c>
      <c r="K1405" s="108" t="s">
        <v>14187</v>
      </c>
      <c r="L1405" s="112">
        <v>4</v>
      </c>
      <c r="M1405" s="113"/>
      <c r="N1405" s="108" t="s">
        <v>14185</v>
      </c>
      <c r="O1405" s="112">
        <v>4</v>
      </c>
      <c r="P1405" s="113"/>
      <c r="Q1405" s="108" t="s">
        <v>14188</v>
      </c>
      <c r="R1405" s="110">
        <v>3</v>
      </c>
      <c r="S1405" s="113"/>
      <c r="T1405" s="108" t="s">
        <v>47</v>
      </c>
      <c r="U1405" s="114"/>
      <c r="V1405" s="113"/>
      <c r="W1405" s="108" t="s">
        <v>47</v>
      </c>
      <c r="X1405" s="114"/>
      <c r="Y1405" s="113"/>
      <c r="Z1405" s="108" t="s">
        <v>47</v>
      </c>
      <c r="AA1405" s="114"/>
      <c r="AB1405" s="113"/>
      <c r="AC1405" s="105" t="s">
        <v>3212</v>
      </c>
      <c r="AD1405" s="115" t="s">
        <v>107</v>
      </c>
    </row>
    <row r="1406" spans="1:30" x14ac:dyDescent="0.2">
      <c r="A1406" s="104" t="s">
        <v>14189</v>
      </c>
      <c r="B1406" s="105" t="s">
        <v>805</v>
      </c>
      <c r="C1406" s="105" t="s">
        <v>428</v>
      </c>
      <c r="D1406" s="106"/>
      <c r="E1406" s="107" t="s">
        <v>376</v>
      </c>
      <c r="F1406" s="108" t="s">
        <v>14190</v>
      </c>
      <c r="G1406" s="109">
        <v>4</v>
      </c>
      <c r="H1406" s="108" t="s">
        <v>14191</v>
      </c>
      <c r="I1406" s="117">
        <v>2</v>
      </c>
      <c r="J1406" s="111" t="s">
        <v>53</v>
      </c>
      <c r="K1406" s="108" t="s">
        <v>14192</v>
      </c>
      <c r="L1406" s="112">
        <v>4</v>
      </c>
      <c r="M1406" s="113"/>
      <c r="N1406" s="108" t="s">
        <v>14190</v>
      </c>
      <c r="O1406" s="112">
        <v>4</v>
      </c>
      <c r="P1406" s="113"/>
      <c r="Q1406" s="108" t="s">
        <v>14193</v>
      </c>
      <c r="R1406" s="110">
        <v>3</v>
      </c>
      <c r="S1406" s="111" t="s">
        <v>40</v>
      </c>
      <c r="T1406" s="108" t="s">
        <v>47</v>
      </c>
      <c r="U1406" s="114"/>
      <c r="V1406" s="113"/>
      <c r="W1406" s="108" t="s">
        <v>47</v>
      </c>
      <c r="X1406" s="114"/>
      <c r="Y1406" s="113"/>
      <c r="Z1406" s="108" t="s">
        <v>47</v>
      </c>
      <c r="AA1406" s="114"/>
      <c r="AB1406" s="113"/>
      <c r="AC1406" s="105" t="s">
        <v>3213</v>
      </c>
      <c r="AD1406" s="115" t="s">
        <v>107</v>
      </c>
    </row>
    <row r="1407" spans="1:30" x14ac:dyDescent="0.2">
      <c r="A1407" s="104" t="s">
        <v>14194</v>
      </c>
      <c r="B1407" s="105" t="s">
        <v>805</v>
      </c>
      <c r="C1407" s="105" t="s">
        <v>428</v>
      </c>
      <c r="D1407" s="106"/>
      <c r="E1407" s="107" t="s">
        <v>376</v>
      </c>
      <c r="F1407" s="108" t="s">
        <v>14195</v>
      </c>
      <c r="G1407" s="109">
        <v>4</v>
      </c>
      <c r="H1407" s="108" t="s">
        <v>14196</v>
      </c>
      <c r="I1407" s="117">
        <v>2</v>
      </c>
      <c r="J1407" s="111" t="s">
        <v>53</v>
      </c>
      <c r="K1407" s="108" t="s">
        <v>14197</v>
      </c>
      <c r="L1407" s="112">
        <v>4</v>
      </c>
      <c r="M1407" s="113"/>
      <c r="N1407" s="108" t="s">
        <v>14195</v>
      </c>
      <c r="O1407" s="112">
        <v>4</v>
      </c>
      <c r="P1407" s="113"/>
      <c r="Q1407" s="108" t="s">
        <v>14198</v>
      </c>
      <c r="R1407" s="110">
        <v>3</v>
      </c>
      <c r="S1407" s="111" t="s">
        <v>40</v>
      </c>
      <c r="T1407" s="108" t="s">
        <v>47</v>
      </c>
      <c r="U1407" s="114"/>
      <c r="V1407" s="113"/>
      <c r="W1407" s="108" t="s">
        <v>47</v>
      </c>
      <c r="X1407" s="114"/>
      <c r="Y1407" s="113"/>
      <c r="Z1407" s="108" t="s">
        <v>47</v>
      </c>
      <c r="AA1407" s="114"/>
      <c r="AB1407" s="113"/>
      <c r="AC1407" s="105" t="s">
        <v>3214</v>
      </c>
      <c r="AD1407" s="115" t="s">
        <v>107</v>
      </c>
    </row>
    <row r="1408" spans="1:30" x14ac:dyDescent="0.2">
      <c r="A1408" s="104" t="s">
        <v>14199</v>
      </c>
      <c r="B1408" s="105" t="s">
        <v>805</v>
      </c>
      <c r="C1408" s="105" t="s">
        <v>428</v>
      </c>
      <c r="D1408" s="106"/>
      <c r="E1408" s="107" t="s">
        <v>376</v>
      </c>
      <c r="F1408" s="108" t="s">
        <v>14200</v>
      </c>
      <c r="G1408" s="109">
        <v>4</v>
      </c>
      <c r="H1408" s="108" t="s">
        <v>14201</v>
      </c>
      <c r="I1408" s="117">
        <v>2</v>
      </c>
      <c r="J1408" s="111" t="s">
        <v>53</v>
      </c>
      <c r="K1408" s="108" t="s">
        <v>14202</v>
      </c>
      <c r="L1408" s="112">
        <v>4</v>
      </c>
      <c r="M1408" s="113"/>
      <c r="N1408" s="108" t="s">
        <v>14200</v>
      </c>
      <c r="O1408" s="112">
        <v>4</v>
      </c>
      <c r="P1408" s="113"/>
      <c r="Q1408" s="108" t="s">
        <v>14203</v>
      </c>
      <c r="R1408" s="110">
        <v>3</v>
      </c>
      <c r="S1408" s="111" t="s">
        <v>40</v>
      </c>
      <c r="T1408" s="108" t="s">
        <v>47</v>
      </c>
      <c r="U1408" s="114"/>
      <c r="V1408" s="113"/>
      <c r="W1408" s="108" t="s">
        <v>47</v>
      </c>
      <c r="X1408" s="114"/>
      <c r="Y1408" s="113"/>
      <c r="Z1408" s="108" t="s">
        <v>47</v>
      </c>
      <c r="AA1408" s="114"/>
      <c r="AB1408" s="113"/>
      <c r="AC1408" s="105" t="s">
        <v>3215</v>
      </c>
      <c r="AD1408" s="115" t="s">
        <v>107</v>
      </c>
    </row>
    <row r="1409" spans="1:30" x14ac:dyDescent="0.2">
      <c r="A1409" s="104" t="s">
        <v>14204</v>
      </c>
      <c r="B1409" s="105" t="s">
        <v>805</v>
      </c>
      <c r="C1409" s="105" t="s">
        <v>428</v>
      </c>
      <c r="D1409" s="106"/>
      <c r="E1409" s="107" t="s">
        <v>376</v>
      </c>
      <c r="F1409" s="108" t="s">
        <v>14205</v>
      </c>
      <c r="G1409" s="109">
        <v>4</v>
      </c>
      <c r="H1409" s="108" t="s">
        <v>14206</v>
      </c>
      <c r="I1409" s="117">
        <v>2</v>
      </c>
      <c r="J1409" s="111" t="s">
        <v>53</v>
      </c>
      <c r="K1409" s="108" t="s">
        <v>14207</v>
      </c>
      <c r="L1409" s="112">
        <v>4</v>
      </c>
      <c r="M1409" s="113"/>
      <c r="N1409" s="108" t="s">
        <v>14205</v>
      </c>
      <c r="O1409" s="112">
        <v>4</v>
      </c>
      <c r="P1409" s="113"/>
      <c r="Q1409" s="108" t="s">
        <v>14208</v>
      </c>
      <c r="R1409" s="112">
        <v>4</v>
      </c>
      <c r="S1409" s="113"/>
      <c r="T1409" s="108" t="s">
        <v>14209</v>
      </c>
      <c r="U1409" s="112">
        <v>4</v>
      </c>
      <c r="V1409" s="111" t="s">
        <v>46</v>
      </c>
      <c r="W1409" s="108" t="s">
        <v>14210</v>
      </c>
      <c r="X1409" s="110">
        <v>3</v>
      </c>
      <c r="Y1409" s="113"/>
      <c r="Z1409" s="108" t="s">
        <v>13282</v>
      </c>
      <c r="AA1409" s="112">
        <v>4</v>
      </c>
      <c r="AB1409" s="113"/>
      <c r="AC1409" s="105" t="s">
        <v>3216</v>
      </c>
      <c r="AD1409" s="115" t="s">
        <v>107</v>
      </c>
    </row>
    <row r="1410" spans="1:30" x14ac:dyDescent="0.2">
      <c r="A1410" s="104" t="s">
        <v>14211</v>
      </c>
      <c r="B1410" s="105" t="s">
        <v>805</v>
      </c>
      <c r="C1410" s="105" t="s">
        <v>428</v>
      </c>
      <c r="D1410" s="106"/>
      <c r="E1410" s="107" t="s">
        <v>376</v>
      </c>
      <c r="F1410" s="108" t="s">
        <v>14212</v>
      </c>
      <c r="G1410" s="109">
        <v>4</v>
      </c>
      <c r="H1410" s="108" t="s">
        <v>14213</v>
      </c>
      <c r="I1410" s="117">
        <v>2</v>
      </c>
      <c r="J1410" s="111" t="s">
        <v>53</v>
      </c>
      <c r="K1410" s="108" t="s">
        <v>14214</v>
      </c>
      <c r="L1410" s="112">
        <v>4</v>
      </c>
      <c r="M1410" s="113"/>
      <c r="N1410" s="108" t="s">
        <v>14212</v>
      </c>
      <c r="O1410" s="112">
        <v>4</v>
      </c>
      <c r="P1410" s="113"/>
      <c r="Q1410" s="108" t="s">
        <v>14215</v>
      </c>
      <c r="R1410" s="112">
        <v>4</v>
      </c>
      <c r="S1410" s="113"/>
      <c r="T1410" s="108" t="s">
        <v>14216</v>
      </c>
      <c r="U1410" s="112">
        <v>4</v>
      </c>
      <c r="V1410" s="111" t="s">
        <v>46</v>
      </c>
      <c r="W1410" s="108" t="s">
        <v>3217</v>
      </c>
      <c r="X1410" s="110">
        <v>3</v>
      </c>
      <c r="Y1410" s="113"/>
      <c r="Z1410" s="108" t="s">
        <v>47</v>
      </c>
      <c r="AA1410" s="114"/>
      <c r="AB1410" s="113"/>
      <c r="AC1410" s="105" t="s">
        <v>3218</v>
      </c>
      <c r="AD1410" s="115" t="s">
        <v>107</v>
      </c>
    </row>
    <row r="1411" spans="1:30" x14ac:dyDescent="0.2">
      <c r="A1411" s="104" t="s">
        <v>14217</v>
      </c>
      <c r="B1411" s="105" t="s">
        <v>805</v>
      </c>
      <c r="C1411" s="105" t="s">
        <v>428</v>
      </c>
      <c r="D1411" s="106"/>
      <c r="E1411" s="107" t="s">
        <v>376</v>
      </c>
      <c r="F1411" s="108" t="s">
        <v>14218</v>
      </c>
      <c r="G1411" s="109">
        <v>4</v>
      </c>
      <c r="H1411" s="108" t="s">
        <v>14219</v>
      </c>
      <c r="I1411" s="117">
        <v>2</v>
      </c>
      <c r="J1411" s="111" t="s">
        <v>53</v>
      </c>
      <c r="K1411" s="108" t="s">
        <v>14220</v>
      </c>
      <c r="L1411" s="112">
        <v>4</v>
      </c>
      <c r="M1411" s="113"/>
      <c r="N1411" s="108" t="s">
        <v>14218</v>
      </c>
      <c r="O1411" s="112">
        <v>4</v>
      </c>
      <c r="P1411" s="113"/>
      <c r="Q1411" s="108" t="s">
        <v>14221</v>
      </c>
      <c r="R1411" s="110">
        <v>3</v>
      </c>
      <c r="S1411" s="111" t="s">
        <v>40</v>
      </c>
      <c r="T1411" s="108" t="s">
        <v>14222</v>
      </c>
      <c r="U1411" s="112">
        <v>4</v>
      </c>
      <c r="V1411" s="111" t="s">
        <v>46</v>
      </c>
      <c r="W1411" s="108" t="s">
        <v>14223</v>
      </c>
      <c r="X1411" s="110">
        <v>3</v>
      </c>
      <c r="Y1411" s="111" t="s">
        <v>46</v>
      </c>
      <c r="Z1411" s="108" t="s">
        <v>14224</v>
      </c>
      <c r="AA1411" s="112">
        <v>4</v>
      </c>
      <c r="AB1411" s="113"/>
      <c r="AC1411" s="105" t="s">
        <v>3219</v>
      </c>
      <c r="AD1411" s="115" t="s">
        <v>107</v>
      </c>
    </row>
    <row r="1412" spans="1:30" x14ac:dyDescent="0.2">
      <c r="A1412" s="104" t="s">
        <v>14225</v>
      </c>
      <c r="B1412" s="105" t="s">
        <v>805</v>
      </c>
      <c r="C1412" s="105" t="s">
        <v>428</v>
      </c>
      <c r="D1412" s="106"/>
      <c r="E1412" s="107" t="s">
        <v>376</v>
      </c>
      <c r="F1412" s="108" t="s">
        <v>14226</v>
      </c>
      <c r="G1412" s="109">
        <v>4</v>
      </c>
      <c r="H1412" s="108" t="s">
        <v>14227</v>
      </c>
      <c r="I1412" s="117">
        <v>2</v>
      </c>
      <c r="J1412" s="111" t="s">
        <v>53</v>
      </c>
      <c r="K1412" s="108" t="s">
        <v>3220</v>
      </c>
      <c r="L1412" s="112">
        <v>4</v>
      </c>
      <c r="M1412" s="113"/>
      <c r="N1412" s="108" t="s">
        <v>14226</v>
      </c>
      <c r="O1412" s="112">
        <v>4</v>
      </c>
      <c r="P1412" s="113"/>
      <c r="Q1412" s="108" t="s">
        <v>14228</v>
      </c>
      <c r="R1412" s="110">
        <v>3</v>
      </c>
      <c r="S1412" s="111" t="s">
        <v>40</v>
      </c>
      <c r="T1412" s="108" t="s">
        <v>14222</v>
      </c>
      <c r="U1412" s="112">
        <v>4</v>
      </c>
      <c r="V1412" s="111" t="s">
        <v>46</v>
      </c>
      <c r="W1412" s="108" t="s">
        <v>10170</v>
      </c>
      <c r="X1412" s="110">
        <v>3</v>
      </c>
      <c r="Y1412" s="111" t="s">
        <v>46</v>
      </c>
      <c r="Z1412" s="108" t="s">
        <v>14229</v>
      </c>
      <c r="AA1412" s="112">
        <v>4</v>
      </c>
      <c r="AB1412" s="113"/>
      <c r="AC1412" s="105" t="s">
        <v>3221</v>
      </c>
      <c r="AD1412" s="115" t="s">
        <v>107</v>
      </c>
    </row>
    <row r="1413" spans="1:30" x14ac:dyDescent="0.2">
      <c r="A1413" s="104" t="s">
        <v>14230</v>
      </c>
      <c r="B1413" s="105" t="s">
        <v>805</v>
      </c>
      <c r="C1413" s="105" t="s">
        <v>428</v>
      </c>
      <c r="D1413" s="106"/>
      <c r="E1413" s="107" t="s">
        <v>376</v>
      </c>
      <c r="F1413" s="108" t="s">
        <v>14231</v>
      </c>
      <c r="G1413" s="109">
        <v>4</v>
      </c>
      <c r="H1413" s="108" t="s">
        <v>14232</v>
      </c>
      <c r="I1413" s="117">
        <v>2</v>
      </c>
      <c r="J1413" s="111" t="s">
        <v>53</v>
      </c>
      <c r="K1413" s="108" t="s">
        <v>3222</v>
      </c>
      <c r="L1413" s="112">
        <v>4</v>
      </c>
      <c r="M1413" s="113"/>
      <c r="N1413" s="108" t="s">
        <v>14231</v>
      </c>
      <c r="O1413" s="112">
        <v>4</v>
      </c>
      <c r="P1413" s="113"/>
      <c r="Q1413" s="108" t="s">
        <v>14233</v>
      </c>
      <c r="R1413" s="112">
        <v>4</v>
      </c>
      <c r="S1413" s="113"/>
      <c r="T1413" s="108" t="s">
        <v>14234</v>
      </c>
      <c r="U1413" s="112">
        <v>4</v>
      </c>
      <c r="V1413" s="111" t="s">
        <v>46</v>
      </c>
      <c r="W1413" s="108" t="s">
        <v>3223</v>
      </c>
      <c r="X1413" s="110">
        <v>3</v>
      </c>
      <c r="Y1413" s="113"/>
      <c r="Z1413" s="108" t="s">
        <v>47</v>
      </c>
      <c r="AA1413" s="114"/>
      <c r="AB1413" s="113"/>
      <c r="AC1413" s="105" t="s">
        <v>3224</v>
      </c>
      <c r="AD1413" s="115" t="s">
        <v>107</v>
      </c>
    </row>
    <row r="1414" spans="1:30" x14ac:dyDescent="0.2">
      <c r="A1414" s="104" t="s">
        <v>14235</v>
      </c>
      <c r="B1414" s="105" t="s">
        <v>805</v>
      </c>
      <c r="C1414" s="105" t="s">
        <v>428</v>
      </c>
      <c r="D1414" s="106"/>
      <c r="E1414" s="107" t="s">
        <v>376</v>
      </c>
      <c r="F1414" s="108" t="s">
        <v>14236</v>
      </c>
      <c r="G1414" s="109">
        <v>4</v>
      </c>
      <c r="H1414" s="108" t="s">
        <v>14237</v>
      </c>
      <c r="I1414" s="117">
        <v>2</v>
      </c>
      <c r="J1414" s="111" t="s">
        <v>53</v>
      </c>
      <c r="K1414" s="108" t="s">
        <v>14238</v>
      </c>
      <c r="L1414" s="112">
        <v>4</v>
      </c>
      <c r="M1414" s="113"/>
      <c r="N1414" s="108" t="s">
        <v>14236</v>
      </c>
      <c r="O1414" s="112">
        <v>4</v>
      </c>
      <c r="P1414" s="113"/>
      <c r="Q1414" s="108" t="s">
        <v>14239</v>
      </c>
      <c r="R1414" s="112">
        <v>4</v>
      </c>
      <c r="S1414" s="113"/>
      <c r="T1414" s="108" t="s">
        <v>14240</v>
      </c>
      <c r="U1414" s="112">
        <v>4</v>
      </c>
      <c r="V1414" s="111" t="s">
        <v>46</v>
      </c>
      <c r="W1414" s="108" t="s">
        <v>47</v>
      </c>
      <c r="X1414" s="114"/>
      <c r="Y1414" s="113"/>
      <c r="Z1414" s="108" t="s">
        <v>47</v>
      </c>
      <c r="AA1414" s="114"/>
      <c r="AB1414" s="113"/>
      <c r="AC1414" s="105" t="s">
        <v>3225</v>
      </c>
      <c r="AD1414" s="115" t="s">
        <v>107</v>
      </c>
    </row>
    <row r="1415" spans="1:30" x14ac:dyDescent="0.2">
      <c r="A1415" s="104" t="s">
        <v>14241</v>
      </c>
      <c r="B1415" s="105" t="s">
        <v>805</v>
      </c>
      <c r="C1415" s="105" t="s">
        <v>428</v>
      </c>
      <c r="D1415" s="106"/>
      <c r="E1415" s="107" t="s">
        <v>376</v>
      </c>
      <c r="F1415" s="108" t="s">
        <v>14242</v>
      </c>
      <c r="G1415" s="109">
        <v>4</v>
      </c>
      <c r="H1415" s="108" t="s">
        <v>14243</v>
      </c>
      <c r="I1415" s="117">
        <v>2</v>
      </c>
      <c r="J1415" s="111" t="s">
        <v>53</v>
      </c>
      <c r="K1415" s="108" t="s">
        <v>3226</v>
      </c>
      <c r="L1415" s="112">
        <v>4</v>
      </c>
      <c r="M1415" s="113"/>
      <c r="N1415" s="108" t="s">
        <v>14242</v>
      </c>
      <c r="O1415" s="112">
        <v>4</v>
      </c>
      <c r="P1415" s="113"/>
      <c r="Q1415" s="108" t="s">
        <v>14244</v>
      </c>
      <c r="R1415" s="110">
        <v>3</v>
      </c>
      <c r="S1415" s="111" t="s">
        <v>40</v>
      </c>
      <c r="T1415" s="108" t="s">
        <v>14245</v>
      </c>
      <c r="U1415" s="112">
        <v>4</v>
      </c>
      <c r="V1415" s="111" t="s">
        <v>46</v>
      </c>
      <c r="W1415" s="108" t="s">
        <v>47</v>
      </c>
      <c r="X1415" s="114"/>
      <c r="Y1415" s="113"/>
      <c r="Z1415" s="108" t="s">
        <v>47</v>
      </c>
      <c r="AA1415" s="114"/>
      <c r="AB1415" s="113"/>
      <c r="AC1415" s="105" t="s">
        <v>3227</v>
      </c>
      <c r="AD1415" s="115" t="s">
        <v>107</v>
      </c>
    </row>
    <row r="1416" spans="1:30" x14ac:dyDescent="0.2">
      <c r="A1416" s="104" t="s">
        <v>14246</v>
      </c>
      <c r="B1416" s="105" t="s">
        <v>805</v>
      </c>
      <c r="C1416" s="105" t="s">
        <v>421</v>
      </c>
      <c r="D1416" s="106"/>
      <c r="E1416" s="107" t="s">
        <v>99</v>
      </c>
      <c r="F1416" s="108" t="s">
        <v>47</v>
      </c>
      <c r="G1416" s="113"/>
      <c r="H1416" s="108" t="s">
        <v>47</v>
      </c>
      <c r="I1416" s="114"/>
      <c r="J1416" s="113"/>
      <c r="K1416" s="108" t="s">
        <v>47</v>
      </c>
      <c r="L1416" s="114"/>
      <c r="M1416" s="113"/>
      <c r="N1416" s="108" t="s">
        <v>47</v>
      </c>
      <c r="O1416" s="114"/>
      <c r="P1416" s="113"/>
      <c r="Q1416" s="108" t="s">
        <v>47</v>
      </c>
      <c r="R1416" s="114"/>
      <c r="S1416" s="113"/>
      <c r="T1416" s="108" t="s">
        <v>47</v>
      </c>
      <c r="U1416" s="114"/>
      <c r="V1416" s="113"/>
      <c r="W1416" s="108" t="s">
        <v>47</v>
      </c>
      <c r="X1416" s="114"/>
      <c r="Y1416" s="113"/>
      <c r="Z1416" s="108" t="s">
        <v>47</v>
      </c>
      <c r="AA1416" s="114"/>
      <c r="AB1416" s="113"/>
      <c r="AC1416" s="105" t="s">
        <v>3228</v>
      </c>
      <c r="AD1416" s="115" t="s">
        <v>107</v>
      </c>
    </row>
    <row r="1417" spans="1:30" x14ac:dyDescent="0.2">
      <c r="A1417" s="104" t="s">
        <v>14247</v>
      </c>
      <c r="B1417" s="105" t="s">
        <v>805</v>
      </c>
      <c r="C1417" s="105" t="s">
        <v>421</v>
      </c>
      <c r="D1417" s="106"/>
      <c r="E1417" s="107" t="s">
        <v>99</v>
      </c>
      <c r="F1417" s="108" t="s">
        <v>47</v>
      </c>
      <c r="G1417" s="113"/>
      <c r="H1417" s="108" t="s">
        <v>47</v>
      </c>
      <c r="I1417" s="114"/>
      <c r="J1417" s="113"/>
      <c r="K1417" s="108" t="s">
        <v>47</v>
      </c>
      <c r="L1417" s="114"/>
      <c r="M1417" s="113"/>
      <c r="N1417" s="108" t="s">
        <v>47</v>
      </c>
      <c r="O1417" s="114"/>
      <c r="P1417" s="113"/>
      <c r="Q1417" s="108" t="s">
        <v>47</v>
      </c>
      <c r="R1417" s="114"/>
      <c r="S1417" s="113"/>
      <c r="T1417" s="108" t="s">
        <v>47</v>
      </c>
      <c r="U1417" s="114"/>
      <c r="V1417" s="113"/>
      <c r="W1417" s="108" t="s">
        <v>47</v>
      </c>
      <c r="X1417" s="114"/>
      <c r="Y1417" s="113"/>
      <c r="Z1417" s="108" t="s">
        <v>47</v>
      </c>
      <c r="AA1417" s="114"/>
      <c r="AB1417" s="113"/>
      <c r="AC1417" s="105" t="s">
        <v>3229</v>
      </c>
      <c r="AD1417" s="115" t="s">
        <v>107</v>
      </c>
    </row>
    <row r="1418" spans="1:30" x14ac:dyDescent="0.2">
      <c r="A1418" s="104" t="s">
        <v>14248</v>
      </c>
      <c r="B1418" s="105" t="s">
        <v>805</v>
      </c>
      <c r="C1418" s="105" t="s">
        <v>332</v>
      </c>
      <c r="D1418" s="106" t="s">
        <v>94</v>
      </c>
      <c r="E1418" s="107" t="s">
        <v>146</v>
      </c>
      <c r="F1418" s="108" t="s">
        <v>14249</v>
      </c>
      <c r="G1418" s="118">
        <v>3</v>
      </c>
      <c r="H1418" s="108" t="s">
        <v>14250</v>
      </c>
      <c r="I1418" s="117">
        <v>2</v>
      </c>
      <c r="J1418" s="111" t="s">
        <v>40</v>
      </c>
      <c r="K1418" s="108" t="s">
        <v>14251</v>
      </c>
      <c r="L1418" s="110">
        <v>3</v>
      </c>
      <c r="M1418" s="113"/>
      <c r="N1418" s="108" t="s">
        <v>14249</v>
      </c>
      <c r="O1418" s="110">
        <v>3</v>
      </c>
      <c r="P1418" s="113"/>
      <c r="Q1418" s="108" t="s">
        <v>14252</v>
      </c>
      <c r="R1418" s="110">
        <v>3</v>
      </c>
      <c r="S1418" s="111" t="s">
        <v>46</v>
      </c>
      <c r="T1418" s="108" t="s">
        <v>14253</v>
      </c>
      <c r="U1418" s="116">
        <v>1</v>
      </c>
      <c r="V1418" s="111" t="s">
        <v>40</v>
      </c>
      <c r="W1418" s="108" t="s">
        <v>47</v>
      </c>
      <c r="X1418" s="114"/>
      <c r="Y1418" s="113"/>
      <c r="Z1418" s="108" t="s">
        <v>47</v>
      </c>
      <c r="AA1418" s="114"/>
      <c r="AB1418" s="113"/>
      <c r="AC1418" s="105" t="s">
        <v>3230</v>
      </c>
      <c r="AD1418" s="115" t="s">
        <v>107</v>
      </c>
    </row>
    <row r="1419" spans="1:30" x14ac:dyDescent="0.2">
      <c r="A1419" s="104" t="s">
        <v>14254</v>
      </c>
      <c r="B1419" s="105" t="s">
        <v>805</v>
      </c>
      <c r="C1419" s="105" t="s">
        <v>332</v>
      </c>
      <c r="D1419" s="106" t="s">
        <v>94</v>
      </c>
      <c r="E1419" s="107" t="s">
        <v>146</v>
      </c>
      <c r="F1419" s="108" t="s">
        <v>14255</v>
      </c>
      <c r="G1419" s="118">
        <v>3</v>
      </c>
      <c r="H1419" s="108" t="s">
        <v>14256</v>
      </c>
      <c r="I1419" s="117">
        <v>2</v>
      </c>
      <c r="J1419" s="111" t="s">
        <v>40</v>
      </c>
      <c r="K1419" s="108" t="s">
        <v>14257</v>
      </c>
      <c r="L1419" s="110">
        <v>3</v>
      </c>
      <c r="M1419" s="113"/>
      <c r="N1419" s="108" t="s">
        <v>14255</v>
      </c>
      <c r="O1419" s="110">
        <v>3</v>
      </c>
      <c r="P1419" s="113"/>
      <c r="Q1419" s="108" t="s">
        <v>14258</v>
      </c>
      <c r="R1419" s="110">
        <v>3</v>
      </c>
      <c r="S1419" s="111" t="s">
        <v>46</v>
      </c>
      <c r="T1419" s="108" t="s">
        <v>14259</v>
      </c>
      <c r="U1419" s="116">
        <v>1</v>
      </c>
      <c r="V1419" s="111" t="s">
        <v>40</v>
      </c>
      <c r="W1419" s="108" t="s">
        <v>47</v>
      </c>
      <c r="X1419" s="114"/>
      <c r="Y1419" s="113"/>
      <c r="Z1419" s="108" t="s">
        <v>47</v>
      </c>
      <c r="AA1419" s="114"/>
      <c r="AB1419" s="113"/>
      <c r="AC1419" s="105" t="s">
        <v>3231</v>
      </c>
      <c r="AD1419" s="115" t="s">
        <v>107</v>
      </c>
    </row>
    <row r="1420" spans="1:30" x14ac:dyDescent="0.2">
      <c r="A1420" s="104" t="s">
        <v>14260</v>
      </c>
      <c r="B1420" s="105" t="s">
        <v>805</v>
      </c>
      <c r="C1420" s="105" t="s">
        <v>332</v>
      </c>
      <c r="D1420" s="106" t="s">
        <v>94</v>
      </c>
      <c r="E1420" s="107" t="s">
        <v>146</v>
      </c>
      <c r="F1420" s="108" t="s">
        <v>14261</v>
      </c>
      <c r="G1420" s="118">
        <v>3</v>
      </c>
      <c r="H1420" s="108" t="s">
        <v>14262</v>
      </c>
      <c r="I1420" s="117">
        <v>2</v>
      </c>
      <c r="J1420" s="111" t="s">
        <v>40</v>
      </c>
      <c r="K1420" s="108" t="s">
        <v>14263</v>
      </c>
      <c r="L1420" s="110">
        <v>3</v>
      </c>
      <c r="M1420" s="113"/>
      <c r="N1420" s="108" t="s">
        <v>14261</v>
      </c>
      <c r="O1420" s="110">
        <v>3</v>
      </c>
      <c r="P1420" s="113"/>
      <c r="Q1420" s="108" t="s">
        <v>14264</v>
      </c>
      <c r="R1420" s="110">
        <v>3</v>
      </c>
      <c r="S1420" s="111" t="s">
        <v>46</v>
      </c>
      <c r="T1420" s="108" t="s">
        <v>14265</v>
      </c>
      <c r="U1420" s="116">
        <v>1</v>
      </c>
      <c r="V1420" s="113"/>
      <c r="W1420" s="108" t="s">
        <v>47</v>
      </c>
      <c r="X1420" s="114"/>
      <c r="Y1420" s="113"/>
      <c r="Z1420" s="108" t="s">
        <v>47</v>
      </c>
      <c r="AA1420" s="114"/>
      <c r="AB1420" s="113"/>
      <c r="AC1420" s="105" t="s">
        <v>3232</v>
      </c>
      <c r="AD1420" s="115" t="s">
        <v>107</v>
      </c>
    </row>
    <row r="1421" spans="1:30" x14ac:dyDescent="0.2">
      <c r="A1421" s="104" t="s">
        <v>14266</v>
      </c>
      <c r="B1421" s="105" t="s">
        <v>805</v>
      </c>
      <c r="C1421" s="105" t="s">
        <v>332</v>
      </c>
      <c r="D1421" s="106" t="s">
        <v>94</v>
      </c>
      <c r="E1421" s="107" t="s">
        <v>146</v>
      </c>
      <c r="F1421" s="108" t="s">
        <v>14267</v>
      </c>
      <c r="G1421" s="118">
        <v>3</v>
      </c>
      <c r="H1421" s="108" t="s">
        <v>14268</v>
      </c>
      <c r="I1421" s="117">
        <v>2</v>
      </c>
      <c r="J1421" s="111" t="s">
        <v>40</v>
      </c>
      <c r="K1421" s="108" t="s">
        <v>14269</v>
      </c>
      <c r="L1421" s="110">
        <v>3</v>
      </c>
      <c r="M1421" s="113"/>
      <c r="N1421" s="108" t="s">
        <v>14267</v>
      </c>
      <c r="O1421" s="110">
        <v>3</v>
      </c>
      <c r="P1421" s="113"/>
      <c r="Q1421" s="108" t="s">
        <v>14270</v>
      </c>
      <c r="R1421" s="110">
        <v>3</v>
      </c>
      <c r="S1421" s="111" t="s">
        <v>46</v>
      </c>
      <c r="T1421" s="108" t="s">
        <v>14271</v>
      </c>
      <c r="U1421" s="116">
        <v>1</v>
      </c>
      <c r="V1421" s="113"/>
      <c r="W1421" s="108" t="s">
        <v>47</v>
      </c>
      <c r="X1421" s="114"/>
      <c r="Y1421" s="113"/>
      <c r="Z1421" s="108" t="s">
        <v>47</v>
      </c>
      <c r="AA1421" s="114"/>
      <c r="AB1421" s="113"/>
      <c r="AC1421" s="105" t="s">
        <v>3233</v>
      </c>
      <c r="AD1421" s="115" t="s">
        <v>107</v>
      </c>
    </row>
    <row r="1422" spans="1:30" x14ac:dyDescent="0.2">
      <c r="A1422" s="104" t="s">
        <v>14272</v>
      </c>
      <c r="B1422" s="105" t="s">
        <v>805</v>
      </c>
      <c r="C1422" s="105" t="s">
        <v>332</v>
      </c>
      <c r="D1422" s="106" t="s">
        <v>94</v>
      </c>
      <c r="E1422" s="107" t="s">
        <v>146</v>
      </c>
      <c r="F1422" s="108" t="s">
        <v>14273</v>
      </c>
      <c r="G1422" s="118">
        <v>3</v>
      </c>
      <c r="H1422" s="108" t="s">
        <v>14274</v>
      </c>
      <c r="I1422" s="117">
        <v>2</v>
      </c>
      <c r="J1422" s="111" t="s">
        <v>40</v>
      </c>
      <c r="K1422" s="108" t="s">
        <v>14275</v>
      </c>
      <c r="L1422" s="110">
        <v>3</v>
      </c>
      <c r="M1422" s="113"/>
      <c r="N1422" s="108" t="s">
        <v>14273</v>
      </c>
      <c r="O1422" s="110">
        <v>3</v>
      </c>
      <c r="P1422" s="113"/>
      <c r="Q1422" s="108" t="s">
        <v>14276</v>
      </c>
      <c r="R1422" s="110">
        <v>3</v>
      </c>
      <c r="S1422" s="111" t="s">
        <v>46</v>
      </c>
      <c r="T1422" s="108" t="s">
        <v>14277</v>
      </c>
      <c r="U1422" s="116">
        <v>1</v>
      </c>
      <c r="V1422" s="113"/>
      <c r="W1422" s="108" t="s">
        <v>47</v>
      </c>
      <c r="X1422" s="114"/>
      <c r="Y1422" s="113"/>
      <c r="Z1422" s="108" t="s">
        <v>47</v>
      </c>
      <c r="AA1422" s="114"/>
      <c r="AB1422" s="113"/>
      <c r="AC1422" s="105" t="s">
        <v>3234</v>
      </c>
      <c r="AD1422" s="115" t="s">
        <v>107</v>
      </c>
    </row>
    <row r="1423" spans="1:30" x14ac:dyDescent="0.2">
      <c r="A1423" s="104" t="s">
        <v>14278</v>
      </c>
      <c r="B1423" s="105" t="s">
        <v>805</v>
      </c>
      <c r="C1423" s="105" t="s">
        <v>332</v>
      </c>
      <c r="D1423" s="106" t="s">
        <v>94</v>
      </c>
      <c r="E1423" s="107" t="s">
        <v>146</v>
      </c>
      <c r="F1423" s="108" t="s">
        <v>14279</v>
      </c>
      <c r="G1423" s="118">
        <v>3</v>
      </c>
      <c r="H1423" s="108" t="s">
        <v>14280</v>
      </c>
      <c r="I1423" s="117">
        <v>2</v>
      </c>
      <c r="J1423" s="111" t="s">
        <v>40</v>
      </c>
      <c r="K1423" s="108" t="s">
        <v>14281</v>
      </c>
      <c r="L1423" s="110">
        <v>3</v>
      </c>
      <c r="M1423" s="113"/>
      <c r="N1423" s="108" t="s">
        <v>14279</v>
      </c>
      <c r="O1423" s="110">
        <v>3</v>
      </c>
      <c r="P1423" s="113"/>
      <c r="Q1423" s="108" t="s">
        <v>14282</v>
      </c>
      <c r="R1423" s="110">
        <v>3</v>
      </c>
      <c r="S1423" s="111" t="s">
        <v>46</v>
      </c>
      <c r="T1423" s="108" t="s">
        <v>14283</v>
      </c>
      <c r="U1423" s="116">
        <v>1</v>
      </c>
      <c r="V1423" s="113"/>
      <c r="W1423" s="108" t="s">
        <v>47</v>
      </c>
      <c r="X1423" s="114"/>
      <c r="Y1423" s="113"/>
      <c r="Z1423" s="108" t="s">
        <v>47</v>
      </c>
      <c r="AA1423" s="114"/>
      <c r="AB1423" s="113"/>
      <c r="AC1423" s="105" t="s">
        <v>3235</v>
      </c>
      <c r="AD1423" s="115" t="s">
        <v>107</v>
      </c>
    </row>
    <row r="1424" spans="1:30" x14ac:dyDescent="0.2">
      <c r="A1424" s="104" t="s">
        <v>14284</v>
      </c>
      <c r="B1424" s="105" t="s">
        <v>805</v>
      </c>
      <c r="C1424" s="105" t="s">
        <v>332</v>
      </c>
      <c r="D1424" s="106" t="s">
        <v>94</v>
      </c>
      <c r="E1424" s="107" t="s">
        <v>146</v>
      </c>
      <c r="F1424" s="108" t="s">
        <v>14285</v>
      </c>
      <c r="G1424" s="118">
        <v>3</v>
      </c>
      <c r="H1424" s="108" t="s">
        <v>14286</v>
      </c>
      <c r="I1424" s="117">
        <v>2</v>
      </c>
      <c r="J1424" s="111" t="s">
        <v>40</v>
      </c>
      <c r="K1424" s="108" t="s">
        <v>14287</v>
      </c>
      <c r="L1424" s="110">
        <v>3</v>
      </c>
      <c r="M1424" s="113"/>
      <c r="N1424" s="108" t="s">
        <v>14285</v>
      </c>
      <c r="O1424" s="110">
        <v>3</v>
      </c>
      <c r="P1424" s="113"/>
      <c r="Q1424" s="108" t="s">
        <v>14288</v>
      </c>
      <c r="R1424" s="110">
        <v>3</v>
      </c>
      <c r="S1424" s="111" t="s">
        <v>46</v>
      </c>
      <c r="T1424" s="108" t="s">
        <v>14289</v>
      </c>
      <c r="U1424" s="116">
        <v>1</v>
      </c>
      <c r="V1424" s="113"/>
      <c r="W1424" s="108" t="s">
        <v>47</v>
      </c>
      <c r="X1424" s="114"/>
      <c r="Y1424" s="113"/>
      <c r="Z1424" s="108" t="s">
        <v>47</v>
      </c>
      <c r="AA1424" s="114"/>
      <c r="AB1424" s="113"/>
      <c r="AC1424" s="105" t="s">
        <v>3236</v>
      </c>
      <c r="AD1424" s="115" t="s">
        <v>107</v>
      </c>
    </row>
    <row r="1425" spans="1:30" x14ac:dyDescent="0.2">
      <c r="A1425" s="104" t="s">
        <v>14290</v>
      </c>
      <c r="B1425" s="105" t="s">
        <v>805</v>
      </c>
      <c r="C1425" s="105" t="s">
        <v>332</v>
      </c>
      <c r="D1425" s="106" t="s">
        <v>94</v>
      </c>
      <c r="E1425" s="107" t="s">
        <v>146</v>
      </c>
      <c r="F1425" s="108" t="s">
        <v>14291</v>
      </c>
      <c r="G1425" s="118">
        <v>3</v>
      </c>
      <c r="H1425" s="108" t="s">
        <v>14292</v>
      </c>
      <c r="I1425" s="117">
        <v>2</v>
      </c>
      <c r="J1425" s="111" t="s">
        <v>40</v>
      </c>
      <c r="K1425" s="108" t="s">
        <v>14293</v>
      </c>
      <c r="L1425" s="110">
        <v>3</v>
      </c>
      <c r="M1425" s="113"/>
      <c r="N1425" s="108" t="s">
        <v>14291</v>
      </c>
      <c r="O1425" s="110">
        <v>3</v>
      </c>
      <c r="P1425" s="113"/>
      <c r="Q1425" s="108" t="s">
        <v>14294</v>
      </c>
      <c r="R1425" s="110">
        <v>3</v>
      </c>
      <c r="S1425" s="111" t="s">
        <v>46</v>
      </c>
      <c r="T1425" s="108" t="s">
        <v>14295</v>
      </c>
      <c r="U1425" s="116">
        <v>1</v>
      </c>
      <c r="V1425" s="113"/>
      <c r="W1425" s="108" t="s">
        <v>47</v>
      </c>
      <c r="X1425" s="114"/>
      <c r="Y1425" s="113"/>
      <c r="Z1425" s="108" t="s">
        <v>47</v>
      </c>
      <c r="AA1425" s="114"/>
      <c r="AB1425" s="113"/>
      <c r="AC1425" s="105" t="s">
        <v>3237</v>
      </c>
      <c r="AD1425" s="115" t="s">
        <v>107</v>
      </c>
    </row>
    <row r="1426" spans="1:30" x14ac:dyDescent="0.2">
      <c r="A1426" s="104" t="s">
        <v>14296</v>
      </c>
      <c r="B1426" s="105" t="s">
        <v>805</v>
      </c>
      <c r="C1426" s="105" t="s">
        <v>332</v>
      </c>
      <c r="D1426" s="106" t="s">
        <v>94</v>
      </c>
      <c r="E1426" s="107" t="s">
        <v>146</v>
      </c>
      <c r="F1426" s="108" t="s">
        <v>14297</v>
      </c>
      <c r="G1426" s="118">
        <v>3</v>
      </c>
      <c r="H1426" s="108" t="s">
        <v>14298</v>
      </c>
      <c r="I1426" s="117">
        <v>2</v>
      </c>
      <c r="J1426" s="111" t="s">
        <v>40</v>
      </c>
      <c r="K1426" s="108" t="s">
        <v>14299</v>
      </c>
      <c r="L1426" s="110">
        <v>3</v>
      </c>
      <c r="M1426" s="113"/>
      <c r="N1426" s="108" t="s">
        <v>14297</v>
      </c>
      <c r="O1426" s="110">
        <v>3</v>
      </c>
      <c r="P1426" s="113"/>
      <c r="Q1426" s="108" t="s">
        <v>14300</v>
      </c>
      <c r="R1426" s="110">
        <v>3</v>
      </c>
      <c r="S1426" s="111" t="s">
        <v>46</v>
      </c>
      <c r="T1426" s="108" t="s">
        <v>14301</v>
      </c>
      <c r="U1426" s="116">
        <v>1</v>
      </c>
      <c r="V1426" s="113"/>
      <c r="W1426" s="108" t="s">
        <v>47</v>
      </c>
      <c r="X1426" s="114"/>
      <c r="Y1426" s="113"/>
      <c r="Z1426" s="108" t="s">
        <v>47</v>
      </c>
      <c r="AA1426" s="114"/>
      <c r="AB1426" s="113"/>
      <c r="AC1426" s="105" t="s">
        <v>3238</v>
      </c>
      <c r="AD1426" s="115" t="s">
        <v>107</v>
      </c>
    </row>
    <row r="1427" spans="1:30" x14ac:dyDescent="0.2">
      <c r="A1427" s="104" t="s">
        <v>14302</v>
      </c>
      <c r="B1427" s="105" t="s">
        <v>805</v>
      </c>
      <c r="C1427" s="105" t="s">
        <v>332</v>
      </c>
      <c r="D1427" s="106" t="s">
        <v>94</v>
      </c>
      <c r="E1427" s="107" t="s">
        <v>146</v>
      </c>
      <c r="F1427" s="108" t="s">
        <v>14303</v>
      </c>
      <c r="G1427" s="118">
        <v>3</v>
      </c>
      <c r="H1427" s="108" t="s">
        <v>14304</v>
      </c>
      <c r="I1427" s="117">
        <v>2</v>
      </c>
      <c r="J1427" s="111" t="s">
        <v>40</v>
      </c>
      <c r="K1427" s="108" t="s">
        <v>14305</v>
      </c>
      <c r="L1427" s="110">
        <v>3</v>
      </c>
      <c r="M1427" s="113"/>
      <c r="N1427" s="108" t="s">
        <v>14303</v>
      </c>
      <c r="O1427" s="110">
        <v>3</v>
      </c>
      <c r="P1427" s="113"/>
      <c r="Q1427" s="108" t="s">
        <v>14306</v>
      </c>
      <c r="R1427" s="110">
        <v>3</v>
      </c>
      <c r="S1427" s="111" t="s">
        <v>46</v>
      </c>
      <c r="T1427" s="108" t="s">
        <v>14307</v>
      </c>
      <c r="U1427" s="116">
        <v>1</v>
      </c>
      <c r="V1427" s="113"/>
      <c r="W1427" s="108" t="s">
        <v>47</v>
      </c>
      <c r="X1427" s="114"/>
      <c r="Y1427" s="113"/>
      <c r="Z1427" s="108" t="s">
        <v>47</v>
      </c>
      <c r="AA1427" s="114"/>
      <c r="AB1427" s="113"/>
      <c r="AC1427" s="105" t="s">
        <v>3239</v>
      </c>
      <c r="AD1427" s="115" t="s">
        <v>107</v>
      </c>
    </row>
    <row r="1428" spans="1:30" x14ac:dyDescent="0.2">
      <c r="A1428" s="104" t="s">
        <v>14308</v>
      </c>
      <c r="B1428" s="105" t="s">
        <v>805</v>
      </c>
      <c r="C1428" s="105" t="s">
        <v>332</v>
      </c>
      <c r="D1428" s="106" t="s">
        <v>94</v>
      </c>
      <c r="E1428" s="107" t="s">
        <v>146</v>
      </c>
      <c r="F1428" s="108" t="s">
        <v>14309</v>
      </c>
      <c r="G1428" s="118">
        <v>3</v>
      </c>
      <c r="H1428" s="108" t="s">
        <v>14310</v>
      </c>
      <c r="I1428" s="117">
        <v>2</v>
      </c>
      <c r="J1428" s="111" t="s">
        <v>40</v>
      </c>
      <c r="K1428" s="108" t="s">
        <v>14311</v>
      </c>
      <c r="L1428" s="110">
        <v>3</v>
      </c>
      <c r="M1428" s="113"/>
      <c r="N1428" s="108" t="s">
        <v>14309</v>
      </c>
      <c r="O1428" s="110">
        <v>3</v>
      </c>
      <c r="P1428" s="113"/>
      <c r="Q1428" s="108" t="s">
        <v>14312</v>
      </c>
      <c r="R1428" s="110">
        <v>3</v>
      </c>
      <c r="S1428" s="111" t="s">
        <v>46</v>
      </c>
      <c r="T1428" s="108" t="s">
        <v>14313</v>
      </c>
      <c r="U1428" s="116">
        <v>1</v>
      </c>
      <c r="V1428" s="113"/>
      <c r="W1428" s="108" t="s">
        <v>47</v>
      </c>
      <c r="X1428" s="114"/>
      <c r="Y1428" s="113"/>
      <c r="Z1428" s="108" t="s">
        <v>47</v>
      </c>
      <c r="AA1428" s="114"/>
      <c r="AB1428" s="113"/>
      <c r="AC1428" s="105" t="s">
        <v>3240</v>
      </c>
      <c r="AD1428" s="115" t="s">
        <v>107</v>
      </c>
    </row>
    <row r="1429" spans="1:30" x14ac:dyDescent="0.2">
      <c r="A1429" s="104" t="s">
        <v>14314</v>
      </c>
      <c r="B1429" s="105" t="s">
        <v>805</v>
      </c>
      <c r="C1429" s="105" t="s">
        <v>332</v>
      </c>
      <c r="D1429" s="106" t="s">
        <v>94</v>
      </c>
      <c r="E1429" s="107" t="s">
        <v>146</v>
      </c>
      <c r="F1429" s="108" t="s">
        <v>14315</v>
      </c>
      <c r="G1429" s="118">
        <v>3</v>
      </c>
      <c r="H1429" s="108" t="s">
        <v>14316</v>
      </c>
      <c r="I1429" s="117">
        <v>2</v>
      </c>
      <c r="J1429" s="111" t="s">
        <v>40</v>
      </c>
      <c r="K1429" s="108" t="s">
        <v>14317</v>
      </c>
      <c r="L1429" s="110">
        <v>3</v>
      </c>
      <c r="M1429" s="113"/>
      <c r="N1429" s="108" t="s">
        <v>14315</v>
      </c>
      <c r="O1429" s="110">
        <v>3</v>
      </c>
      <c r="P1429" s="113"/>
      <c r="Q1429" s="108" t="s">
        <v>14318</v>
      </c>
      <c r="R1429" s="110">
        <v>3</v>
      </c>
      <c r="S1429" s="111" t="s">
        <v>46</v>
      </c>
      <c r="T1429" s="108" t="s">
        <v>14319</v>
      </c>
      <c r="U1429" s="116">
        <v>1</v>
      </c>
      <c r="V1429" s="113"/>
      <c r="W1429" s="108" t="s">
        <v>47</v>
      </c>
      <c r="X1429" s="114"/>
      <c r="Y1429" s="113"/>
      <c r="Z1429" s="108" t="s">
        <v>47</v>
      </c>
      <c r="AA1429" s="114"/>
      <c r="AB1429" s="113"/>
      <c r="AC1429" s="105" t="s">
        <v>3241</v>
      </c>
      <c r="AD1429" s="115" t="s">
        <v>107</v>
      </c>
    </row>
    <row r="1430" spans="1:30" x14ac:dyDescent="0.2">
      <c r="A1430" s="104" t="s">
        <v>14320</v>
      </c>
      <c r="B1430" s="105" t="s">
        <v>805</v>
      </c>
      <c r="C1430" s="105" t="s">
        <v>332</v>
      </c>
      <c r="D1430" s="106" t="s">
        <v>94</v>
      </c>
      <c r="E1430" s="107" t="s">
        <v>146</v>
      </c>
      <c r="F1430" s="108" t="s">
        <v>14321</v>
      </c>
      <c r="G1430" s="118">
        <v>3</v>
      </c>
      <c r="H1430" s="108" t="s">
        <v>14322</v>
      </c>
      <c r="I1430" s="117">
        <v>2</v>
      </c>
      <c r="J1430" s="111" t="s">
        <v>40</v>
      </c>
      <c r="K1430" s="108" t="s">
        <v>14323</v>
      </c>
      <c r="L1430" s="110">
        <v>3</v>
      </c>
      <c r="M1430" s="113"/>
      <c r="N1430" s="108" t="s">
        <v>14321</v>
      </c>
      <c r="O1430" s="110">
        <v>3</v>
      </c>
      <c r="P1430" s="113"/>
      <c r="Q1430" s="108" t="s">
        <v>14324</v>
      </c>
      <c r="R1430" s="110">
        <v>3</v>
      </c>
      <c r="S1430" s="111" t="s">
        <v>46</v>
      </c>
      <c r="T1430" s="108" t="s">
        <v>14325</v>
      </c>
      <c r="U1430" s="116">
        <v>1</v>
      </c>
      <c r="V1430" s="113"/>
      <c r="W1430" s="108" t="s">
        <v>47</v>
      </c>
      <c r="X1430" s="114"/>
      <c r="Y1430" s="113"/>
      <c r="Z1430" s="108" t="s">
        <v>47</v>
      </c>
      <c r="AA1430" s="114"/>
      <c r="AB1430" s="113"/>
      <c r="AC1430" s="105" t="s">
        <v>3242</v>
      </c>
      <c r="AD1430" s="115" t="s">
        <v>107</v>
      </c>
    </row>
    <row r="1431" spans="1:30" x14ac:dyDescent="0.2">
      <c r="A1431" s="104" t="s">
        <v>14326</v>
      </c>
      <c r="B1431" s="105" t="s">
        <v>805</v>
      </c>
      <c r="C1431" s="105" t="s">
        <v>375</v>
      </c>
      <c r="D1431" s="106" t="s">
        <v>125</v>
      </c>
      <c r="E1431" s="107" t="s">
        <v>99</v>
      </c>
      <c r="F1431" s="108" t="s">
        <v>14327</v>
      </c>
      <c r="G1431" s="120">
        <v>2</v>
      </c>
      <c r="H1431" s="108" t="s">
        <v>14328</v>
      </c>
      <c r="I1431" s="110">
        <v>3</v>
      </c>
      <c r="J1431" s="111" t="s">
        <v>46</v>
      </c>
      <c r="K1431" s="108" t="s">
        <v>14329</v>
      </c>
      <c r="L1431" s="117">
        <v>2</v>
      </c>
      <c r="M1431" s="113"/>
      <c r="N1431" s="108" t="s">
        <v>14327</v>
      </c>
      <c r="O1431" s="117">
        <v>2</v>
      </c>
      <c r="P1431" s="113"/>
      <c r="Q1431" s="108" t="s">
        <v>14330</v>
      </c>
      <c r="R1431" s="110">
        <v>3</v>
      </c>
      <c r="S1431" s="111" t="s">
        <v>46</v>
      </c>
      <c r="T1431" s="108" t="s">
        <v>14331</v>
      </c>
      <c r="U1431" s="117">
        <v>2</v>
      </c>
      <c r="V1431" s="113"/>
      <c r="W1431" s="108" t="s">
        <v>14332</v>
      </c>
      <c r="X1431" s="117">
        <v>2</v>
      </c>
      <c r="Y1431" s="113"/>
      <c r="Z1431" s="108" t="s">
        <v>14333</v>
      </c>
      <c r="AA1431" s="117">
        <v>2</v>
      </c>
      <c r="AB1431" s="113"/>
      <c r="AC1431" s="105" t="s">
        <v>3243</v>
      </c>
      <c r="AD1431" s="115" t="s">
        <v>107</v>
      </c>
    </row>
    <row r="1432" spans="1:30" x14ac:dyDescent="0.2">
      <c r="A1432" s="104" t="s">
        <v>14334</v>
      </c>
      <c r="B1432" s="105" t="s">
        <v>805</v>
      </c>
      <c r="C1432" s="105" t="s">
        <v>375</v>
      </c>
      <c r="D1432" s="106" t="s">
        <v>94</v>
      </c>
      <c r="E1432" s="107" t="s">
        <v>99</v>
      </c>
      <c r="F1432" s="108" t="s">
        <v>14335</v>
      </c>
      <c r="G1432" s="120">
        <v>2</v>
      </c>
      <c r="H1432" s="108" t="s">
        <v>14336</v>
      </c>
      <c r="I1432" s="110">
        <v>3</v>
      </c>
      <c r="J1432" s="111" t="s">
        <v>46</v>
      </c>
      <c r="K1432" s="108" t="s">
        <v>14337</v>
      </c>
      <c r="L1432" s="117">
        <v>2</v>
      </c>
      <c r="M1432" s="113"/>
      <c r="N1432" s="108" t="s">
        <v>14335</v>
      </c>
      <c r="O1432" s="117">
        <v>2</v>
      </c>
      <c r="P1432" s="113"/>
      <c r="Q1432" s="108" t="s">
        <v>14338</v>
      </c>
      <c r="R1432" s="110">
        <v>3</v>
      </c>
      <c r="S1432" s="111" t="s">
        <v>46</v>
      </c>
      <c r="T1432" s="108" t="s">
        <v>14339</v>
      </c>
      <c r="U1432" s="116">
        <v>1</v>
      </c>
      <c r="V1432" s="113"/>
      <c r="W1432" s="108" t="s">
        <v>47</v>
      </c>
      <c r="X1432" s="114"/>
      <c r="Y1432" s="113"/>
      <c r="Z1432" s="108" t="s">
        <v>47</v>
      </c>
      <c r="AA1432" s="114"/>
      <c r="AB1432" s="113"/>
      <c r="AC1432" s="105" t="s">
        <v>3244</v>
      </c>
      <c r="AD1432" s="115" t="s">
        <v>107</v>
      </c>
    </row>
    <row r="1433" spans="1:30" x14ac:dyDescent="0.2">
      <c r="A1433" s="104" t="s">
        <v>14340</v>
      </c>
      <c r="B1433" s="105" t="s">
        <v>805</v>
      </c>
      <c r="C1433" s="105" t="s">
        <v>375</v>
      </c>
      <c r="D1433" s="106" t="s">
        <v>94</v>
      </c>
      <c r="E1433" s="107" t="s">
        <v>99</v>
      </c>
      <c r="F1433" s="108" t="s">
        <v>14341</v>
      </c>
      <c r="G1433" s="120">
        <v>2</v>
      </c>
      <c r="H1433" s="108" t="s">
        <v>14342</v>
      </c>
      <c r="I1433" s="110">
        <v>3</v>
      </c>
      <c r="J1433" s="111" t="s">
        <v>46</v>
      </c>
      <c r="K1433" s="108" t="s">
        <v>14343</v>
      </c>
      <c r="L1433" s="117">
        <v>2</v>
      </c>
      <c r="M1433" s="113"/>
      <c r="N1433" s="108" t="s">
        <v>14341</v>
      </c>
      <c r="O1433" s="117">
        <v>2</v>
      </c>
      <c r="P1433" s="113"/>
      <c r="Q1433" s="108" t="s">
        <v>14344</v>
      </c>
      <c r="R1433" s="110">
        <v>3</v>
      </c>
      <c r="S1433" s="111" t="s">
        <v>46</v>
      </c>
      <c r="T1433" s="108" t="s">
        <v>14345</v>
      </c>
      <c r="U1433" s="116">
        <v>1</v>
      </c>
      <c r="V1433" s="113"/>
      <c r="W1433" s="108" t="s">
        <v>47</v>
      </c>
      <c r="X1433" s="114"/>
      <c r="Y1433" s="113"/>
      <c r="Z1433" s="108" t="s">
        <v>47</v>
      </c>
      <c r="AA1433" s="114"/>
      <c r="AB1433" s="113"/>
      <c r="AC1433" s="105" t="s">
        <v>3245</v>
      </c>
      <c r="AD1433" s="115" t="s">
        <v>107</v>
      </c>
    </row>
    <row r="1434" spans="1:30" x14ac:dyDescent="0.2">
      <c r="A1434" s="104" t="s">
        <v>14346</v>
      </c>
      <c r="B1434" s="105" t="s">
        <v>805</v>
      </c>
      <c r="C1434" s="105" t="s">
        <v>375</v>
      </c>
      <c r="D1434" s="106" t="s">
        <v>94</v>
      </c>
      <c r="E1434" s="107" t="s">
        <v>99</v>
      </c>
      <c r="F1434" s="108" t="s">
        <v>14347</v>
      </c>
      <c r="G1434" s="120">
        <v>2</v>
      </c>
      <c r="H1434" s="108" t="s">
        <v>14348</v>
      </c>
      <c r="I1434" s="110">
        <v>3</v>
      </c>
      <c r="J1434" s="111" t="s">
        <v>46</v>
      </c>
      <c r="K1434" s="108" t="s">
        <v>14349</v>
      </c>
      <c r="L1434" s="117">
        <v>2</v>
      </c>
      <c r="M1434" s="113"/>
      <c r="N1434" s="108" t="s">
        <v>14347</v>
      </c>
      <c r="O1434" s="117">
        <v>2</v>
      </c>
      <c r="P1434" s="113"/>
      <c r="Q1434" s="108" t="s">
        <v>14350</v>
      </c>
      <c r="R1434" s="110">
        <v>3</v>
      </c>
      <c r="S1434" s="111" t="s">
        <v>46</v>
      </c>
      <c r="T1434" s="108" t="s">
        <v>14351</v>
      </c>
      <c r="U1434" s="116">
        <v>1</v>
      </c>
      <c r="V1434" s="111" t="s">
        <v>40</v>
      </c>
      <c r="W1434" s="108" t="s">
        <v>47</v>
      </c>
      <c r="X1434" s="114"/>
      <c r="Y1434" s="113"/>
      <c r="Z1434" s="108" t="s">
        <v>47</v>
      </c>
      <c r="AA1434" s="114"/>
      <c r="AB1434" s="113"/>
      <c r="AC1434" s="105" t="s">
        <v>3246</v>
      </c>
      <c r="AD1434" s="115" t="s">
        <v>107</v>
      </c>
    </row>
    <row r="1435" spans="1:30" x14ac:dyDescent="0.2">
      <c r="A1435" s="104" t="s">
        <v>14352</v>
      </c>
      <c r="B1435" s="105" t="s">
        <v>805</v>
      </c>
      <c r="C1435" s="105" t="s">
        <v>375</v>
      </c>
      <c r="D1435" s="106" t="s">
        <v>94</v>
      </c>
      <c r="E1435" s="107" t="s">
        <v>99</v>
      </c>
      <c r="F1435" s="108" t="s">
        <v>14353</v>
      </c>
      <c r="G1435" s="120">
        <v>2</v>
      </c>
      <c r="H1435" s="108" t="s">
        <v>14354</v>
      </c>
      <c r="I1435" s="110">
        <v>3</v>
      </c>
      <c r="J1435" s="111" t="s">
        <v>46</v>
      </c>
      <c r="K1435" s="108" t="s">
        <v>14355</v>
      </c>
      <c r="L1435" s="117">
        <v>2</v>
      </c>
      <c r="M1435" s="113"/>
      <c r="N1435" s="108" t="s">
        <v>14353</v>
      </c>
      <c r="O1435" s="117">
        <v>2</v>
      </c>
      <c r="P1435" s="113"/>
      <c r="Q1435" s="108" t="s">
        <v>14356</v>
      </c>
      <c r="R1435" s="110">
        <v>3</v>
      </c>
      <c r="S1435" s="111" t="s">
        <v>46</v>
      </c>
      <c r="T1435" s="108" t="s">
        <v>14357</v>
      </c>
      <c r="U1435" s="116">
        <v>1</v>
      </c>
      <c r="V1435" s="113"/>
      <c r="W1435" s="108" t="s">
        <v>47</v>
      </c>
      <c r="X1435" s="114"/>
      <c r="Y1435" s="113"/>
      <c r="Z1435" s="108" t="s">
        <v>47</v>
      </c>
      <c r="AA1435" s="114"/>
      <c r="AB1435" s="113"/>
      <c r="AC1435" s="105" t="s">
        <v>3247</v>
      </c>
      <c r="AD1435" s="115" t="s">
        <v>107</v>
      </c>
    </row>
    <row r="1436" spans="1:30" x14ac:dyDescent="0.2">
      <c r="A1436" s="104" t="s">
        <v>14358</v>
      </c>
      <c r="B1436" s="105" t="s">
        <v>805</v>
      </c>
      <c r="C1436" s="105" t="s">
        <v>375</v>
      </c>
      <c r="D1436" s="106" t="s">
        <v>94</v>
      </c>
      <c r="E1436" s="107" t="s">
        <v>99</v>
      </c>
      <c r="F1436" s="108" t="s">
        <v>14359</v>
      </c>
      <c r="G1436" s="120">
        <v>2</v>
      </c>
      <c r="H1436" s="108" t="s">
        <v>14360</v>
      </c>
      <c r="I1436" s="110">
        <v>3</v>
      </c>
      <c r="J1436" s="111" t="s">
        <v>46</v>
      </c>
      <c r="K1436" s="108" t="s">
        <v>14361</v>
      </c>
      <c r="L1436" s="117">
        <v>2</v>
      </c>
      <c r="M1436" s="113"/>
      <c r="N1436" s="108" t="s">
        <v>14359</v>
      </c>
      <c r="O1436" s="117">
        <v>2</v>
      </c>
      <c r="P1436" s="113"/>
      <c r="Q1436" s="108" t="s">
        <v>14362</v>
      </c>
      <c r="R1436" s="110">
        <v>3</v>
      </c>
      <c r="S1436" s="111" t="s">
        <v>46</v>
      </c>
      <c r="T1436" s="108" t="s">
        <v>14363</v>
      </c>
      <c r="U1436" s="116">
        <v>1</v>
      </c>
      <c r="V1436" s="113"/>
      <c r="W1436" s="108" t="s">
        <v>14364</v>
      </c>
      <c r="X1436" s="117">
        <v>2</v>
      </c>
      <c r="Y1436" s="111" t="s">
        <v>46</v>
      </c>
      <c r="Z1436" s="108" t="s">
        <v>14365</v>
      </c>
      <c r="AA1436" s="116">
        <v>1</v>
      </c>
      <c r="AB1436" s="113"/>
      <c r="AC1436" s="105" t="s">
        <v>3248</v>
      </c>
      <c r="AD1436" s="115" t="s">
        <v>107</v>
      </c>
    </row>
    <row r="1437" spans="1:30" x14ac:dyDescent="0.2">
      <c r="A1437" s="104" t="s">
        <v>14366</v>
      </c>
      <c r="B1437" s="105" t="s">
        <v>805</v>
      </c>
      <c r="C1437" s="105" t="s">
        <v>375</v>
      </c>
      <c r="D1437" s="106" t="s">
        <v>94</v>
      </c>
      <c r="E1437" s="107" t="s">
        <v>99</v>
      </c>
      <c r="F1437" s="108" t="s">
        <v>14367</v>
      </c>
      <c r="G1437" s="120">
        <v>2</v>
      </c>
      <c r="H1437" s="108" t="s">
        <v>14368</v>
      </c>
      <c r="I1437" s="110">
        <v>3</v>
      </c>
      <c r="J1437" s="111" t="s">
        <v>46</v>
      </c>
      <c r="K1437" s="108" t="s">
        <v>14369</v>
      </c>
      <c r="L1437" s="117">
        <v>2</v>
      </c>
      <c r="M1437" s="113"/>
      <c r="N1437" s="108" t="s">
        <v>14367</v>
      </c>
      <c r="O1437" s="117">
        <v>2</v>
      </c>
      <c r="P1437" s="113"/>
      <c r="Q1437" s="108" t="s">
        <v>14370</v>
      </c>
      <c r="R1437" s="110">
        <v>3</v>
      </c>
      <c r="S1437" s="111" t="s">
        <v>46</v>
      </c>
      <c r="T1437" s="108" t="s">
        <v>14371</v>
      </c>
      <c r="U1437" s="116">
        <v>1</v>
      </c>
      <c r="V1437" s="113"/>
      <c r="W1437" s="108" t="s">
        <v>14372</v>
      </c>
      <c r="X1437" s="117">
        <v>2</v>
      </c>
      <c r="Y1437" s="111" t="s">
        <v>46</v>
      </c>
      <c r="Z1437" s="108" t="s">
        <v>14373</v>
      </c>
      <c r="AA1437" s="116">
        <v>1</v>
      </c>
      <c r="AB1437" s="113"/>
      <c r="AC1437" s="105" t="s">
        <v>3249</v>
      </c>
      <c r="AD1437" s="115" t="s">
        <v>107</v>
      </c>
    </row>
    <row r="1438" spans="1:30" x14ac:dyDescent="0.2">
      <c r="A1438" s="104" t="s">
        <v>14374</v>
      </c>
      <c r="B1438" s="105" t="s">
        <v>805</v>
      </c>
      <c r="C1438" s="105" t="s">
        <v>375</v>
      </c>
      <c r="D1438" s="106" t="s">
        <v>94</v>
      </c>
      <c r="E1438" s="107" t="s">
        <v>99</v>
      </c>
      <c r="F1438" s="108" t="s">
        <v>14375</v>
      </c>
      <c r="G1438" s="120">
        <v>2</v>
      </c>
      <c r="H1438" s="108" t="s">
        <v>14376</v>
      </c>
      <c r="I1438" s="110">
        <v>3</v>
      </c>
      <c r="J1438" s="111" t="s">
        <v>46</v>
      </c>
      <c r="K1438" s="108" t="s">
        <v>14377</v>
      </c>
      <c r="L1438" s="117">
        <v>2</v>
      </c>
      <c r="M1438" s="113"/>
      <c r="N1438" s="108" t="s">
        <v>14375</v>
      </c>
      <c r="O1438" s="117">
        <v>2</v>
      </c>
      <c r="P1438" s="113"/>
      <c r="Q1438" s="108" t="s">
        <v>14378</v>
      </c>
      <c r="R1438" s="110">
        <v>3</v>
      </c>
      <c r="S1438" s="111" t="s">
        <v>46</v>
      </c>
      <c r="T1438" s="108" t="s">
        <v>14379</v>
      </c>
      <c r="U1438" s="116">
        <v>1</v>
      </c>
      <c r="V1438" s="113"/>
      <c r="W1438" s="108" t="s">
        <v>47</v>
      </c>
      <c r="X1438" s="114"/>
      <c r="Y1438" s="113"/>
      <c r="Z1438" s="108" t="s">
        <v>47</v>
      </c>
      <c r="AA1438" s="114"/>
      <c r="AB1438" s="113"/>
      <c r="AC1438" s="105" t="s">
        <v>3250</v>
      </c>
      <c r="AD1438" s="115" t="s">
        <v>107</v>
      </c>
    </row>
    <row r="1439" spans="1:30" x14ac:dyDescent="0.2">
      <c r="A1439" s="104" t="s">
        <v>14380</v>
      </c>
      <c r="B1439" s="105" t="s">
        <v>805</v>
      </c>
      <c r="C1439" s="105" t="s">
        <v>375</v>
      </c>
      <c r="D1439" s="106" t="s">
        <v>94</v>
      </c>
      <c r="E1439" s="107" t="s">
        <v>99</v>
      </c>
      <c r="F1439" s="108" t="s">
        <v>14381</v>
      </c>
      <c r="G1439" s="120">
        <v>2</v>
      </c>
      <c r="H1439" s="108" t="s">
        <v>14382</v>
      </c>
      <c r="I1439" s="110">
        <v>3</v>
      </c>
      <c r="J1439" s="111" t="s">
        <v>46</v>
      </c>
      <c r="K1439" s="108" t="s">
        <v>14383</v>
      </c>
      <c r="L1439" s="117">
        <v>2</v>
      </c>
      <c r="M1439" s="113"/>
      <c r="N1439" s="108" t="s">
        <v>14381</v>
      </c>
      <c r="O1439" s="117">
        <v>2</v>
      </c>
      <c r="P1439" s="113"/>
      <c r="Q1439" s="108" t="s">
        <v>14384</v>
      </c>
      <c r="R1439" s="110">
        <v>3</v>
      </c>
      <c r="S1439" s="111" t="s">
        <v>46</v>
      </c>
      <c r="T1439" s="108" t="s">
        <v>14385</v>
      </c>
      <c r="U1439" s="116">
        <v>1</v>
      </c>
      <c r="V1439" s="113"/>
      <c r="W1439" s="108" t="s">
        <v>47</v>
      </c>
      <c r="X1439" s="114"/>
      <c r="Y1439" s="113"/>
      <c r="Z1439" s="108" t="s">
        <v>47</v>
      </c>
      <c r="AA1439" s="114"/>
      <c r="AB1439" s="113"/>
      <c r="AC1439" s="105" t="s">
        <v>3251</v>
      </c>
      <c r="AD1439" s="115" t="s">
        <v>107</v>
      </c>
    </row>
    <row r="1440" spans="1:30" x14ac:dyDescent="0.2">
      <c r="A1440" s="104" t="s">
        <v>14386</v>
      </c>
      <c r="B1440" s="105" t="s">
        <v>805</v>
      </c>
      <c r="C1440" s="105" t="s">
        <v>2592</v>
      </c>
      <c r="D1440" s="106"/>
      <c r="E1440" s="107" t="s">
        <v>99</v>
      </c>
      <c r="F1440" s="108" t="s">
        <v>14387</v>
      </c>
      <c r="G1440" s="120">
        <v>2</v>
      </c>
      <c r="H1440" s="108" t="s">
        <v>14388</v>
      </c>
      <c r="I1440" s="110">
        <v>3</v>
      </c>
      <c r="J1440" s="111" t="s">
        <v>55</v>
      </c>
      <c r="K1440" s="108" t="s">
        <v>14389</v>
      </c>
      <c r="L1440" s="117">
        <v>2</v>
      </c>
      <c r="M1440" s="113"/>
      <c r="N1440" s="108" t="s">
        <v>14387</v>
      </c>
      <c r="O1440" s="117">
        <v>2</v>
      </c>
      <c r="P1440" s="113"/>
      <c r="Q1440" s="108" t="s">
        <v>14390</v>
      </c>
      <c r="R1440" s="110">
        <v>3</v>
      </c>
      <c r="S1440" s="111" t="s">
        <v>46</v>
      </c>
      <c r="T1440" s="108" t="s">
        <v>14391</v>
      </c>
      <c r="U1440" s="117">
        <v>2</v>
      </c>
      <c r="V1440" s="113"/>
      <c r="W1440" s="108" t="s">
        <v>47</v>
      </c>
      <c r="X1440" s="114"/>
      <c r="Y1440" s="113"/>
      <c r="Z1440" s="108" t="s">
        <v>47</v>
      </c>
      <c r="AA1440" s="114"/>
      <c r="AB1440" s="113"/>
      <c r="AC1440" s="105" t="s">
        <v>3252</v>
      </c>
      <c r="AD1440" s="115" t="s">
        <v>107</v>
      </c>
    </row>
    <row r="1441" spans="1:30" x14ac:dyDescent="0.2">
      <c r="A1441" s="104" t="s">
        <v>14392</v>
      </c>
      <c r="B1441" s="105" t="s">
        <v>805</v>
      </c>
      <c r="C1441" s="105" t="s">
        <v>375</v>
      </c>
      <c r="D1441" s="106" t="s">
        <v>94</v>
      </c>
      <c r="E1441" s="107" t="s">
        <v>99</v>
      </c>
      <c r="F1441" s="108" t="s">
        <v>14393</v>
      </c>
      <c r="G1441" s="120">
        <v>2</v>
      </c>
      <c r="H1441" s="108" t="s">
        <v>14394</v>
      </c>
      <c r="I1441" s="110">
        <v>3</v>
      </c>
      <c r="J1441" s="111" t="s">
        <v>46</v>
      </c>
      <c r="K1441" s="108" t="s">
        <v>14395</v>
      </c>
      <c r="L1441" s="117">
        <v>2</v>
      </c>
      <c r="M1441" s="113"/>
      <c r="N1441" s="108" t="s">
        <v>14393</v>
      </c>
      <c r="O1441" s="117">
        <v>2</v>
      </c>
      <c r="P1441" s="113"/>
      <c r="Q1441" s="108" t="s">
        <v>14396</v>
      </c>
      <c r="R1441" s="110">
        <v>3</v>
      </c>
      <c r="S1441" s="111" t="s">
        <v>46</v>
      </c>
      <c r="T1441" s="108" t="s">
        <v>14397</v>
      </c>
      <c r="U1441" s="116">
        <v>1</v>
      </c>
      <c r="V1441" s="113"/>
      <c r="W1441" s="108" t="s">
        <v>47</v>
      </c>
      <c r="X1441" s="114"/>
      <c r="Y1441" s="113"/>
      <c r="Z1441" s="108" t="s">
        <v>47</v>
      </c>
      <c r="AA1441" s="114"/>
      <c r="AB1441" s="113"/>
      <c r="AC1441" s="105" t="s">
        <v>3253</v>
      </c>
      <c r="AD1441" s="115" t="s">
        <v>107</v>
      </c>
    </row>
    <row r="1442" spans="1:30" x14ac:dyDescent="0.2">
      <c r="A1442" s="104" t="s">
        <v>14398</v>
      </c>
      <c r="B1442" s="105" t="s">
        <v>805</v>
      </c>
      <c r="C1442" s="105" t="s">
        <v>375</v>
      </c>
      <c r="D1442" s="106"/>
      <c r="E1442" s="107" t="s">
        <v>99</v>
      </c>
      <c r="F1442" s="108" t="s">
        <v>47</v>
      </c>
      <c r="G1442" s="113"/>
      <c r="H1442" s="108" t="s">
        <v>47</v>
      </c>
      <c r="I1442" s="114"/>
      <c r="J1442" s="113"/>
      <c r="K1442" s="108" t="s">
        <v>47</v>
      </c>
      <c r="L1442" s="114"/>
      <c r="M1442" s="113"/>
      <c r="N1442" s="108" t="s">
        <v>47</v>
      </c>
      <c r="O1442" s="114"/>
      <c r="P1442" s="113"/>
      <c r="Q1442" s="108" t="s">
        <v>47</v>
      </c>
      <c r="R1442" s="114"/>
      <c r="S1442" s="113"/>
      <c r="T1442" s="108" t="s">
        <v>47</v>
      </c>
      <c r="U1442" s="114"/>
      <c r="V1442" s="113"/>
      <c r="W1442" s="108" t="s">
        <v>47</v>
      </c>
      <c r="X1442" s="114"/>
      <c r="Y1442" s="113"/>
      <c r="Z1442" s="108" t="s">
        <v>47</v>
      </c>
      <c r="AA1442" s="114"/>
      <c r="AB1442" s="113"/>
      <c r="AC1442" s="105" t="s">
        <v>3254</v>
      </c>
      <c r="AD1442" s="115" t="s">
        <v>107</v>
      </c>
    </row>
    <row r="1443" spans="1:30" x14ac:dyDescent="0.2">
      <c r="A1443" s="104" t="s">
        <v>14399</v>
      </c>
      <c r="B1443" s="105" t="s">
        <v>805</v>
      </c>
      <c r="C1443" s="105" t="s">
        <v>375</v>
      </c>
      <c r="D1443" s="106"/>
      <c r="E1443" s="107" t="s">
        <v>99</v>
      </c>
      <c r="F1443" s="108" t="s">
        <v>47</v>
      </c>
      <c r="G1443" s="113"/>
      <c r="H1443" s="108" t="s">
        <v>47</v>
      </c>
      <c r="I1443" s="114"/>
      <c r="J1443" s="113"/>
      <c r="K1443" s="108" t="s">
        <v>47</v>
      </c>
      <c r="L1443" s="114"/>
      <c r="M1443" s="113"/>
      <c r="N1443" s="108" t="s">
        <v>47</v>
      </c>
      <c r="O1443" s="114"/>
      <c r="P1443" s="113"/>
      <c r="Q1443" s="108" t="s">
        <v>47</v>
      </c>
      <c r="R1443" s="114"/>
      <c r="S1443" s="113"/>
      <c r="T1443" s="108" t="s">
        <v>47</v>
      </c>
      <c r="U1443" s="114"/>
      <c r="V1443" s="113"/>
      <c r="W1443" s="108" t="s">
        <v>47</v>
      </c>
      <c r="X1443" s="114"/>
      <c r="Y1443" s="113"/>
      <c r="Z1443" s="108" t="s">
        <v>47</v>
      </c>
      <c r="AA1443" s="114"/>
      <c r="AB1443" s="113"/>
      <c r="AC1443" s="105" t="s">
        <v>3255</v>
      </c>
      <c r="AD1443" s="115" t="s">
        <v>107</v>
      </c>
    </row>
    <row r="1444" spans="1:30" x14ac:dyDescent="0.2">
      <c r="A1444" s="104" t="s">
        <v>14400</v>
      </c>
      <c r="B1444" s="105" t="s">
        <v>805</v>
      </c>
      <c r="C1444" s="105" t="s">
        <v>375</v>
      </c>
      <c r="D1444" s="106" t="s">
        <v>94</v>
      </c>
      <c r="E1444" s="107" t="s">
        <v>99</v>
      </c>
      <c r="F1444" s="108" t="s">
        <v>3256</v>
      </c>
      <c r="G1444" s="120">
        <v>2</v>
      </c>
      <c r="H1444" s="108" t="s">
        <v>14401</v>
      </c>
      <c r="I1444" s="110">
        <v>3</v>
      </c>
      <c r="J1444" s="111" t="s">
        <v>46</v>
      </c>
      <c r="K1444" s="108" t="s">
        <v>14402</v>
      </c>
      <c r="L1444" s="117">
        <v>2</v>
      </c>
      <c r="M1444" s="113"/>
      <c r="N1444" s="108" t="s">
        <v>3256</v>
      </c>
      <c r="O1444" s="117">
        <v>2</v>
      </c>
      <c r="P1444" s="113"/>
      <c r="Q1444" s="108" t="s">
        <v>14403</v>
      </c>
      <c r="R1444" s="110">
        <v>3</v>
      </c>
      <c r="S1444" s="111" t="s">
        <v>46</v>
      </c>
      <c r="T1444" s="108" t="s">
        <v>14404</v>
      </c>
      <c r="U1444" s="116">
        <v>1</v>
      </c>
      <c r="V1444" s="113"/>
      <c r="W1444" s="108" t="s">
        <v>47</v>
      </c>
      <c r="X1444" s="114"/>
      <c r="Y1444" s="113"/>
      <c r="Z1444" s="108" t="s">
        <v>47</v>
      </c>
      <c r="AA1444" s="114"/>
      <c r="AB1444" s="113"/>
      <c r="AC1444" s="105" t="s">
        <v>3257</v>
      </c>
      <c r="AD1444" s="115" t="s">
        <v>107</v>
      </c>
    </row>
    <row r="1445" spans="1:30" x14ac:dyDescent="0.2">
      <c r="A1445" s="104" t="s">
        <v>14405</v>
      </c>
      <c r="B1445" s="105" t="s">
        <v>805</v>
      </c>
      <c r="C1445" s="105" t="s">
        <v>375</v>
      </c>
      <c r="D1445" s="106" t="s">
        <v>94</v>
      </c>
      <c r="E1445" s="107" t="s">
        <v>99</v>
      </c>
      <c r="F1445" s="108" t="s">
        <v>14406</v>
      </c>
      <c r="G1445" s="120">
        <v>2</v>
      </c>
      <c r="H1445" s="108" t="s">
        <v>14407</v>
      </c>
      <c r="I1445" s="110">
        <v>3</v>
      </c>
      <c r="J1445" s="111" t="s">
        <v>46</v>
      </c>
      <c r="K1445" s="108" t="s">
        <v>14408</v>
      </c>
      <c r="L1445" s="117">
        <v>2</v>
      </c>
      <c r="M1445" s="113"/>
      <c r="N1445" s="108" t="s">
        <v>14406</v>
      </c>
      <c r="O1445" s="117">
        <v>2</v>
      </c>
      <c r="P1445" s="113"/>
      <c r="Q1445" s="108" t="s">
        <v>14409</v>
      </c>
      <c r="R1445" s="110">
        <v>3</v>
      </c>
      <c r="S1445" s="111" t="s">
        <v>46</v>
      </c>
      <c r="T1445" s="108" t="s">
        <v>14410</v>
      </c>
      <c r="U1445" s="116">
        <v>1</v>
      </c>
      <c r="V1445" s="113"/>
      <c r="W1445" s="108" t="s">
        <v>47</v>
      </c>
      <c r="X1445" s="114"/>
      <c r="Y1445" s="113"/>
      <c r="Z1445" s="108" t="s">
        <v>47</v>
      </c>
      <c r="AA1445" s="114"/>
      <c r="AB1445" s="113"/>
      <c r="AC1445" s="105" t="s">
        <v>3258</v>
      </c>
      <c r="AD1445" s="115" t="s">
        <v>107</v>
      </c>
    </row>
    <row r="1446" spans="1:30" x14ac:dyDescent="0.2">
      <c r="A1446" s="104" t="s">
        <v>3259</v>
      </c>
      <c r="B1446" s="105" t="s">
        <v>805</v>
      </c>
      <c r="C1446" s="105" t="s">
        <v>3260</v>
      </c>
      <c r="D1446" s="106"/>
      <c r="E1446" s="107" t="s">
        <v>146</v>
      </c>
      <c r="F1446" s="108" t="s">
        <v>2519</v>
      </c>
      <c r="G1446" s="119">
        <v>1</v>
      </c>
      <c r="H1446" s="108" t="s">
        <v>14411</v>
      </c>
      <c r="I1446" s="116">
        <v>1</v>
      </c>
      <c r="J1446" s="113"/>
      <c r="K1446" s="108" t="s">
        <v>14412</v>
      </c>
      <c r="L1446" s="116">
        <v>1</v>
      </c>
      <c r="M1446" s="113"/>
      <c r="N1446" s="108" t="s">
        <v>2519</v>
      </c>
      <c r="O1446" s="116">
        <v>1</v>
      </c>
      <c r="P1446" s="113"/>
      <c r="Q1446" s="108" t="s">
        <v>12199</v>
      </c>
      <c r="R1446" s="116">
        <v>1</v>
      </c>
      <c r="S1446" s="111" t="s">
        <v>40</v>
      </c>
      <c r="T1446" s="108" t="s">
        <v>14413</v>
      </c>
      <c r="U1446" s="116">
        <v>1</v>
      </c>
      <c r="V1446" s="113"/>
      <c r="W1446" s="108" t="s">
        <v>3261</v>
      </c>
      <c r="X1446" s="116">
        <v>1</v>
      </c>
      <c r="Y1446" s="111" t="s">
        <v>40</v>
      </c>
      <c r="Z1446" s="108" t="s">
        <v>47</v>
      </c>
      <c r="AA1446" s="114"/>
      <c r="AB1446" s="113"/>
      <c r="AC1446" s="105" t="s">
        <v>3262</v>
      </c>
      <c r="AD1446" s="115" t="s">
        <v>107</v>
      </c>
    </row>
    <row r="1447" spans="1:30" x14ac:dyDescent="0.2">
      <c r="A1447" s="104" t="s">
        <v>3263</v>
      </c>
      <c r="B1447" s="105" t="s">
        <v>805</v>
      </c>
      <c r="C1447" s="105" t="s">
        <v>3260</v>
      </c>
      <c r="D1447" s="106"/>
      <c r="E1447" s="107" t="s">
        <v>146</v>
      </c>
      <c r="F1447" s="108" t="s">
        <v>12187</v>
      </c>
      <c r="G1447" s="119">
        <v>1</v>
      </c>
      <c r="H1447" s="108" t="s">
        <v>14414</v>
      </c>
      <c r="I1447" s="116">
        <v>1</v>
      </c>
      <c r="J1447" s="113"/>
      <c r="K1447" s="108" t="s">
        <v>14415</v>
      </c>
      <c r="L1447" s="116">
        <v>1</v>
      </c>
      <c r="M1447" s="113"/>
      <c r="N1447" s="108" t="s">
        <v>12187</v>
      </c>
      <c r="O1447" s="116">
        <v>1</v>
      </c>
      <c r="P1447" s="111" t="s">
        <v>40</v>
      </c>
      <c r="Q1447" s="108" t="s">
        <v>14416</v>
      </c>
      <c r="R1447" s="116">
        <v>1</v>
      </c>
      <c r="S1447" s="111" t="s">
        <v>40</v>
      </c>
      <c r="T1447" s="108" t="s">
        <v>14417</v>
      </c>
      <c r="U1447" s="116">
        <v>1</v>
      </c>
      <c r="V1447" s="113"/>
      <c r="W1447" s="108" t="s">
        <v>12190</v>
      </c>
      <c r="X1447" s="117">
        <v>2</v>
      </c>
      <c r="Y1447" s="113"/>
      <c r="Z1447" s="108" t="s">
        <v>47</v>
      </c>
      <c r="AA1447" s="114"/>
      <c r="AB1447" s="113"/>
      <c r="AC1447" s="105" t="s">
        <v>3264</v>
      </c>
      <c r="AD1447" s="115" t="s">
        <v>107</v>
      </c>
    </row>
    <row r="1448" spans="1:30" x14ac:dyDescent="0.2">
      <c r="A1448" s="104" t="s">
        <v>3265</v>
      </c>
      <c r="B1448" s="105" t="s">
        <v>805</v>
      </c>
      <c r="C1448" s="105" t="s">
        <v>3260</v>
      </c>
      <c r="D1448" s="106"/>
      <c r="E1448" s="107" t="s">
        <v>146</v>
      </c>
      <c r="F1448" s="108" t="s">
        <v>14418</v>
      </c>
      <c r="G1448" s="119">
        <v>1</v>
      </c>
      <c r="H1448" s="108" t="s">
        <v>3266</v>
      </c>
      <c r="I1448" s="117">
        <v>2</v>
      </c>
      <c r="J1448" s="113"/>
      <c r="K1448" s="108" t="s">
        <v>12482</v>
      </c>
      <c r="L1448" s="116">
        <v>1</v>
      </c>
      <c r="M1448" s="113"/>
      <c r="N1448" s="108" t="s">
        <v>14418</v>
      </c>
      <c r="O1448" s="116">
        <v>1</v>
      </c>
      <c r="P1448" s="111" t="s">
        <v>40</v>
      </c>
      <c r="Q1448" s="108" t="s">
        <v>14419</v>
      </c>
      <c r="R1448" s="117">
        <v>2</v>
      </c>
      <c r="S1448" s="113"/>
      <c r="T1448" s="108" t="s">
        <v>14420</v>
      </c>
      <c r="U1448" s="117">
        <v>2</v>
      </c>
      <c r="V1448" s="113"/>
      <c r="W1448" s="108" t="s">
        <v>14421</v>
      </c>
      <c r="X1448" s="117">
        <v>2</v>
      </c>
      <c r="Y1448" s="113"/>
      <c r="Z1448" s="108" t="s">
        <v>3267</v>
      </c>
      <c r="AA1448" s="110">
        <v>3</v>
      </c>
      <c r="AB1448" s="113"/>
      <c r="AC1448" s="105" t="s">
        <v>3268</v>
      </c>
      <c r="AD1448" s="115" t="s">
        <v>107</v>
      </c>
    </row>
    <row r="1449" spans="1:30" x14ac:dyDescent="0.2">
      <c r="A1449" s="104" t="s">
        <v>3269</v>
      </c>
      <c r="B1449" s="105" t="s">
        <v>805</v>
      </c>
      <c r="C1449" s="105" t="s">
        <v>3260</v>
      </c>
      <c r="D1449" s="106"/>
      <c r="E1449" s="107" t="s">
        <v>146</v>
      </c>
      <c r="F1449" s="108" t="s">
        <v>47</v>
      </c>
      <c r="G1449" s="113"/>
      <c r="H1449" s="108" t="s">
        <v>47</v>
      </c>
      <c r="I1449" s="114"/>
      <c r="J1449" s="113"/>
      <c r="K1449" s="108" t="s">
        <v>47</v>
      </c>
      <c r="L1449" s="114"/>
      <c r="M1449" s="113"/>
      <c r="N1449" s="108" t="s">
        <v>47</v>
      </c>
      <c r="O1449" s="114"/>
      <c r="P1449" s="113"/>
      <c r="Q1449" s="108" t="s">
        <v>47</v>
      </c>
      <c r="R1449" s="114"/>
      <c r="S1449" s="113"/>
      <c r="T1449" s="108" t="s">
        <v>47</v>
      </c>
      <c r="U1449" s="114"/>
      <c r="V1449" s="113"/>
      <c r="W1449" s="108" t="s">
        <v>47</v>
      </c>
      <c r="X1449" s="114"/>
      <c r="Y1449" s="113"/>
      <c r="Z1449" s="108" t="s">
        <v>47</v>
      </c>
      <c r="AA1449" s="114"/>
      <c r="AB1449" s="113"/>
      <c r="AC1449" s="105" t="s">
        <v>3270</v>
      </c>
      <c r="AD1449" s="115" t="s">
        <v>107</v>
      </c>
    </row>
    <row r="1450" spans="1:30" x14ac:dyDescent="0.2">
      <c r="A1450" s="104" t="s">
        <v>3271</v>
      </c>
      <c r="B1450" s="105" t="s">
        <v>805</v>
      </c>
      <c r="C1450" s="105" t="s">
        <v>3260</v>
      </c>
      <c r="D1450" s="106"/>
      <c r="E1450" s="107" t="s">
        <v>146</v>
      </c>
      <c r="F1450" s="108" t="s">
        <v>2539</v>
      </c>
      <c r="G1450" s="119">
        <v>1</v>
      </c>
      <c r="H1450" s="108" t="s">
        <v>3272</v>
      </c>
      <c r="I1450" s="117">
        <v>2</v>
      </c>
      <c r="J1450" s="113"/>
      <c r="K1450" s="108" t="s">
        <v>3273</v>
      </c>
      <c r="L1450" s="116">
        <v>1</v>
      </c>
      <c r="M1450" s="111" t="s">
        <v>40</v>
      </c>
      <c r="N1450" s="108" t="s">
        <v>2539</v>
      </c>
      <c r="O1450" s="116">
        <v>1</v>
      </c>
      <c r="P1450" s="111" t="s">
        <v>40</v>
      </c>
      <c r="Q1450" s="108" t="s">
        <v>12250</v>
      </c>
      <c r="R1450" s="117">
        <v>2</v>
      </c>
      <c r="S1450" s="113"/>
      <c r="T1450" s="108" t="s">
        <v>14422</v>
      </c>
      <c r="U1450" s="117">
        <v>2</v>
      </c>
      <c r="V1450" s="113"/>
      <c r="W1450" s="108" t="s">
        <v>14423</v>
      </c>
      <c r="X1450" s="117">
        <v>2</v>
      </c>
      <c r="Y1450" s="113"/>
      <c r="Z1450" s="108" t="s">
        <v>3274</v>
      </c>
      <c r="AA1450" s="110">
        <v>3</v>
      </c>
      <c r="AB1450" s="113"/>
      <c r="AC1450" s="105" t="s">
        <v>3275</v>
      </c>
      <c r="AD1450" s="115" t="s">
        <v>107</v>
      </c>
    </row>
    <row r="1451" spans="1:30" x14ac:dyDescent="0.2">
      <c r="A1451" s="104" t="s">
        <v>3276</v>
      </c>
      <c r="B1451" s="105" t="s">
        <v>805</v>
      </c>
      <c r="C1451" s="105" t="s">
        <v>3260</v>
      </c>
      <c r="D1451" s="106"/>
      <c r="E1451" s="107" t="s">
        <v>182</v>
      </c>
      <c r="F1451" s="108" t="s">
        <v>14424</v>
      </c>
      <c r="G1451" s="109">
        <v>4</v>
      </c>
      <c r="H1451" s="108" t="s">
        <v>3277</v>
      </c>
      <c r="I1451" s="112">
        <v>4</v>
      </c>
      <c r="J1451" s="113"/>
      <c r="K1451" s="108" t="s">
        <v>14425</v>
      </c>
      <c r="L1451" s="112">
        <v>4</v>
      </c>
      <c r="M1451" s="113"/>
      <c r="N1451" s="108" t="s">
        <v>14424</v>
      </c>
      <c r="O1451" s="112">
        <v>4</v>
      </c>
      <c r="P1451" s="113"/>
      <c r="Q1451" s="108" t="s">
        <v>14426</v>
      </c>
      <c r="R1451" s="112">
        <v>4</v>
      </c>
      <c r="S1451" s="113"/>
      <c r="T1451" s="108" t="s">
        <v>11216</v>
      </c>
      <c r="U1451" s="112">
        <v>4</v>
      </c>
      <c r="V1451" s="113"/>
      <c r="W1451" s="108" t="s">
        <v>14427</v>
      </c>
      <c r="X1451" s="110">
        <v>3</v>
      </c>
      <c r="Y1451" s="113"/>
      <c r="Z1451" s="108" t="s">
        <v>47</v>
      </c>
      <c r="AA1451" s="114"/>
      <c r="AB1451" s="113"/>
      <c r="AC1451" s="105" t="s">
        <v>3278</v>
      </c>
      <c r="AD1451" s="115" t="s">
        <v>107</v>
      </c>
    </row>
    <row r="1452" spans="1:30" x14ac:dyDescent="0.2">
      <c r="A1452" s="104" t="s">
        <v>3279</v>
      </c>
      <c r="B1452" s="105" t="s">
        <v>805</v>
      </c>
      <c r="C1452" s="105" t="s">
        <v>3260</v>
      </c>
      <c r="D1452" s="106"/>
      <c r="E1452" s="107" t="s">
        <v>182</v>
      </c>
      <c r="F1452" s="108" t="s">
        <v>14428</v>
      </c>
      <c r="G1452" s="109">
        <v>4</v>
      </c>
      <c r="H1452" s="108" t="s">
        <v>3280</v>
      </c>
      <c r="I1452" s="110">
        <v>3</v>
      </c>
      <c r="J1452" s="111" t="s">
        <v>40</v>
      </c>
      <c r="K1452" s="108" t="s">
        <v>14429</v>
      </c>
      <c r="L1452" s="112">
        <v>4</v>
      </c>
      <c r="M1452" s="113"/>
      <c r="N1452" s="108" t="s">
        <v>14428</v>
      </c>
      <c r="O1452" s="112">
        <v>4</v>
      </c>
      <c r="P1452" s="113"/>
      <c r="Q1452" s="108" t="s">
        <v>3281</v>
      </c>
      <c r="R1452" s="112">
        <v>4</v>
      </c>
      <c r="S1452" s="113"/>
      <c r="T1452" s="108" t="s">
        <v>14430</v>
      </c>
      <c r="U1452" s="112">
        <v>4</v>
      </c>
      <c r="V1452" s="113"/>
      <c r="W1452" s="108" t="s">
        <v>14431</v>
      </c>
      <c r="X1452" s="110">
        <v>3</v>
      </c>
      <c r="Y1452" s="111" t="s">
        <v>46</v>
      </c>
      <c r="Z1452" s="108" t="s">
        <v>47</v>
      </c>
      <c r="AA1452" s="114"/>
      <c r="AB1452" s="113"/>
      <c r="AC1452" s="105" t="s">
        <v>3282</v>
      </c>
      <c r="AD1452" s="115" t="s">
        <v>107</v>
      </c>
    </row>
    <row r="1453" spans="1:30" x14ac:dyDescent="0.2">
      <c r="A1453" s="104" t="s">
        <v>3283</v>
      </c>
      <c r="B1453" s="105" t="s">
        <v>805</v>
      </c>
      <c r="C1453" s="105" t="s">
        <v>3260</v>
      </c>
      <c r="D1453" s="106"/>
      <c r="E1453" s="107" t="s">
        <v>182</v>
      </c>
      <c r="F1453" s="108" t="s">
        <v>14432</v>
      </c>
      <c r="G1453" s="109">
        <v>4</v>
      </c>
      <c r="H1453" s="108" t="s">
        <v>3284</v>
      </c>
      <c r="I1453" s="112">
        <v>4</v>
      </c>
      <c r="J1453" s="113"/>
      <c r="K1453" s="108" t="s">
        <v>14433</v>
      </c>
      <c r="L1453" s="112">
        <v>4</v>
      </c>
      <c r="M1453" s="113"/>
      <c r="N1453" s="108" t="s">
        <v>14432</v>
      </c>
      <c r="O1453" s="112">
        <v>4</v>
      </c>
      <c r="P1453" s="113"/>
      <c r="Q1453" s="108" t="s">
        <v>14434</v>
      </c>
      <c r="R1453" s="112">
        <v>4</v>
      </c>
      <c r="S1453" s="113"/>
      <c r="T1453" s="108" t="s">
        <v>14435</v>
      </c>
      <c r="U1453" s="112">
        <v>4</v>
      </c>
      <c r="V1453" s="113"/>
      <c r="W1453" s="108" t="s">
        <v>14436</v>
      </c>
      <c r="X1453" s="110">
        <v>3</v>
      </c>
      <c r="Y1453" s="113"/>
      <c r="Z1453" s="108" t="s">
        <v>47</v>
      </c>
      <c r="AA1453" s="114"/>
      <c r="AB1453" s="113"/>
      <c r="AC1453" s="105" t="s">
        <v>3285</v>
      </c>
      <c r="AD1453" s="115" t="s">
        <v>107</v>
      </c>
    </row>
    <row r="1454" spans="1:30" x14ac:dyDescent="0.2">
      <c r="A1454" s="104" t="s">
        <v>3286</v>
      </c>
      <c r="B1454" s="105" t="s">
        <v>381</v>
      </c>
      <c r="C1454" s="105" t="s">
        <v>3287</v>
      </c>
      <c r="D1454" s="106"/>
      <c r="E1454" s="107"/>
      <c r="F1454" s="108" t="s">
        <v>47</v>
      </c>
      <c r="G1454" s="113"/>
      <c r="H1454" s="108" t="s">
        <v>47</v>
      </c>
      <c r="I1454" s="114"/>
      <c r="J1454" s="113"/>
      <c r="K1454" s="108" t="s">
        <v>47</v>
      </c>
      <c r="L1454" s="114"/>
      <c r="M1454" s="113"/>
      <c r="N1454" s="108" t="s">
        <v>47</v>
      </c>
      <c r="O1454" s="114"/>
      <c r="P1454" s="113"/>
      <c r="Q1454" s="108" t="s">
        <v>47</v>
      </c>
      <c r="R1454" s="114"/>
      <c r="S1454" s="113"/>
      <c r="T1454" s="108" t="s">
        <v>47</v>
      </c>
      <c r="U1454" s="114"/>
      <c r="V1454" s="113"/>
      <c r="W1454" s="108" t="s">
        <v>47</v>
      </c>
      <c r="X1454" s="114"/>
      <c r="Y1454" s="113"/>
      <c r="Z1454" s="108" t="s">
        <v>47</v>
      </c>
      <c r="AA1454" s="114"/>
      <c r="AB1454" s="113"/>
      <c r="AC1454" s="105"/>
      <c r="AD1454" s="115" t="s">
        <v>101</v>
      </c>
    </row>
    <row r="1455" spans="1:30" x14ac:dyDescent="0.2">
      <c r="A1455" s="104" t="s">
        <v>3288</v>
      </c>
      <c r="B1455" s="105" t="s">
        <v>381</v>
      </c>
      <c r="C1455" s="105" t="s">
        <v>3287</v>
      </c>
      <c r="D1455" s="106"/>
      <c r="E1455" s="107"/>
      <c r="F1455" s="108" t="s">
        <v>3289</v>
      </c>
      <c r="G1455" s="118">
        <v>3</v>
      </c>
      <c r="H1455" s="108" t="s">
        <v>14437</v>
      </c>
      <c r="I1455" s="112">
        <v>4</v>
      </c>
      <c r="J1455" s="111" t="s">
        <v>46</v>
      </c>
      <c r="K1455" s="108" t="s">
        <v>14438</v>
      </c>
      <c r="L1455" s="110">
        <v>3</v>
      </c>
      <c r="M1455" s="113"/>
      <c r="N1455" s="108" t="s">
        <v>3289</v>
      </c>
      <c r="O1455" s="110">
        <v>3</v>
      </c>
      <c r="P1455" s="113"/>
      <c r="Q1455" s="108" t="s">
        <v>14439</v>
      </c>
      <c r="R1455" s="110">
        <v>3</v>
      </c>
      <c r="S1455" s="113"/>
      <c r="T1455" s="108" t="s">
        <v>47</v>
      </c>
      <c r="U1455" s="114"/>
      <c r="V1455" s="113"/>
      <c r="W1455" s="108" t="s">
        <v>47</v>
      </c>
      <c r="X1455" s="114"/>
      <c r="Y1455" s="113"/>
      <c r="Z1455" s="108" t="s">
        <v>47</v>
      </c>
      <c r="AA1455" s="114"/>
      <c r="AB1455" s="113"/>
      <c r="AC1455" s="105" t="s">
        <v>3290</v>
      </c>
      <c r="AD1455" s="115" t="s">
        <v>101</v>
      </c>
    </row>
    <row r="1456" spans="1:30" x14ac:dyDescent="0.2">
      <c r="A1456" s="104" t="s">
        <v>3291</v>
      </c>
      <c r="B1456" s="105" t="s">
        <v>97</v>
      </c>
      <c r="C1456" s="105" t="s">
        <v>7945</v>
      </c>
      <c r="D1456" s="106" t="s">
        <v>94</v>
      </c>
      <c r="E1456" s="107"/>
      <c r="F1456" s="108" t="s">
        <v>14440</v>
      </c>
      <c r="G1456" s="109">
        <v>4</v>
      </c>
      <c r="H1456" s="108" t="s">
        <v>14441</v>
      </c>
      <c r="I1456" s="112">
        <v>4</v>
      </c>
      <c r="J1456" s="111" t="s">
        <v>55</v>
      </c>
      <c r="K1456" s="108" t="s">
        <v>14442</v>
      </c>
      <c r="L1456" s="110">
        <v>3</v>
      </c>
      <c r="M1456" s="113"/>
      <c r="N1456" s="108" t="s">
        <v>14440</v>
      </c>
      <c r="O1456" s="112">
        <v>4</v>
      </c>
      <c r="P1456" s="111" t="s">
        <v>46</v>
      </c>
      <c r="Q1456" s="108" t="s">
        <v>14443</v>
      </c>
      <c r="R1456" s="110">
        <v>3</v>
      </c>
      <c r="S1456" s="113"/>
      <c r="T1456" s="108" t="s">
        <v>3292</v>
      </c>
      <c r="U1456" s="117">
        <v>2</v>
      </c>
      <c r="V1456" s="113"/>
      <c r="W1456" s="108" t="s">
        <v>3293</v>
      </c>
      <c r="X1456" s="117">
        <v>2</v>
      </c>
      <c r="Y1456" s="113"/>
      <c r="Z1456" s="108" t="s">
        <v>14444</v>
      </c>
      <c r="AA1456" s="110">
        <v>3</v>
      </c>
      <c r="AB1456" s="113"/>
      <c r="AC1456" s="105" t="s">
        <v>3294</v>
      </c>
      <c r="AD1456" s="115" t="s">
        <v>101</v>
      </c>
    </row>
    <row r="1457" spans="1:30" x14ac:dyDescent="0.2">
      <c r="A1457" s="104" t="s">
        <v>3295</v>
      </c>
      <c r="B1457" s="105" t="s">
        <v>97</v>
      </c>
      <c r="C1457" s="105" t="s">
        <v>7945</v>
      </c>
      <c r="D1457" s="106" t="s">
        <v>94</v>
      </c>
      <c r="E1457" s="107"/>
      <c r="F1457" s="108" t="s">
        <v>14445</v>
      </c>
      <c r="G1457" s="109">
        <v>4</v>
      </c>
      <c r="H1457" s="108" t="s">
        <v>14446</v>
      </c>
      <c r="I1457" s="112">
        <v>4</v>
      </c>
      <c r="J1457" s="111" t="s">
        <v>55</v>
      </c>
      <c r="K1457" s="108" t="s">
        <v>14447</v>
      </c>
      <c r="L1457" s="110">
        <v>3</v>
      </c>
      <c r="M1457" s="113"/>
      <c r="N1457" s="108" t="s">
        <v>14445</v>
      </c>
      <c r="O1457" s="112">
        <v>4</v>
      </c>
      <c r="P1457" s="111" t="s">
        <v>46</v>
      </c>
      <c r="Q1457" s="108" t="s">
        <v>14448</v>
      </c>
      <c r="R1457" s="110">
        <v>3</v>
      </c>
      <c r="S1457" s="113"/>
      <c r="T1457" s="108" t="s">
        <v>14449</v>
      </c>
      <c r="U1457" s="117">
        <v>2</v>
      </c>
      <c r="V1457" s="113"/>
      <c r="W1457" s="108" t="s">
        <v>14450</v>
      </c>
      <c r="X1457" s="117">
        <v>2</v>
      </c>
      <c r="Y1457" s="113"/>
      <c r="Z1457" s="108" t="s">
        <v>14451</v>
      </c>
      <c r="AA1457" s="110">
        <v>3</v>
      </c>
      <c r="AB1457" s="113"/>
      <c r="AC1457" s="105" t="s">
        <v>3296</v>
      </c>
      <c r="AD1457" s="115" t="s">
        <v>101</v>
      </c>
    </row>
    <row r="1458" spans="1:30" x14ac:dyDescent="0.2">
      <c r="A1458" s="104" t="s">
        <v>3297</v>
      </c>
      <c r="B1458" s="105" t="s">
        <v>381</v>
      </c>
      <c r="C1458" s="105" t="s">
        <v>3298</v>
      </c>
      <c r="D1458" s="106"/>
      <c r="E1458" s="107"/>
      <c r="F1458" s="108" t="s">
        <v>47</v>
      </c>
      <c r="G1458" s="113"/>
      <c r="H1458" s="108" t="s">
        <v>47</v>
      </c>
      <c r="I1458" s="114"/>
      <c r="J1458" s="113"/>
      <c r="K1458" s="108" t="s">
        <v>47</v>
      </c>
      <c r="L1458" s="114"/>
      <c r="M1458" s="113"/>
      <c r="N1458" s="108" t="s">
        <v>47</v>
      </c>
      <c r="O1458" s="114"/>
      <c r="P1458" s="113"/>
      <c r="Q1458" s="108" t="s">
        <v>47</v>
      </c>
      <c r="R1458" s="114"/>
      <c r="S1458" s="113"/>
      <c r="T1458" s="108" t="s">
        <v>47</v>
      </c>
      <c r="U1458" s="114"/>
      <c r="V1458" s="113"/>
      <c r="W1458" s="108" t="s">
        <v>47</v>
      </c>
      <c r="X1458" s="114"/>
      <c r="Y1458" s="113"/>
      <c r="Z1458" s="108" t="s">
        <v>47</v>
      </c>
      <c r="AA1458" s="114"/>
      <c r="AB1458" s="113"/>
      <c r="AC1458" s="105"/>
      <c r="AD1458" s="115" t="s">
        <v>101</v>
      </c>
    </row>
    <row r="1459" spans="1:30" x14ac:dyDescent="0.2">
      <c r="A1459" s="104" t="s">
        <v>3299</v>
      </c>
      <c r="B1459" s="105" t="s">
        <v>381</v>
      </c>
      <c r="C1459" s="105" t="s">
        <v>3300</v>
      </c>
      <c r="D1459" s="106" t="s">
        <v>94</v>
      </c>
      <c r="E1459" s="107"/>
      <c r="F1459" s="108" t="s">
        <v>14452</v>
      </c>
      <c r="G1459" s="109">
        <v>4</v>
      </c>
      <c r="H1459" s="108" t="s">
        <v>14453</v>
      </c>
      <c r="I1459" s="112">
        <v>4</v>
      </c>
      <c r="J1459" s="113"/>
      <c r="K1459" s="108" t="s">
        <v>14454</v>
      </c>
      <c r="L1459" s="112">
        <v>4</v>
      </c>
      <c r="M1459" s="113"/>
      <c r="N1459" s="108" t="s">
        <v>14452</v>
      </c>
      <c r="O1459" s="112">
        <v>4</v>
      </c>
      <c r="P1459" s="113"/>
      <c r="Q1459" s="108" t="s">
        <v>3301</v>
      </c>
      <c r="R1459" s="112">
        <v>4</v>
      </c>
      <c r="S1459" s="113"/>
      <c r="T1459" s="108" t="s">
        <v>14455</v>
      </c>
      <c r="U1459" s="116">
        <v>1</v>
      </c>
      <c r="V1459" s="113"/>
      <c r="W1459" s="108" t="s">
        <v>3302</v>
      </c>
      <c r="X1459" s="117">
        <v>2</v>
      </c>
      <c r="Y1459" s="111" t="s">
        <v>40</v>
      </c>
      <c r="Z1459" s="108" t="s">
        <v>47</v>
      </c>
      <c r="AA1459" s="114"/>
      <c r="AB1459" s="113"/>
      <c r="AC1459" s="105" t="s">
        <v>3303</v>
      </c>
      <c r="AD1459" s="115" t="s">
        <v>101</v>
      </c>
    </row>
    <row r="1460" spans="1:30" x14ac:dyDescent="0.2">
      <c r="A1460" s="104" t="s">
        <v>3304</v>
      </c>
      <c r="B1460" s="105" t="s">
        <v>381</v>
      </c>
      <c r="C1460" s="105" t="s">
        <v>3300</v>
      </c>
      <c r="D1460" s="106"/>
      <c r="E1460" s="107"/>
      <c r="F1460" s="108" t="s">
        <v>47</v>
      </c>
      <c r="G1460" s="113"/>
      <c r="H1460" s="108" t="s">
        <v>47</v>
      </c>
      <c r="I1460" s="114"/>
      <c r="J1460" s="113"/>
      <c r="K1460" s="108" t="s">
        <v>47</v>
      </c>
      <c r="L1460" s="114"/>
      <c r="M1460" s="113"/>
      <c r="N1460" s="108" t="s">
        <v>47</v>
      </c>
      <c r="O1460" s="114"/>
      <c r="P1460" s="113"/>
      <c r="Q1460" s="108" t="s">
        <v>47</v>
      </c>
      <c r="R1460" s="114"/>
      <c r="S1460" s="113"/>
      <c r="T1460" s="108" t="s">
        <v>47</v>
      </c>
      <c r="U1460" s="114"/>
      <c r="V1460" s="113"/>
      <c r="W1460" s="108" t="s">
        <v>47</v>
      </c>
      <c r="X1460" s="114"/>
      <c r="Y1460" s="113"/>
      <c r="Z1460" s="108" t="s">
        <v>47</v>
      </c>
      <c r="AA1460" s="114"/>
      <c r="AB1460" s="113"/>
      <c r="AC1460" s="105"/>
      <c r="AD1460" s="115" t="s">
        <v>101</v>
      </c>
    </row>
    <row r="1461" spans="1:30" x14ac:dyDescent="0.2">
      <c r="A1461" s="104" t="s">
        <v>3305</v>
      </c>
      <c r="B1461" s="105" t="s">
        <v>381</v>
      </c>
      <c r="C1461" s="105" t="s">
        <v>382</v>
      </c>
      <c r="D1461" s="106"/>
      <c r="E1461" s="107"/>
      <c r="F1461" s="108" t="s">
        <v>14456</v>
      </c>
      <c r="G1461" s="119">
        <v>1</v>
      </c>
      <c r="H1461" s="108" t="s">
        <v>14457</v>
      </c>
      <c r="I1461" s="110">
        <v>3</v>
      </c>
      <c r="J1461" s="111" t="s">
        <v>55</v>
      </c>
      <c r="K1461" s="108" t="s">
        <v>14458</v>
      </c>
      <c r="L1461" s="116">
        <v>1</v>
      </c>
      <c r="M1461" s="113"/>
      <c r="N1461" s="108" t="s">
        <v>14456</v>
      </c>
      <c r="O1461" s="116">
        <v>1</v>
      </c>
      <c r="P1461" s="113"/>
      <c r="Q1461" s="108" t="s">
        <v>14459</v>
      </c>
      <c r="R1461" s="116">
        <v>1</v>
      </c>
      <c r="S1461" s="113"/>
      <c r="T1461" s="108" t="s">
        <v>47</v>
      </c>
      <c r="U1461" s="114"/>
      <c r="V1461" s="113"/>
      <c r="W1461" s="108" t="s">
        <v>47</v>
      </c>
      <c r="X1461" s="114"/>
      <c r="Y1461" s="113"/>
      <c r="Z1461" s="108" t="s">
        <v>47</v>
      </c>
      <c r="AA1461" s="114"/>
      <c r="AB1461" s="113"/>
      <c r="AC1461" s="105" t="s">
        <v>3306</v>
      </c>
      <c r="AD1461" s="115" t="s">
        <v>101</v>
      </c>
    </row>
    <row r="1462" spans="1:30" x14ac:dyDescent="0.2">
      <c r="A1462" s="104" t="s">
        <v>3307</v>
      </c>
      <c r="B1462" s="105" t="s">
        <v>381</v>
      </c>
      <c r="C1462" s="105" t="s">
        <v>382</v>
      </c>
      <c r="D1462" s="106"/>
      <c r="E1462" s="107" t="s">
        <v>99</v>
      </c>
      <c r="F1462" s="108" t="s">
        <v>47</v>
      </c>
      <c r="G1462" s="113"/>
      <c r="H1462" s="108" t="s">
        <v>47</v>
      </c>
      <c r="I1462" s="114"/>
      <c r="J1462" s="113"/>
      <c r="K1462" s="108" t="s">
        <v>47</v>
      </c>
      <c r="L1462" s="114"/>
      <c r="M1462" s="113"/>
      <c r="N1462" s="108" t="s">
        <v>47</v>
      </c>
      <c r="O1462" s="114"/>
      <c r="P1462" s="113"/>
      <c r="Q1462" s="108" t="s">
        <v>47</v>
      </c>
      <c r="R1462" s="114"/>
      <c r="S1462" s="113"/>
      <c r="T1462" s="108" t="s">
        <v>47</v>
      </c>
      <c r="U1462" s="114"/>
      <c r="V1462" s="113"/>
      <c r="W1462" s="108" t="s">
        <v>47</v>
      </c>
      <c r="X1462" s="114"/>
      <c r="Y1462" s="113"/>
      <c r="Z1462" s="108" t="s">
        <v>47</v>
      </c>
      <c r="AA1462" s="114"/>
      <c r="AB1462" s="113"/>
      <c r="AC1462" s="105"/>
      <c r="AD1462" s="115" t="s">
        <v>101</v>
      </c>
    </row>
    <row r="1463" spans="1:30" x14ac:dyDescent="0.2">
      <c r="A1463" s="104" t="s">
        <v>3308</v>
      </c>
      <c r="B1463" s="105" t="s">
        <v>381</v>
      </c>
      <c r="C1463" s="105" t="s">
        <v>3309</v>
      </c>
      <c r="D1463" s="106"/>
      <c r="E1463" s="107"/>
      <c r="F1463" s="108" t="s">
        <v>47</v>
      </c>
      <c r="G1463" s="113"/>
      <c r="H1463" s="108" t="s">
        <v>47</v>
      </c>
      <c r="I1463" s="114"/>
      <c r="J1463" s="113"/>
      <c r="K1463" s="108" t="s">
        <v>47</v>
      </c>
      <c r="L1463" s="114"/>
      <c r="M1463" s="113"/>
      <c r="N1463" s="108" t="s">
        <v>47</v>
      </c>
      <c r="O1463" s="114"/>
      <c r="P1463" s="113"/>
      <c r="Q1463" s="108" t="s">
        <v>47</v>
      </c>
      <c r="R1463" s="114"/>
      <c r="S1463" s="113"/>
      <c r="T1463" s="108" t="s">
        <v>47</v>
      </c>
      <c r="U1463" s="114"/>
      <c r="V1463" s="113"/>
      <c r="W1463" s="108" t="s">
        <v>47</v>
      </c>
      <c r="X1463" s="114"/>
      <c r="Y1463" s="113"/>
      <c r="Z1463" s="108" t="s">
        <v>47</v>
      </c>
      <c r="AA1463" s="114"/>
      <c r="AB1463" s="113"/>
      <c r="AC1463" s="105"/>
      <c r="AD1463" s="115" t="s">
        <v>101</v>
      </c>
    </row>
    <row r="1464" spans="1:30" x14ac:dyDescent="0.2">
      <c r="A1464" s="104" t="s">
        <v>3310</v>
      </c>
      <c r="B1464" s="105" t="s">
        <v>381</v>
      </c>
      <c r="C1464" s="105" t="s">
        <v>382</v>
      </c>
      <c r="D1464" s="106"/>
      <c r="E1464" s="107" t="s">
        <v>146</v>
      </c>
      <c r="F1464" s="108" t="s">
        <v>47</v>
      </c>
      <c r="G1464" s="113"/>
      <c r="H1464" s="108" t="s">
        <v>47</v>
      </c>
      <c r="I1464" s="114"/>
      <c r="J1464" s="113"/>
      <c r="K1464" s="108" t="s">
        <v>47</v>
      </c>
      <c r="L1464" s="114"/>
      <c r="M1464" s="113"/>
      <c r="N1464" s="108" t="s">
        <v>47</v>
      </c>
      <c r="O1464" s="114"/>
      <c r="P1464" s="113"/>
      <c r="Q1464" s="108" t="s">
        <v>47</v>
      </c>
      <c r="R1464" s="114"/>
      <c r="S1464" s="113"/>
      <c r="T1464" s="108" t="s">
        <v>47</v>
      </c>
      <c r="U1464" s="114"/>
      <c r="V1464" s="113"/>
      <c r="W1464" s="108" t="s">
        <v>47</v>
      </c>
      <c r="X1464" s="114"/>
      <c r="Y1464" s="113"/>
      <c r="Z1464" s="108" t="s">
        <v>47</v>
      </c>
      <c r="AA1464" s="114"/>
      <c r="AB1464" s="113"/>
      <c r="AC1464" s="105"/>
      <c r="AD1464" s="115" t="s">
        <v>101</v>
      </c>
    </row>
    <row r="1465" spans="1:30" x14ac:dyDescent="0.2">
      <c r="A1465" s="104" t="s">
        <v>3311</v>
      </c>
      <c r="B1465" s="105" t="s">
        <v>381</v>
      </c>
      <c r="C1465" s="105" t="s">
        <v>3298</v>
      </c>
      <c r="D1465" s="106"/>
      <c r="E1465" s="107"/>
      <c r="F1465" s="108" t="s">
        <v>3312</v>
      </c>
      <c r="G1465" s="119">
        <v>1</v>
      </c>
      <c r="H1465" s="108" t="s">
        <v>14460</v>
      </c>
      <c r="I1465" s="116">
        <v>1</v>
      </c>
      <c r="J1465" s="111" t="s">
        <v>40</v>
      </c>
      <c r="K1465" s="108" t="s">
        <v>14461</v>
      </c>
      <c r="L1465" s="116">
        <v>1</v>
      </c>
      <c r="M1465" s="113"/>
      <c r="N1465" s="108" t="s">
        <v>3312</v>
      </c>
      <c r="O1465" s="116">
        <v>1</v>
      </c>
      <c r="P1465" s="111" t="s">
        <v>40</v>
      </c>
      <c r="Q1465" s="108" t="s">
        <v>47</v>
      </c>
      <c r="R1465" s="114"/>
      <c r="S1465" s="113"/>
      <c r="T1465" s="108" t="s">
        <v>47</v>
      </c>
      <c r="U1465" s="114"/>
      <c r="V1465" s="113"/>
      <c r="W1465" s="108" t="s">
        <v>47</v>
      </c>
      <c r="X1465" s="114"/>
      <c r="Y1465" s="113"/>
      <c r="Z1465" s="108" t="s">
        <v>47</v>
      </c>
      <c r="AA1465" s="114"/>
      <c r="AB1465" s="113"/>
      <c r="AC1465" s="105" t="s">
        <v>3313</v>
      </c>
      <c r="AD1465" s="115" t="s">
        <v>101</v>
      </c>
    </row>
    <row r="1466" spans="1:30" x14ac:dyDescent="0.2">
      <c r="A1466" s="104" t="s">
        <v>3314</v>
      </c>
      <c r="B1466" s="105" t="s">
        <v>97</v>
      </c>
      <c r="C1466" s="105" t="s">
        <v>332</v>
      </c>
      <c r="D1466" s="106" t="s">
        <v>125</v>
      </c>
      <c r="E1466" s="107"/>
      <c r="F1466" s="108" t="s">
        <v>14462</v>
      </c>
      <c r="G1466" s="120">
        <v>2</v>
      </c>
      <c r="H1466" s="108" t="s">
        <v>14463</v>
      </c>
      <c r="I1466" s="117">
        <v>2</v>
      </c>
      <c r="J1466" s="111" t="s">
        <v>40</v>
      </c>
      <c r="K1466" s="108" t="s">
        <v>14464</v>
      </c>
      <c r="L1466" s="117">
        <v>2</v>
      </c>
      <c r="M1466" s="111" t="s">
        <v>40</v>
      </c>
      <c r="N1466" s="108" t="s">
        <v>14462</v>
      </c>
      <c r="O1466" s="117">
        <v>2</v>
      </c>
      <c r="P1466" s="111" t="s">
        <v>40</v>
      </c>
      <c r="Q1466" s="108" t="s">
        <v>14465</v>
      </c>
      <c r="R1466" s="117">
        <v>2</v>
      </c>
      <c r="S1466" s="111" t="s">
        <v>40</v>
      </c>
      <c r="T1466" s="108" t="s">
        <v>14466</v>
      </c>
      <c r="U1466" s="110">
        <v>3</v>
      </c>
      <c r="V1466" s="113"/>
      <c r="W1466" s="108" t="s">
        <v>14467</v>
      </c>
      <c r="X1466" s="110">
        <v>3</v>
      </c>
      <c r="Y1466" s="113"/>
      <c r="Z1466" s="108" t="s">
        <v>14468</v>
      </c>
      <c r="AA1466" s="110">
        <v>3</v>
      </c>
      <c r="AB1466" s="113"/>
      <c r="AC1466" s="105" t="s">
        <v>3315</v>
      </c>
      <c r="AD1466" s="115" t="s">
        <v>101</v>
      </c>
    </row>
    <row r="1467" spans="1:30" x14ac:dyDescent="0.2">
      <c r="A1467" s="104" t="s">
        <v>3316</v>
      </c>
      <c r="B1467" s="105" t="s">
        <v>42</v>
      </c>
      <c r="C1467" s="105" t="s">
        <v>244</v>
      </c>
      <c r="D1467" s="106"/>
      <c r="E1467" s="107"/>
      <c r="F1467" s="108" t="s">
        <v>14469</v>
      </c>
      <c r="G1467" s="120">
        <v>2</v>
      </c>
      <c r="H1467" s="108" t="s">
        <v>14470</v>
      </c>
      <c r="I1467" s="117">
        <v>2</v>
      </c>
      <c r="J1467" s="111" t="s">
        <v>40</v>
      </c>
      <c r="K1467" s="108" t="s">
        <v>14471</v>
      </c>
      <c r="L1467" s="117">
        <v>2</v>
      </c>
      <c r="M1467" s="111" t="s">
        <v>40</v>
      </c>
      <c r="N1467" s="108" t="s">
        <v>14469</v>
      </c>
      <c r="O1467" s="117">
        <v>2</v>
      </c>
      <c r="P1467" s="113"/>
      <c r="Q1467" s="108" t="s">
        <v>14472</v>
      </c>
      <c r="R1467" s="117">
        <v>2</v>
      </c>
      <c r="S1467" s="111" t="s">
        <v>40</v>
      </c>
      <c r="T1467" s="108" t="s">
        <v>14473</v>
      </c>
      <c r="U1467" s="112">
        <v>4</v>
      </c>
      <c r="V1467" s="113"/>
      <c r="W1467" s="108" t="s">
        <v>47</v>
      </c>
      <c r="X1467" s="114"/>
      <c r="Y1467" s="113"/>
      <c r="Z1467" s="108" t="s">
        <v>47</v>
      </c>
      <c r="AA1467" s="114"/>
      <c r="AB1467" s="113"/>
      <c r="AC1467" s="105" t="s">
        <v>3317</v>
      </c>
      <c r="AD1467" s="115" t="s">
        <v>180</v>
      </c>
    </row>
    <row r="1468" spans="1:30" x14ac:dyDescent="0.2">
      <c r="A1468" s="104" t="s">
        <v>3318</v>
      </c>
      <c r="B1468" s="105" t="s">
        <v>42</v>
      </c>
      <c r="C1468" s="105" t="s">
        <v>244</v>
      </c>
      <c r="D1468" s="106"/>
      <c r="E1468" s="107"/>
      <c r="F1468" s="108" t="s">
        <v>14474</v>
      </c>
      <c r="G1468" s="120">
        <v>2</v>
      </c>
      <c r="H1468" s="108" t="s">
        <v>14475</v>
      </c>
      <c r="I1468" s="117">
        <v>2</v>
      </c>
      <c r="J1468" s="111" t="s">
        <v>40</v>
      </c>
      <c r="K1468" s="108" t="s">
        <v>14476</v>
      </c>
      <c r="L1468" s="117">
        <v>2</v>
      </c>
      <c r="M1468" s="111" t="s">
        <v>40</v>
      </c>
      <c r="N1468" s="108" t="s">
        <v>14474</v>
      </c>
      <c r="O1468" s="117">
        <v>2</v>
      </c>
      <c r="P1468" s="113"/>
      <c r="Q1468" s="108" t="s">
        <v>14477</v>
      </c>
      <c r="R1468" s="117">
        <v>2</v>
      </c>
      <c r="S1468" s="111" t="s">
        <v>40</v>
      </c>
      <c r="T1468" s="108" t="s">
        <v>14478</v>
      </c>
      <c r="U1468" s="112">
        <v>4</v>
      </c>
      <c r="V1468" s="113"/>
      <c r="W1468" s="108" t="s">
        <v>14479</v>
      </c>
      <c r="X1468" s="110">
        <v>3</v>
      </c>
      <c r="Y1468" s="113"/>
      <c r="Z1468" s="108" t="s">
        <v>14480</v>
      </c>
      <c r="AA1468" s="110">
        <v>3</v>
      </c>
      <c r="AB1468" s="113"/>
      <c r="AC1468" s="105" t="s">
        <v>3319</v>
      </c>
      <c r="AD1468" s="115" t="s">
        <v>180</v>
      </c>
    </row>
    <row r="1469" spans="1:30" x14ac:dyDescent="0.2">
      <c r="A1469" s="104" t="s">
        <v>3320</v>
      </c>
      <c r="B1469" s="105" t="s">
        <v>42</v>
      </c>
      <c r="C1469" s="105" t="s">
        <v>244</v>
      </c>
      <c r="D1469" s="106"/>
      <c r="E1469" s="107"/>
      <c r="F1469" s="108" t="s">
        <v>14481</v>
      </c>
      <c r="G1469" s="118">
        <v>3</v>
      </c>
      <c r="H1469" s="108" t="s">
        <v>14482</v>
      </c>
      <c r="I1469" s="117">
        <v>2</v>
      </c>
      <c r="J1469" s="111" t="s">
        <v>53</v>
      </c>
      <c r="K1469" s="108" t="s">
        <v>3321</v>
      </c>
      <c r="L1469" s="110">
        <v>3</v>
      </c>
      <c r="M1469" s="111" t="s">
        <v>40</v>
      </c>
      <c r="N1469" s="108" t="s">
        <v>14481</v>
      </c>
      <c r="O1469" s="110">
        <v>3</v>
      </c>
      <c r="P1469" s="111" t="s">
        <v>40</v>
      </c>
      <c r="Q1469" s="108" t="s">
        <v>14483</v>
      </c>
      <c r="R1469" s="110">
        <v>3</v>
      </c>
      <c r="S1469" s="111" t="s">
        <v>40</v>
      </c>
      <c r="T1469" s="108" t="s">
        <v>14484</v>
      </c>
      <c r="U1469" s="112">
        <v>4</v>
      </c>
      <c r="V1469" s="113"/>
      <c r="W1469" s="108" t="s">
        <v>14485</v>
      </c>
      <c r="X1469" s="112">
        <v>4</v>
      </c>
      <c r="Y1469" s="113"/>
      <c r="Z1469" s="108" t="s">
        <v>47</v>
      </c>
      <c r="AA1469" s="114"/>
      <c r="AB1469" s="113"/>
      <c r="AC1469" s="105" t="s">
        <v>3322</v>
      </c>
      <c r="AD1469" s="115" t="s">
        <v>180</v>
      </c>
    </row>
    <row r="1470" spans="1:30" x14ac:dyDescent="0.2">
      <c r="A1470" s="104" t="s">
        <v>3323</v>
      </c>
      <c r="B1470" s="105" t="s">
        <v>42</v>
      </c>
      <c r="C1470" s="105" t="s">
        <v>244</v>
      </c>
      <c r="D1470" s="106"/>
      <c r="E1470" s="107"/>
      <c r="F1470" s="108" t="s">
        <v>14486</v>
      </c>
      <c r="G1470" s="118">
        <v>3</v>
      </c>
      <c r="H1470" s="108" t="s">
        <v>14487</v>
      </c>
      <c r="I1470" s="117">
        <v>2</v>
      </c>
      <c r="J1470" s="111" t="s">
        <v>53</v>
      </c>
      <c r="K1470" s="108" t="s">
        <v>14488</v>
      </c>
      <c r="L1470" s="110">
        <v>3</v>
      </c>
      <c r="M1470" s="111" t="s">
        <v>40</v>
      </c>
      <c r="N1470" s="108" t="s">
        <v>14486</v>
      </c>
      <c r="O1470" s="110">
        <v>3</v>
      </c>
      <c r="P1470" s="111" t="s">
        <v>40</v>
      </c>
      <c r="Q1470" s="108" t="s">
        <v>14489</v>
      </c>
      <c r="R1470" s="110">
        <v>3</v>
      </c>
      <c r="S1470" s="111" t="s">
        <v>40</v>
      </c>
      <c r="T1470" s="108" t="s">
        <v>14490</v>
      </c>
      <c r="U1470" s="112">
        <v>4</v>
      </c>
      <c r="V1470" s="113"/>
      <c r="W1470" s="108" t="s">
        <v>14491</v>
      </c>
      <c r="X1470" s="112">
        <v>4</v>
      </c>
      <c r="Y1470" s="113"/>
      <c r="Z1470" s="108" t="s">
        <v>14492</v>
      </c>
      <c r="AA1470" s="112">
        <v>4</v>
      </c>
      <c r="AB1470" s="113"/>
      <c r="AC1470" s="105" t="s">
        <v>3324</v>
      </c>
      <c r="AD1470" s="115" t="s">
        <v>180</v>
      </c>
    </row>
    <row r="1471" spans="1:30" x14ac:dyDescent="0.2">
      <c r="A1471" s="104" t="s">
        <v>3325</v>
      </c>
      <c r="B1471" s="105" t="s">
        <v>42</v>
      </c>
      <c r="C1471" s="105" t="s">
        <v>3326</v>
      </c>
      <c r="D1471" s="106"/>
      <c r="E1471" s="107"/>
      <c r="F1471" s="108" t="s">
        <v>14493</v>
      </c>
      <c r="G1471" s="120">
        <v>2</v>
      </c>
      <c r="H1471" s="108" t="s">
        <v>14494</v>
      </c>
      <c r="I1471" s="110">
        <v>3</v>
      </c>
      <c r="J1471" s="111" t="s">
        <v>46</v>
      </c>
      <c r="K1471" s="108" t="s">
        <v>14495</v>
      </c>
      <c r="L1471" s="116">
        <v>1</v>
      </c>
      <c r="M1471" s="113"/>
      <c r="N1471" s="108" t="s">
        <v>14493</v>
      </c>
      <c r="O1471" s="117">
        <v>2</v>
      </c>
      <c r="P1471" s="111" t="s">
        <v>46</v>
      </c>
      <c r="Q1471" s="108" t="s">
        <v>14496</v>
      </c>
      <c r="R1471" s="116">
        <v>1</v>
      </c>
      <c r="S1471" s="111" t="s">
        <v>40</v>
      </c>
      <c r="T1471" s="108" t="s">
        <v>14497</v>
      </c>
      <c r="U1471" s="117">
        <v>2</v>
      </c>
      <c r="V1471" s="113"/>
      <c r="W1471" s="108" t="s">
        <v>14498</v>
      </c>
      <c r="X1471" s="116">
        <v>1</v>
      </c>
      <c r="Y1471" s="113"/>
      <c r="Z1471" s="108" t="s">
        <v>14499</v>
      </c>
      <c r="AA1471" s="117">
        <v>2</v>
      </c>
      <c r="AB1471" s="111" t="s">
        <v>40</v>
      </c>
      <c r="AC1471" s="105"/>
      <c r="AD1471" s="115" t="s">
        <v>180</v>
      </c>
    </row>
    <row r="1472" spans="1:30" x14ac:dyDescent="0.2">
      <c r="A1472" s="104" t="s">
        <v>3327</v>
      </c>
      <c r="B1472" s="105" t="s">
        <v>42</v>
      </c>
      <c r="C1472" s="105" t="s">
        <v>93</v>
      </c>
      <c r="D1472" s="106"/>
      <c r="E1472" s="107"/>
      <c r="F1472" s="108" t="s">
        <v>14500</v>
      </c>
      <c r="G1472" s="120">
        <v>2</v>
      </c>
      <c r="H1472" s="108" t="s">
        <v>14501</v>
      </c>
      <c r="I1472" s="112">
        <v>4</v>
      </c>
      <c r="J1472" s="111" t="s">
        <v>44</v>
      </c>
      <c r="K1472" s="108" t="s">
        <v>14502</v>
      </c>
      <c r="L1472" s="116">
        <v>1</v>
      </c>
      <c r="M1472" s="113"/>
      <c r="N1472" s="108" t="s">
        <v>14500</v>
      </c>
      <c r="O1472" s="117">
        <v>2</v>
      </c>
      <c r="P1472" s="111" t="s">
        <v>46</v>
      </c>
      <c r="Q1472" s="108" t="s">
        <v>14503</v>
      </c>
      <c r="R1472" s="116">
        <v>1</v>
      </c>
      <c r="S1472" s="113"/>
      <c r="T1472" s="108" t="s">
        <v>14504</v>
      </c>
      <c r="U1472" s="117">
        <v>2</v>
      </c>
      <c r="V1472" s="113"/>
      <c r="W1472" s="108" t="s">
        <v>47</v>
      </c>
      <c r="X1472" s="114"/>
      <c r="Y1472" s="113"/>
      <c r="Z1472" s="108" t="s">
        <v>47</v>
      </c>
      <c r="AA1472" s="114"/>
      <c r="AB1472" s="113"/>
      <c r="AC1472" s="105" t="s">
        <v>3328</v>
      </c>
      <c r="AD1472" s="115" t="s">
        <v>180</v>
      </c>
    </row>
    <row r="1473" spans="1:30" x14ac:dyDescent="0.2">
      <c r="A1473" s="104" t="s">
        <v>3329</v>
      </c>
      <c r="B1473" s="105" t="s">
        <v>42</v>
      </c>
      <c r="C1473" s="105" t="s">
        <v>93</v>
      </c>
      <c r="D1473" s="106"/>
      <c r="E1473" s="107"/>
      <c r="F1473" s="108" t="s">
        <v>14505</v>
      </c>
      <c r="G1473" s="120">
        <v>2</v>
      </c>
      <c r="H1473" s="108" t="s">
        <v>14506</v>
      </c>
      <c r="I1473" s="112">
        <v>4</v>
      </c>
      <c r="J1473" s="111" t="s">
        <v>44</v>
      </c>
      <c r="K1473" s="108" t="s">
        <v>14507</v>
      </c>
      <c r="L1473" s="117">
        <v>2</v>
      </c>
      <c r="M1473" s="111" t="s">
        <v>46</v>
      </c>
      <c r="N1473" s="108" t="s">
        <v>14505</v>
      </c>
      <c r="O1473" s="117">
        <v>2</v>
      </c>
      <c r="P1473" s="111" t="s">
        <v>46</v>
      </c>
      <c r="Q1473" s="108" t="s">
        <v>14508</v>
      </c>
      <c r="R1473" s="116">
        <v>1</v>
      </c>
      <c r="S1473" s="111" t="s">
        <v>40</v>
      </c>
      <c r="T1473" s="108" t="s">
        <v>14509</v>
      </c>
      <c r="U1473" s="117">
        <v>2</v>
      </c>
      <c r="V1473" s="113"/>
      <c r="W1473" s="108" t="s">
        <v>14510</v>
      </c>
      <c r="X1473" s="116">
        <v>1</v>
      </c>
      <c r="Y1473" s="113"/>
      <c r="Z1473" s="108" t="s">
        <v>14511</v>
      </c>
      <c r="AA1473" s="116">
        <v>1</v>
      </c>
      <c r="AB1473" s="113"/>
      <c r="AC1473" s="105" t="s">
        <v>3330</v>
      </c>
      <c r="AD1473" s="115" t="s">
        <v>180</v>
      </c>
    </row>
    <row r="1474" spans="1:30" x14ac:dyDescent="0.2">
      <c r="A1474" s="104" t="s">
        <v>3331</v>
      </c>
      <c r="B1474" s="105" t="s">
        <v>42</v>
      </c>
      <c r="C1474" s="105" t="s">
        <v>439</v>
      </c>
      <c r="D1474" s="106"/>
      <c r="E1474" s="107"/>
      <c r="F1474" s="108" t="s">
        <v>14512</v>
      </c>
      <c r="G1474" s="120">
        <v>2</v>
      </c>
      <c r="H1474" s="108" t="s">
        <v>14513</v>
      </c>
      <c r="I1474" s="112">
        <v>4</v>
      </c>
      <c r="J1474" s="111" t="s">
        <v>44</v>
      </c>
      <c r="K1474" s="108" t="s">
        <v>14514</v>
      </c>
      <c r="L1474" s="116">
        <v>1</v>
      </c>
      <c r="M1474" s="113"/>
      <c r="N1474" s="108" t="s">
        <v>14512</v>
      </c>
      <c r="O1474" s="117">
        <v>2</v>
      </c>
      <c r="P1474" s="111" t="s">
        <v>46</v>
      </c>
      <c r="Q1474" s="108" t="s">
        <v>14515</v>
      </c>
      <c r="R1474" s="116">
        <v>1</v>
      </c>
      <c r="S1474" s="111" t="s">
        <v>40</v>
      </c>
      <c r="T1474" s="108" t="s">
        <v>14516</v>
      </c>
      <c r="U1474" s="110">
        <v>3</v>
      </c>
      <c r="V1474" s="113"/>
      <c r="W1474" s="108" t="s">
        <v>14517</v>
      </c>
      <c r="X1474" s="116">
        <v>1</v>
      </c>
      <c r="Y1474" s="113"/>
      <c r="Z1474" s="108" t="s">
        <v>47</v>
      </c>
      <c r="AA1474" s="114"/>
      <c r="AB1474" s="113"/>
      <c r="AC1474" s="105" t="s">
        <v>3332</v>
      </c>
      <c r="AD1474" s="115" t="s">
        <v>180</v>
      </c>
    </row>
    <row r="1475" spans="1:30" x14ac:dyDescent="0.2">
      <c r="A1475" s="104" t="s">
        <v>3333</v>
      </c>
      <c r="B1475" s="105" t="s">
        <v>42</v>
      </c>
      <c r="C1475" s="105" t="s">
        <v>439</v>
      </c>
      <c r="D1475" s="106"/>
      <c r="E1475" s="107"/>
      <c r="F1475" s="108" t="s">
        <v>14518</v>
      </c>
      <c r="G1475" s="120">
        <v>2</v>
      </c>
      <c r="H1475" s="108" t="s">
        <v>14519</v>
      </c>
      <c r="I1475" s="112">
        <v>4</v>
      </c>
      <c r="J1475" s="111" t="s">
        <v>44</v>
      </c>
      <c r="K1475" s="108" t="s">
        <v>14520</v>
      </c>
      <c r="L1475" s="116">
        <v>1</v>
      </c>
      <c r="M1475" s="113"/>
      <c r="N1475" s="108" t="s">
        <v>14518</v>
      </c>
      <c r="O1475" s="117">
        <v>2</v>
      </c>
      <c r="P1475" s="111" t="s">
        <v>46</v>
      </c>
      <c r="Q1475" s="108" t="s">
        <v>14521</v>
      </c>
      <c r="R1475" s="116">
        <v>1</v>
      </c>
      <c r="S1475" s="111" t="s">
        <v>40</v>
      </c>
      <c r="T1475" s="108" t="s">
        <v>14522</v>
      </c>
      <c r="U1475" s="110">
        <v>3</v>
      </c>
      <c r="V1475" s="113"/>
      <c r="W1475" s="108" t="s">
        <v>14523</v>
      </c>
      <c r="X1475" s="116">
        <v>1</v>
      </c>
      <c r="Y1475" s="113"/>
      <c r="Z1475" s="108" t="s">
        <v>14524</v>
      </c>
      <c r="AA1475" s="110">
        <v>3</v>
      </c>
      <c r="AB1475" s="113"/>
      <c r="AC1475" s="105" t="s">
        <v>3334</v>
      </c>
      <c r="AD1475" s="115" t="s">
        <v>180</v>
      </c>
    </row>
    <row r="1476" spans="1:30" x14ac:dyDescent="0.2">
      <c r="A1476" s="104" t="s">
        <v>3335</v>
      </c>
      <c r="B1476" s="105" t="s">
        <v>42</v>
      </c>
      <c r="C1476" s="105" t="s">
        <v>2741</v>
      </c>
      <c r="D1476" s="106"/>
      <c r="E1476" s="107"/>
      <c r="F1476" s="108" t="s">
        <v>14525</v>
      </c>
      <c r="G1476" s="109">
        <v>4</v>
      </c>
      <c r="H1476" s="108" t="s">
        <v>14526</v>
      </c>
      <c r="I1476" s="117">
        <v>2</v>
      </c>
      <c r="J1476" s="111" t="s">
        <v>40</v>
      </c>
      <c r="K1476" s="108" t="s">
        <v>14527</v>
      </c>
      <c r="L1476" s="110">
        <v>3</v>
      </c>
      <c r="M1476" s="113"/>
      <c r="N1476" s="108" t="s">
        <v>14525</v>
      </c>
      <c r="O1476" s="112">
        <v>4</v>
      </c>
      <c r="P1476" s="113"/>
      <c r="Q1476" s="108" t="s">
        <v>14528</v>
      </c>
      <c r="R1476" s="112">
        <v>4</v>
      </c>
      <c r="S1476" s="111" t="s">
        <v>46</v>
      </c>
      <c r="T1476" s="108" t="s">
        <v>14529</v>
      </c>
      <c r="U1476" s="116">
        <v>1</v>
      </c>
      <c r="V1476" s="113"/>
      <c r="W1476" s="108" t="s">
        <v>14530</v>
      </c>
      <c r="X1476" s="117">
        <v>2</v>
      </c>
      <c r="Y1476" s="113"/>
      <c r="Z1476" s="108" t="s">
        <v>47</v>
      </c>
      <c r="AA1476" s="114"/>
      <c r="AB1476" s="113"/>
      <c r="AC1476" s="105" t="s">
        <v>3336</v>
      </c>
      <c r="AD1476" s="115" t="s">
        <v>180</v>
      </c>
    </row>
    <row r="1477" spans="1:30" x14ac:dyDescent="0.2">
      <c r="A1477" s="104" t="s">
        <v>3337</v>
      </c>
      <c r="B1477" s="105" t="s">
        <v>42</v>
      </c>
      <c r="C1477" s="105" t="s">
        <v>2741</v>
      </c>
      <c r="D1477" s="106"/>
      <c r="E1477" s="107"/>
      <c r="F1477" s="108" t="s">
        <v>14531</v>
      </c>
      <c r="G1477" s="109">
        <v>4</v>
      </c>
      <c r="H1477" s="108" t="s">
        <v>14532</v>
      </c>
      <c r="I1477" s="110">
        <v>3</v>
      </c>
      <c r="J1477" s="113"/>
      <c r="K1477" s="108" t="s">
        <v>14533</v>
      </c>
      <c r="L1477" s="110">
        <v>3</v>
      </c>
      <c r="M1477" s="113"/>
      <c r="N1477" s="108" t="s">
        <v>14531</v>
      </c>
      <c r="O1477" s="112">
        <v>4</v>
      </c>
      <c r="P1477" s="113"/>
      <c r="Q1477" s="108" t="s">
        <v>14534</v>
      </c>
      <c r="R1477" s="112">
        <v>4</v>
      </c>
      <c r="S1477" s="111" t="s">
        <v>46</v>
      </c>
      <c r="T1477" s="108" t="s">
        <v>14535</v>
      </c>
      <c r="U1477" s="116">
        <v>1</v>
      </c>
      <c r="V1477" s="113"/>
      <c r="W1477" s="108" t="s">
        <v>14536</v>
      </c>
      <c r="X1477" s="117">
        <v>2</v>
      </c>
      <c r="Y1477" s="113"/>
      <c r="Z1477" s="108" t="s">
        <v>47</v>
      </c>
      <c r="AA1477" s="114"/>
      <c r="AB1477" s="113"/>
      <c r="AC1477" s="105" t="s">
        <v>3338</v>
      </c>
      <c r="AD1477" s="115" t="s">
        <v>180</v>
      </c>
    </row>
    <row r="1478" spans="1:30" x14ac:dyDescent="0.2">
      <c r="A1478" s="104" t="s">
        <v>3339</v>
      </c>
      <c r="B1478" s="105" t="s">
        <v>42</v>
      </c>
      <c r="C1478" s="105" t="s">
        <v>160</v>
      </c>
      <c r="D1478" s="106"/>
      <c r="E1478" s="107"/>
      <c r="F1478" s="108" t="s">
        <v>14537</v>
      </c>
      <c r="G1478" s="120">
        <v>2</v>
      </c>
      <c r="H1478" s="108" t="s">
        <v>14538</v>
      </c>
      <c r="I1478" s="117">
        <v>2</v>
      </c>
      <c r="J1478" s="113"/>
      <c r="K1478" s="108" t="s">
        <v>3340</v>
      </c>
      <c r="L1478" s="117">
        <v>2</v>
      </c>
      <c r="M1478" s="113"/>
      <c r="N1478" s="108" t="s">
        <v>14537</v>
      </c>
      <c r="O1478" s="117">
        <v>2</v>
      </c>
      <c r="P1478" s="113"/>
      <c r="Q1478" s="108" t="s">
        <v>14539</v>
      </c>
      <c r="R1478" s="117">
        <v>2</v>
      </c>
      <c r="S1478" s="113"/>
      <c r="T1478" s="108" t="s">
        <v>14540</v>
      </c>
      <c r="U1478" s="117">
        <v>2</v>
      </c>
      <c r="V1478" s="113"/>
      <c r="W1478" s="108" t="s">
        <v>14541</v>
      </c>
      <c r="X1478" s="117">
        <v>2</v>
      </c>
      <c r="Y1478" s="113"/>
      <c r="Z1478" s="108" t="s">
        <v>47</v>
      </c>
      <c r="AA1478" s="114"/>
      <c r="AB1478" s="113"/>
      <c r="AC1478" s="105" t="s">
        <v>3341</v>
      </c>
      <c r="AD1478" s="115" t="s">
        <v>180</v>
      </c>
    </row>
    <row r="1479" spans="1:30" x14ac:dyDescent="0.2">
      <c r="A1479" s="104" t="s">
        <v>3342</v>
      </c>
      <c r="B1479" s="105" t="s">
        <v>42</v>
      </c>
      <c r="C1479" s="105" t="s">
        <v>160</v>
      </c>
      <c r="D1479" s="106"/>
      <c r="E1479" s="107"/>
      <c r="F1479" s="108" t="s">
        <v>14542</v>
      </c>
      <c r="G1479" s="120">
        <v>2</v>
      </c>
      <c r="H1479" s="108" t="s">
        <v>14543</v>
      </c>
      <c r="I1479" s="117">
        <v>2</v>
      </c>
      <c r="J1479" s="113"/>
      <c r="K1479" s="108" t="s">
        <v>14544</v>
      </c>
      <c r="L1479" s="117">
        <v>2</v>
      </c>
      <c r="M1479" s="113"/>
      <c r="N1479" s="108" t="s">
        <v>14542</v>
      </c>
      <c r="O1479" s="117">
        <v>2</v>
      </c>
      <c r="P1479" s="113"/>
      <c r="Q1479" s="108" t="s">
        <v>14545</v>
      </c>
      <c r="R1479" s="117">
        <v>2</v>
      </c>
      <c r="S1479" s="111" t="s">
        <v>40</v>
      </c>
      <c r="T1479" s="108" t="s">
        <v>14546</v>
      </c>
      <c r="U1479" s="117">
        <v>2</v>
      </c>
      <c r="V1479" s="113"/>
      <c r="W1479" s="108" t="s">
        <v>47</v>
      </c>
      <c r="X1479" s="114"/>
      <c r="Y1479" s="113"/>
      <c r="Z1479" s="108" t="s">
        <v>47</v>
      </c>
      <c r="AA1479" s="114"/>
      <c r="AB1479" s="113"/>
      <c r="AC1479" s="105" t="s">
        <v>3343</v>
      </c>
      <c r="AD1479" s="115" t="s">
        <v>180</v>
      </c>
    </row>
    <row r="1480" spans="1:30" x14ac:dyDescent="0.2">
      <c r="A1480" s="104" t="s">
        <v>3344</v>
      </c>
      <c r="B1480" s="105" t="s">
        <v>42</v>
      </c>
      <c r="C1480" s="105" t="s">
        <v>160</v>
      </c>
      <c r="D1480" s="106"/>
      <c r="E1480" s="107"/>
      <c r="F1480" s="108" t="s">
        <v>14547</v>
      </c>
      <c r="G1480" s="118">
        <v>3</v>
      </c>
      <c r="H1480" s="108" t="s">
        <v>14548</v>
      </c>
      <c r="I1480" s="110">
        <v>3</v>
      </c>
      <c r="J1480" s="113"/>
      <c r="K1480" s="108" t="s">
        <v>8408</v>
      </c>
      <c r="L1480" s="110">
        <v>3</v>
      </c>
      <c r="M1480" s="113"/>
      <c r="N1480" s="108" t="s">
        <v>14547</v>
      </c>
      <c r="O1480" s="110">
        <v>3</v>
      </c>
      <c r="P1480" s="113"/>
      <c r="Q1480" s="108" t="s">
        <v>14549</v>
      </c>
      <c r="R1480" s="110">
        <v>3</v>
      </c>
      <c r="S1480" s="113"/>
      <c r="T1480" s="108" t="s">
        <v>14550</v>
      </c>
      <c r="U1480" s="110">
        <v>3</v>
      </c>
      <c r="V1480" s="113"/>
      <c r="W1480" s="108" t="s">
        <v>14551</v>
      </c>
      <c r="X1480" s="110">
        <v>3</v>
      </c>
      <c r="Y1480" s="113"/>
      <c r="Z1480" s="108" t="s">
        <v>14552</v>
      </c>
      <c r="AA1480" s="117">
        <v>2</v>
      </c>
      <c r="AB1480" s="113"/>
      <c r="AC1480" s="105" t="s">
        <v>3345</v>
      </c>
      <c r="AD1480" s="115" t="s">
        <v>180</v>
      </c>
    </row>
    <row r="1481" spans="1:30" x14ac:dyDescent="0.2">
      <c r="A1481" s="104" t="s">
        <v>3346</v>
      </c>
      <c r="B1481" s="105" t="s">
        <v>42</v>
      </c>
      <c r="C1481" s="105" t="s">
        <v>638</v>
      </c>
      <c r="D1481" s="106"/>
      <c r="E1481" s="107"/>
      <c r="F1481" s="108" t="s">
        <v>14553</v>
      </c>
      <c r="G1481" s="118">
        <v>3</v>
      </c>
      <c r="H1481" s="108" t="s">
        <v>14554</v>
      </c>
      <c r="I1481" s="117">
        <v>2</v>
      </c>
      <c r="J1481" s="111" t="s">
        <v>46</v>
      </c>
      <c r="K1481" s="108" t="s">
        <v>14555</v>
      </c>
      <c r="L1481" s="117">
        <v>2</v>
      </c>
      <c r="M1481" s="111" t="s">
        <v>40</v>
      </c>
      <c r="N1481" s="108" t="s">
        <v>14553</v>
      </c>
      <c r="O1481" s="110">
        <v>3</v>
      </c>
      <c r="P1481" s="113"/>
      <c r="Q1481" s="108" t="s">
        <v>14556</v>
      </c>
      <c r="R1481" s="117">
        <v>2</v>
      </c>
      <c r="S1481" s="111" t="s">
        <v>40</v>
      </c>
      <c r="T1481" s="108" t="s">
        <v>14557</v>
      </c>
      <c r="U1481" s="117">
        <v>2</v>
      </c>
      <c r="V1481" s="113"/>
      <c r="W1481" s="108" t="s">
        <v>47</v>
      </c>
      <c r="X1481" s="114"/>
      <c r="Y1481" s="113"/>
      <c r="Z1481" s="108" t="s">
        <v>47</v>
      </c>
      <c r="AA1481" s="114"/>
      <c r="AB1481" s="113"/>
      <c r="AC1481" s="105" t="s">
        <v>3347</v>
      </c>
      <c r="AD1481" s="115" t="s">
        <v>180</v>
      </c>
    </row>
    <row r="1482" spans="1:30" x14ac:dyDescent="0.2">
      <c r="A1482" s="104" t="s">
        <v>3348</v>
      </c>
      <c r="B1482" s="105" t="s">
        <v>42</v>
      </c>
      <c r="C1482" s="105" t="s">
        <v>638</v>
      </c>
      <c r="D1482" s="106"/>
      <c r="E1482" s="107"/>
      <c r="F1482" s="108" t="s">
        <v>14558</v>
      </c>
      <c r="G1482" s="118">
        <v>3</v>
      </c>
      <c r="H1482" s="108" t="s">
        <v>14559</v>
      </c>
      <c r="I1482" s="117">
        <v>2</v>
      </c>
      <c r="J1482" s="111" t="s">
        <v>46</v>
      </c>
      <c r="K1482" s="108" t="s">
        <v>14560</v>
      </c>
      <c r="L1482" s="117">
        <v>2</v>
      </c>
      <c r="M1482" s="111" t="s">
        <v>40</v>
      </c>
      <c r="N1482" s="108" t="s">
        <v>14558</v>
      </c>
      <c r="O1482" s="110">
        <v>3</v>
      </c>
      <c r="P1482" s="113"/>
      <c r="Q1482" s="108" t="s">
        <v>14561</v>
      </c>
      <c r="R1482" s="117">
        <v>2</v>
      </c>
      <c r="S1482" s="111" t="s">
        <v>40</v>
      </c>
      <c r="T1482" s="108" t="s">
        <v>14562</v>
      </c>
      <c r="U1482" s="110">
        <v>3</v>
      </c>
      <c r="V1482" s="113"/>
      <c r="W1482" s="108" t="s">
        <v>14563</v>
      </c>
      <c r="X1482" s="117">
        <v>2</v>
      </c>
      <c r="Y1482" s="113"/>
      <c r="Z1482" s="108" t="s">
        <v>14564</v>
      </c>
      <c r="AA1482" s="110">
        <v>3</v>
      </c>
      <c r="AB1482" s="113"/>
      <c r="AC1482" s="105" t="s">
        <v>3349</v>
      </c>
      <c r="AD1482" s="115" t="s">
        <v>180</v>
      </c>
    </row>
    <row r="1483" spans="1:30" x14ac:dyDescent="0.2">
      <c r="A1483" s="104" t="s">
        <v>3350</v>
      </c>
      <c r="B1483" s="105" t="s">
        <v>42</v>
      </c>
      <c r="C1483" s="105" t="s">
        <v>2741</v>
      </c>
      <c r="D1483" s="106"/>
      <c r="E1483" s="107"/>
      <c r="F1483" s="108" t="s">
        <v>14565</v>
      </c>
      <c r="G1483" s="120">
        <v>2</v>
      </c>
      <c r="H1483" s="108" t="s">
        <v>14566</v>
      </c>
      <c r="I1483" s="110">
        <v>3</v>
      </c>
      <c r="J1483" s="111" t="s">
        <v>55</v>
      </c>
      <c r="K1483" s="108" t="s">
        <v>14567</v>
      </c>
      <c r="L1483" s="116">
        <v>1</v>
      </c>
      <c r="M1483" s="113"/>
      <c r="N1483" s="108" t="s">
        <v>14565</v>
      </c>
      <c r="O1483" s="117">
        <v>2</v>
      </c>
      <c r="P1483" s="111" t="s">
        <v>46</v>
      </c>
      <c r="Q1483" s="108" t="s">
        <v>14568</v>
      </c>
      <c r="R1483" s="117">
        <v>2</v>
      </c>
      <c r="S1483" s="113"/>
      <c r="T1483" s="108" t="s">
        <v>14569</v>
      </c>
      <c r="U1483" s="116">
        <v>1</v>
      </c>
      <c r="V1483" s="113"/>
      <c r="W1483" s="108" t="s">
        <v>14570</v>
      </c>
      <c r="X1483" s="116">
        <v>1</v>
      </c>
      <c r="Y1483" s="113"/>
      <c r="Z1483" s="108" t="s">
        <v>47</v>
      </c>
      <c r="AA1483" s="114"/>
      <c r="AB1483" s="113"/>
      <c r="AC1483" s="105" t="s">
        <v>3351</v>
      </c>
      <c r="AD1483" s="115" t="s">
        <v>180</v>
      </c>
    </row>
    <row r="1484" spans="1:30" x14ac:dyDescent="0.2">
      <c r="A1484" s="104" t="s">
        <v>3352</v>
      </c>
      <c r="B1484" s="105" t="s">
        <v>42</v>
      </c>
      <c r="C1484" s="105" t="s">
        <v>2741</v>
      </c>
      <c r="D1484" s="106"/>
      <c r="E1484" s="107"/>
      <c r="F1484" s="108" t="s">
        <v>14571</v>
      </c>
      <c r="G1484" s="120">
        <v>2</v>
      </c>
      <c r="H1484" s="108" t="s">
        <v>14572</v>
      </c>
      <c r="I1484" s="110">
        <v>3</v>
      </c>
      <c r="J1484" s="111" t="s">
        <v>55</v>
      </c>
      <c r="K1484" s="108" t="s">
        <v>14573</v>
      </c>
      <c r="L1484" s="116">
        <v>1</v>
      </c>
      <c r="M1484" s="113"/>
      <c r="N1484" s="108" t="s">
        <v>14571</v>
      </c>
      <c r="O1484" s="117">
        <v>2</v>
      </c>
      <c r="P1484" s="111" t="s">
        <v>46</v>
      </c>
      <c r="Q1484" s="108" t="s">
        <v>14574</v>
      </c>
      <c r="R1484" s="117">
        <v>2</v>
      </c>
      <c r="S1484" s="113"/>
      <c r="T1484" s="108" t="s">
        <v>14575</v>
      </c>
      <c r="U1484" s="116">
        <v>1</v>
      </c>
      <c r="V1484" s="113"/>
      <c r="W1484" s="108" t="s">
        <v>47</v>
      </c>
      <c r="X1484" s="114"/>
      <c r="Y1484" s="113"/>
      <c r="Z1484" s="108" t="s">
        <v>47</v>
      </c>
      <c r="AA1484" s="114"/>
      <c r="AB1484" s="113"/>
      <c r="AC1484" s="105" t="s">
        <v>3353</v>
      </c>
      <c r="AD1484" s="115" t="s">
        <v>180</v>
      </c>
    </row>
    <row r="1485" spans="1:30" x14ac:dyDescent="0.2">
      <c r="A1485" s="104" t="s">
        <v>3354</v>
      </c>
      <c r="B1485" s="105" t="s">
        <v>42</v>
      </c>
      <c r="C1485" s="105" t="s">
        <v>2741</v>
      </c>
      <c r="D1485" s="106"/>
      <c r="E1485" s="107"/>
      <c r="F1485" s="108" t="s">
        <v>14576</v>
      </c>
      <c r="G1485" s="120">
        <v>2</v>
      </c>
      <c r="H1485" s="108" t="s">
        <v>14577</v>
      </c>
      <c r="I1485" s="112">
        <v>4</v>
      </c>
      <c r="J1485" s="111" t="s">
        <v>44</v>
      </c>
      <c r="K1485" s="108" t="s">
        <v>14578</v>
      </c>
      <c r="L1485" s="116">
        <v>1</v>
      </c>
      <c r="M1485" s="113"/>
      <c r="N1485" s="108" t="s">
        <v>14576</v>
      </c>
      <c r="O1485" s="117">
        <v>2</v>
      </c>
      <c r="P1485" s="111" t="s">
        <v>46</v>
      </c>
      <c r="Q1485" s="108" t="s">
        <v>14579</v>
      </c>
      <c r="R1485" s="117">
        <v>2</v>
      </c>
      <c r="S1485" s="113"/>
      <c r="T1485" s="108" t="s">
        <v>14580</v>
      </c>
      <c r="U1485" s="116">
        <v>1</v>
      </c>
      <c r="V1485" s="113"/>
      <c r="W1485" s="108" t="s">
        <v>14581</v>
      </c>
      <c r="X1485" s="116">
        <v>1</v>
      </c>
      <c r="Y1485" s="113"/>
      <c r="Z1485" s="108" t="s">
        <v>14582</v>
      </c>
      <c r="AA1485" s="116">
        <v>1</v>
      </c>
      <c r="AB1485" s="113"/>
      <c r="AC1485" s="105" t="s">
        <v>3355</v>
      </c>
      <c r="AD1485" s="115" t="s">
        <v>180</v>
      </c>
    </row>
    <row r="1486" spans="1:30" x14ac:dyDescent="0.2">
      <c r="A1486" s="104" t="s">
        <v>3356</v>
      </c>
      <c r="B1486" s="105" t="s">
        <v>381</v>
      </c>
      <c r="C1486" s="105" t="s">
        <v>382</v>
      </c>
      <c r="D1486" s="106"/>
      <c r="E1486" s="107"/>
      <c r="F1486" s="108" t="s">
        <v>47</v>
      </c>
      <c r="G1486" s="113"/>
      <c r="H1486" s="108" t="s">
        <v>47</v>
      </c>
      <c r="I1486" s="114"/>
      <c r="J1486" s="113"/>
      <c r="K1486" s="108" t="s">
        <v>47</v>
      </c>
      <c r="L1486" s="114"/>
      <c r="M1486" s="113"/>
      <c r="N1486" s="108" t="s">
        <v>47</v>
      </c>
      <c r="O1486" s="114"/>
      <c r="P1486" s="113"/>
      <c r="Q1486" s="108" t="s">
        <v>47</v>
      </c>
      <c r="R1486" s="114"/>
      <c r="S1486" s="113"/>
      <c r="T1486" s="108" t="s">
        <v>47</v>
      </c>
      <c r="U1486" s="114"/>
      <c r="V1486" s="113"/>
      <c r="W1486" s="108" t="s">
        <v>47</v>
      </c>
      <c r="X1486" s="114"/>
      <c r="Y1486" s="113"/>
      <c r="Z1486" s="108" t="s">
        <v>47</v>
      </c>
      <c r="AA1486" s="114"/>
      <c r="AB1486" s="113"/>
      <c r="AC1486" s="105"/>
      <c r="AD1486" s="115" t="s">
        <v>101</v>
      </c>
    </row>
    <row r="1487" spans="1:30" x14ac:dyDescent="0.2">
      <c r="A1487" s="104" t="s">
        <v>3357</v>
      </c>
      <c r="B1487" s="105" t="s">
        <v>42</v>
      </c>
      <c r="C1487" s="105" t="s">
        <v>513</v>
      </c>
      <c r="D1487" s="106" t="s">
        <v>298</v>
      </c>
      <c r="E1487" s="107"/>
      <c r="F1487" s="108" t="s">
        <v>14583</v>
      </c>
      <c r="G1487" s="118">
        <v>3</v>
      </c>
      <c r="H1487" s="108" t="s">
        <v>14584</v>
      </c>
      <c r="I1487" s="116">
        <v>1</v>
      </c>
      <c r="J1487" s="111" t="s">
        <v>157</v>
      </c>
      <c r="K1487" s="108" t="s">
        <v>14585</v>
      </c>
      <c r="L1487" s="110">
        <v>3</v>
      </c>
      <c r="M1487" s="113"/>
      <c r="N1487" s="108" t="s">
        <v>14583</v>
      </c>
      <c r="O1487" s="110">
        <v>3</v>
      </c>
      <c r="P1487" s="111" t="s">
        <v>40</v>
      </c>
      <c r="Q1487" s="108" t="s">
        <v>14586</v>
      </c>
      <c r="R1487" s="112">
        <v>4</v>
      </c>
      <c r="S1487" s="113"/>
      <c r="T1487" s="108" t="s">
        <v>14587</v>
      </c>
      <c r="U1487" s="112">
        <v>4</v>
      </c>
      <c r="V1487" s="113"/>
      <c r="W1487" s="108" t="s">
        <v>14588</v>
      </c>
      <c r="X1487" s="112">
        <v>4</v>
      </c>
      <c r="Y1487" s="113"/>
      <c r="Z1487" s="108" t="s">
        <v>14589</v>
      </c>
      <c r="AA1487" s="112">
        <v>4</v>
      </c>
      <c r="AB1487" s="113"/>
      <c r="AC1487" s="105" t="s">
        <v>3358</v>
      </c>
      <c r="AD1487" s="115" t="s">
        <v>49</v>
      </c>
    </row>
    <row r="1488" spans="1:30" x14ac:dyDescent="0.2">
      <c r="A1488" s="104" t="s">
        <v>3359</v>
      </c>
      <c r="B1488" s="105" t="s">
        <v>42</v>
      </c>
      <c r="C1488" s="105" t="s">
        <v>513</v>
      </c>
      <c r="D1488" s="106"/>
      <c r="E1488" s="107" t="s">
        <v>99</v>
      </c>
      <c r="F1488" s="108" t="s">
        <v>14590</v>
      </c>
      <c r="G1488" s="118">
        <v>3</v>
      </c>
      <c r="H1488" s="108" t="s">
        <v>10026</v>
      </c>
      <c r="I1488" s="116">
        <v>1</v>
      </c>
      <c r="J1488" s="111" t="s">
        <v>157</v>
      </c>
      <c r="K1488" s="108" t="s">
        <v>14591</v>
      </c>
      <c r="L1488" s="110">
        <v>3</v>
      </c>
      <c r="M1488" s="113"/>
      <c r="N1488" s="108" t="s">
        <v>14590</v>
      </c>
      <c r="O1488" s="110">
        <v>3</v>
      </c>
      <c r="P1488" s="111" t="s">
        <v>40</v>
      </c>
      <c r="Q1488" s="108" t="s">
        <v>14592</v>
      </c>
      <c r="R1488" s="112">
        <v>4</v>
      </c>
      <c r="S1488" s="113"/>
      <c r="T1488" s="108" t="s">
        <v>47</v>
      </c>
      <c r="U1488" s="114"/>
      <c r="V1488" s="113"/>
      <c r="W1488" s="108" t="s">
        <v>47</v>
      </c>
      <c r="X1488" s="114"/>
      <c r="Y1488" s="113"/>
      <c r="Z1488" s="108" t="s">
        <v>47</v>
      </c>
      <c r="AA1488" s="114"/>
      <c r="AB1488" s="113"/>
      <c r="AC1488" s="105" t="s">
        <v>3360</v>
      </c>
      <c r="AD1488" s="115" t="s">
        <v>49</v>
      </c>
    </row>
    <row r="1489" spans="1:30" x14ac:dyDescent="0.2">
      <c r="A1489" s="104" t="s">
        <v>3361</v>
      </c>
      <c r="B1489" s="105" t="s">
        <v>42</v>
      </c>
      <c r="C1489" s="105" t="s">
        <v>638</v>
      </c>
      <c r="D1489" s="106"/>
      <c r="E1489" s="107"/>
      <c r="F1489" s="108" t="s">
        <v>14593</v>
      </c>
      <c r="G1489" s="120">
        <v>2</v>
      </c>
      <c r="H1489" s="108" t="s">
        <v>14594</v>
      </c>
      <c r="I1489" s="116">
        <v>1</v>
      </c>
      <c r="J1489" s="111" t="s">
        <v>157</v>
      </c>
      <c r="K1489" s="108" t="s">
        <v>14595</v>
      </c>
      <c r="L1489" s="110">
        <v>3</v>
      </c>
      <c r="M1489" s="113"/>
      <c r="N1489" s="108" t="s">
        <v>14593</v>
      </c>
      <c r="O1489" s="117">
        <v>2</v>
      </c>
      <c r="P1489" s="111" t="s">
        <v>53</v>
      </c>
      <c r="Q1489" s="108" t="s">
        <v>14596</v>
      </c>
      <c r="R1489" s="116">
        <v>1</v>
      </c>
      <c r="S1489" s="111" t="s">
        <v>53</v>
      </c>
      <c r="T1489" s="108" t="s">
        <v>47</v>
      </c>
      <c r="U1489" s="114"/>
      <c r="V1489" s="113"/>
      <c r="W1489" s="108" t="s">
        <v>47</v>
      </c>
      <c r="X1489" s="114"/>
      <c r="Y1489" s="113"/>
      <c r="Z1489" s="108" t="s">
        <v>47</v>
      </c>
      <c r="AA1489" s="114"/>
      <c r="AB1489" s="113"/>
      <c r="AC1489" s="105" t="s">
        <v>3362</v>
      </c>
      <c r="AD1489" s="115" t="s">
        <v>49</v>
      </c>
    </row>
    <row r="1490" spans="1:30" x14ac:dyDescent="0.2">
      <c r="A1490" s="104" t="s">
        <v>3363</v>
      </c>
      <c r="B1490" s="105" t="s">
        <v>212</v>
      </c>
      <c r="C1490" s="105" t="s">
        <v>384</v>
      </c>
      <c r="D1490" s="106"/>
      <c r="E1490" s="107"/>
      <c r="F1490" s="108" t="s">
        <v>14597</v>
      </c>
      <c r="G1490" s="118">
        <v>3</v>
      </c>
      <c r="H1490" s="108" t="s">
        <v>14598</v>
      </c>
      <c r="I1490" s="116">
        <v>1</v>
      </c>
      <c r="J1490" s="111" t="s">
        <v>40</v>
      </c>
      <c r="K1490" s="108" t="s">
        <v>14599</v>
      </c>
      <c r="L1490" s="117">
        <v>2</v>
      </c>
      <c r="M1490" s="111" t="s">
        <v>46</v>
      </c>
      <c r="N1490" s="108" t="s">
        <v>14597</v>
      </c>
      <c r="O1490" s="110">
        <v>3</v>
      </c>
      <c r="P1490" s="111" t="s">
        <v>46</v>
      </c>
      <c r="Q1490" s="108" t="s">
        <v>47</v>
      </c>
      <c r="R1490" s="114"/>
      <c r="S1490" s="113"/>
      <c r="T1490" s="108" t="s">
        <v>47</v>
      </c>
      <c r="U1490" s="114"/>
      <c r="V1490" s="113"/>
      <c r="W1490" s="108" t="s">
        <v>47</v>
      </c>
      <c r="X1490" s="114"/>
      <c r="Y1490" s="113"/>
      <c r="Z1490" s="108" t="s">
        <v>47</v>
      </c>
      <c r="AA1490" s="114"/>
      <c r="AB1490" s="113"/>
      <c r="AC1490" s="105" t="s">
        <v>3364</v>
      </c>
      <c r="AD1490" s="115" t="s">
        <v>49</v>
      </c>
    </row>
    <row r="1491" spans="1:30" x14ac:dyDescent="0.2">
      <c r="A1491" s="104" t="s">
        <v>3365</v>
      </c>
      <c r="B1491" s="105" t="s">
        <v>212</v>
      </c>
      <c r="C1491" s="105" t="s">
        <v>384</v>
      </c>
      <c r="D1491" s="106"/>
      <c r="E1491" s="107"/>
      <c r="F1491" s="108" t="s">
        <v>14600</v>
      </c>
      <c r="G1491" s="109">
        <v>4</v>
      </c>
      <c r="H1491" s="108" t="s">
        <v>14601</v>
      </c>
      <c r="I1491" s="117">
        <v>2</v>
      </c>
      <c r="J1491" s="113"/>
      <c r="K1491" s="108" t="s">
        <v>14602</v>
      </c>
      <c r="L1491" s="117">
        <v>2</v>
      </c>
      <c r="M1491" s="111" t="s">
        <v>46</v>
      </c>
      <c r="N1491" s="108" t="s">
        <v>14600</v>
      </c>
      <c r="O1491" s="112">
        <v>4</v>
      </c>
      <c r="P1491" s="111" t="s">
        <v>46</v>
      </c>
      <c r="Q1491" s="108" t="s">
        <v>47</v>
      </c>
      <c r="R1491" s="114"/>
      <c r="S1491" s="113"/>
      <c r="T1491" s="108" t="s">
        <v>47</v>
      </c>
      <c r="U1491" s="114"/>
      <c r="V1491" s="113"/>
      <c r="W1491" s="108" t="s">
        <v>47</v>
      </c>
      <c r="X1491" s="114"/>
      <c r="Y1491" s="113"/>
      <c r="Z1491" s="108" t="s">
        <v>47</v>
      </c>
      <c r="AA1491" s="114"/>
      <c r="AB1491" s="113"/>
      <c r="AC1491" s="105" t="s">
        <v>3366</v>
      </c>
      <c r="AD1491" s="115" t="s">
        <v>49</v>
      </c>
    </row>
    <row r="1492" spans="1:30" x14ac:dyDescent="0.2">
      <c r="A1492" s="104" t="s">
        <v>3367</v>
      </c>
      <c r="B1492" s="105" t="s">
        <v>381</v>
      </c>
      <c r="C1492" s="105" t="s">
        <v>2828</v>
      </c>
      <c r="D1492" s="106"/>
      <c r="E1492" s="107"/>
      <c r="F1492" s="108" t="s">
        <v>47</v>
      </c>
      <c r="G1492" s="113"/>
      <c r="H1492" s="108" t="s">
        <v>47</v>
      </c>
      <c r="I1492" s="114"/>
      <c r="J1492" s="113"/>
      <c r="K1492" s="108" t="s">
        <v>47</v>
      </c>
      <c r="L1492" s="114"/>
      <c r="M1492" s="113"/>
      <c r="N1492" s="108" t="s">
        <v>47</v>
      </c>
      <c r="O1492" s="114"/>
      <c r="P1492" s="113"/>
      <c r="Q1492" s="108" t="s">
        <v>47</v>
      </c>
      <c r="R1492" s="114"/>
      <c r="S1492" s="113"/>
      <c r="T1492" s="108" t="s">
        <v>47</v>
      </c>
      <c r="U1492" s="114"/>
      <c r="V1492" s="113"/>
      <c r="W1492" s="108" t="s">
        <v>47</v>
      </c>
      <c r="X1492" s="114"/>
      <c r="Y1492" s="113"/>
      <c r="Z1492" s="108" t="s">
        <v>47</v>
      </c>
      <c r="AA1492" s="114"/>
      <c r="AB1492" s="113"/>
      <c r="AC1492" s="105"/>
      <c r="AD1492" s="115" t="s">
        <v>101</v>
      </c>
    </row>
    <row r="1493" spans="1:30" x14ac:dyDescent="0.2">
      <c r="A1493" s="104" t="s">
        <v>3368</v>
      </c>
      <c r="B1493" s="105" t="s">
        <v>212</v>
      </c>
      <c r="C1493" s="105" t="s">
        <v>3369</v>
      </c>
      <c r="D1493" s="106"/>
      <c r="E1493" s="107"/>
      <c r="F1493" s="108" t="s">
        <v>14603</v>
      </c>
      <c r="G1493" s="118">
        <v>3</v>
      </c>
      <c r="H1493" s="108" t="s">
        <v>3370</v>
      </c>
      <c r="I1493" s="117">
        <v>2</v>
      </c>
      <c r="J1493" s="111" t="s">
        <v>40</v>
      </c>
      <c r="K1493" s="108" t="s">
        <v>14604</v>
      </c>
      <c r="L1493" s="110">
        <v>3</v>
      </c>
      <c r="M1493" s="113"/>
      <c r="N1493" s="108" t="s">
        <v>14603</v>
      </c>
      <c r="O1493" s="110">
        <v>3</v>
      </c>
      <c r="P1493" s="113"/>
      <c r="Q1493" s="108" t="s">
        <v>14605</v>
      </c>
      <c r="R1493" s="110">
        <v>3</v>
      </c>
      <c r="S1493" s="111" t="s">
        <v>40</v>
      </c>
      <c r="T1493" s="108" t="s">
        <v>14606</v>
      </c>
      <c r="U1493" s="110">
        <v>3</v>
      </c>
      <c r="V1493" s="113"/>
      <c r="W1493" s="108" t="s">
        <v>47</v>
      </c>
      <c r="X1493" s="114"/>
      <c r="Y1493" s="113"/>
      <c r="Z1493" s="108" t="s">
        <v>47</v>
      </c>
      <c r="AA1493" s="114"/>
      <c r="AB1493" s="113"/>
      <c r="AC1493" s="105" t="s">
        <v>3371</v>
      </c>
      <c r="AD1493" s="115" t="s">
        <v>49</v>
      </c>
    </row>
    <row r="1494" spans="1:30" x14ac:dyDescent="0.2">
      <c r="A1494" s="104" t="s">
        <v>3372</v>
      </c>
      <c r="B1494" s="105" t="s">
        <v>212</v>
      </c>
      <c r="C1494" s="105" t="s">
        <v>3369</v>
      </c>
      <c r="D1494" s="106"/>
      <c r="E1494" s="107"/>
      <c r="F1494" s="108" t="s">
        <v>14607</v>
      </c>
      <c r="G1494" s="118">
        <v>3</v>
      </c>
      <c r="H1494" s="108" t="s">
        <v>14608</v>
      </c>
      <c r="I1494" s="116">
        <v>1</v>
      </c>
      <c r="J1494" s="111" t="s">
        <v>53</v>
      </c>
      <c r="K1494" s="108" t="s">
        <v>14609</v>
      </c>
      <c r="L1494" s="110">
        <v>3</v>
      </c>
      <c r="M1494" s="113"/>
      <c r="N1494" s="108" t="s">
        <v>14607</v>
      </c>
      <c r="O1494" s="110">
        <v>3</v>
      </c>
      <c r="P1494" s="113"/>
      <c r="Q1494" s="108" t="s">
        <v>14610</v>
      </c>
      <c r="R1494" s="110">
        <v>3</v>
      </c>
      <c r="S1494" s="111" t="s">
        <v>40</v>
      </c>
      <c r="T1494" s="108" t="s">
        <v>14611</v>
      </c>
      <c r="U1494" s="110">
        <v>3</v>
      </c>
      <c r="V1494" s="113"/>
      <c r="W1494" s="108" t="s">
        <v>47</v>
      </c>
      <c r="X1494" s="114"/>
      <c r="Y1494" s="113"/>
      <c r="Z1494" s="108" t="s">
        <v>47</v>
      </c>
      <c r="AA1494" s="114"/>
      <c r="AB1494" s="113"/>
      <c r="AC1494" s="105" t="s">
        <v>3373</v>
      </c>
      <c r="AD1494" s="115" t="s">
        <v>49</v>
      </c>
    </row>
    <row r="1495" spans="1:30" x14ac:dyDescent="0.2">
      <c r="A1495" s="104" t="s">
        <v>3374</v>
      </c>
      <c r="B1495" s="105" t="s">
        <v>212</v>
      </c>
      <c r="C1495" s="105" t="s">
        <v>3369</v>
      </c>
      <c r="D1495" s="106"/>
      <c r="E1495" s="107"/>
      <c r="F1495" s="108" t="s">
        <v>14612</v>
      </c>
      <c r="G1495" s="118">
        <v>3</v>
      </c>
      <c r="H1495" s="108" t="s">
        <v>3375</v>
      </c>
      <c r="I1495" s="117">
        <v>2</v>
      </c>
      <c r="J1495" s="111" t="s">
        <v>40</v>
      </c>
      <c r="K1495" s="108" t="s">
        <v>14613</v>
      </c>
      <c r="L1495" s="110">
        <v>3</v>
      </c>
      <c r="M1495" s="113"/>
      <c r="N1495" s="108" t="s">
        <v>14612</v>
      </c>
      <c r="O1495" s="110">
        <v>3</v>
      </c>
      <c r="P1495" s="113"/>
      <c r="Q1495" s="108" t="s">
        <v>14614</v>
      </c>
      <c r="R1495" s="110">
        <v>3</v>
      </c>
      <c r="S1495" s="111" t="s">
        <v>40</v>
      </c>
      <c r="T1495" s="108" t="s">
        <v>14615</v>
      </c>
      <c r="U1495" s="110">
        <v>3</v>
      </c>
      <c r="V1495" s="113"/>
      <c r="W1495" s="108" t="s">
        <v>47</v>
      </c>
      <c r="X1495" s="114"/>
      <c r="Y1495" s="113"/>
      <c r="Z1495" s="108" t="s">
        <v>47</v>
      </c>
      <c r="AA1495" s="114"/>
      <c r="AB1495" s="113"/>
      <c r="AC1495" s="105" t="s">
        <v>3376</v>
      </c>
      <c r="AD1495" s="115" t="s">
        <v>49</v>
      </c>
    </row>
    <row r="1496" spans="1:30" x14ac:dyDescent="0.2">
      <c r="A1496" s="104" t="s">
        <v>3377</v>
      </c>
      <c r="B1496" s="105" t="s">
        <v>212</v>
      </c>
      <c r="C1496" s="105" t="s">
        <v>3369</v>
      </c>
      <c r="D1496" s="106"/>
      <c r="E1496" s="107"/>
      <c r="F1496" s="108" t="s">
        <v>14616</v>
      </c>
      <c r="G1496" s="118">
        <v>3</v>
      </c>
      <c r="H1496" s="108" t="s">
        <v>14617</v>
      </c>
      <c r="I1496" s="117">
        <v>2</v>
      </c>
      <c r="J1496" s="111" t="s">
        <v>40</v>
      </c>
      <c r="K1496" s="108" t="s">
        <v>14618</v>
      </c>
      <c r="L1496" s="110">
        <v>3</v>
      </c>
      <c r="M1496" s="113"/>
      <c r="N1496" s="108" t="s">
        <v>14616</v>
      </c>
      <c r="O1496" s="110">
        <v>3</v>
      </c>
      <c r="P1496" s="113"/>
      <c r="Q1496" s="108" t="s">
        <v>14619</v>
      </c>
      <c r="R1496" s="110">
        <v>3</v>
      </c>
      <c r="S1496" s="111" t="s">
        <v>40</v>
      </c>
      <c r="T1496" s="108" t="s">
        <v>14620</v>
      </c>
      <c r="U1496" s="110">
        <v>3</v>
      </c>
      <c r="V1496" s="113"/>
      <c r="W1496" s="108" t="s">
        <v>47</v>
      </c>
      <c r="X1496" s="114"/>
      <c r="Y1496" s="113"/>
      <c r="Z1496" s="108" t="s">
        <v>47</v>
      </c>
      <c r="AA1496" s="114"/>
      <c r="AB1496" s="113"/>
      <c r="AC1496" s="105" t="s">
        <v>3378</v>
      </c>
      <c r="AD1496" s="115" t="s">
        <v>49</v>
      </c>
    </row>
    <row r="1497" spans="1:30" x14ac:dyDescent="0.2">
      <c r="A1497" s="104" t="s">
        <v>3379</v>
      </c>
      <c r="B1497" s="105" t="s">
        <v>212</v>
      </c>
      <c r="C1497" s="105" t="s">
        <v>3369</v>
      </c>
      <c r="D1497" s="106"/>
      <c r="E1497" s="107"/>
      <c r="F1497" s="108" t="s">
        <v>14621</v>
      </c>
      <c r="G1497" s="118">
        <v>3</v>
      </c>
      <c r="H1497" s="108" t="s">
        <v>14622</v>
      </c>
      <c r="I1497" s="116">
        <v>1</v>
      </c>
      <c r="J1497" s="111" t="s">
        <v>53</v>
      </c>
      <c r="K1497" s="108" t="s">
        <v>14623</v>
      </c>
      <c r="L1497" s="110">
        <v>3</v>
      </c>
      <c r="M1497" s="113"/>
      <c r="N1497" s="108" t="s">
        <v>14621</v>
      </c>
      <c r="O1497" s="110">
        <v>3</v>
      </c>
      <c r="P1497" s="113"/>
      <c r="Q1497" s="108" t="s">
        <v>14624</v>
      </c>
      <c r="R1497" s="110">
        <v>3</v>
      </c>
      <c r="S1497" s="111" t="s">
        <v>40</v>
      </c>
      <c r="T1497" s="108" t="s">
        <v>14625</v>
      </c>
      <c r="U1497" s="112">
        <v>4</v>
      </c>
      <c r="V1497" s="113"/>
      <c r="W1497" s="108" t="s">
        <v>47</v>
      </c>
      <c r="X1497" s="114"/>
      <c r="Y1497" s="113"/>
      <c r="Z1497" s="108" t="s">
        <v>47</v>
      </c>
      <c r="AA1497" s="114"/>
      <c r="AB1497" s="113"/>
      <c r="AC1497" s="105" t="s">
        <v>3380</v>
      </c>
      <c r="AD1497" s="115" t="s">
        <v>49</v>
      </c>
    </row>
    <row r="1498" spans="1:30" x14ac:dyDescent="0.2">
      <c r="A1498" s="104" t="s">
        <v>3381</v>
      </c>
      <c r="B1498" s="105" t="s">
        <v>212</v>
      </c>
      <c r="C1498" s="105" t="s">
        <v>3369</v>
      </c>
      <c r="D1498" s="106"/>
      <c r="E1498" s="107"/>
      <c r="F1498" s="108" t="s">
        <v>14626</v>
      </c>
      <c r="G1498" s="118">
        <v>3</v>
      </c>
      <c r="H1498" s="108" t="s">
        <v>14627</v>
      </c>
      <c r="I1498" s="117">
        <v>2</v>
      </c>
      <c r="J1498" s="113"/>
      <c r="K1498" s="108" t="s">
        <v>14628</v>
      </c>
      <c r="L1498" s="110">
        <v>3</v>
      </c>
      <c r="M1498" s="113"/>
      <c r="N1498" s="108" t="s">
        <v>14626</v>
      </c>
      <c r="O1498" s="110">
        <v>3</v>
      </c>
      <c r="P1498" s="113"/>
      <c r="Q1498" s="108" t="s">
        <v>14629</v>
      </c>
      <c r="R1498" s="110">
        <v>3</v>
      </c>
      <c r="S1498" s="113"/>
      <c r="T1498" s="108" t="s">
        <v>14630</v>
      </c>
      <c r="U1498" s="110">
        <v>3</v>
      </c>
      <c r="V1498" s="111" t="s">
        <v>46</v>
      </c>
      <c r="W1498" s="108" t="s">
        <v>47</v>
      </c>
      <c r="X1498" s="114"/>
      <c r="Y1498" s="113"/>
      <c r="Z1498" s="108" t="s">
        <v>47</v>
      </c>
      <c r="AA1498" s="114"/>
      <c r="AB1498" s="113"/>
      <c r="AC1498" s="105" t="s">
        <v>3382</v>
      </c>
      <c r="AD1498" s="115" t="s">
        <v>49</v>
      </c>
    </row>
    <row r="1499" spans="1:30" x14ac:dyDescent="0.2">
      <c r="A1499" s="104" t="s">
        <v>3383</v>
      </c>
      <c r="B1499" s="105" t="s">
        <v>212</v>
      </c>
      <c r="C1499" s="105" t="s">
        <v>3369</v>
      </c>
      <c r="D1499" s="106"/>
      <c r="E1499" s="107"/>
      <c r="F1499" s="108" t="s">
        <v>14631</v>
      </c>
      <c r="G1499" s="118">
        <v>3</v>
      </c>
      <c r="H1499" s="108" t="s">
        <v>14632</v>
      </c>
      <c r="I1499" s="116">
        <v>1</v>
      </c>
      <c r="J1499" s="111" t="s">
        <v>40</v>
      </c>
      <c r="K1499" s="108" t="s">
        <v>14633</v>
      </c>
      <c r="L1499" s="117">
        <v>2</v>
      </c>
      <c r="M1499" s="113"/>
      <c r="N1499" s="108" t="s">
        <v>14631</v>
      </c>
      <c r="O1499" s="110">
        <v>3</v>
      </c>
      <c r="P1499" s="113"/>
      <c r="Q1499" s="108" t="s">
        <v>14634</v>
      </c>
      <c r="R1499" s="117">
        <v>2</v>
      </c>
      <c r="S1499" s="111" t="s">
        <v>40</v>
      </c>
      <c r="T1499" s="108" t="s">
        <v>14635</v>
      </c>
      <c r="U1499" s="117">
        <v>2</v>
      </c>
      <c r="V1499" s="113"/>
      <c r="W1499" s="108" t="s">
        <v>47</v>
      </c>
      <c r="X1499" s="114"/>
      <c r="Y1499" s="113"/>
      <c r="Z1499" s="108" t="s">
        <v>47</v>
      </c>
      <c r="AA1499" s="114"/>
      <c r="AB1499" s="113"/>
      <c r="AC1499" s="105" t="s">
        <v>3384</v>
      </c>
      <c r="AD1499" s="115" t="s">
        <v>49</v>
      </c>
    </row>
    <row r="1500" spans="1:30" x14ac:dyDescent="0.2">
      <c r="A1500" s="104" t="s">
        <v>3385</v>
      </c>
      <c r="B1500" s="105" t="s">
        <v>212</v>
      </c>
      <c r="C1500" s="105" t="s">
        <v>3369</v>
      </c>
      <c r="D1500" s="106"/>
      <c r="E1500" s="107" t="s">
        <v>146</v>
      </c>
      <c r="F1500" s="108" t="s">
        <v>14636</v>
      </c>
      <c r="G1500" s="119">
        <v>1</v>
      </c>
      <c r="H1500" s="108" t="s">
        <v>14627</v>
      </c>
      <c r="I1500" s="117">
        <v>2</v>
      </c>
      <c r="J1500" s="111" t="s">
        <v>46</v>
      </c>
      <c r="K1500" s="108" t="s">
        <v>14637</v>
      </c>
      <c r="L1500" s="116">
        <v>1</v>
      </c>
      <c r="M1500" s="113"/>
      <c r="N1500" s="108" t="s">
        <v>14636</v>
      </c>
      <c r="O1500" s="116">
        <v>1</v>
      </c>
      <c r="P1500" s="113"/>
      <c r="Q1500" s="108" t="s">
        <v>14638</v>
      </c>
      <c r="R1500" s="116">
        <v>1</v>
      </c>
      <c r="S1500" s="111" t="s">
        <v>40</v>
      </c>
      <c r="T1500" s="108" t="s">
        <v>47</v>
      </c>
      <c r="U1500" s="114"/>
      <c r="V1500" s="113"/>
      <c r="W1500" s="108" t="s">
        <v>47</v>
      </c>
      <c r="X1500" s="114"/>
      <c r="Y1500" s="113"/>
      <c r="Z1500" s="108" t="s">
        <v>47</v>
      </c>
      <c r="AA1500" s="114"/>
      <c r="AB1500" s="113"/>
      <c r="AC1500" s="105" t="s">
        <v>3386</v>
      </c>
      <c r="AD1500" s="115" t="s">
        <v>49</v>
      </c>
    </row>
    <row r="1501" spans="1:30" x14ac:dyDescent="0.2">
      <c r="A1501" s="104" t="s">
        <v>3387</v>
      </c>
      <c r="B1501" s="105" t="s">
        <v>212</v>
      </c>
      <c r="C1501" s="105" t="s">
        <v>3369</v>
      </c>
      <c r="D1501" s="106"/>
      <c r="E1501" s="107"/>
      <c r="F1501" s="108" t="s">
        <v>14639</v>
      </c>
      <c r="G1501" s="118">
        <v>3</v>
      </c>
      <c r="H1501" s="108" t="s">
        <v>3388</v>
      </c>
      <c r="I1501" s="117">
        <v>2</v>
      </c>
      <c r="J1501" s="111" t="s">
        <v>40</v>
      </c>
      <c r="K1501" s="108" t="s">
        <v>14640</v>
      </c>
      <c r="L1501" s="110">
        <v>3</v>
      </c>
      <c r="M1501" s="113"/>
      <c r="N1501" s="108" t="s">
        <v>14639</v>
      </c>
      <c r="O1501" s="110">
        <v>3</v>
      </c>
      <c r="P1501" s="111" t="s">
        <v>40</v>
      </c>
      <c r="Q1501" s="108" t="s">
        <v>14641</v>
      </c>
      <c r="R1501" s="112">
        <v>4</v>
      </c>
      <c r="S1501" s="113"/>
      <c r="T1501" s="108" t="s">
        <v>14642</v>
      </c>
      <c r="U1501" s="112">
        <v>4</v>
      </c>
      <c r="V1501" s="113"/>
      <c r="W1501" s="108" t="s">
        <v>47</v>
      </c>
      <c r="X1501" s="114"/>
      <c r="Y1501" s="113"/>
      <c r="Z1501" s="108" t="s">
        <v>47</v>
      </c>
      <c r="AA1501" s="114"/>
      <c r="AB1501" s="113"/>
      <c r="AC1501" s="105" t="s">
        <v>3389</v>
      </c>
      <c r="AD1501" s="115" t="s">
        <v>49</v>
      </c>
    </row>
    <row r="1502" spans="1:30" x14ac:dyDescent="0.2">
      <c r="A1502" s="104" t="s">
        <v>3390</v>
      </c>
      <c r="B1502" s="105" t="s">
        <v>212</v>
      </c>
      <c r="C1502" s="105" t="s">
        <v>112</v>
      </c>
      <c r="D1502" s="106"/>
      <c r="E1502" s="107"/>
      <c r="F1502" s="108" t="s">
        <v>14643</v>
      </c>
      <c r="G1502" s="118">
        <v>3</v>
      </c>
      <c r="H1502" s="108" t="s">
        <v>14644</v>
      </c>
      <c r="I1502" s="116">
        <v>1</v>
      </c>
      <c r="J1502" s="111" t="s">
        <v>40</v>
      </c>
      <c r="K1502" s="108" t="s">
        <v>14645</v>
      </c>
      <c r="L1502" s="116">
        <v>1</v>
      </c>
      <c r="M1502" s="111" t="s">
        <v>40</v>
      </c>
      <c r="N1502" s="108" t="s">
        <v>14643</v>
      </c>
      <c r="O1502" s="110">
        <v>3</v>
      </c>
      <c r="P1502" s="111" t="s">
        <v>46</v>
      </c>
      <c r="Q1502" s="108" t="s">
        <v>14646</v>
      </c>
      <c r="R1502" s="117">
        <v>2</v>
      </c>
      <c r="S1502" s="111" t="s">
        <v>40</v>
      </c>
      <c r="T1502" s="108" t="s">
        <v>14647</v>
      </c>
      <c r="U1502" s="110">
        <v>3</v>
      </c>
      <c r="V1502" s="113"/>
      <c r="W1502" s="108" t="s">
        <v>47</v>
      </c>
      <c r="X1502" s="114"/>
      <c r="Y1502" s="113"/>
      <c r="Z1502" s="108" t="s">
        <v>47</v>
      </c>
      <c r="AA1502" s="114"/>
      <c r="AB1502" s="113"/>
      <c r="AC1502" s="105" t="s">
        <v>3391</v>
      </c>
      <c r="AD1502" s="115" t="s">
        <v>49</v>
      </c>
    </row>
    <row r="1503" spans="1:30" x14ac:dyDescent="0.2">
      <c r="A1503" s="104" t="s">
        <v>3392</v>
      </c>
      <c r="B1503" s="105" t="s">
        <v>212</v>
      </c>
      <c r="C1503" s="105" t="s">
        <v>112</v>
      </c>
      <c r="D1503" s="106"/>
      <c r="E1503" s="107"/>
      <c r="F1503" s="108" t="s">
        <v>14648</v>
      </c>
      <c r="G1503" s="120">
        <v>2</v>
      </c>
      <c r="H1503" s="108" t="s">
        <v>14649</v>
      </c>
      <c r="I1503" s="116">
        <v>1</v>
      </c>
      <c r="J1503" s="111" t="s">
        <v>40</v>
      </c>
      <c r="K1503" s="108" t="s">
        <v>14650</v>
      </c>
      <c r="L1503" s="116">
        <v>1</v>
      </c>
      <c r="M1503" s="111" t="s">
        <v>40</v>
      </c>
      <c r="N1503" s="108" t="s">
        <v>14648</v>
      </c>
      <c r="O1503" s="117">
        <v>2</v>
      </c>
      <c r="P1503" s="113"/>
      <c r="Q1503" s="108" t="s">
        <v>14651</v>
      </c>
      <c r="R1503" s="117">
        <v>2</v>
      </c>
      <c r="S1503" s="111" t="s">
        <v>40</v>
      </c>
      <c r="T1503" s="108" t="s">
        <v>14652</v>
      </c>
      <c r="U1503" s="110">
        <v>3</v>
      </c>
      <c r="V1503" s="113"/>
      <c r="W1503" s="108" t="s">
        <v>47</v>
      </c>
      <c r="X1503" s="114"/>
      <c r="Y1503" s="113"/>
      <c r="Z1503" s="108" t="s">
        <v>47</v>
      </c>
      <c r="AA1503" s="114"/>
      <c r="AB1503" s="113"/>
      <c r="AC1503" s="105" t="s">
        <v>3393</v>
      </c>
      <c r="AD1503" s="115" t="s">
        <v>49</v>
      </c>
    </row>
    <row r="1504" spans="1:30" x14ac:dyDescent="0.2">
      <c r="A1504" s="104" t="s">
        <v>3394</v>
      </c>
      <c r="B1504" s="105" t="s">
        <v>212</v>
      </c>
      <c r="C1504" s="105" t="s">
        <v>112</v>
      </c>
      <c r="D1504" s="106"/>
      <c r="E1504" s="107"/>
      <c r="F1504" s="108" t="s">
        <v>14653</v>
      </c>
      <c r="G1504" s="109">
        <v>4</v>
      </c>
      <c r="H1504" s="108" t="s">
        <v>14654</v>
      </c>
      <c r="I1504" s="116">
        <v>1</v>
      </c>
      <c r="J1504" s="111" t="s">
        <v>40</v>
      </c>
      <c r="K1504" s="108" t="s">
        <v>14655</v>
      </c>
      <c r="L1504" s="117">
        <v>2</v>
      </c>
      <c r="M1504" s="111" t="s">
        <v>40</v>
      </c>
      <c r="N1504" s="108" t="s">
        <v>14653</v>
      </c>
      <c r="O1504" s="112">
        <v>4</v>
      </c>
      <c r="P1504" s="113"/>
      <c r="Q1504" s="108" t="s">
        <v>14656</v>
      </c>
      <c r="R1504" s="112">
        <v>4</v>
      </c>
      <c r="S1504" s="113"/>
      <c r="T1504" s="108" t="s">
        <v>14657</v>
      </c>
      <c r="U1504" s="112">
        <v>4</v>
      </c>
      <c r="V1504" s="113"/>
      <c r="W1504" s="108" t="s">
        <v>47</v>
      </c>
      <c r="X1504" s="114"/>
      <c r="Y1504" s="113"/>
      <c r="Z1504" s="108" t="s">
        <v>47</v>
      </c>
      <c r="AA1504" s="114"/>
      <c r="AB1504" s="113"/>
      <c r="AC1504" s="105" t="s">
        <v>3395</v>
      </c>
      <c r="AD1504" s="115" t="s">
        <v>49</v>
      </c>
    </row>
    <row r="1505" spans="1:30" x14ac:dyDescent="0.2">
      <c r="A1505" s="104" t="s">
        <v>3396</v>
      </c>
      <c r="B1505" s="105" t="s">
        <v>212</v>
      </c>
      <c r="C1505" s="105" t="s">
        <v>112</v>
      </c>
      <c r="D1505" s="106"/>
      <c r="E1505" s="107"/>
      <c r="F1505" s="108" t="s">
        <v>14658</v>
      </c>
      <c r="G1505" s="118">
        <v>3</v>
      </c>
      <c r="H1505" s="108" t="s">
        <v>14659</v>
      </c>
      <c r="I1505" s="116">
        <v>1</v>
      </c>
      <c r="J1505" s="111" t="s">
        <v>40</v>
      </c>
      <c r="K1505" s="108" t="s">
        <v>14660</v>
      </c>
      <c r="L1505" s="116">
        <v>1</v>
      </c>
      <c r="M1505" s="111" t="s">
        <v>53</v>
      </c>
      <c r="N1505" s="108" t="s">
        <v>14658</v>
      </c>
      <c r="O1505" s="110">
        <v>3</v>
      </c>
      <c r="P1505" s="111" t="s">
        <v>40</v>
      </c>
      <c r="Q1505" s="108" t="s">
        <v>14661</v>
      </c>
      <c r="R1505" s="110">
        <v>3</v>
      </c>
      <c r="S1505" s="113"/>
      <c r="T1505" s="108" t="s">
        <v>14662</v>
      </c>
      <c r="U1505" s="110">
        <v>3</v>
      </c>
      <c r="V1505" s="113"/>
      <c r="W1505" s="108" t="s">
        <v>47</v>
      </c>
      <c r="X1505" s="114"/>
      <c r="Y1505" s="113"/>
      <c r="Z1505" s="108" t="s">
        <v>47</v>
      </c>
      <c r="AA1505" s="114"/>
      <c r="AB1505" s="113"/>
      <c r="AC1505" s="105" t="s">
        <v>3397</v>
      </c>
      <c r="AD1505" s="115" t="s">
        <v>49</v>
      </c>
    </row>
    <row r="1506" spans="1:30" x14ac:dyDescent="0.2">
      <c r="A1506" s="104" t="s">
        <v>3398</v>
      </c>
      <c r="B1506" s="105" t="s">
        <v>212</v>
      </c>
      <c r="C1506" s="105" t="s">
        <v>112</v>
      </c>
      <c r="D1506" s="106"/>
      <c r="E1506" s="107"/>
      <c r="F1506" s="108" t="s">
        <v>14663</v>
      </c>
      <c r="G1506" s="118">
        <v>3</v>
      </c>
      <c r="H1506" s="108" t="s">
        <v>14664</v>
      </c>
      <c r="I1506" s="116">
        <v>1</v>
      </c>
      <c r="J1506" s="113"/>
      <c r="K1506" s="108" t="s">
        <v>14665</v>
      </c>
      <c r="L1506" s="117">
        <v>2</v>
      </c>
      <c r="M1506" s="113"/>
      <c r="N1506" s="108" t="s">
        <v>14663</v>
      </c>
      <c r="O1506" s="110">
        <v>3</v>
      </c>
      <c r="P1506" s="113"/>
      <c r="Q1506" s="108" t="s">
        <v>14666</v>
      </c>
      <c r="R1506" s="117">
        <v>2</v>
      </c>
      <c r="S1506" s="113"/>
      <c r="T1506" s="108" t="s">
        <v>14667</v>
      </c>
      <c r="U1506" s="117">
        <v>2</v>
      </c>
      <c r="V1506" s="113"/>
      <c r="W1506" s="108" t="s">
        <v>47</v>
      </c>
      <c r="X1506" s="114"/>
      <c r="Y1506" s="113"/>
      <c r="Z1506" s="108" t="s">
        <v>47</v>
      </c>
      <c r="AA1506" s="114"/>
      <c r="AB1506" s="113"/>
      <c r="AC1506" s="105" t="s">
        <v>3399</v>
      </c>
      <c r="AD1506" s="115" t="s">
        <v>49</v>
      </c>
    </row>
    <row r="1507" spans="1:30" x14ac:dyDescent="0.2">
      <c r="A1507" s="104" t="s">
        <v>3400</v>
      </c>
      <c r="B1507" s="105" t="s">
        <v>212</v>
      </c>
      <c r="C1507" s="105" t="s">
        <v>112</v>
      </c>
      <c r="D1507" s="106"/>
      <c r="E1507" s="107"/>
      <c r="F1507" s="108" t="s">
        <v>14668</v>
      </c>
      <c r="G1507" s="120">
        <v>2</v>
      </c>
      <c r="H1507" s="108" t="s">
        <v>14669</v>
      </c>
      <c r="I1507" s="116">
        <v>1</v>
      </c>
      <c r="J1507" s="113"/>
      <c r="K1507" s="108" t="s">
        <v>14670</v>
      </c>
      <c r="L1507" s="116">
        <v>1</v>
      </c>
      <c r="M1507" s="111" t="s">
        <v>40</v>
      </c>
      <c r="N1507" s="108" t="s">
        <v>14668</v>
      </c>
      <c r="O1507" s="117">
        <v>2</v>
      </c>
      <c r="P1507" s="113"/>
      <c r="Q1507" s="108" t="s">
        <v>14671</v>
      </c>
      <c r="R1507" s="117">
        <v>2</v>
      </c>
      <c r="S1507" s="111" t="s">
        <v>40</v>
      </c>
      <c r="T1507" s="108" t="s">
        <v>14672</v>
      </c>
      <c r="U1507" s="117">
        <v>2</v>
      </c>
      <c r="V1507" s="113"/>
      <c r="W1507" s="108" t="s">
        <v>47</v>
      </c>
      <c r="X1507" s="114"/>
      <c r="Y1507" s="113"/>
      <c r="Z1507" s="108" t="s">
        <v>47</v>
      </c>
      <c r="AA1507" s="114"/>
      <c r="AB1507" s="113"/>
      <c r="AC1507" s="105" t="s">
        <v>3401</v>
      </c>
      <c r="AD1507" s="115" t="s">
        <v>49</v>
      </c>
    </row>
    <row r="1508" spans="1:30" x14ac:dyDescent="0.2">
      <c r="A1508" s="104" t="s">
        <v>3402</v>
      </c>
      <c r="B1508" s="105" t="s">
        <v>212</v>
      </c>
      <c r="C1508" s="105" t="s">
        <v>112</v>
      </c>
      <c r="D1508" s="106"/>
      <c r="E1508" s="107"/>
      <c r="F1508" s="108" t="s">
        <v>14673</v>
      </c>
      <c r="G1508" s="118">
        <v>3</v>
      </c>
      <c r="H1508" s="108" t="s">
        <v>14674</v>
      </c>
      <c r="I1508" s="116">
        <v>1</v>
      </c>
      <c r="J1508" s="111" t="s">
        <v>40</v>
      </c>
      <c r="K1508" s="108" t="s">
        <v>14675</v>
      </c>
      <c r="L1508" s="116">
        <v>1</v>
      </c>
      <c r="M1508" s="111" t="s">
        <v>53</v>
      </c>
      <c r="N1508" s="108" t="s">
        <v>14673</v>
      </c>
      <c r="O1508" s="110">
        <v>3</v>
      </c>
      <c r="P1508" s="113"/>
      <c r="Q1508" s="108" t="s">
        <v>14676</v>
      </c>
      <c r="R1508" s="110">
        <v>3</v>
      </c>
      <c r="S1508" s="113"/>
      <c r="T1508" s="108" t="s">
        <v>14677</v>
      </c>
      <c r="U1508" s="117">
        <v>2</v>
      </c>
      <c r="V1508" s="113"/>
      <c r="W1508" s="108" t="s">
        <v>47</v>
      </c>
      <c r="X1508" s="114"/>
      <c r="Y1508" s="113"/>
      <c r="Z1508" s="108" t="s">
        <v>47</v>
      </c>
      <c r="AA1508" s="114"/>
      <c r="AB1508" s="113"/>
      <c r="AC1508" s="105" t="s">
        <v>3403</v>
      </c>
      <c r="AD1508" s="115" t="s">
        <v>49</v>
      </c>
    </row>
    <row r="1509" spans="1:30" x14ac:dyDescent="0.2">
      <c r="A1509" s="104" t="s">
        <v>3404</v>
      </c>
      <c r="B1509" s="105" t="s">
        <v>212</v>
      </c>
      <c r="C1509" s="105" t="s">
        <v>112</v>
      </c>
      <c r="D1509" s="106"/>
      <c r="E1509" s="107"/>
      <c r="F1509" s="108" t="s">
        <v>14678</v>
      </c>
      <c r="G1509" s="120">
        <v>2</v>
      </c>
      <c r="H1509" s="108" t="s">
        <v>14679</v>
      </c>
      <c r="I1509" s="116">
        <v>1</v>
      </c>
      <c r="J1509" s="111" t="s">
        <v>40</v>
      </c>
      <c r="K1509" s="108" t="s">
        <v>14680</v>
      </c>
      <c r="L1509" s="116">
        <v>1</v>
      </c>
      <c r="M1509" s="111" t="s">
        <v>40</v>
      </c>
      <c r="N1509" s="108" t="s">
        <v>14678</v>
      </c>
      <c r="O1509" s="117">
        <v>2</v>
      </c>
      <c r="P1509" s="111" t="s">
        <v>40</v>
      </c>
      <c r="Q1509" s="108" t="s">
        <v>14681</v>
      </c>
      <c r="R1509" s="117">
        <v>2</v>
      </c>
      <c r="S1509" s="111" t="s">
        <v>40</v>
      </c>
      <c r="T1509" s="108" t="s">
        <v>14682</v>
      </c>
      <c r="U1509" s="110">
        <v>3</v>
      </c>
      <c r="V1509" s="113"/>
      <c r="W1509" s="108" t="s">
        <v>47</v>
      </c>
      <c r="X1509" s="114"/>
      <c r="Y1509" s="113"/>
      <c r="Z1509" s="108" t="s">
        <v>47</v>
      </c>
      <c r="AA1509" s="114"/>
      <c r="AB1509" s="113"/>
      <c r="AC1509" s="105" t="s">
        <v>3405</v>
      </c>
      <c r="AD1509" s="115" t="s">
        <v>49</v>
      </c>
    </row>
    <row r="1510" spans="1:30" x14ac:dyDescent="0.2">
      <c r="A1510" s="104" t="s">
        <v>3406</v>
      </c>
      <c r="B1510" s="105" t="s">
        <v>212</v>
      </c>
      <c r="C1510" s="105" t="s">
        <v>112</v>
      </c>
      <c r="D1510" s="106"/>
      <c r="E1510" s="107"/>
      <c r="F1510" s="108" t="s">
        <v>14683</v>
      </c>
      <c r="G1510" s="118">
        <v>3</v>
      </c>
      <c r="H1510" s="108" t="s">
        <v>14684</v>
      </c>
      <c r="I1510" s="116">
        <v>1</v>
      </c>
      <c r="J1510" s="111" t="s">
        <v>40</v>
      </c>
      <c r="K1510" s="108" t="s">
        <v>14685</v>
      </c>
      <c r="L1510" s="116">
        <v>1</v>
      </c>
      <c r="M1510" s="111" t="s">
        <v>53</v>
      </c>
      <c r="N1510" s="108" t="s">
        <v>14683</v>
      </c>
      <c r="O1510" s="110">
        <v>3</v>
      </c>
      <c r="P1510" s="113"/>
      <c r="Q1510" s="108" t="s">
        <v>14686</v>
      </c>
      <c r="R1510" s="110">
        <v>3</v>
      </c>
      <c r="S1510" s="111" t="s">
        <v>40</v>
      </c>
      <c r="T1510" s="108" t="s">
        <v>47</v>
      </c>
      <c r="U1510" s="114"/>
      <c r="V1510" s="113"/>
      <c r="W1510" s="108" t="s">
        <v>47</v>
      </c>
      <c r="X1510" s="114"/>
      <c r="Y1510" s="113"/>
      <c r="Z1510" s="108" t="s">
        <v>47</v>
      </c>
      <c r="AA1510" s="114"/>
      <c r="AB1510" s="113"/>
      <c r="AC1510" s="105" t="s">
        <v>3407</v>
      </c>
      <c r="AD1510" s="115" t="s">
        <v>49</v>
      </c>
    </row>
    <row r="1511" spans="1:30" x14ac:dyDescent="0.2">
      <c r="A1511" s="104" t="s">
        <v>3408</v>
      </c>
      <c r="B1511" s="105" t="s">
        <v>212</v>
      </c>
      <c r="C1511" s="105" t="s">
        <v>112</v>
      </c>
      <c r="D1511" s="106"/>
      <c r="E1511" s="107" t="s">
        <v>182</v>
      </c>
      <c r="F1511" s="108" t="s">
        <v>14687</v>
      </c>
      <c r="G1511" s="120">
        <v>2</v>
      </c>
      <c r="H1511" s="108" t="s">
        <v>14688</v>
      </c>
      <c r="I1511" s="116">
        <v>1</v>
      </c>
      <c r="J1511" s="113"/>
      <c r="K1511" s="108" t="s">
        <v>14689</v>
      </c>
      <c r="L1511" s="116">
        <v>1</v>
      </c>
      <c r="M1511" s="111" t="s">
        <v>40</v>
      </c>
      <c r="N1511" s="108" t="s">
        <v>14687</v>
      </c>
      <c r="O1511" s="117">
        <v>2</v>
      </c>
      <c r="P1511" s="111" t="s">
        <v>40</v>
      </c>
      <c r="Q1511" s="108" t="s">
        <v>14690</v>
      </c>
      <c r="R1511" s="117">
        <v>2</v>
      </c>
      <c r="S1511" s="111" t="s">
        <v>40</v>
      </c>
      <c r="T1511" s="108" t="s">
        <v>47</v>
      </c>
      <c r="U1511" s="114"/>
      <c r="V1511" s="113"/>
      <c r="W1511" s="108" t="s">
        <v>47</v>
      </c>
      <c r="X1511" s="114"/>
      <c r="Y1511" s="113"/>
      <c r="Z1511" s="108" t="s">
        <v>47</v>
      </c>
      <c r="AA1511" s="114"/>
      <c r="AB1511" s="113"/>
      <c r="AC1511" s="105" t="s">
        <v>3409</v>
      </c>
      <c r="AD1511" s="115" t="s">
        <v>49</v>
      </c>
    </row>
    <row r="1512" spans="1:30" x14ac:dyDescent="0.2">
      <c r="A1512" s="104" t="s">
        <v>3410</v>
      </c>
      <c r="B1512" s="105" t="s">
        <v>212</v>
      </c>
      <c r="C1512" s="105" t="s">
        <v>112</v>
      </c>
      <c r="D1512" s="106"/>
      <c r="E1512" s="107"/>
      <c r="F1512" s="108" t="s">
        <v>14691</v>
      </c>
      <c r="G1512" s="118">
        <v>3</v>
      </c>
      <c r="H1512" s="108" t="s">
        <v>14692</v>
      </c>
      <c r="I1512" s="116">
        <v>1</v>
      </c>
      <c r="J1512" s="113"/>
      <c r="K1512" s="108" t="s">
        <v>14693</v>
      </c>
      <c r="L1512" s="116">
        <v>1</v>
      </c>
      <c r="M1512" s="111" t="s">
        <v>53</v>
      </c>
      <c r="N1512" s="108" t="s">
        <v>14691</v>
      </c>
      <c r="O1512" s="110">
        <v>3</v>
      </c>
      <c r="P1512" s="111" t="s">
        <v>40</v>
      </c>
      <c r="Q1512" s="108" t="s">
        <v>14694</v>
      </c>
      <c r="R1512" s="110">
        <v>3</v>
      </c>
      <c r="S1512" s="113"/>
      <c r="T1512" s="108" t="s">
        <v>47</v>
      </c>
      <c r="U1512" s="114"/>
      <c r="V1512" s="113"/>
      <c r="W1512" s="108" t="s">
        <v>47</v>
      </c>
      <c r="X1512" s="114"/>
      <c r="Y1512" s="113"/>
      <c r="Z1512" s="108" t="s">
        <v>47</v>
      </c>
      <c r="AA1512" s="114"/>
      <c r="AB1512" s="113"/>
      <c r="AC1512" s="105" t="s">
        <v>3411</v>
      </c>
      <c r="AD1512" s="115" t="s">
        <v>49</v>
      </c>
    </row>
    <row r="1513" spans="1:30" x14ac:dyDescent="0.2">
      <c r="A1513" s="104" t="s">
        <v>3412</v>
      </c>
      <c r="B1513" s="105" t="s">
        <v>212</v>
      </c>
      <c r="C1513" s="105" t="s">
        <v>112</v>
      </c>
      <c r="D1513" s="106"/>
      <c r="E1513" s="107"/>
      <c r="F1513" s="108" t="s">
        <v>14695</v>
      </c>
      <c r="G1513" s="118">
        <v>3</v>
      </c>
      <c r="H1513" s="108" t="s">
        <v>14696</v>
      </c>
      <c r="I1513" s="116">
        <v>1</v>
      </c>
      <c r="J1513" s="111" t="s">
        <v>40</v>
      </c>
      <c r="K1513" s="108" t="s">
        <v>14697</v>
      </c>
      <c r="L1513" s="116">
        <v>1</v>
      </c>
      <c r="M1513" s="111" t="s">
        <v>53</v>
      </c>
      <c r="N1513" s="108" t="s">
        <v>14695</v>
      </c>
      <c r="O1513" s="110">
        <v>3</v>
      </c>
      <c r="P1513" s="111" t="s">
        <v>40</v>
      </c>
      <c r="Q1513" s="108" t="s">
        <v>14698</v>
      </c>
      <c r="R1513" s="112">
        <v>4</v>
      </c>
      <c r="S1513" s="113"/>
      <c r="T1513" s="108" t="s">
        <v>47</v>
      </c>
      <c r="U1513" s="114"/>
      <c r="V1513" s="113"/>
      <c r="W1513" s="108" t="s">
        <v>47</v>
      </c>
      <c r="X1513" s="114"/>
      <c r="Y1513" s="113"/>
      <c r="Z1513" s="108" t="s">
        <v>47</v>
      </c>
      <c r="AA1513" s="114"/>
      <c r="AB1513" s="113"/>
      <c r="AC1513" s="105" t="s">
        <v>3413</v>
      </c>
      <c r="AD1513" s="115" t="s">
        <v>49</v>
      </c>
    </row>
    <row r="1514" spans="1:30" x14ac:dyDescent="0.2">
      <c r="A1514" s="104" t="s">
        <v>3414</v>
      </c>
      <c r="B1514" s="105" t="s">
        <v>381</v>
      </c>
      <c r="C1514" s="105" t="s">
        <v>3415</v>
      </c>
      <c r="D1514" s="106" t="s">
        <v>105</v>
      </c>
      <c r="E1514" s="107"/>
      <c r="F1514" s="108" t="s">
        <v>3416</v>
      </c>
      <c r="G1514" s="119">
        <v>1</v>
      </c>
      <c r="H1514" s="108" t="s">
        <v>14699</v>
      </c>
      <c r="I1514" s="116">
        <v>1</v>
      </c>
      <c r="J1514" s="113"/>
      <c r="K1514" s="108" t="s">
        <v>14700</v>
      </c>
      <c r="L1514" s="116">
        <v>1</v>
      </c>
      <c r="M1514" s="113"/>
      <c r="N1514" s="108" t="s">
        <v>3416</v>
      </c>
      <c r="O1514" s="116">
        <v>1</v>
      </c>
      <c r="P1514" s="113"/>
      <c r="Q1514" s="108" t="s">
        <v>3417</v>
      </c>
      <c r="R1514" s="112">
        <v>4</v>
      </c>
      <c r="S1514" s="113"/>
      <c r="T1514" s="108" t="s">
        <v>3417</v>
      </c>
      <c r="U1514" s="112">
        <v>4</v>
      </c>
      <c r="V1514" s="113"/>
      <c r="W1514" s="108" t="s">
        <v>47</v>
      </c>
      <c r="X1514" s="114"/>
      <c r="Y1514" s="113"/>
      <c r="Z1514" s="108" t="s">
        <v>47</v>
      </c>
      <c r="AA1514" s="114"/>
      <c r="AB1514" s="113"/>
      <c r="AC1514" s="105" t="s">
        <v>3418</v>
      </c>
      <c r="AD1514" s="115" t="s">
        <v>101</v>
      </c>
    </row>
    <row r="1515" spans="1:30" x14ac:dyDescent="0.2">
      <c r="A1515" s="104" t="s">
        <v>3419</v>
      </c>
      <c r="B1515" s="105" t="s">
        <v>381</v>
      </c>
      <c r="C1515" s="105" t="s">
        <v>3415</v>
      </c>
      <c r="D1515" s="106"/>
      <c r="E1515" s="107"/>
      <c r="F1515" s="108" t="s">
        <v>47</v>
      </c>
      <c r="G1515" s="113"/>
      <c r="H1515" s="108" t="s">
        <v>47</v>
      </c>
      <c r="I1515" s="114"/>
      <c r="J1515" s="113"/>
      <c r="K1515" s="108" t="s">
        <v>47</v>
      </c>
      <c r="L1515" s="114"/>
      <c r="M1515" s="113"/>
      <c r="N1515" s="108" t="s">
        <v>47</v>
      </c>
      <c r="O1515" s="114"/>
      <c r="P1515" s="113"/>
      <c r="Q1515" s="108" t="s">
        <v>47</v>
      </c>
      <c r="R1515" s="114"/>
      <c r="S1515" s="113"/>
      <c r="T1515" s="108" t="s">
        <v>47</v>
      </c>
      <c r="U1515" s="114"/>
      <c r="V1515" s="113"/>
      <c r="W1515" s="108" t="s">
        <v>47</v>
      </c>
      <c r="X1515" s="114"/>
      <c r="Y1515" s="113"/>
      <c r="Z1515" s="108" t="s">
        <v>47</v>
      </c>
      <c r="AA1515" s="114"/>
      <c r="AB1515" s="113"/>
      <c r="AC1515" s="105"/>
      <c r="AD1515" s="115" t="s">
        <v>101</v>
      </c>
    </row>
    <row r="1516" spans="1:30" x14ac:dyDescent="0.2">
      <c r="A1516" s="104" t="s">
        <v>3420</v>
      </c>
      <c r="B1516" s="105" t="s">
        <v>381</v>
      </c>
      <c r="C1516" s="105" t="s">
        <v>404</v>
      </c>
      <c r="D1516" s="106"/>
      <c r="E1516" s="107"/>
      <c r="F1516" s="108" t="s">
        <v>3421</v>
      </c>
      <c r="G1516" s="118">
        <v>3</v>
      </c>
      <c r="H1516" s="108" t="s">
        <v>14701</v>
      </c>
      <c r="I1516" s="116">
        <v>1</v>
      </c>
      <c r="J1516" s="111" t="s">
        <v>53</v>
      </c>
      <c r="K1516" s="108" t="s">
        <v>3422</v>
      </c>
      <c r="L1516" s="117">
        <v>2</v>
      </c>
      <c r="M1516" s="111" t="s">
        <v>53</v>
      </c>
      <c r="N1516" s="108" t="s">
        <v>3421</v>
      </c>
      <c r="O1516" s="110">
        <v>3</v>
      </c>
      <c r="P1516" s="111" t="s">
        <v>40</v>
      </c>
      <c r="Q1516" s="108" t="s">
        <v>405</v>
      </c>
      <c r="R1516" s="110">
        <v>3</v>
      </c>
      <c r="S1516" s="113"/>
      <c r="T1516" s="108" t="s">
        <v>3423</v>
      </c>
      <c r="U1516" s="117">
        <v>2</v>
      </c>
      <c r="V1516" s="111" t="s">
        <v>53</v>
      </c>
      <c r="W1516" s="108" t="s">
        <v>3424</v>
      </c>
      <c r="X1516" s="116">
        <v>1</v>
      </c>
      <c r="Y1516" s="113"/>
      <c r="Z1516" s="108" t="s">
        <v>3425</v>
      </c>
      <c r="AA1516" s="116">
        <v>1</v>
      </c>
      <c r="AB1516" s="113"/>
      <c r="AC1516" s="105" t="s">
        <v>3426</v>
      </c>
      <c r="AD1516" s="115" t="s">
        <v>101</v>
      </c>
    </row>
    <row r="1517" spans="1:30" x14ac:dyDescent="0.2">
      <c r="A1517" s="104" t="s">
        <v>3427</v>
      </c>
      <c r="B1517" s="105" t="s">
        <v>381</v>
      </c>
      <c r="C1517" s="105" t="s">
        <v>3428</v>
      </c>
      <c r="D1517" s="106"/>
      <c r="E1517" s="107"/>
      <c r="F1517" s="108" t="s">
        <v>14702</v>
      </c>
      <c r="G1517" s="109">
        <v>4</v>
      </c>
      <c r="H1517" s="108" t="s">
        <v>14703</v>
      </c>
      <c r="I1517" s="112">
        <v>4</v>
      </c>
      <c r="J1517" s="111" t="s">
        <v>44</v>
      </c>
      <c r="K1517" s="108" t="s">
        <v>14704</v>
      </c>
      <c r="L1517" s="110">
        <v>3</v>
      </c>
      <c r="M1517" s="111" t="s">
        <v>40</v>
      </c>
      <c r="N1517" s="108" t="s">
        <v>14702</v>
      </c>
      <c r="O1517" s="112">
        <v>4</v>
      </c>
      <c r="P1517" s="113"/>
      <c r="Q1517" s="108" t="s">
        <v>14705</v>
      </c>
      <c r="R1517" s="112">
        <v>4</v>
      </c>
      <c r="S1517" s="113"/>
      <c r="T1517" s="108" t="s">
        <v>3429</v>
      </c>
      <c r="U1517" s="112">
        <v>4</v>
      </c>
      <c r="V1517" s="113"/>
      <c r="W1517" s="108" t="s">
        <v>3430</v>
      </c>
      <c r="X1517" s="112">
        <v>4</v>
      </c>
      <c r="Y1517" s="113"/>
      <c r="Z1517" s="108" t="s">
        <v>47</v>
      </c>
      <c r="AA1517" s="114"/>
      <c r="AB1517" s="113"/>
      <c r="AC1517" s="105" t="s">
        <v>3431</v>
      </c>
      <c r="AD1517" s="115" t="s">
        <v>101</v>
      </c>
    </row>
    <row r="1518" spans="1:30" x14ac:dyDescent="0.2">
      <c r="A1518" s="104" t="s">
        <v>3432</v>
      </c>
      <c r="B1518" s="105" t="s">
        <v>805</v>
      </c>
      <c r="C1518" s="105" t="s">
        <v>3433</v>
      </c>
      <c r="D1518" s="106"/>
      <c r="E1518" s="107"/>
      <c r="F1518" s="108" t="s">
        <v>3434</v>
      </c>
      <c r="G1518" s="109">
        <v>4</v>
      </c>
      <c r="H1518" s="108" t="s">
        <v>14706</v>
      </c>
      <c r="I1518" s="110">
        <v>3</v>
      </c>
      <c r="J1518" s="111" t="s">
        <v>40</v>
      </c>
      <c r="K1518" s="108" t="s">
        <v>14707</v>
      </c>
      <c r="L1518" s="112">
        <v>4</v>
      </c>
      <c r="M1518" s="111" t="s">
        <v>46</v>
      </c>
      <c r="N1518" s="108" t="s">
        <v>3434</v>
      </c>
      <c r="O1518" s="112">
        <v>4</v>
      </c>
      <c r="P1518" s="113"/>
      <c r="Q1518" s="108" t="s">
        <v>14708</v>
      </c>
      <c r="R1518" s="110">
        <v>3</v>
      </c>
      <c r="S1518" s="113"/>
      <c r="T1518" s="108" t="s">
        <v>47</v>
      </c>
      <c r="U1518" s="114"/>
      <c r="V1518" s="113"/>
      <c r="W1518" s="108" t="s">
        <v>47</v>
      </c>
      <c r="X1518" s="114"/>
      <c r="Y1518" s="113"/>
      <c r="Z1518" s="108" t="s">
        <v>47</v>
      </c>
      <c r="AA1518" s="114"/>
      <c r="AB1518" s="113"/>
      <c r="AC1518" s="105" t="s">
        <v>3435</v>
      </c>
      <c r="AD1518" s="115" t="s">
        <v>107</v>
      </c>
    </row>
    <row r="1519" spans="1:30" x14ac:dyDescent="0.2">
      <c r="A1519" s="104" t="s">
        <v>3436</v>
      </c>
      <c r="B1519" s="105" t="s">
        <v>805</v>
      </c>
      <c r="C1519" s="105" t="s">
        <v>3433</v>
      </c>
      <c r="D1519" s="106"/>
      <c r="E1519" s="107"/>
      <c r="F1519" s="108" t="s">
        <v>14709</v>
      </c>
      <c r="G1519" s="119">
        <v>1</v>
      </c>
      <c r="H1519" s="108" t="s">
        <v>14710</v>
      </c>
      <c r="I1519" s="116">
        <v>1</v>
      </c>
      <c r="J1519" s="113"/>
      <c r="K1519" s="108" t="s">
        <v>14711</v>
      </c>
      <c r="L1519" s="116">
        <v>1</v>
      </c>
      <c r="M1519" s="113"/>
      <c r="N1519" s="108" t="s">
        <v>14709</v>
      </c>
      <c r="O1519" s="116">
        <v>1</v>
      </c>
      <c r="P1519" s="113"/>
      <c r="Q1519" s="108" t="s">
        <v>14712</v>
      </c>
      <c r="R1519" s="116">
        <v>1</v>
      </c>
      <c r="S1519" s="113"/>
      <c r="T1519" s="108" t="s">
        <v>47</v>
      </c>
      <c r="U1519" s="114"/>
      <c r="V1519" s="113"/>
      <c r="W1519" s="108" t="s">
        <v>47</v>
      </c>
      <c r="X1519" s="114"/>
      <c r="Y1519" s="113"/>
      <c r="Z1519" s="108" t="s">
        <v>47</v>
      </c>
      <c r="AA1519" s="114"/>
      <c r="AB1519" s="113"/>
      <c r="AC1519" s="105" t="s">
        <v>3437</v>
      </c>
      <c r="AD1519" s="115" t="s">
        <v>107</v>
      </c>
    </row>
    <row r="1520" spans="1:30" x14ac:dyDescent="0.2">
      <c r="A1520" s="104" t="s">
        <v>3438</v>
      </c>
      <c r="B1520" s="105" t="s">
        <v>805</v>
      </c>
      <c r="C1520" s="105" t="s">
        <v>3433</v>
      </c>
      <c r="D1520" s="106"/>
      <c r="E1520" s="107"/>
      <c r="F1520" s="108" t="s">
        <v>14709</v>
      </c>
      <c r="G1520" s="119">
        <v>1</v>
      </c>
      <c r="H1520" s="108" t="s">
        <v>14710</v>
      </c>
      <c r="I1520" s="116">
        <v>1</v>
      </c>
      <c r="J1520" s="113"/>
      <c r="K1520" s="108" t="s">
        <v>14711</v>
      </c>
      <c r="L1520" s="116">
        <v>1</v>
      </c>
      <c r="M1520" s="113"/>
      <c r="N1520" s="108" t="s">
        <v>14709</v>
      </c>
      <c r="O1520" s="116">
        <v>1</v>
      </c>
      <c r="P1520" s="113"/>
      <c r="Q1520" s="108" t="s">
        <v>14712</v>
      </c>
      <c r="R1520" s="116">
        <v>1</v>
      </c>
      <c r="S1520" s="113"/>
      <c r="T1520" s="108" t="s">
        <v>14713</v>
      </c>
      <c r="U1520" s="116">
        <v>1</v>
      </c>
      <c r="V1520" s="113"/>
      <c r="W1520" s="108" t="s">
        <v>14714</v>
      </c>
      <c r="X1520" s="116">
        <v>1</v>
      </c>
      <c r="Y1520" s="113"/>
      <c r="Z1520" s="108" t="s">
        <v>47</v>
      </c>
      <c r="AA1520" s="114"/>
      <c r="AB1520" s="113"/>
      <c r="AC1520" s="105" t="s">
        <v>3439</v>
      </c>
      <c r="AD1520" s="115" t="s">
        <v>107</v>
      </c>
    </row>
    <row r="1521" spans="1:30" x14ac:dyDescent="0.2">
      <c r="A1521" s="104" t="s">
        <v>3440</v>
      </c>
      <c r="B1521" s="105" t="s">
        <v>805</v>
      </c>
      <c r="C1521" s="105" t="s">
        <v>3433</v>
      </c>
      <c r="D1521" s="106"/>
      <c r="E1521" s="107"/>
      <c r="F1521" s="108" t="s">
        <v>14715</v>
      </c>
      <c r="G1521" s="118">
        <v>3</v>
      </c>
      <c r="H1521" s="108" t="s">
        <v>14716</v>
      </c>
      <c r="I1521" s="110">
        <v>3</v>
      </c>
      <c r="J1521" s="111" t="s">
        <v>40</v>
      </c>
      <c r="K1521" s="108" t="s">
        <v>14717</v>
      </c>
      <c r="L1521" s="110">
        <v>3</v>
      </c>
      <c r="M1521" s="113"/>
      <c r="N1521" s="108" t="s">
        <v>14715</v>
      </c>
      <c r="O1521" s="110">
        <v>3</v>
      </c>
      <c r="P1521" s="113"/>
      <c r="Q1521" s="108" t="s">
        <v>3441</v>
      </c>
      <c r="R1521" s="110">
        <v>3</v>
      </c>
      <c r="S1521" s="113"/>
      <c r="T1521" s="108" t="s">
        <v>14718</v>
      </c>
      <c r="U1521" s="110">
        <v>3</v>
      </c>
      <c r="V1521" s="113"/>
      <c r="W1521" s="108" t="s">
        <v>14719</v>
      </c>
      <c r="X1521" s="110">
        <v>3</v>
      </c>
      <c r="Y1521" s="113"/>
      <c r="Z1521" s="108" t="s">
        <v>47</v>
      </c>
      <c r="AA1521" s="114"/>
      <c r="AB1521" s="113"/>
      <c r="AC1521" s="105" t="s">
        <v>3442</v>
      </c>
      <c r="AD1521" s="115" t="s">
        <v>107</v>
      </c>
    </row>
    <row r="1522" spans="1:30" x14ac:dyDescent="0.2">
      <c r="A1522" s="104" t="s">
        <v>3443</v>
      </c>
      <c r="B1522" s="105" t="s">
        <v>805</v>
      </c>
      <c r="C1522" s="105" t="s">
        <v>3433</v>
      </c>
      <c r="D1522" s="106"/>
      <c r="E1522" s="107"/>
      <c r="F1522" s="108" t="s">
        <v>14709</v>
      </c>
      <c r="G1522" s="119">
        <v>1</v>
      </c>
      <c r="H1522" s="108" t="s">
        <v>14710</v>
      </c>
      <c r="I1522" s="116">
        <v>1</v>
      </c>
      <c r="J1522" s="113"/>
      <c r="K1522" s="108" t="s">
        <v>14711</v>
      </c>
      <c r="L1522" s="116">
        <v>1</v>
      </c>
      <c r="M1522" s="113"/>
      <c r="N1522" s="108" t="s">
        <v>14709</v>
      </c>
      <c r="O1522" s="116">
        <v>1</v>
      </c>
      <c r="P1522" s="113"/>
      <c r="Q1522" s="108" t="s">
        <v>14712</v>
      </c>
      <c r="R1522" s="116">
        <v>1</v>
      </c>
      <c r="S1522" s="113"/>
      <c r="T1522" s="108" t="s">
        <v>14720</v>
      </c>
      <c r="U1522" s="116">
        <v>1</v>
      </c>
      <c r="V1522" s="113"/>
      <c r="W1522" s="108" t="s">
        <v>14721</v>
      </c>
      <c r="X1522" s="116">
        <v>1</v>
      </c>
      <c r="Y1522" s="113"/>
      <c r="Z1522" s="108" t="s">
        <v>47</v>
      </c>
      <c r="AA1522" s="114"/>
      <c r="AB1522" s="113"/>
      <c r="AC1522" s="105" t="s">
        <v>3444</v>
      </c>
      <c r="AD1522" s="115" t="s">
        <v>107</v>
      </c>
    </row>
    <row r="1523" spans="1:30" x14ac:dyDescent="0.2">
      <c r="A1523" s="104" t="s">
        <v>3445</v>
      </c>
      <c r="B1523" s="105" t="s">
        <v>805</v>
      </c>
      <c r="C1523" s="105" t="s">
        <v>3433</v>
      </c>
      <c r="D1523" s="106"/>
      <c r="E1523" s="107"/>
      <c r="F1523" s="108" t="s">
        <v>3446</v>
      </c>
      <c r="G1523" s="119">
        <v>1</v>
      </c>
      <c r="H1523" s="108" t="s">
        <v>14716</v>
      </c>
      <c r="I1523" s="110">
        <v>3</v>
      </c>
      <c r="J1523" s="111" t="s">
        <v>40</v>
      </c>
      <c r="K1523" s="108" t="s">
        <v>14717</v>
      </c>
      <c r="L1523" s="110">
        <v>3</v>
      </c>
      <c r="M1523" s="111" t="s">
        <v>46</v>
      </c>
      <c r="N1523" s="108" t="s">
        <v>3446</v>
      </c>
      <c r="O1523" s="116">
        <v>1</v>
      </c>
      <c r="P1523" s="113"/>
      <c r="Q1523" s="108" t="s">
        <v>14722</v>
      </c>
      <c r="R1523" s="116">
        <v>1</v>
      </c>
      <c r="S1523" s="113"/>
      <c r="T1523" s="108" t="s">
        <v>14723</v>
      </c>
      <c r="U1523" s="116">
        <v>1</v>
      </c>
      <c r="V1523" s="113"/>
      <c r="W1523" s="108" t="s">
        <v>14724</v>
      </c>
      <c r="X1523" s="116">
        <v>1</v>
      </c>
      <c r="Y1523" s="113"/>
      <c r="Z1523" s="108" t="s">
        <v>47</v>
      </c>
      <c r="AA1523" s="114"/>
      <c r="AB1523" s="113"/>
      <c r="AC1523" s="105" t="s">
        <v>3447</v>
      </c>
      <c r="AD1523" s="115" t="s">
        <v>107</v>
      </c>
    </row>
    <row r="1524" spans="1:30" x14ac:dyDescent="0.2">
      <c r="A1524" s="104" t="s">
        <v>3448</v>
      </c>
      <c r="B1524" s="105" t="s">
        <v>805</v>
      </c>
      <c r="C1524" s="105" t="s">
        <v>3433</v>
      </c>
      <c r="D1524" s="106"/>
      <c r="E1524" s="107"/>
      <c r="F1524" s="108" t="s">
        <v>14709</v>
      </c>
      <c r="G1524" s="119">
        <v>1</v>
      </c>
      <c r="H1524" s="108" t="s">
        <v>14710</v>
      </c>
      <c r="I1524" s="116">
        <v>1</v>
      </c>
      <c r="J1524" s="113"/>
      <c r="K1524" s="108" t="s">
        <v>14711</v>
      </c>
      <c r="L1524" s="116">
        <v>1</v>
      </c>
      <c r="M1524" s="113"/>
      <c r="N1524" s="108" t="s">
        <v>14709</v>
      </c>
      <c r="O1524" s="116">
        <v>1</v>
      </c>
      <c r="P1524" s="113"/>
      <c r="Q1524" s="108" t="s">
        <v>14712</v>
      </c>
      <c r="R1524" s="116">
        <v>1</v>
      </c>
      <c r="S1524" s="113"/>
      <c r="T1524" s="108" t="s">
        <v>14725</v>
      </c>
      <c r="U1524" s="116">
        <v>1</v>
      </c>
      <c r="V1524" s="113"/>
      <c r="W1524" s="108" t="s">
        <v>14726</v>
      </c>
      <c r="X1524" s="116">
        <v>1</v>
      </c>
      <c r="Y1524" s="113"/>
      <c r="Z1524" s="108" t="s">
        <v>47</v>
      </c>
      <c r="AA1524" s="114"/>
      <c r="AB1524" s="113"/>
      <c r="AC1524" s="105" t="s">
        <v>3449</v>
      </c>
      <c r="AD1524" s="115" t="s">
        <v>107</v>
      </c>
    </row>
    <row r="1525" spans="1:30" x14ac:dyDescent="0.2">
      <c r="A1525" s="104" t="s">
        <v>3450</v>
      </c>
      <c r="B1525" s="105" t="s">
        <v>805</v>
      </c>
      <c r="C1525" s="105" t="s">
        <v>3433</v>
      </c>
      <c r="D1525" s="106"/>
      <c r="E1525" s="107"/>
      <c r="F1525" s="108" t="s">
        <v>8631</v>
      </c>
      <c r="G1525" s="118">
        <v>3</v>
      </c>
      <c r="H1525" s="108" t="s">
        <v>14716</v>
      </c>
      <c r="I1525" s="110">
        <v>3</v>
      </c>
      <c r="J1525" s="111" t="s">
        <v>40</v>
      </c>
      <c r="K1525" s="108" t="s">
        <v>14717</v>
      </c>
      <c r="L1525" s="110">
        <v>3</v>
      </c>
      <c r="M1525" s="113"/>
      <c r="N1525" s="108" t="s">
        <v>8631</v>
      </c>
      <c r="O1525" s="110">
        <v>3</v>
      </c>
      <c r="P1525" s="113"/>
      <c r="Q1525" s="108" t="s">
        <v>14727</v>
      </c>
      <c r="R1525" s="110">
        <v>3</v>
      </c>
      <c r="S1525" s="113"/>
      <c r="T1525" s="108" t="s">
        <v>14728</v>
      </c>
      <c r="U1525" s="110">
        <v>3</v>
      </c>
      <c r="V1525" s="113"/>
      <c r="W1525" s="108" t="s">
        <v>14729</v>
      </c>
      <c r="X1525" s="110">
        <v>3</v>
      </c>
      <c r="Y1525" s="113"/>
      <c r="Z1525" s="108" t="s">
        <v>47</v>
      </c>
      <c r="AA1525" s="114"/>
      <c r="AB1525" s="113"/>
      <c r="AC1525" s="105" t="s">
        <v>3451</v>
      </c>
      <c r="AD1525" s="115" t="s">
        <v>107</v>
      </c>
    </row>
    <row r="1526" spans="1:30" x14ac:dyDescent="0.2">
      <c r="A1526" s="104" t="s">
        <v>3452</v>
      </c>
      <c r="B1526" s="105" t="s">
        <v>805</v>
      </c>
      <c r="C1526" s="105" t="s">
        <v>3453</v>
      </c>
      <c r="D1526" s="106"/>
      <c r="E1526" s="107"/>
      <c r="F1526" s="108" t="s">
        <v>14730</v>
      </c>
      <c r="G1526" s="120">
        <v>2</v>
      </c>
      <c r="H1526" s="108" t="s">
        <v>3454</v>
      </c>
      <c r="I1526" s="117">
        <v>2</v>
      </c>
      <c r="J1526" s="113"/>
      <c r="K1526" s="108" t="s">
        <v>3455</v>
      </c>
      <c r="L1526" s="117">
        <v>2</v>
      </c>
      <c r="M1526" s="113"/>
      <c r="N1526" s="108" t="s">
        <v>14730</v>
      </c>
      <c r="O1526" s="117">
        <v>2</v>
      </c>
      <c r="P1526" s="113"/>
      <c r="Q1526" s="108" t="s">
        <v>14731</v>
      </c>
      <c r="R1526" s="117">
        <v>2</v>
      </c>
      <c r="S1526" s="113"/>
      <c r="T1526" s="108" t="s">
        <v>14732</v>
      </c>
      <c r="U1526" s="117">
        <v>2</v>
      </c>
      <c r="V1526" s="113"/>
      <c r="W1526" s="108" t="s">
        <v>47</v>
      </c>
      <c r="X1526" s="114"/>
      <c r="Y1526" s="113"/>
      <c r="Z1526" s="108" t="s">
        <v>47</v>
      </c>
      <c r="AA1526" s="114"/>
      <c r="AB1526" s="113"/>
      <c r="AC1526" s="105" t="s">
        <v>3456</v>
      </c>
      <c r="AD1526" s="115" t="s">
        <v>107</v>
      </c>
    </row>
    <row r="1527" spans="1:30" x14ac:dyDescent="0.2">
      <c r="A1527" s="104" t="s">
        <v>3457</v>
      </c>
      <c r="B1527" s="105" t="s">
        <v>805</v>
      </c>
      <c r="C1527" s="105" t="s">
        <v>3453</v>
      </c>
      <c r="D1527" s="106"/>
      <c r="E1527" s="107"/>
      <c r="F1527" s="108" t="s">
        <v>47</v>
      </c>
      <c r="G1527" s="113"/>
      <c r="H1527" s="108" t="s">
        <v>47</v>
      </c>
      <c r="I1527" s="114"/>
      <c r="J1527" s="113"/>
      <c r="K1527" s="108" t="s">
        <v>47</v>
      </c>
      <c r="L1527" s="114"/>
      <c r="M1527" s="113"/>
      <c r="N1527" s="108" t="s">
        <v>47</v>
      </c>
      <c r="O1527" s="114"/>
      <c r="P1527" s="113"/>
      <c r="Q1527" s="108" t="s">
        <v>47</v>
      </c>
      <c r="R1527" s="114"/>
      <c r="S1527" s="113"/>
      <c r="T1527" s="108" t="s">
        <v>47</v>
      </c>
      <c r="U1527" s="114"/>
      <c r="V1527" s="113"/>
      <c r="W1527" s="108" t="s">
        <v>47</v>
      </c>
      <c r="X1527" s="114"/>
      <c r="Y1527" s="113"/>
      <c r="Z1527" s="108" t="s">
        <v>47</v>
      </c>
      <c r="AA1527" s="114"/>
      <c r="AB1527" s="113"/>
      <c r="AC1527" s="105" t="s">
        <v>3458</v>
      </c>
      <c r="AD1527" s="115" t="s">
        <v>107</v>
      </c>
    </row>
    <row r="1528" spans="1:30" x14ac:dyDescent="0.2">
      <c r="A1528" s="104" t="s">
        <v>3459</v>
      </c>
      <c r="B1528" s="105" t="s">
        <v>805</v>
      </c>
      <c r="C1528" s="105" t="s">
        <v>3453</v>
      </c>
      <c r="D1528" s="106"/>
      <c r="E1528" s="107"/>
      <c r="F1528" s="108" t="s">
        <v>14733</v>
      </c>
      <c r="G1528" s="119">
        <v>1</v>
      </c>
      <c r="H1528" s="108" t="s">
        <v>14734</v>
      </c>
      <c r="I1528" s="116">
        <v>1</v>
      </c>
      <c r="J1528" s="113"/>
      <c r="K1528" s="108" t="s">
        <v>14735</v>
      </c>
      <c r="L1528" s="116">
        <v>1</v>
      </c>
      <c r="M1528" s="113"/>
      <c r="N1528" s="108" t="s">
        <v>14733</v>
      </c>
      <c r="O1528" s="116">
        <v>1</v>
      </c>
      <c r="P1528" s="113"/>
      <c r="Q1528" s="108" t="s">
        <v>14736</v>
      </c>
      <c r="R1528" s="116">
        <v>1</v>
      </c>
      <c r="S1528" s="113"/>
      <c r="T1528" s="108" t="s">
        <v>14737</v>
      </c>
      <c r="U1528" s="116">
        <v>1</v>
      </c>
      <c r="V1528" s="113"/>
      <c r="W1528" s="108" t="s">
        <v>47</v>
      </c>
      <c r="X1528" s="114"/>
      <c r="Y1528" s="113"/>
      <c r="Z1528" s="108" t="s">
        <v>47</v>
      </c>
      <c r="AA1528" s="114"/>
      <c r="AB1528" s="113"/>
      <c r="AC1528" s="105" t="s">
        <v>3460</v>
      </c>
      <c r="AD1528" s="115" t="s">
        <v>107</v>
      </c>
    </row>
    <row r="1529" spans="1:30" x14ac:dyDescent="0.2">
      <c r="A1529" s="104" t="s">
        <v>3461</v>
      </c>
      <c r="B1529" s="105" t="s">
        <v>805</v>
      </c>
      <c r="C1529" s="105" t="s">
        <v>3453</v>
      </c>
      <c r="D1529" s="106"/>
      <c r="E1529" s="107"/>
      <c r="F1529" s="108" t="s">
        <v>14738</v>
      </c>
      <c r="G1529" s="119">
        <v>1</v>
      </c>
      <c r="H1529" s="108" t="s">
        <v>14739</v>
      </c>
      <c r="I1529" s="116">
        <v>1</v>
      </c>
      <c r="J1529" s="113"/>
      <c r="K1529" s="108" t="s">
        <v>14740</v>
      </c>
      <c r="L1529" s="116">
        <v>1</v>
      </c>
      <c r="M1529" s="113"/>
      <c r="N1529" s="108" t="s">
        <v>14738</v>
      </c>
      <c r="O1529" s="116">
        <v>1</v>
      </c>
      <c r="P1529" s="113"/>
      <c r="Q1529" s="108" t="s">
        <v>14741</v>
      </c>
      <c r="R1529" s="116">
        <v>1</v>
      </c>
      <c r="S1529" s="113"/>
      <c r="T1529" s="108" t="s">
        <v>14742</v>
      </c>
      <c r="U1529" s="116">
        <v>1</v>
      </c>
      <c r="V1529" s="113"/>
      <c r="W1529" s="108" t="s">
        <v>47</v>
      </c>
      <c r="X1529" s="114"/>
      <c r="Y1529" s="113"/>
      <c r="Z1529" s="108" t="s">
        <v>47</v>
      </c>
      <c r="AA1529" s="114"/>
      <c r="AB1529" s="113"/>
      <c r="AC1529" s="105" t="s">
        <v>3462</v>
      </c>
      <c r="AD1529" s="115" t="s">
        <v>107</v>
      </c>
    </row>
    <row r="1530" spans="1:30" x14ac:dyDescent="0.2">
      <c r="A1530" s="104" t="s">
        <v>3463</v>
      </c>
      <c r="B1530" s="105" t="s">
        <v>805</v>
      </c>
      <c r="C1530" s="105" t="s">
        <v>3453</v>
      </c>
      <c r="D1530" s="106"/>
      <c r="E1530" s="107"/>
      <c r="F1530" s="108" t="s">
        <v>14743</v>
      </c>
      <c r="G1530" s="120">
        <v>2</v>
      </c>
      <c r="H1530" s="108" t="s">
        <v>14744</v>
      </c>
      <c r="I1530" s="117">
        <v>2</v>
      </c>
      <c r="J1530" s="113"/>
      <c r="K1530" s="108" t="s">
        <v>14745</v>
      </c>
      <c r="L1530" s="117">
        <v>2</v>
      </c>
      <c r="M1530" s="113"/>
      <c r="N1530" s="108" t="s">
        <v>14743</v>
      </c>
      <c r="O1530" s="117">
        <v>2</v>
      </c>
      <c r="P1530" s="113"/>
      <c r="Q1530" s="108" t="s">
        <v>14746</v>
      </c>
      <c r="R1530" s="117">
        <v>2</v>
      </c>
      <c r="S1530" s="113"/>
      <c r="T1530" s="108" t="s">
        <v>14747</v>
      </c>
      <c r="U1530" s="116">
        <v>1</v>
      </c>
      <c r="V1530" s="113"/>
      <c r="W1530" s="108" t="s">
        <v>47</v>
      </c>
      <c r="X1530" s="114"/>
      <c r="Y1530" s="113"/>
      <c r="Z1530" s="108" t="s">
        <v>47</v>
      </c>
      <c r="AA1530" s="114"/>
      <c r="AB1530" s="113"/>
      <c r="AC1530" s="105" t="s">
        <v>3464</v>
      </c>
      <c r="AD1530" s="115" t="s">
        <v>107</v>
      </c>
    </row>
    <row r="1531" spans="1:30" x14ac:dyDescent="0.2">
      <c r="A1531" s="104" t="s">
        <v>3465</v>
      </c>
      <c r="B1531" s="105" t="s">
        <v>805</v>
      </c>
      <c r="C1531" s="105" t="s">
        <v>3453</v>
      </c>
      <c r="D1531" s="106"/>
      <c r="E1531" s="107"/>
      <c r="F1531" s="108" t="s">
        <v>14748</v>
      </c>
      <c r="G1531" s="119">
        <v>1</v>
      </c>
      <c r="H1531" s="108" t="s">
        <v>14749</v>
      </c>
      <c r="I1531" s="117">
        <v>2</v>
      </c>
      <c r="J1531" s="113"/>
      <c r="K1531" s="108" t="s">
        <v>14750</v>
      </c>
      <c r="L1531" s="117">
        <v>2</v>
      </c>
      <c r="M1531" s="113"/>
      <c r="N1531" s="108" t="s">
        <v>14748</v>
      </c>
      <c r="O1531" s="116">
        <v>1</v>
      </c>
      <c r="P1531" s="113"/>
      <c r="Q1531" s="108" t="s">
        <v>14751</v>
      </c>
      <c r="R1531" s="116">
        <v>1</v>
      </c>
      <c r="S1531" s="113"/>
      <c r="T1531" s="108" t="s">
        <v>14752</v>
      </c>
      <c r="U1531" s="116">
        <v>1</v>
      </c>
      <c r="V1531" s="113"/>
      <c r="W1531" s="108" t="s">
        <v>47</v>
      </c>
      <c r="X1531" s="114"/>
      <c r="Y1531" s="113"/>
      <c r="Z1531" s="108" t="s">
        <v>47</v>
      </c>
      <c r="AA1531" s="114"/>
      <c r="AB1531" s="113"/>
      <c r="AC1531" s="105" t="s">
        <v>3466</v>
      </c>
      <c r="AD1531" s="115" t="s">
        <v>107</v>
      </c>
    </row>
    <row r="1532" spans="1:30" x14ac:dyDescent="0.2">
      <c r="A1532" s="104" t="s">
        <v>3467</v>
      </c>
      <c r="B1532" s="105" t="s">
        <v>805</v>
      </c>
      <c r="C1532" s="105" t="s">
        <v>3453</v>
      </c>
      <c r="D1532" s="106"/>
      <c r="E1532" s="107"/>
      <c r="F1532" s="108" t="s">
        <v>14753</v>
      </c>
      <c r="G1532" s="119">
        <v>1</v>
      </c>
      <c r="H1532" s="108" t="s">
        <v>14734</v>
      </c>
      <c r="I1532" s="116">
        <v>1</v>
      </c>
      <c r="J1532" s="113"/>
      <c r="K1532" s="108" t="s">
        <v>14735</v>
      </c>
      <c r="L1532" s="116">
        <v>1</v>
      </c>
      <c r="M1532" s="113"/>
      <c r="N1532" s="108" t="s">
        <v>14753</v>
      </c>
      <c r="O1532" s="116">
        <v>1</v>
      </c>
      <c r="P1532" s="113"/>
      <c r="Q1532" s="108" t="s">
        <v>14754</v>
      </c>
      <c r="R1532" s="116">
        <v>1</v>
      </c>
      <c r="S1532" s="113"/>
      <c r="T1532" s="108" t="s">
        <v>14755</v>
      </c>
      <c r="U1532" s="116">
        <v>1</v>
      </c>
      <c r="V1532" s="113"/>
      <c r="W1532" s="108" t="s">
        <v>47</v>
      </c>
      <c r="X1532" s="114"/>
      <c r="Y1532" s="113"/>
      <c r="Z1532" s="108" t="s">
        <v>47</v>
      </c>
      <c r="AA1532" s="114"/>
      <c r="AB1532" s="113"/>
      <c r="AC1532" s="105" t="s">
        <v>3468</v>
      </c>
      <c r="AD1532" s="115" t="s">
        <v>107</v>
      </c>
    </row>
    <row r="1533" spans="1:30" x14ac:dyDescent="0.2">
      <c r="A1533" s="104" t="s">
        <v>3469</v>
      </c>
      <c r="B1533" s="105" t="s">
        <v>805</v>
      </c>
      <c r="C1533" s="105" t="s">
        <v>3453</v>
      </c>
      <c r="D1533" s="106"/>
      <c r="E1533" s="107"/>
      <c r="F1533" s="108" t="s">
        <v>8880</v>
      </c>
      <c r="G1533" s="119">
        <v>1</v>
      </c>
      <c r="H1533" s="108" t="s">
        <v>14756</v>
      </c>
      <c r="I1533" s="116">
        <v>1</v>
      </c>
      <c r="J1533" s="113"/>
      <c r="K1533" s="108" t="s">
        <v>14757</v>
      </c>
      <c r="L1533" s="116">
        <v>1</v>
      </c>
      <c r="M1533" s="113"/>
      <c r="N1533" s="108" t="s">
        <v>8880</v>
      </c>
      <c r="O1533" s="116">
        <v>1</v>
      </c>
      <c r="P1533" s="113"/>
      <c r="Q1533" s="108" t="s">
        <v>14758</v>
      </c>
      <c r="R1533" s="116">
        <v>1</v>
      </c>
      <c r="S1533" s="113"/>
      <c r="T1533" s="108" t="s">
        <v>14759</v>
      </c>
      <c r="U1533" s="116">
        <v>1</v>
      </c>
      <c r="V1533" s="113"/>
      <c r="W1533" s="108" t="s">
        <v>47</v>
      </c>
      <c r="X1533" s="114"/>
      <c r="Y1533" s="113"/>
      <c r="Z1533" s="108" t="s">
        <v>47</v>
      </c>
      <c r="AA1533" s="114"/>
      <c r="AB1533" s="113"/>
      <c r="AC1533" s="105" t="s">
        <v>3470</v>
      </c>
      <c r="AD1533" s="115" t="s">
        <v>107</v>
      </c>
    </row>
    <row r="1534" spans="1:30" x14ac:dyDescent="0.2">
      <c r="A1534" s="104" t="s">
        <v>3471</v>
      </c>
      <c r="B1534" s="105" t="s">
        <v>805</v>
      </c>
      <c r="C1534" s="105" t="s">
        <v>3472</v>
      </c>
      <c r="D1534" s="106"/>
      <c r="E1534" s="107"/>
      <c r="F1534" s="108" t="s">
        <v>14760</v>
      </c>
      <c r="G1534" s="120">
        <v>2</v>
      </c>
      <c r="H1534" s="108" t="s">
        <v>14761</v>
      </c>
      <c r="I1534" s="117">
        <v>2</v>
      </c>
      <c r="J1534" s="111" t="s">
        <v>46</v>
      </c>
      <c r="K1534" s="108" t="s">
        <v>14762</v>
      </c>
      <c r="L1534" s="117">
        <v>2</v>
      </c>
      <c r="M1534" s="111" t="s">
        <v>46</v>
      </c>
      <c r="N1534" s="108" t="s">
        <v>14760</v>
      </c>
      <c r="O1534" s="117">
        <v>2</v>
      </c>
      <c r="P1534" s="113"/>
      <c r="Q1534" s="108" t="s">
        <v>14763</v>
      </c>
      <c r="R1534" s="116">
        <v>1</v>
      </c>
      <c r="S1534" s="113"/>
      <c r="T1534" s="108" t="s">
        <v>14764</v>
      </c>
      <c r="U1534" s="116">
        <v>1</v>
      </c>
      <c r="V1534" s="113"/>
      <c r="W1534" s="108" t="s">
        <v>14765</v>
      </c>
      <c r="X1534" s="116">
        <v>1</v>
      </c>
      <c r="Y1534" s="113"/>
      <c r="Z1534" s="108" t="s">
        <v>47</v>
      </c>
      <c r="AA1534" s="114"/>
      <c r="AB1534" s="113"/>
      <c r="AC1534" s="105" t="s">
        <v>3473</v>
      </c>
      <c r="AD1534" s="115" t="s">
        <v>107</v>
      </c>
    </row>
    <row r="1535" spans="1:30" x14ac:dyDescent="0.2">
      <c r="A1535" s="104" t="s">
        <v>3474</v>
      </c>
      <c r="B1535" s="105" t="s">
        <v>805</v>
      </c>
      <c r="C1535" s="105" t="s">
        <v>3472</v>
      </c>
      <c r="D1535" s="106"/>
      <c r="E1535" s="107"/>
      <c r="F1535" s="108" t="s">
        <v>14766</v>
      </c>
      <c r="G1535" s="119">
        <v>1</v>
      </c>
      <c r="H1535" s="108" t="s">
        <v>14767</v>
      </c>
      <c r="I1535" s="117">
        <v>2</v>
      </c>
      <c r="J1535" s="111" t="s">
        <v>46</v>
      </c>
      <c r="K1535" s="108" t="s">
        <v>14768</v>
      </c>
      <c r="L1535" s="117">
        <v>2</v>
      </c>
      <c r="M1535" s="111" t="s">
        <v>46</v>
      </c>
      <c r="N1535" s="108" t="s">
        <v>14766</v>
      </c>
      <c r="O1535" s="116">
        <v>1</v>
      </c>
      <c r="P1535" s="111" t="s">
        <v>40</v>
      </c>
      <c r="Q1535" s="108" t="s">
        <v>14769</v>
      </c>
      <c r="R1535" s="116">
        <v>1</v>
      </c>
      <c r="S1535" s="113"/>
      <c r="T1535" s="108" t="s">
        <v>14770</v>
      </c>
      <c r="U1535" s="116">
        <v>1</v>
      </c>
      <c r="V1535" s="113"/>
      <c r="W1535" s="108" t="s">
        <v>14771</v>
      </c>
      <c r="X1535" s="116">
        <v>1</v>
      </c>
      <c r="Y1535" s="113"/>
      <c r="Z1535" s="108" t="s">
        <v>47</v>
      </c>
      <c r="AA1535" s="114"/>
      <c r="AB1535" s="113"/>
      <c r="AC1535" s="105" t="s">
        <v>3475</v>
      </c>
      <c r="AD1535" s="115" t="s">
        <v>107</v>
      </c>
    </row>
    <row r="1536" spans="1:30" x14ac:dyDescent="0.2">
      <c r="A1536" s="104" t="s">
        <v>3476</v>
      </c>
      <c r="B1536" s="105" t="s">
        <v>805</v>
      </c>
      <c r="C1536" s="105" t="s">
        <v>3472</v>
      </c>
      <c r="D1536" s="106"/>
      <c r="E1536" s="107"/>
      <c r="F1536" s="108" t="s">
        <v>14772</v>
      </c>
      <c r="G1536" s="119">
        <v>1</v>
      </c>
      <c r="H1536" s="108" t="s">
        <v>14773</v>
      </c>
      <c r="I1536" s="116">
        <v>1</v>
      </c>
      <c r="J1536" s="113"/>
      <c r="K1536" s="108" t="s">
        <v>14774</v>
      </c>
      <c r="L1536" s="116">
        <v>1</v>
      </c>
      <c r="M1536" s="113"/>
      <c r="N1536" s="108" t="s">
        <v>14772</v>
      </c>
      <c r="O1536" s="116">
        <v>1</v>
      </c>
      <c r="P1536" s="113"/>
      <c r="Q1536" s="108" t="s">
        <v>14775</v>
      </c>
      <c r="R1536" s="116">
        <v>1</v>
      </c>
      <c r="S1536" s="113"/>
      <c r="T1536" s="108" t="s">
        <v>14776</v>
      </c>
      <c r="U1536" s="116">
        <v>1</v>
      </c>
      <c r="V1536" s="113"/>
      <c r="W1536" s="108" t="s">
        <v>14777</v>
      </c>
      <c r="X1536" s="116">
        <v>1</v>
      </c>
      <c r="Y1536" s="113"/>
      <c r="Z1536" s="108" t="s">
        <v>47</v>
      </c>
      <c r="AA1536" s="114"/>
      <c r="AB1536" s="113"/>
      <c r="AC1536" s="105" t="s">
        <v>3477</v>
      </c>
      <c r="AD1536" s="115" t="s">
        <v>107</v>
      </c>
    </row>
    <row r="1537" spans="1:30" x14ac:dyDescent="0.2">
      <c r="A1537" s="104" t="s">
        <v>3478</v>
      </c>
      <c r="B1537" s="105" t="s">
        <v>805</v>
      </c>
      <c r="C1537" s="105" t="s">
        <v>3472</v>
      </c>
      <c r="D1537" s="106"/>
      <c r="E1537" s="107"/>
      <c r="F1537" s="108" t="s">
        <v>14778</v>
      </c>
      <c r="G1537" s="120">
        <v>2</v>
      </c>
      <c r="H1537" s="108" t="s">
        <v>14779</v>
      </c>
      <c r="I1537" s="117">
        <v>2</v>
      </c>
      <c r="J1537" s="111" t="s">
        <v>46</v>
      </c>
      <c r="K1537" s="108" t="s">
        <v>14780</v>
      </c>
      <c r="L1537" s="117">
        <v>2</v>
      </c>
      <c r="M1537" s="113"/>
      <c r="N1537" s="108" t="s">
        <v>14778</v>
      </c>
      <c r="O1537" s="117">
        <v>2</v>
      </c>
      <c r="P1537" s="113"/>
      <c r="Q1537" s="108" t="s">
        <v>14781</v>
      </c>
      <c r="R1537" s="117">
        <v>2</v>
      </c>
      <c r="S1537" s="113"/>
      <c r="T1537" s="108" t="s">
        <v>14782</v>
      </c>
      <c r="U1537" s="116">
        <v>1</v>
      </c>
      <c r="V1537" s="113"/>
      <c r="W1537" s="108" t="s">
        <v>14783</v>
      </c>
      <c r="X1537" s="116">
        <v>1</v>
      </c>
      <c r="Y1537" s="113"/>
      <c r="Z1537" s="108" t="s">
        <v>47</v>
      </c>
      <c r="AA1537" s="114"/>
      <c r="AB1537" s="113"/>
      <c r="AC1537" s="105" t="s">
        <v>3479</v>
      </c>
      <c r="AD1537" s="115" t="s">
        <v>107</v>
      </c>
    </row>
    <row r="1538" spans="1:30" x14ac:dyDescent="0.2">
      <c r="A1538" s="104" t="s">
        <v>3480</v>
      </c>
      <c r="B1538" s="105" t="s">
        <v>805</v>
      </c>
      <c r="C1538" s="105" t="s">
        <v>3472</v>
      </c>
      <c r="D1538" s="106"/>
      <c r="E1538" s="107"/>
      <c r="F1538" s="108" t="s">
        <v>14784</v>
      </c>
      <c r="G1538" s="119">
        <v>1</v>
      </c>
      <c r="H1538" s="108" t="s">
        <v>14785</v>
      </c>
      <c r="I1538" s="116">
        <v>1</v>
      </c>
      <c r="J1538" s="113"/>
      <c r="K1538" s="108" t="s">
        <v>14786</v>
      </c>
      <c r="L1538" s="116">
        <v>1</v>
      </c>
      <c r="M1538" s="113"/>
      <c r="N1538" s="108" t="s">
        <v>14784</v>
      </c>
      <c r="O1538" s="116">
        <v>1</v>
      </c>
      <c r="P1538" s="113"/>
      <c r="Q1538" s="108" t="s">
        <v>14787</v>
      </c>
      <c r="R1538" s="116">
        <v>1</v>
      </c>
      <c r="S1538" s="113"/>
      <c r="T1538" s="108" t="s">
        <v>14788</v>
      </c>
      <c r="U1538" s="116">
        <v>1</v>
      </c>
      <c r="V1538" s="113"/>
      <c r="W1538" s="108" t="s">
        <v>14789</v>
      </c>
      <c r="X1538" s="116">
        <v>1</v>
      </c>
      <c r="Y1538" s="113"/>
      <c r="Z1538" s="108" t="s">
        <v>47</v>
      </c>
      <c r="AA1538" s="114"/>
      <c r="AB1538" s="113"/>
      <c r="AC1538" s="105" t="s">
        <v>3481</v>
      </c>
      <c r="AD1538" s="115" t="s">
        <v>107</v>
      </c>
    </row>
    <row r="1539" spans="1:30" x14ac:dyDescent="0.2">
      <c r="A1539" s="104" t="s">
        <v>3482</v>
      </c>
      <c r="B1539" s="105" t="s">
        <v>805</v>
      </c>
      <c r="C1539" s="105" t="s">
        <v>3472</v>
      </c>
      <c r="D1539" s="106"/>
      <c r="E1539" s="107"/>
      <c r="F1539" s="108" t="s">
        <v>14790</v>
      </c>
      <c r="G1539" s="119">
        <v>1</v>
      </c>
      <c r="H1539" s="108" t="s">
        <v>14791</v>
      </c>
      <c r="I1539" s="117">
        <v>2</v>
      </c>
      <c r="J1539" s="111" t="s">
        <v>46</v>
      </c>
      <c r="K1539" s="108" t="s">
        <v>14792</v>
      </c>
      <c r="L1539" s="116">
        <v>1</v>
      </c>
      <c r="M1539" s="113"/>
      <c r="N1539" s="108" t="s">
        <v>14790</v>
      </c>
      <c r="O1539" s="116">
        <v>1</v>
      </c>
      <c r="P1539" s="113"/>
      <c r="Q1539" s="108" t="s">
        <v>14793</v>
      </c>
      <c r="R1539" s="116">
        <v>1</v>
      </c>
      <c r="S1539" s="113"/>
      <c r="T1539" s="108" t="s">
        <v>14794</v>
      </c>
      <c r="U1539" s="116">
        <v>1</v>
      </c>
      <c r="V1539" s="113"/>
      <c r="W1539" s="108" t="s">
        <v>14795</v>
      </c>
      <c r="X1539" s="116">
        <v>1</v>
      </c>
      <c r="Y1539" s="113"/>
      <c r="Z1539" s="108" t="s">
        <v>47</v>
      </c>
      <c r="AA1539" s="114"/>
      <c r="AB1539" s="113"/>
      <c r="AC1539" s="105" t="s">
        <v>3483</v>
      </c>
      <c r="AD1539" s="115" t="s">
        <v>107</v>
      </c>
    </row>
    <row r="1540" spans="1:30" x14ac:dyDescent="0.2">
      <c r="A1540" s="104" t="s">
        <v>3484</v>
      </c>
      <c r="B1540" s="105" t="s">
        <v>805</v>
      </c>
      <c r="C1540" s="105" t="s">
        <v>3472</v>
      </c>
      <c r="D1540" s="106"/>
      <c r="E1540" s="107"/>
      <c r="F1540" s="108" t="s">
        <v>14796</v>
      </c>
      <c r="G1540" s="119">
        <v>1</v>
      </c>
      <c r="H1540" s="108" t="s">
        <v>14797</v>
      </c>
      <c r="I1540" s="117">
        <v>2</v>
      </c>
      <c r="J1540" s="111" t="s">
        <v>46</v>
      </c>
      <c r="K1540" s="108" t="s">
        <v>14798</v>
      </c>
      <c r="L1540" s="116">
        <v>1</v>
      </c>
      <c r="M1540" s="113"/>
      <c r="N1540" s="108" t="s">
        <v>14796</v>
      </c>
      <c r="O1540" s="116">
        <v>1</v>
      </c>
      <c r="P1540" s="113"/>
      <c r="Q1540" s="108" t="s">
        <v>14799</v>
      </c>
      <c r="R1540" s="116">
        <v>1</v>
      </c>
      <c r="S1540" s="113"/>
      <c r="T1540" s="108" t="s">
        <v>14800</v>
      </c>
      <c r="U1540" s="116">
        <v>1</v>
      </c>
      <c r="V1540" s="113"/>
      <c r="W1540" s="108" t="s">
        <v>14801</v>
      </c>
      <c r="X1540" s="116">
        <v>1</v>
      </c>
      <c r="Y1540" s="113"/>
      <c r="Z1540" s="108" t="s">
        <v>47</v>
      </c>
      <c r="AA1540" s="114"/>
      <c r="AB1540" s="113"/>
      <c r="AC1540" s="105" t="s">
        <v>3485</v>
      </c>
      <c r="AD1540" s="115" t="s">
        <v>107</v>
      </c>
    </row>
    <row r="1541" spans="1:30" x14ac:dyDescent="0.2">
      <c r="A1541" s="104" t="s">
        <v>3486</v>
      </c>
      <c r="B1541" s="105" t="s">
        <v>42</v>
      </c>
      <c r="C1541" s="105" t="s">
        <v>384</v>
      </c>
      <c r="D1541" s="106"/>
      <c r="E1541" s="107"/>
      <c r="F1541" s="108" t="s">
        <v>14802</v>
      </c>
      <c r="G1541" s="118">
        <v>3</v>
      </c>
      <c r="H1541" s="108" t="s">
        <v>14803</v>
      </c>
      <c r="I1541" s="116">
        <v>1</v>
      </c>
      <c r="J1541" s="111" t="s">
        <v>40</v>
      </c>
      <c r="K1541" s="108" t="s">
        <v>14804</v>
      </c>
      <c r="L1541" s="116">
        <v>1</v>
      </c>
      <c r="M1541" s="111" t="s">
        <v>40</v>
      </c>
      <c r="N1541" s="108" t="s">
        <v>14802</v>
      </c>
      <c r="O1541" s="110">
        <v>3</v>
      </c>
      <c r="P1541" s="111" t="s">
        <v>40</v>
      </c>
      <c r="Q1541" s="108" t="s">
        <v>14805</v>
      </c>
      <c r="R1541" s="112">
        <v>4</v>
      </c>
      <c r="S1541" s="113"/>
      <c r="T1541" s="108" t="s">
        <v>14806</v>
      </c>
      <c r="U1541" s="112">
        <v>4</v>
      </c>
      <c r="V1541" s="113"/>
      <c r="W1541" s="108" t="s">
        <v>14807</v>
      </c>
      <c r="X1541" s="112">
        <v>4</v>
      </c>
      <c r="Y1541" s="113"/>
      <c r="Z1541" s="108" t="s">
        <v>14808</v>
      </c>
      <c r="AA1541" s="112">
        <v>4</v>
      </c>
      <c r="AB1541" s="113"/>
      <c r="AC1541" s="105" t="s">
        <v>3487</v>
      </c>
      <c r="AD1541" s="115" t="s">
        <v>180</v>
      </c>
    </row>
    <row r="1542" spans="1:30" x14ac:dyDescent="0.2">
      <c r="A1542" s="104" t="s">
        <v>3488</v>
      </c>
      <c r="B1542" s="105" t="s">
        <v>381</v>
      </c>
      <c r="C1542" s="105" t="s">
        <v>3428</v>
      </c>
      <c r="D1542" s="106"/>
      <c r="E1542" s="107"/>
      <c r="F1542" s="108" t="s">
        <v>47</v>
      </c>
      <c r="G1542" s="113"/>
      <c r="H1542" s="108" t="s">
        <v>47</v>
      </c>
      <c r="I1542" s="114"/>
      <c r="J1542" s="113"/>
      <c r="K1542" s="108" t="s">
        <v>47</v>
      </c>
      <c r="L1542" s="114"/>
      <c r="M1542" s="113"/>
      <c r="N1542" s="108" t="s">
        <v>47</v>
      </c>
      <c r="O1542" s="114"/>
      <c r="P1542" s="113"/>
      <c r="Q1542" s="108" t="s">
        <v>47</v>
      </c>
      <c r="R1542" s="114"/>
      <c r="S1542" s="113"/>
      <c r="T1542" s="108" t="s">
        <v>47</v>
      </c>
      <c r="U1542" s="114"/>
      <c r="V1542" s="113"/>
      <c r="W1542" s="108" t="s">
        <v>47</v>
      </c>
      <c r="X1542" s="114"/>
      <c r="Y1542" s="113"/>
      <c r="Z1542" s="108" t="s">
        <v>47</v>
      </c>
      <c r="AA1542" s="114"/>
      <c r="AB1542" s="113"/>
      <c r="AC1542" s="105"/>
      <c r="AD1542" s="115" t="s">
        <v>101</v>
      </c>
    </row>
    <row r="1543" spans="1:30" x14ac:dyDescent="0.2">
      <c r="A1543" s="104" t="s">
        <v>3489</v>
      </c>
      <c r="B1543" s="105" t="s">
        <v>212</v>
      </c>
      <c r="C1543" s="105" t="s">
        <v>112</v>
      </c>
      <c r="D1543" s="106"/>
      <c r="E1543" s="107"/>
      <c r="F1543" s="108" t="s">
        <v>14809</v>
      </c>
      <c r="G1543" s="109">
        <v>4</v>
      </c>
      <c r="H1543" s="108" t="s">
        <v>14810</v>
      </c>
      <c r="I1543" s="110">
        <v>3</v>
      </c>
      <c r="J1543" s="113"/>
      <c r="K1543" s="108" t="s">
        <v>14811</v>
      </c>
      <c r="L1543" s="110">
        <v>3</v>
      </c>
      <c r="M1543" s="113"/>
      <c r="N1543" s="108" t="s">
        <v>14809</v>
      </c>
      <c r="O1543" s="112">
        <v>4</v>
      </c>
      <c r="P1543" s="113"/>
      <c r="Q1543" s="108" t="s">
        <v>14812</v>
      </c>
      <c r="R1543" s="112">
        <v>4</v>
      </c>
      <c r="S1543" s="111" t="s">
        <v>46</v>
      </c>
      <c r="T1543" s="108" t="s">
        <v>47</v>
      </c>
      <c r="U1543" s="114"/>
      <c r="V1543" s="113"/>
      <c r="W1543" s="108" t="s">
        <v>47</v>
      </c>
      <c r="X1543" s="114"/>
      <c r="Y1543" s="113"/>
      <c r="Z1543" s="108" t="s">
        <v>47</v>
      </c>
      <c r="AA1543" s="114"/>
      <c r="AB1543" s="113"/>
      <c r="AC1543" s="105" t="s">
        <v>3490</v>
      </c>
      <c r="AD1543" s="115" t="s">
        <v>49</v>
      </c>
    </row>
    <row r="1544" spans="1:30" x14ac:dyDescent="0.2">
      <c r="A1544" s="104" t="s">
        <v>3491</v>
      </c>
      <c r="B1544" s="105" t="s">
        <v>212</v>
      </c>
      <c r="C1544" s="105" t="s">
        <v>112</v>
      </c>
      <c r="D1544" s="106"/>
      <c r="E1544" s="107"/>
      <c r="F1544" s="108" t="s">
        <v>14813</v>
      </c>
      <c r="G1544" s="109">
        <v>4</v>
      </c>
      <c r="H1544" s="108" t="s">
        <v>14814</v>
      </c>
      <c r="I1544" s="117">
        <v>2</v>
      </c>
      <c r="J1544" s="111" t="s">
        <v>40</v>
      </c>
      <c r="K1544" s="108" t="s">
        <v>14815</v>
      </c>
      <c r="L1544" s="110">
        <v>3</v>
      </c>
      <c r="M1544" s="113"/>
      <c r="N1544" s="108" t="s">
        <v>14813</v>
      </c>
      <c r="O1544" s="112">
        <v>4</v>
      </c>
      <c r="P1544" s="113"/>
      <c r="Q1544" s="108" t="s">
        <v>14816</v>
      </c>
      <c r="R1544" s="112">
        <v>4</v>
      </c>
      <c r="S1544" s="111" t="s">
        <v>46</v>
      </c>
      <c r="T1544" s="108" t="s">
        <v>47</v>
      </c>
      <c r="U1544" s="114"/>
      <c r="V1544" s="113"/>
      <c r="W1544" s="108" t="s">
        <v>47</v>
      </c>
      <c r="X1544" s="114"/>
      <c r="Y1544" s="113"/>
      <c r="Z1544" s="108" t="s">
        <v>47</v>
      </c>
      <c r="AA1544" s="114"/>
      <c r="AB1544" s="113"/>
      <c r="AC1544" s="105" t="s">
        <v>3492</v>
      </c>
      <c r="AD1544" s="115" t="s">
        <v>49</v>
      </c>
    </row>
    <row r="1545" spans="1:30" x14ac:dyDescent="0.2">
      <c r="A1545" s="104" t="s">
        <v>3493</v>
      </c>
      <c r="B1545" s="105" t="s">
        <v>212</v>
      </c>
      <c r="C1545" s="105" t="s">
        <v>112</v>
      </c>
      <c r="D1545" s="106"/>
      <c r="E1545" s="107"/>
      <c r="F1545" s="108" t="s">
        <v>14817</v>
      </c>
      <c r="G1545" s="109">
        <v>4</v>
      </c>
      <c r="H1545" s="108" t="s">
        <v>14818</v>
      </c>
      <c r="I1545" s="110">
        <v>3</v>
      </c>
      <c r="J1545" s="113"/>
      <c r="K1545" s="108" t="s">
        <v>14819</v>
      </c>
      <c r="L1545" s="110">
        <v>3</v>
      </c>
      <c r="M1545" s="113"/>
      <c r="N1545" s="108" t="s">
        <v>14817</v>
      </c>
      <c r="O1545" s="112">
        <v>4</v>
      </c>
      <c r="P1545" s="113"/>
      <c r="Q1545" s="108" t="s">
        <v>14820</v>
      </c>
      <c r="R1545" s="112">
        <v>4</v>
      </c>
      <c r="S1545" s="111" t="s">
        <v>46</v>
      </c>
      <c r="T1545" s="108" t="s">
        <v>47</v>
      </c>
      <c r="U1545" s="114"/>
      <c r="V1545" s="113"/>
      <c r="W1545" s="108" t="s">
        <v>47</v>
      </c>
      <c r="X1545" s="114"/>
      <c r="Y1545" s="113"/>
      <c r="Z1545" s="108" t="s">
        <v>47</v>
      </c>
      <c r="AA1545" s="114"/>
      <c r="AB1545" s="113"/>
      <c r="AC1545" s="105" t="s">
        <v>3494</v>
      </c>
      <c r="AD1545" s="115" t="s">
        <v>49</v>
      </c>
    </row>
    <row r="1546" spans="1:30" x14ac:dyDescent="0.2">
      <c r="A1546" s="104" t="s">
        <v>3495</v>
      </c>
      <c r="B1546" s="105" t="s">
        <v>212</v>
      </c>
      <c r="C1546" s="105" t="s">
        <v>112</v>
      </c>
      <c r="D1546" s="106"/>
      <c r="E1546" s="107"/>
      <c r="F1546" s="108" t="s">
        <v>14821</v>
      </c>
      <c r="G1546" s="109">
        <v>4</v>
      </c>
      <c r="H1546" s="108" t="s">
        <v>14822</v>
      </c>
      <c r="I1546" s="110">
        <v>3</v>
      </c>
      <c r="J1546" s="113"/>
      <c r="K1546" s="108" t="s">
        <v>14823</v>
      </c>
      <c r="L1546" s="110">
        <v>3</v>
      </c>
      <c r="M1546" s="113"/>
      <c r="N1546" s="108" t="s">
        <v>14821</v>
      </c>
      <c r="O1546" s="112">
        <v>4</v>
      </c>
      <c r="P1546" s="111" t="s">
        <v>46</v>
      </c>
      <c r="Q1546" s="108" t="s">
        <v>14824</v>
      </c>
      <c r="R1546" s="112">
        <v>4</v>
      </c>
      <c r="S1546" s="111" t="s">
        <v>46</v>
      </c>
      <c r="T1546" s="108" t="s">
        <v>47</v>
      </c>
      <c r="U1546" s="114"/>
      <c r="V1546" s="113"/>
      <c r="W1546" s="108" t="s">
        <v>47</v>
      </c>
      <c r="X1546" s="114"/>
      <c r="Y1546" s="113"/>
      <c r="Z1546" s="108" t="s">
        <v>47</v>
      </c>
      <c r="AA1546" s="114"/>
      <c r="AB1546" s="113"/>
      <c r="AC1546" s="105" t="s">
        <v>3496</v>
      </c>
      <c r="AD1546" s="115" t="s">
        <v>49</v>
      </c>
    </row>
    <row r="1547" spans="1:30" x14ac:dyDescent="0.2">
      <c r="A1547" s="104" t="s">
        <v>3497</v>
      </c>
      <c r="B1547" s="105" t="s">
        <v>42</v>
      </c>
      <c r="C1547" s="105" t="s">
        <v>3498</v>
      </c>
      <c r="D1547" s="106" t="s">
        <v>514</v>
      </c>
      <c r="E1547" s="107"/>
      <c r="F1547" s="108" t="s">
        <v>3499</v>
      </c>
      <c r="G1547" s="118">
        <v>3</v>
      </c>
      <c r="H1547" s="108" t="s">
        <v>14825</v>
      </c>
      <c r="I1547" s="112">
        <v>4</v>
      </c>
      <c r="J1547" s="111" t="s">
        <v>46</v>
      </c>
      <c r="K1547" s="108" t="s">
        <v>14826</v>
      </c>
      <c r="L1547" s="112">
        <v>4</v>
      </c>
      <c r="M1547" s="111" t="s">
        <v>55</v>
      </c>
      <c r="N1547" s="108" t="s">
        <v>3499</v>
      </c>
      <c r="O1547" s="110">
        <v>3</v>
      </c>
      <c r="P1547" s="111" t="s">
        <v>46</v>
      </c>
      <c r="Q1547" s="108" t="s">
        <v>14827</v>
      </c>
      <c r="R1547" s="110">
        <v>3</v>
      </c>
      <c r="S1547" s="111" t="s">
        <v>46</v>
      </c>
      <c r="T1547" s="108" t="s">
        <v>14828</v>
      </c>
      <c r="U1547" s="116">
        <v>1</v>
      </c>
      <c r="V1547" s="113"/>
      <c r="W1547" s="108" t="s">
        <v>14829</v>
      </c>
      <c r="X1547" s="116">
        <v>1</v>
      </c>
      <c r="Y1547" s="113"/>
      <c r="Z1547" s="108" t="s">
        <v>47</v>
      </c>
      <c r="AA1547" s="114"/>
      <c r="AB1547" s="113"/>
      <c r="AC1547" s="105" t="s">
        <v>3500</v>
      </c>
      <c r="AD1547" s="115" t="s">
        <v>49</v>
      </c>
    </row>
    <row r="1548" spans="1:30" x14ac:dyDescent="0.2">
      <c r="A1548" s="104" t="s">
        <v>3501</v>
      </c>
      <c r="B1548" s="105" t="s">
        <v>42</v>
      </c>
      <c r="C1548" s="105" t="s">
        <v>3498</v>
      </c>
      <c r="D1548" s="106" t="s">
        <v>514</v>
      </c>
      <c r="E1548" s="107"/>
      <c r="F1548" s="108" t="s">
        <v>14830</v>
      </c>
      <c r="G1548" s="109">
        <v>4</v>
      </c>
      <c r="H1548" s="108" t="s">
        <v>14831</v>
      </c>
      <c r="I1548" s="112">
        <v>4</v>
      </c>
      <c r="J1548" s="111" t="s">
        <v>46</v>
      </c>
      <c r="K1548" s="108" t="s">
        <v>14832</v>
      </c>
      <c r="L1548" s="112">
        <v>4</v>
      </c>
      <c r="M1548" s="111" t="s">
        <v>46</v>
      </c>
      <c r="N1548" s="108" t="s">
        <v>14830</v>
      </c>
      <c r="O1548" s="112">
        <v>4</v>
      </c>
      <c r="P1548" s="111" t="s">
        <v>55</v>
      </c>
      <c r="Q1548" s="108" t="s">
        <v>3502</v>
      </c>
      <c r="R1548" s="112">
        <v>4</v>
      </c>
      <c r="S1548" s="111" t="s">
        <v>46</v>
      </c>
      <c r="T1548" s="108" t="s">
        <v>14833</v>
      </c>
      <c r="U1548" s="116">
        <v>1</v>
      </c>
      <c r="V1548" s="113"/>
      <c r="W1548" s="108" t="s">
        <v>14834</v>
      </c>
      <c r="X1548" s="116">
        <v>1</v>
      </c>
      <c r="Y1548" s="113"/>
      <c r="Z1548" s="108" t="s">
        <v>14835</v>
      </c>
      <c r="AA1548" s="116">
        <v>1</v>
      </c>
      <c r="AB1548" s="113"/>
      <c r="AC1548" s="105" t="s">
        <v>3503</v>
      </c>
      <c r="AD1548" s="115" t="s">
        <v>49</v>
      </c>
    </row>
    <row r="1549" spans="1:30" x14ac:dyDescent="0.2">
      <c r="A1549" s="104" t="s">
        <v>3504</v>
      </c>
      <c r="B1549" s="105" t="s">
        <v>97</v>
      </c>
      <c r="C1549" s="105" t="s">
        <v>582</v>
      </c>
      <c r="D1549" s="106" t="s">
        <v>94</v>
      </c>
      <c r="E1549" s="107"/>
      <c r="F1549" s="108" t="s">
        <v>14836</v>
      </c>
      <c r="G1549" s="109">
        <v>4</v>
      </c>
      <c r="H1549" s="108" t="s">
        <v>14837</v>
      </c>
      <c r="I1549" s="110">
        <v>3</v>
      </c>
      <c r="J1549" s="111" t="s">
        <v>40</v>
      </c>
      <c r="K1549" s="108" t="s">
        <v>14838</v>
      </c>
      <c r="L1549" s="112">
        <v>4</v>
      </c>
      <c r="M1549" s="113"/>
      <c r="N1549" s="108" t="s">
        <v>14836</v>
      </c>
      <c r="O1549" s="112">
        <v>4</v>
      </c>
      <c r="P1549" s="113"/>
      <c r="Q1549" s="108" t="s">
        <v>14839</v>
      </c>
      <c r="R1549" s="112">
        <v>4</v>
      </c>
      <c r="S1549" s="113"/>
      <c r="T1549" s="108" t="s">
        <v>14840</v>
      </c>
      <c r="U1549" s="110">
        <v>3</v>
      </c>
      <c r="V1549" s="113"/>
      <c r="W1549" s="108" t="s">
        <v>14841</v>
      </c>
      <c r="X1549" s="110">
        <v>3</v>
      </c>
      <c r="Y1549" s="113"/>
      <c r="Z1549" s="108" t="s">
        <v>14842</v>
      </c>
      <c r="AA1549" s="117">
        <v>2</v>
      </c>
      <c r="AB1549" s="113"/>
      <c r="AC1549" s="105" t="s">
        <v>3505</v>
      </c>
      <c r="AD1549" s="115" t="s">
        <v>101</v>
      </c>
    </row>
    <row r="1550" spans="1:30" x14ac:dyDescent="0.2">
      <c r="A1550" s="104" t="s">
        <v>3506</v>
      </c>
      <c r="B1550" s="105" t="s">
        <v>97</v>
      </c>
      <c r="C1550" s="105" t="s">
        <v>122</v>
      </c>
      <c r="D1550" s="106" t="s">
        <v>105</v>
      </c>
      <c r="E1550" s="107"/>
      <c r="F1550" s="108" t="s">
        <v>14843</v>
      </c>
      <c r="G1550" s="109">
        <v>4</v>
      </c>
      <c r="H1550" s="108" t="s">
        <v>14844</v>
      </c>
      <c r="I1550" s="112">
        <v>4</v>
      </c>
      <c r="J1550" s="111" t="s">
        <v>46</v>
      </c>
      <c r="K1550" s="108" t="s">
        <v>14845</v>
      </c>
      <c r="L1550" s="112">
        <v>4</v>
      </c>
      <c r="M1550" s="113"/>
      <c r="N1550" s="108" t="s">
        <v>14843</v>
      </c>
      <c r="O1550" s="112">
        <v>4</v>
      </c>
      <c r="P1550" s="113"/>
      <c r="Q1550" s="108" t="s">
        <v>14846</v>
      </c>
      <c r="R1550" s="112">
        <v>4</v>
      </c>
      <c r="S1550" s="113"/>
      <c r="T1550" s="108" t="s">
        <v>14847</v>
      </c>
      <c r="U1550" s="112">
        <v>4</v>
      </c>
      <c r="V1550" s="113"/>
      <c r="W1550" s="108" t="s">
        <v>14848</v>
      </c>
      <c r="X1550" s="112">
        <v>4</v>
      </c>
      <c r="Y1550" s="113"/>
      <c r="Z1550" s="108" t="s">
        <v>14849</v>
      </c>
      <c r="AA1550" s="110">
        <v>3</v>
      </c>
      <c r="AB1550" s="111" t="s">
        <v>46</v>
      </c>
      <c r="AC1550" s="105" t="s">
        <v>3507</v>
      </c>
      <c r="AD1550" s="115" t="s">
        <v>101</v>
      </c>
    </row>
    <row r="1551" spans="1:30" x14ac:dyDescent="0.2">
      <c r="A1551" s="104" t="s">
        <v>3508</v>
      </c>
      <c r="B1551" s="105" t="s">
        <v>97</v>
      </c>
      <c r="C1551" s="105" t="s">
        <v>122</v>
      </c>
      <c r="D1551" s="106" t="s">
        <v>105</v>
      </c>
      <c r="E1551" s="107"/>
      <c r="F1551" s="108" t="s">
        <v>14850</v>
      </c>
      <c r="G1551" s="109">
        <v>4</v>
      </c>
      <c r="H1551" s="108" t="s">
        <v>14851</v>
      </c>
      <c r="I1551" s="112">
        <v>4</v>
      </c>
      <c r="J1551" s="111" t="s">
        <v>46</v>
      </c>
      <c r="K1551" s="108" t="s">
        <v>14852</v>
      </c>
      <c r="L1551" s="112">
        <v>4</v>
      </c>
      <c r="M1551" s="113"/>
      <c r="N1551" s="108" t="s">
        <v>14850</v>
      </c>
      <c r="O1551" s="112">
        <v>4</v>
      </c>
      <c r="P1551" s="113"/>
      <c r="Q1551" s="108" t="s">
        <v>3509</v>
      </c>
      <c r="R1551" s="112">
        <v>4</v>
      </c>
      <c r="S1551" s="113"/>
      <c r="T1551" s="108" t="s">
        <v>14853</v>
      </c>
      <c r="U1551" s="112">
        <v>4</v>
      </c>
      <c r="V1551" s="113"/>
      <c r="W1551" s="108" t="s">
        <v>14854</v>
      </c>
      <c r="X1551" s="112">
        <v>4</v>
      </c>
      <c r="Y1551" s="113"/>
      <c r="Z1551" s="108" t="s">
        <v>14855</v>
      </c>
      <c r="AA1551" s="110">
        <v>3</v>
      </c>
      <c r="AB1551" s="111" t="s">
        <v>46</v>
      </c>
      <c r="AC1551" s="105" t="s">
        <v>3510</v>
      </c>
      <c r="AD1551" s="115" t="s">
        <v>101</v>
      </c>
    </row>
    <row r="1552" spans="1:30" x14ac:dyDescent="0.2">
      <c r="A1552" s="104" t="s">
        <v>3511</v>
      </c>
      <c r="B1552" s="105" t="s">
        <v>97</v>
      </c>
      <c r="C1552" s="105" t="s">
        <v>582</v>
      </c>
      <c r="D1552" s="106" t="s">
        <v>94</v>
      </c>
      <c r="E1552" s="107"/>
      <c r="F1552" s="108" t="s">
        <v>14856</v>
      </c>
      <c r="G1552" s="109">
        <v>4</v>
      </c>
      <c r="H1552" s="108" t="s">
        <v>14857</v>
      </c>
      <c r="I1552" s="110">
        <v>3</v>
      </c>
      <c r="J1552" s="111" t="s">
        <v>40</v>
      </c>
      <c r="K1552" s="108" t="s">
        <v>14858</v>
      </c>
      <c r="L1552" s="112">
        <v>4</v>
      </c>
      <c r="M1552" s="113"/>
      <c r="N1552" s="108" t="s">
        <v>14856</v>
      </c>
      <c r="O1552" s="112">
        <v>4</v>
      </c>
      <c r="P1552" s="113"/>
      <c r="Q1552" s="108" t="s">
        <v>14859</v>
      </c>
      <c r="R1552" s="112">
        <v>4</v>
      </c>
      <c r="S1552" s="113"/>
      <c r="T1552" s="108" t="s">
        <v>14860</v>
      </c>
      <c r="U1552" s="110">
        <v>3</v>
      </c>
      <c r="V1552" s="113"/>
      <c r="W1552" s="108" t="s">
        <v>14861</v>
      </c>
      <c r="X1552" s="110">
        <v>3</v>
      </c>
      <c r="Y1552" s="113"/>
      <c r="Z1552" s="108" t="s">
        <v>14862</v>
      </c>
      <c r="AA1552" s="117">
        <v>2</v>
      </c>
      <c r="AB1552" s="113"/>
      <c r="AC1552" s="105" t="s">
        <v>3512</v>
      </c>
      <c r="AD1552" s="115" t="s">
        <v>101</v>
      </c>
    </row>
    <row r="1553" spans="1:30" x14ac:dyDescent="0.2">
      <c r="A1553" s="104" t="s">
        <v>3513</v>
      </c>
      <c r="B1553" s="105" t="s">
        <v>381</v>
      </c>
      <c r="C1553" s="105" t="s">
        <v>3514</v>
      </c>
      <c r="D1553" s="106"/>
      <c r="E1553" s="107" t="s">
        <v>376</v>
      </c>
      <c r="F1553" s="108" t="s">
        <v>47</v>
      </c>
      <c r="G1553" s="113"/>
      <c r="H1553" s="108" t="s">
        <v>47</v>
      </c>
      <c r="I1553" s="114"/>
      <c r="J1553" s="113"/>
      <c r="K1553" s="108" t="s">
        <v>47</v>
      </c>
      <c r="L1553" s="114"/>
      <c r="M1553" s="113"/>
      <c r="N1553" s="108" t="s">
        <v>47</v>
      </c>
      <c r="O1553" s="114"/>
      <c r="P1553" s="113"/>
      <c r="Q1553" s="108" t="s">
        <v>47</v>
      </c>
      <c r="R1553" s="114"/>
      <c r="S1553" s="113"/>
      <c r="T1553" s="108" t="s">
        <v>47</v>
      </c>
      <c r="U1553" s="114"/>
      <c r="V1553" s="113"/>
      <c r="W1553" s="108" t="s">
        <v>47</v>
      </c>
      <c r="X1553" s="114"/>
      <c r="Y1553" s="113"/>
      <c r="Z1553" s="108" t="s">
        <v>47</v>
      </c>
      <c r="AA1553" s="114"/>
      <c r="AB1553" s="113"/>
      <c r="AC1553" s="105"/>
      <c r="AD1553" s="115" t="s">
        <v>101</v>
      </c>
    </row>
    <row r="1554" spans="1:30" x14ac:dyDescent="0.2">
      <c r="A1554" s="104" t="s">
        <v>3515</v>
      </c>
      <c r="B1554" s="105" t="s">
        <v>381</v>
      </c>
      <c r="C1554" s="105" t="s">
        <v>382</v>
      </c>
      <c r="D1554" s="106" t="s">
        <v>94</v>
      </c>
      <c r="E1554" s="107"/>
      <c r="F1554" s="108" t="s">
        <v>14863</v>
      </c>
      <c r="G1554" s="109">
        <v>4</v>
      </c>
      <c r="H1554" s="108" t="s">
        <v>14864</v>
      </c>
      <c r="I1554" s="112">
        <v>4</v>
      </c>
      <c r="J1554" s="111" t="s">
        <v>46</v>
      </c>
      <c r="K1554" s="108" t="s">
        <v>14865</v>
      </c>
      <c r="L1554" s="110">
        <v>3</v>
      </c>
      <c r="M1554" s="111" t="s">
        <v>46</v>
      </c>
      <c r="N1554" s="108" t="s">
        <v>14863</v>
      </c>
      <c r="O1554" s="112">
        <v>4</v>
      </c>
      <c r="P1554" s="111" t="s">
        <v>55</v>
      </c>
      <c r="Q1554" s="108" t="s">
        <v>14866</v>
      </c>
      <c r="R1554" s="117">
        <v>2</v>
      </c>
      <c r="S1554" s="113"/>
      <c r="T1554" s="108" t="s">
        <v>14867</v>
      </c>
      <c r="U1554" s="116">
        <v>1</v>
      </c>
      <c r="V1554" s="113"/>
      <c r="W1554" s="108" t="s">
        <v>14868</v>
      </c>
      <c r="X1554" s="116">
        <v>1</v>
      </c>
      <c r="Y1554" s="113"/>
      <c r="Z1554" s="108" t="s">
        <v>47</v>
      </c>
      <c r="AA1554" s="114"/>
      <c r="AB1554" s="113"/>
      <c r="AC1554" s="105" t="s">
        <v>3516</v>
      </c>
      <c r="AD1554" s="115" t="s">
        <v>101</v>
      </c>
    </row>
    <row r="1555" spans="1:30" x14ac:dyDescent="0.2">
      <c r="A1555" s="104" t="s">
        <v>3517</v>
      </c>
      <c r="B1555" s="105" t="s">
        <v>381</v>
      </c>
      <c r="C1555" s="105" t="s">
        <v>382</v>
      </c>
      <c r="D1555" s="106"/>
      <c r="E1555" s="107"/>
      <c r="F1555" s="108" t="s">
        <v>14869</v>
      </c>
      <c r="G1555" s="119">
        <v>1</v>
      </c>
      <c r="H1555" s="108" t="s">
        <v>14870</v>
      </c>
      <c r="I1555" s="110">
        <v>3</v>
      </c>
      <c r="J1555" s="111" t="s">
        <v>55</v>
      </c>
      <c r="K1555" s="108" t="s">
        <v>14871</v>
      </c>
      <c r="L1555" s="116">
        <v>1</v>
      </c>
      <c r="M1555" s="113"/>
      <c r="N1555" s="108" t="s">
        <v>14869</v>
      </c>
      <c r="O1555" s="116">
        <v>1</v>
      </c>
      <c r="P1555" s="113"/>
      <c r="Q1555" s="108" t="s">
        <v>14872</v>
      </c>
      <c r="R1555" s="116">
        <v>1</v>
      </c>
      <c r="S1555" s="113"/>
      <c r="T1555" s="108" t="s">
        <v>47</v>
      </c>
      <c r="U1555" s="114"/>
      <c r="V1555" s="113"/>
      <c r="W1555" s="108" t="s">
        <v>47</v>
      </c>
      <c r="X1555" s="114"/>
      <c r="Y1555" s="113"/>
      <c r="Z1555" s="108" t="s">
        <v>47</v>
      </c>
      <c r="AA1555" s="114"/>
      <c r="AB1555" s="113"/>
      <c r="AC1555" s="105" t="s">
        <v>3518</v>
      </c>
      <c r="AD1555" s="115" t="s">
        <v>101</v>
      </c>
    </row>
    <row r="1556" spans="1:30" x14ac:dyDescent="0.2">
      <c r="A1556" s="104" t="s">
        <v>3519</v>
      </c>
      <c r="B1556" s="105" t="s">
        <v>381</v>
      </c>
      <c r="C1556" s="105" t="s">
        <v>3520</v>
      </c>
      <c r="D1556" s="106" t="s">
        <v>94</v>
      </c>
      <c r="E1556" s="107"/>
      <c r="F1556" s="108" t="s">
        <v>3521</v>
      </c>
      <c r="G1556" s="118">
        <v>3</v>
      </c>
      <c r="H1556" s="108" t="s">
        <v>14873</v>
      </c>
      <c r="I1556" s="110">
        <v>3</v>
      </c>
      <c r="J1556" s="111" t="s">
        <v>40</v>
      </c>
      <c r="K1556" s="108" t="s">
        <v>14874</v>
      </c>
      <c r="L1556" s="112">
        <v>4</v>
      </c>
      <c r="M1556" s="113"/>
      <c r="N1556" s="108" t="s">
        <v>3521</v>
      </c>
      <c r="O1556" s="110">
        <v>3</v>
      </c>
      <c r="P1556" s="113"/>
      <c r="Q1556" s="108" t="s">
        <v>14875</v>
      </c>
      <c r="R1556" s="116">
        <v>1</v>
      </c>
      <c r="S1556" s="113"/>
      <c r="T1556" s="108" t="s">
        <v>3522</v>
      </c>
      <c r="U1556" s="117">
        <v>2</v>
      </c>
      <c r="V1556" s="113"/>
      <c r="W1556" s="108" t="s">
        <v>14876</v>
      </c>
      <c r="X1556" s="116">
        <v>1</v>
      </c>
      <c r="Y1556" s="113"/>
      <c r="Z1556" s="108" t="s">
        <v>47</v>
      </c>
      <c r="AA1556" s="114"/>
      <c r="AB1556" s="113"/>
      <c r="AC1556" s="105" t="s">
        <v>3523</v>
      </c>
      <c r="AD1556" s="115" t="s">
        <v>101</v>
      </c>
    </row>
    <row r="1557" spans="1:30" x14ac:dyDescent="0.2">
      <c r="A1557" s="104" t="s">
        <v>3524</v>
      </c>
      <c r="B1557" s="105" t="s">
        <v>381</v>
      </c>
      <c r="C1557" s="105" t="s">
        <v>3520</v>
      </c>
      <c r="D1557" s="106" t="s">
        <v>125</v>
      </c>
      <c r="E1557" s="107"/>
      <c r="F1557" s="108" t="s">
        <v>14877</v>
      </c>
      <c r="G1557" s="118">
        <v>3</v>
      </c>
      <c r="H1557" s="108" t="s">
        <v>14878</v>
      </c>
      <c r="I1557" s="110">
        <v>3</v>
      </c>
      <c r="J1557" s="111" t="s">
        <v>40</v>
      </c>
      <c r="K1557" s="108" t="s">
        <v>14879</v>
      </c>
      <c r="L1557" s="112">
        <v>4</v>
      </c>
      <c r="M1557" s="113"/>
      <c r="N1557" s="108" t="s">
        <v>14877</v>
      </c>
      <c r="O1557" s="110">
        <v>3</v>
      </c>
      <c r="P1557" s="113"/>
      <c r="Q1557" s="108" t="s">
        <v>14880</v>
      </c>
      <c r="R1557" s="116">
        <v>1</v>
      </c>
      <c r="S1557" s="113"/>
      <c r="T1557" s="108" t="s">
        <v>3525</v>
      </c>
      <c r="U1557" s="117">
        <v>2</v>
      </c>
      <c r="V1557" s="113"/>
      <c r="W1557" s="108" t="s">
        <v>14881</v>
      </c>
      <c r="X1557" s="117">
        <v>2</v>
      </c>
      <c r="Y1557" s="113"/>
      <c r="Z1557" s="108" t="s">
        <v>47</v>
      </c>
      <c r="AA1557" s="114"/>
      <c r="AB1557" s="113"/>
      <c r="AC1557" s="105" t="s">
        <v>3526</v>
      </c>
      <c r="AD1557" s="115" t="s">
        <v>101</v>
      </c>
    </row>
    <row r="1558" spans="1:30" x14ac:dyDescent="0.2">
      <c r="A1558" s="104" t="s">
        <v>3527</v>
      </c>
      <c r="B1558" s="105" t="s">
        <v>381</v>
      </c>
      <c r="C1558" s="105" t="s">
        <v>3520</v>
      </c>
      <c r="D1558" s="106" t="s">
        <v>298</v>
      </c>
      <c r="E1558" s="107"/>
      <c r="F1558" s="108" t="s">
        <v>11203</v>
      </c>
      <c r="G1558" s="120">
        <v>2</v>
      </c>
      <c r="H1558" s="108" t="s">
        <v>14882</v>
      </c>
      <c r="I1558" s="112">
        <v>4</v>
      </c>
      <c r="J1558" s="113"/>
      <c r="K1558" s="108" t="s">
        <v>14883</v>
      </c>
      <c r="L1558" s="112">
        <v>4</v>
      </c>
      <c r="M1558" s="111" t="s">
        <v>46</v>
      </c>
      <c r="N1558" s="108" t="s">
        <v>11203</v>
      </c>
      <c r="O1558" s="117">
        <v>2</v>
      </c>
      <c r="P1558" s="111" t="s">
        <v>40</v>
      </c>
      <c r="Q1558" s="108" t="s">
        <v>14884</v>
      </c>
      <c r="R1558" s="112">
        <v>4</v>
      </c>
      <c r="S1558" s="111" t="s">
        <v>55</v>
      </c>
      <c r="T1558" s="108" t="s">
        <v>14885</v>
      </c>
      <c r="U1558" s="112">
        <v>4</v>
      </c>
      <c r="V1558" s="113"/>
      <c r="W1558" s="108" t="s">
        <v>11125</v>
      </c>
      <c r="X1558" s="112">
        <v>4</v>
      </c>
      <c r="Y1558" s="113"/>
      <c r="Z1558" s="108" t="s">
        <v>47</v>
      </c>
      <c r="AA1558" s="114"/>
      <c r="AB1558" s="113"/>
      <c r="AC1558" s="105" t="s">
        <v>3528</v>
      </c>
      <c r="AD1558" s="115" t="s">
        <v>101</v>
      </c>
    </row>
    <row r="1559" spans="1:30" x14ac:dyDescent="0.2">
      <c r="A1559" s="104" t="s">
        <v>3529</v>
      </c>
      <c r="B1559" s="105" t="s">
        <v>381</v>
      </c>
      <c r="C1559" s="105" t="s">
        <v>3309</v>
      </c>
      <c r="D1559" s="106" t="s">
        <v>125</v>
      </c>
      <c r="E1559" s="107"/>
      <c r="F1559" s="108" t="s">
        <v>14886</v>
      </c>
      <c r="G1559" s="109">
        <v>4</v>
      </c>
      <c r="H1559" s="108" t="s">
        <v>14887</v>
      </c>
      <c r="I1559" s="116">
        <v>1</v>
      </c>
      <c r="J1559" s="111" t="s">
        <v>157</v>
      </c>
      <c r="K1559" s="108" t="s">
        <v>2541</v>
      </c>
      <c r="L1559" s="117">
        <v>2</v>
      </c>
      <c r="M1559" s="111" t="s">
        <v>53</v>
      </c>
      <c r="N1559" s="108" t="s">
        <v>14886</v>
      </c>
      <c r="O1559" s="112">
        <v>4</v>
      </c>
      <c r="P1559" s="113"/>
      <c r="Q1559" s="108" t="s">
        <v>14888</v>
      </c>
      <c r="R1559" s="116">
        <v>1</v>
      </c>
      <c r="S1559" s="111" t="s">
        <v>40</v>
      </c>
      <c r="T1559" s="108" t="s">
        <v>14889</v>
      </c>
      <c r="U1559" s="117">
        <v>2</v>
      </c>
      <c r="V1559" s="113"/>
      <c r="W1559" s="108" t="s">
        <v>3530</v>
      </c>
      <c r="X1559" s="117">
        <v>2</v>
      </c>
      <c r="Y1559" s="113"/>
      <c r="Z1559" s="108" t="s">
        <v>14890</v>
      </c>
      <c r="AA1559" s="112">
        <v>4</v>
      </c>
      <c r="AB1559" s="113"/>
      <c r="AC1559" s="105" t="s">
        <v>3531</v>
      </c>
      <c r="AD1559" s="115" t="s">
        <v>101</v>
      </c>
    </row>
    <row r="1560" spans="1:30" x14ac:dyDescent="0.2">
      <c r="A1560" s="104" t="s">
        <v>3532</v>
      </c>
      <c r="B1560" s="105" t="s">
        <v>420</v>
      </c>
      <c r="C1560" s="105" t="s">
        <v>2507</v>
      </c>
      <c r="D1560" s="106" t="s">
        <v>125</v>
      </c>
      <c r="E1560" s="107"/>
      <c r="F1560" s="108" t="s">
        <v>14891</v>
      </c>
      <c r="G1560" s="109">
        <v>4</v>
      </c>
      <c r="H1560" s="108" t="s">
        <v>14892</v>
      </c>
      <c r="I1560" s="110">
        <v>3</v>
      </c>
      <c r="J1560" s="113"/>
      <c r="K1560" s="108" t="s">
        <v>548</v>
      </c>
      <c r="L1560" s="112">
        <v>4</v>
      </c>
      <c r="M1560" s="111" t="s">
        <v>46</v>
      </c>
      <c r="N1560" s="108" t="s">
        <v>14891</v>
      </c>
      <c r="O1560" s="112">
        <v>4</v>
      </c>
      <c r="P1560" s="113"/>
      <c r="Q1560" s="108" t="s">
        <v>14893</v>
      </c>
      <c r="R1560" s="110">
        <v>3</v>
      </c>
      <c r="S1560" s="113"/>
      <c r="T1560" s="108" t="s">
        <v>3289</v>
      </c>
      <c r="U1560" s="110">
        <v>3</v>
      </c>
      <c r="V1560" s="113"/>
      <c r="W1560" s="108" t="s">
        <v>11509</v>
      </c>
      <c r="X1560" s="117">
        <v>2</v>
      </c>
      <c r="Y1560" s="113"/>
      <c r="Z1560" s="108" t="s">
        <v>3533</v>
      </c>
      <c r="AA1560" s="117">
        <v>2</v>
      </c>
      <c r="AB1560" s="113"/>
      <c r="AC1560" s="105" t="s">
        <v>3534</v>
      </c>
      <c r="AD1560" s="115" t="s">
        <v>424</v>
      </c>
    </row>
    <row r="1561" spans="1:30" x14ac:dyDescent="0.2">
      <c r="A1561" s="104" t="s">
        <v>3535</v>
      </c>
      <c r="B1561" s="105" t="s">
        <v>420</v>
      </c>
      <c r="C1561" s="105" t="s">
        <v>2507</v>
      </c>
      <c r="D1561" s="106" t="s">
        <v>125</v>
      </c>
      <c r="E1561" s="107"/>
      <c r="F1561" s="108" t="s">
        <v>14894</v>
      </c>
      <c r="G1561" s="109">
        <v>4</v>
      </c>
      <c r="H1561" s="108" t="s">
        <v>14895</v>
      </c>
      <c r="I1561" s="110">
        <v>3</v>
      </c>
      <c r="J1561" s="113"/>
      <c r="K1561" s="108" t="s">
        <v>3536</v>
      </c>
      <c r="L1561" s="112">
        <v>4</v>
      </c>
      <c r="M1561" s="111" t="s">
        <v>46</v>
      </c>
      <c r="N1561" s="108" t="s">
        <v>14894</v>
      </c>
      <c r="O1561" s="112">
        <v>4</v>
      </c>
      <c r="P1561" s="113"/>
      <c r="Q1561" s="108" t="s">
        <v>14896</v>
      </c>
      <c r="R1561" s="110">
        <v>3</v>
      </c>
      <c r="S1561" s="113"/>
      <c r="T1561" s="108" t="s">
        <v>3537</v>
      </c>
      <c r="U1561" s="110">
        <v>3</v>
      </c>
      <c r="V1561" s="113"/>
      <c r="W1561" s="108" t="s">
        <v>3538</v>
      </c>
      <c r="X1561" s="110">
        <v>3</v>
      </c>
      <c r="Y1561" s="113"/>
      <c r="Z1561" s="108" t="s">
        <v>3539</v>
      </c>
      <c r="AA1561" s="117">
        <v>2</v>
      </c>
      <c r="AB1561" s="113"/>
      <c r="AC1561" s="105" t="s">
        <v>3540</v>
      </c>
      <c r="AD1561" s="115" t="s">
        <v>424</v>
      </c>
    </row>
    <row r="1562" spans="1:30" x14ac:dyDescent="0.2">
      <c r="A1562" s="104" t="s">
        <v>3541</v>
      </c>
      <c r="B1562" s="105" t="s">
        <v>212</v>
      </c>
      <c r="C1562" s="105" t="s">
        <v>122</v>
      </c>
      <c r="D1562" s="106" t="s">
        <v>94</v>
      </c>
      <c r="E1562" s="107"/>
      <c r="F1562" s="108" t="s">
        <v>14897</v>
      </c>
      <c r="G1562" s="120">
        <v>2</v>
      </c>
      <c r="H1562" s="108" t="s">
        <v>14898</v>
      </c>
      <c r="I1562" s="116">
        <v>1</v>
      </c>
      <c r="J1562" s="113"/>
      <c r="K1562" s="108" t="s">
        <v>14899</v>
      </c>
      <c r="L1562" s="116">
        <v>1</v>
      </c>
      <c r="M1562" s="111" t="s">
        <v>40</v>
      </c>
      <c r="N1562" s="108" t="s">
        <v>14897</v>
      </c>
      <c r="O1562" s="117">
        <v>2</v>
      </c>
      <c r="P1562" s="111" t="s">
        <v>46</v>
      </c>
      <c r="Q1562" s="108" t="s">
        <v>14900</v>
      </c>
      <c r="R1562" s="117">
        <v>2</v>
      </c>
      <c r="S1562" s="111" t="s">
        <v>53</v>
      </c>
      <c r="T1562" s="108" t="s">
        <v>14901</v>
      </c>
      <c r="U1562" s="117">
        <v>2</v>
      </c>
      <c r="V1562" s="113"/>
      <c r="W1562" s="108" t="s">
        <v>14902</v>
      </c>
      <c r="X1562" s="116">
        <v>1</v>
      </c>
      <c r="Y1562" s="113"/>
      <c r="Z1562" s="108" t="s">
        <v>14903</v>
      </c>
      <c r="AA1562" s="117">
        <v>2</v>
      </c>
      <c r="AB1562" s="113"/>
      <c r="AC1562" s="105" t="s">
        <v>3542</v>
      </c>
      <c r="AD1562" s="115" t="s">
        <v>49</v>
      </c>
    </row>
    <row r="1563" spans="1:30" x14ac:dyDescent="0.2">
      <c r="A1563" s="104" t="s">
        <v>3543</v>
      </c>
      <c r="B1563" s="105" t="s">
        <v>212</v>
      </c>
      <c r="C1563" s="105" t="s">
        <v>122</v>
      </c>
      <c r="D1563" s="106"/>
      <c r="E1563" s="107"/>
      <c r="F1563" s="108" t="s">
        <v>14904</v>
      </c>
      <c r="G1563" s="120">
        <v>2</v>
      </c>
      <c r="H1563" s="108" t="s">
        <v>14905</v>
      </c>
      <c r="I1563" s="116">
        <v>1</v>
      </c>
      <c r="J1563" s="113"/>
      <c r="K1563" s="108" t="s">
        <v>14906</v>
      </c>
      <c r="L1563" s="116">
        <v>1</v>
      </c>
      <c r="M1563" s="111" t="s">
        <v>40</v>
      </c>
      <c r="N1563" s="108" t="s">
        <v>14904</v>
      </c>
      <c r="O1563" s="117">
        <v>2</v>
      </c>
      <c r="P1563" s="111" t="s">
        <v>46</v>
      </c>
      <c r="Q1563" s="108" t="s">
        <v>14907</v>
      </c>
      <c r="R1563" s="117">
        <v>2</v>
      </c>
      <c r="S1563" s="111" t="s">
        <v>53</v>
      </c>
      <c r="T1563" s="108" t="s">
        <v>47</v>
      </c>
      <c r="U1563" s="114"/>
      <c r="V1563" s="113"/>
      <c r="W1563" s="108" t="s">
        <v>47</v>
      </c>
      <c r="X1563" s="114"/>
      <c r="Y1563" s="113"/>
      <c r="Z1563" s="108" t="s">
        <v>47</v>
      </c>
      <c r="AA1563" s="114"/>
      <c r="AB1563" s="113"/>
      <c r="AC1563" s="105" t="s">
        <v>3544</v>
      </c>
      <c r="AD1563" s="115" t="s">
        <v>49</v>
      </c>
    </row>
    <row r="1564" spans="1:30" x14ac:dyDescent="0.2">
      <c r="A1564" s="104" t="s">
        <v>3545</v>
      </c>
      <c r="B1564" s="105" t="s">
        <v>212</v>
      </c>
      <c r="C1564" s="105" t="s">
        <v>122</v>
      </c>
      <c r="D1564" s="106"/>
      <c r="E1564" s="107"/>
      <c r="F1564" s="108" t="s">
        <v>47</v>
      </c>
      <c r="G1564" s="113"/>
      <c r="H1564" s="108" t="s">
        <v>14908</v>
      </c>
      <c r="I1564" s="116">
        <v>1</v>
      </c>
      <c r="J1564" s="111" t="s">
        <v>157</v>
      </c>
      <c r="K1564" s="108" t="s">
        <v>14909</v>
      </c>
      <c r="L1564" s="116">
        <v>1</v>
      </c>
      <c r="M1564" s="113"/>
      <c r="N1564" s="108" t="s">
        <v>47</v>
      </c>
      <c r="O1564" s="114"/>
      <c r="P1564" s="113"/>
      <c r="Q1564" s="108" t="s">
        <v>47</v>
      </c>
      <c r="R1564" s="114"/>
      <c r="S1564" s="113"/>
      <c r="T1564" s="108" t="s">
        <v>47</v>
      </c>
      <c r="U1564" s="114"/>
      <c r="V1564" s="113"/>
      <c r="W1564" s="108" t="s">
        <v>47</v>
      </c>
      <c r="X1564" s="114"/>
      <c r="Y1564" s="113"/>
      <c r="Z1564" s="108" t="s">
        <v>47</v>
      </c>
      <c r="AA1564" s="114"/>
      <c r="AB1564" s="113"/>
      <c r="AC1564" s="105" t="s">
        <v>3546</v>
      </c>
      <c r="AD1564" s="115" t="s">
        <v>49</v>
      </c>
    </row>
    <row r="1565" spans="1:30" x14ac:dyDescent="0.2">
      <c r="A1565" s="104" t="s">
        <v>3547</v>
      </c>
      <c r="B1565" s="105" t="s">
        <v>212</v>
      </c>
      <c r="C1565" s="105" t="s">
        <v>3548</v>
      </c>
      <c r="D1565" s="106"/>
      <c r="E1565" s="107"/>
      <c r="F1565" s="108" t="s">
        <v>14910</v>
      </c>
      <c r="G1565" s="109">
        <v>4</v>
      </c>
      <c r="H1565" s="108" t="s">
        <v>14911</v>
      </c>
      <c r="I1565" s="116">
        <v>1</v>
      </c>
      <c r="J1565" s="111" t="s">
        <v>157</v>
      </c>
      <c r="K1565" s="108" t="s">
        <v>14912</v>
      </c>
      <c r="L1565" s="112">
        <v>4</v>
      </c>
      <c r="M1565" s="113"/>
      <c r="N1565" s="108" t="s">
        <v>14910</v>
      </c>
      <c r="O1565" s="112">
        <v>4</v>
      </c>
      <c r="P1565" s="113"/>
      <c r="Q1565" s="108" t="s">
        <v>14913</v>
      </c>
      <c r="R1565" s="112">
        <v>4</v>
      </c>
      <c r="S1565" s="113"/>
      <c r="T1565" s="108" t="s">
        <v>14914</v>
      </c>
      <c r="U1565" s="112">
        <v>4</v>
      </c>
      <c r="V1565" s="113"/>
      <c r="W1565" s="108" t="s">
        <v>14915</v>
      </c>
      <c r="X1565" s="117">
        <v>2</v>
      </c>
      <c r="Y1565" s="113"/>
      <c r="Z1565" s="108" t="s">
        <v>14916</v>
      </c>
      <c r="AA1565" s="110">
        <v>3</v>
      </c>
      <c r="AB1565" s="113"/>
      <c r="AC1565" s="105" t="s">
        <v>3549</v>
      </c>
      <c r="AD1565" s="115" t="s">
        <v>49</v>
      </c>
    </row>
    <row r="1566" spans="1:30" x14ac:dyDescent="0.2">
      <c r="A1566" s="104" t="s">
        <v>3550</v>
      </c>
      <c r="B1566" s="105" t="s">
        <v>212</v>
      </c>
      <c r="C1566" s="105" t="s">
        <v>112</v>
      </c>
      <c r="D1566" s="106"/>
      <c r="E1566" s="107"/>
      <c r="F1566" s="108" t="s">
        <v>14917</v>
      </c>
      <c r="G1566" s="109">
        <v>4</v>
      </c>
      <c r="H1566" s="108" t="s">
        <v>14918</v>
      </c>
      <c r="I1566" s="117">
        <v>2</v>
      </c>
      <c r="J1566" s="113"/>
      <c r="K1566" s="108" t="s">
        <v>14919</v>
      </c>
      <c r="L1566" s="117">
        <v>2</v>
      </c>
      <c r="M1566" s="113"/>
      <c r="N1566" s="108" t="s">
        <v>14917</v>
      </c>
      <c r="O1566" s="112">
        <v>4</v>
      </c>
      <c r="P1566" s="113"/>
      <c r="Q1566" s="108" t="s">
        <v>47</v>
      </c>
      <c r="R1566" s="114"/>
      <c r="S1566" s="113"/>
      <c r="T1566" s="108" t="s">
        <v>47</v>
      </c>
      <c r="U1566" s="114"/>
      <c r="V1566" s="113"/>
      <c r="W1566" s="108" t="s">
        <v>47</v>
      </c>
      <c r="X1566" s="114"/>
      <c r="Y1566" s="113"/>
      <c r="Z1566" s="108" t="s">
        <v>47</v>
      </c>
      <c r="AA1566" s="114"/>
      <c r="AB1566" s="113"/>
      <c r="AC1566" s="105" t="s">
        <v>3551</v>
      </c>
      <c r="AD1566" s="115" t="s">
        <v>49</v>
      </c>
    </row>
    <row r="1567" spans="1:30" x14ac:dyDescent="0.2">
      <c r="A1567" s="104" t="s">
        <v>3552</v>
      </c>
      <c r="B1567" s="105" t="s">
        <v>212</v>
      </c>
      <c r="C1567" s="105" t="s">
        <v>112</v>
      </c>
      <c r="D1567" s="106"/>
      <c r="E1567" s="107"/>
      <c r="F1567" s="108" t="s">
        <v>14920</v>
      </c>
      <c r="G1567" s="109">
        <v>4</v>
      </c>
      <c r="H1567" s="108" t="s">
        <v>14921</v>
      </c>
      <c r="I1567" s="117">
        <v>2</v>
      </c>
      <c r="J1567" s="113"/>
      <c r="K1567" s="108" t="s">
        <v>14922</v>
      </c>
      <c r="L1567" s="117">
        <v>2</v>
      </c>
      <c r="M1567" s="111" t="s">
        <v>40</v>
      </c>
      <c r="N1567" s="108" t="s">
        <v>14920</v>
      </c>
      <c r="O1567" s="112">
        <v>4</v>
      </c>
      <c r="P1567" s="113"/>
      <c r="Q1567" s="108" t="s">
        <v>47</v>
      </c>
      <c r="R1567" s="114"/>
      <c r="S1567" s="113"/>
      <c r="T1567" s="108" t="s">
        <v>47</v>
      </c>
      <c r="U1567" s="114"/>
      <c r="V1567" s="113"/>
      <c r="W1567" s="108" t="s">
        <v>47</v>
      </c>
      <c r="X1567" s="114"/>
      <c r="Y1567" s="113"/>
      <c r="Z1567" s="108" t="s">
        <v>47</v>
      </c>
      <c r="AA1567" s="114"/>
      <c r="AB1567" s="113"/>
      <c r="AC1567" s="105" t="s">
        <v>3553</v>
      </c>
      <c r="AD1567" s="115" t="s">
        <v>49</v>
      </c>
    </row>
    <row r="1568" spans="1:30" x14ac:dyDescent="0.2">
      <c r="A1568" s="104" t="s">
        <v>3554</v>
      </c>
      <c r="B1568" s="105" t="s">
        <v>212</v>
      </c>
      <c r="C1568" s="105" t="s">
        <v>3369</v>
      </c>
      <c r="D1568" s="106"/>
      <c r="E1568" s="107"/>
      <c r="F1568" s="108" t="s">
        <v>14923</v>
      </c>
      <c r="G1568" s="109">
        <v>4</v>
      </c>
      <c r="H1568" s="108" t="s">
        <v>14924</v>
      </c>
      <c r="I1568" s="116">
        <v>1</v>
      </c>
      <c r="J1568" s="111" t="s">
        <v>157</v>
      </c>
      <c r="K1568" s="108" t="s">
        <v>14925</v>
      </c>
      <c r="L1568" s="112">
        <v>4</v>
      </c>
      <c r="M1568" s="113"/>
      <c r="N1568" s="108" t="s">
        <v>14923</v>
      </c>
      <c r="O1568" s="112">
        <v>4</v>
      </c>
      <c r="P1568" s="113"/>
      <c r="Q1568" s="108" t="s">
        <v>47</v>
      </c>
      <c r="R1568" s="114"/>
      <c r="S1568" s="113"/>
      <c r="T1568" s="108" t="s">
        <v>47</v>
      </c>
      <c r="U1568" s="114"/>
      <c r="V1568" s="113"/>
      <c r="W1568" s="108" t="s">
        <v>47</v>
      </c>
      <c r="X1568" s="114"/>
      <c r="Y1568" s="113"/>
      <c r="Z1568" s="108" t="s">
        <v>47</v>
      </c>
      <c r="AA1568" s="114"/>
      <c r="AB1568" s="113"/>
      <c r="AC1568" s="105" t="s">
        <v>3555</v>
      </c>
      <c r="AD1568" s="115" t="s">
        <v>49</v>
      </c>
    </row>
    <row r="1569" spans="1:30" x14ac:dyDescent="0.2">
      <c r="A1569" s="104" t="s">
        <v>3556</v>
      </c>
      <c r="B1569" s="105" t="s">
        <v>212</v>
      </c>
      <c r="C1569" s="105" t="s">
        <v>3369</v>
      </c>
      <c r="D1569" s="106"/>
      <c r="E1569" s="107"/>
      <c r="F1569" s="108" t="s">
        <v>14926</v>
      </c>
      <c r="G1569" s="109">
        <v>4</v>
      </c>
      <c r="H1569" s="108" t="s">
        <v>14927</v>
      </c>
      <c r="I1569" s="116">
        <v>1</v>
      </c>
      <c r="J1569" s="111" t="s">
        <v>157</v>
      </c>
      <c r="K1569" s="108" t="s">
        <v>14928</v>
      </c>
      <c r="L1569" s="112">
        <v>4</v>
      </c>
      <c r="M1569" s="113"/>
      <c r="N1569" s="108" t="s">
        <v>14926</v>
      </c>
      <c r="O1569" s="112">
        <v>4</v>
      </c>
      <c r="P1569" s="113"/>
      <c r="Q1569" s="108" t="s">
        <v>47</v>
      </c>
      <c r="R1569" s="114"/>
      <c r="S1569" s="113"/>
      <c r="T1569" s="108" t="s">
        <v>47</v>
      </c>
      <c r="U1569" s="114"/>
      <c r="V1569" s="113"/>
      <c r="W1569" s="108" t="s">
        <v>47</v>
      </c>
      <c r="X1569" s="114"/>
      <c r="Y1569" s="113"/>
      <c r="Z1569" s="108" t="s">
        <v>47</v>
      </c>
      <c r="AA1569" s="114"/>
      <c r="AB1569" s="113"/>
      <c r="AC1569" s="105" t="s">
        <v>3557</v>
      </c>
      <c r="AD1569" s="115" t="s">
        <v>49</v>
      </c>
    </row>
    <row r="1570" spans="1:30" x14ac:dyDescent="0.2">
      <c r="A1570" s="104" t="s">
        <v>14929</v>
      </c>
      <c r="B1570" s="105" t="s">
        <v>212</v>
      </c>
      <c r="C1570" s="105" t="s">
        <v>112</v>
      </c>
      <c r="D1570" s="106"/>
      <c r="E1570" s="107"/>
      <c r="F1570" s="108" t="s">
        <v>47</v>
      </c>
      <c r="G1570" s="113"/>
      <c r="H1570" s="108" t="s">
        <v>47</v>
      </c>
      <c r="I1570" s="114"/>
      <c r="J1570" s="113"/>
      <c r="K1570" s="108" t="s">
        <v>47</v>
      </c>
      <c r="L1570" s="114"/>
      <c r="M1570" s="113"/>
      <c r="N1570" s="108" t="s">
        <v>47</v>
      </c>
      <c r="O1570" s="114"/>
      <c r="P1570" s="113"/>
      <c r="Q1570" s="108" t="s">
        <v>47</v>
      </c>
      <c r="R1570" s="114"/>
      <c r="S1570" s="113"/>
      <c r="T1570" s="108" t="s">
        <v>47</v>
      </c>
      <c r="U1570" s="114"/>
      <c r="V1570" s="113"/>
      <c r="W1570" s="108" t="s">
        <v>47</v>
      </c>
      <c r="X1570" s="114"/>
      <c r="Y1570" s="113"/>
      <c r="Z1570" s="108" t="s">
        <v>47</v>
      </c>
      <c r="AA1570" s="114"/>
      <c r="AB1570" s="113"/>
      <c r="AC1570" s="105" t="s">
        <v>14930</v>
      </c>
      <c r="AD1570" s="115" t="s">
        <v>49</v>
      </c>
    </row>
    <row r="1571" spans="1:30" x14ac:dyDescent="0.2">
      <c r="A1571" s="104" t="s">
        <v>3558</v>
      </c>
      <c r="B1571" s="105" t="s">
        <v>212</v>
      </c>
      <c r="C1571" s="105" t="s">
        <v>3369</v>
      </c>
      <c r="D1571" s="106"/>
      <c r="E1571" s="107"/>
      <c r="F1571" s="108" t="s">
        <v>47</v>
      </c>
      <c r="G1571" s="113"/>
      <c r="H1571" s="108" t="s">
        <v>14931</v>
      </c>
      <c r="I1571" s="110">
        <v>3</v>
      </c>
      <c r="J1571" s="113"/>
      <c r="K1571" s="108" t="s">
        <v>14932</v>
      </c>
      <c r="L1571" s="110">
        <v>3</v>
      </c>
      <c r="M1571" s="113"/>
      <c r="N1571" s="108" t="s">
        <v>47</v>
      </c>
      <c r="O1571" s="114"/>
      <c r="P1571" s="113"/>
      <c r="Q1571" s="108" t="s">
        <v>47</v>
      </c>
      <c r="R1571" s="114"/>
      <c r="S1571" s="113"/>
      <c r="T1571" s="108" t="s">
        <v>47</v>
      </c>
      <c r="U1571" s="114"/>
      <c r="V1571" s="113"/>
      <c r="W1571" s="108" t="s">
        <v>47</v>
      </c>
      <c r="X1571" s="114"/>
      <c r="Y1571" s="113"/>
      <c r="Z1571" s="108" t="s">
        <v>47</v>
      </c>
      <c r="AA1571" s="114"/>
      <c r="AB1571" s="113"/>
      <c r="AC1571" s="105" t="s">
        <v>3559</v>
      </c>
      <c r="AD1571" s="115" t="s">
        <v>49</v>
      </c>
    </row>
    <row r="1572" spans="1:30" x14ac:dyDescent="0.2">
      <c r="A1572" s="104" t="s">
        <v>3560</v>
      </c>
      <c r="B1572" s="105" t="s">
        <v>212</v>
      </c>
      <c r="C1572" s="105" t="s">
        <v>112</v>
      </c>
      <c r="D1572" s="106"/>
      <c r="E1572" s="107"/>
      <c r="F1572" s="108" t="s">
        <v>14933</v>
      </c>
      <c r="G1572" s="109">
        <v>4</v>
      </c>
      <c r="H1572" s="108" t="s">
        <v>14934</v>
      </c>
      <c r="I1572" s="116">
        <v>1</v>
      </c>
      <c r="J1572" s="111" t="s">
        <v>40</v>
      </c>
      <c r="K1572" s="108" t="s">
        <v>14935</v>
      </c>
      <c r="L1572" s="117">
        <v>2</v>
      </c>
      <c r="M1572" s="111" t="s">
        <v>40</v>
      </c>
      <c r="N1572" s="108" t="s">
        <v>14933</v>
      </c>
      <c r="O1572" s="112">
        <v>4</v>
      </c>
      <c r="P1572" s="113"/>
      <c r="Q1572" s="108" t="s">
        <v>47</v>
      </c>
      <c r="R1572" s="114"/>
      <c r="S1572" s="113"/>
      <c r="T1572" s="108" t="s">
        <v>47</v>
      </c>
      <c r="U1572" s="114"/>
      <c r="V1572" s="113"/>
      <c r="W1572" s="108" t="s">
        <v>47</v>
      </c>
      <c r="X1572" s="114"/>
      <c r="Y1572" s="113"/>
      <c r="Z1572" s="108" t="s">
        <v>47</v>
      </c>
      <c r="AA1572" s="114"/>
      <c r="AB1572" s="113"/>
      <c r="AC1572" s="105" t="s">
        <v>3561</v>
      </c>
      <c r="AD1572" s="115" t="s">
        <v>49</v>
      </c>
    </row>
    <row r="1573" spans="1:30" x14ac:dyDescent="0.2">
      <c r="A1573" s="104" t="s">
        <v>3562</v>
      </c>
      <c r="B1573" s="105" t="s">
        <v>212</v>
      </c>
      <c r="C1573" s="105" t="s">
        <v>112</v>
      </c>
      <c r="D1573" s="106"/>
      <c r="E1573" s="107"/>
      <c r="F1573" s="108" t="s">
        <v>14936</v>
      </c>
      <c r="G1573" s="109">
        <v>4</v>
      </c>
      <c r="H1573" s="108" t="s">
        <v>14937</v>
      </c>
      <c r="I1573" s="116">
        <v>1</v>
      </c>
      <c r="J1573" s="111" t="s">
        <v>40</v>
      </c>
      <c r="K1573" s="108" t="s">
        <v>14938</v>
      </c>
      <c r="L1573" s="117">
        <v>2</v>
      </c>
      <c r="M1573" s="111" t="s">
        <v>40</v>
      </c>
      <c r="N1573" s="108" t="s">
        <v>14936</v>
      </c>
      <c r="O1573" s="112">
        <v>4</v>
      </c>
      <c r="P1573" s="113"/>
      <c r="Q1573" s="108" t="s">
        <v>47</v>
      </c>
      <c r="R1573" s="114"/>
      <c r="S1573" s="113"/>
      <c r="T1573" s="108" t="s">
        <v>47</v>
      </c>
      <c r="U1573" s="114"/>
      <c r="V1573" s="113"/>
      <c r="W1573" s="108" t="s">
        <v>47</v>
      </c>
      <c r="X1573" s="114"/>
      <c r="Y1573" s="113"/>
      <c r="Z1573" s="108" t="s">
        <v>47</v>
      </c>
      <c r="AA1573" s="114"/>
      <c r="AB1573" s="113"/>
      <c r="AC1573" s="105" t="s">
        <v>3563</v>
      </c>
      <c r="AD1573" s="115" t="s">
        <v>49</v>
      </c>
    </row>
    <row r="1574" spans="1:30" x14ac:dyDescent="0.2">
      <c r="A1574" s="104" t="s">
        <v>14939</v>
      </c>
      <c r="B1574" s="105" t="s">
        <v>212</v>
      </c>
      <c r="C1574" s="105" t="s">
        <v>112</v>
      </c>
      <c r="D1574" s="106"/>
      <c r="E1574" s="107"/>
      <c r="F1574" s="108" t="s">
        <v>47</v>
      </c>
      <c r="G1574" s="113"/>
      <c r="H1574" s="108" t="s">
        <v>47</v>
      </c>
      <c r="I1574" s="114"/>
      <c r="J1574" s="113"/>
      <c r="K1574" s="108" t="s">
        <v>47</v>
      </c>
      <c r="L1574" s="114"/>
      <c r="M1574" s="113"/>
      <c r="N1574" s="108" t="s">
        <v>47</v>
      </c>
      <c r="O1574" s="114"/>
      <c r="P1574" s="113"/>
      <c r="Q1574" s="108" t="s">
        <v>47</v>
      </c>
      <c r="R1574" s="114"/>
      <c r="S1574" s="113"/>
      <c r="T1574" s="108" t="s">
        <v>47</v>
      </c>
      <c r="U1574" s="114"/>
      <c r="V1574" s="113"/>
      <c r="W1574" s="108" t="s">
        <v>47</v>
      </c>
      <c r="X1574" s="114"/>
      <c r="Y1574" s="113"/>
      <c r="Z1574" s="108" t="s">
        <v>47</v>
      </c>
      <c r="AA1574" s="114"/>
      <c r="AB1574" s="113"/>
      <c r="AC1574" s="105" t="s">
        <v>14940</v>
      </c>
      <c r="AD1574" s="115" t="s">
        <v>49</v>
      </c>
    </row>
    <row r="1575" spans="1:30" x14ac:dyDescent="0.2">
      <c r="A1575" s="104" t="s">
        <v>3564</v>
      </c>
      <c r="B1575" s="105" t="s">
        <v>212</v>
      </c>
      <c r="C1575" s="105" t="s">
        <v>112</v>
      </c>
      <c r="D1575" s="106"/>
      <c r="E1575" s="107"/>
      <c r="F1575" s="108" t="s">
        <v>47</v>
      </c>
      <c r="G1575" s="113"/>
      <c r="H1575" s="108" t="s">
        <v>14941</v>
      </c>
      <c r="I1575" s="117">
        <v>2</v>
      </c>
      <c r="J1575" s="111" t="s">
        <v>40</v>
      </c>
      <c r="K1575" s="108" t="s">
        <v>14942</v>
      </c>
      <c r="L1575" s="110">
        <v>3</v>
      </c>
      <c r="M1575" s="113"/>
      <c r="N1575" s="108" t="s">
        <v>47</v>
      </c>
      <c r="O1575" s="114"/>
      <c r="P1575" s="113"/>
      <c r="Q1575" s="108" t="s">
        <v>47</v>
      </c>
      <c r="R1575" s="114"/>
      <c r="S1575" s="113"/>
      <c r="T1575" s="108" t="s">
        <v>47</v>
      </c>
      <c r="U1575" s="114"/>
      <c r="V1575" s="113"/>
      <c r="W1575" s="108" t="s">
        <v>47</v>
      </c>
      <c r="X1575" s="114"/>
      <c r="Y1575" s="113"/>
      <c r="Z1575" s="108" t="s">
        <v>47</v>
      </c>
      <c r="AA1575" s="114"/>
      <c r="AB1575" s="113"/>
      <c r="AC1575" s="105" t="s">
        <v>3565</v>
      </c>
      <c r="AD1575" s="115" t="s">
        <v>49</v>
      </c>
    </row>
    <row r="1576" spans="1:30" x14ac:dyDescent="0.2">
      <c r="A1576" s="104" t="s">
        <v>3566</v>
      </c>
      <c r="B1576" s="105" t="s">
        <v>212</v>
      </c>
      <c r="C1576" s="105" t="s">
        <v>112</v>
      </c>
      <c r="D1576" s="106"/>
      <c r="E1576" s="107"/>
      <c r="F1576" s="108" t="s">
        <v>47</v>
      </c>
      <c r="G1576" s="113"/>
      <c r="H1576" s="108" t="s">
        <v>14943</v>
      </c>
      <c r="I1576" s="110">
        <v>3</v>
      </c>
      <c r="J1576" s="113"/>
      <c r="K1576" s="108" t="s">
        <v>14944</v>
      </c>
      <c r="L1576" s="110">
        <v>3</v>
      </c>
      <c r="M1576" s="113"/>
      <c r="N1576" s="108" t="s">
        <v>47</v>
      </c>
      <c r="O1576" s="114"/>
      <c r="P1576" s="113"/>
      <c r="Q1576" s="108" t="s">
        <v>47</v>
      </c>
      <c r="R1576" s="114"/>
      <c r="S1576" s="113"/>
      <c r="T1576" s="108" t="s">
        <v>47</v>
      </c>
      <c r="U1576" s="114"/>
      <c r="V1576" s="113"/>
      <c r="W1576" s="108" t="s">
        <v>47</v>
      </c>
      <c r="X1576" s="114"/>
      <c r="Y1576" s="113"/>
      <c r="Z1576" s="108" t="s">
        <v>47</v>
      </c>
      <c r="AA1576" s="114"/>
      <c r="AB1576" s="113"/>
      <c r="AC1576" s="105" t="s">
        <v>3567</v>
      </c>
      <c r="AD1576" s="115" t="s">
        <v>49</v>
      </c>
    </row>
    <row r="1577" spans="1:30" x14ac:dyDescent="0.2">
      <c r="A1577" s="104" t="s">
        <v>14945</v>
      </c>
      <c r="B1577" s="105" t="s">
        <v>212</v>
      </c>
      <c r="C1577" s="105" t="s">
        <v>112</v>
      </c>
      <c r="D1577" s="106"/>
      <c r="E1577" s="107"/>
      <c r="F1577" s="108" t="s">
        <v>47</v>
      </c>
      <c r="G1577" s="113"/>
      <c r="H1577" s="108" t="s">
        <v>47</v>
      </c>
      <c r="I1577" s="114"/>
      <c r="J1577" s="113"/>
      <c r="K1577" s="108" t="s">
        <v>47</v>
      </c>
      <c r="L1577" s="114"/>
      <c r="M1577" s="113"/>
      <c r="N1577" s="108" t="s">
        <v>47</v>
      </c>
      <c r="O1577" s="114"/>
      <c r="P1577" s="113"/>
      <c r="Q1577" s="108" t="s">
        <v>47</v>
      </c>
      <c r="R1577" s="114"/>
      <c r="S1577" s="113"/>
      <c r="T1577" s="108" t="s">
        <v>47</v>
      </c>
      <c r="U1577" s="114"/>
      <c r="V1577" s="113"/>
      <c r="W1577" s="108" t="s">
        <v>47</v>
      </c>
      <c r="X1577" s="114"/>
      <c r="Y1577" s="113"/>
      <c r="Z1577" s="108" t="s">
        <v>47</v>
      </c>
      <c r="AA1577" s="114"/>
      <c r="AB1577" s="113"/>
      <c r="AC1577" s="105" t="s">
        <v>14946</v>
      </c>
      <c r="AD1577" s="115" t="s">
        <v>49</v>
      </c>
    </row>
    <row r="1578" spans="1:30" x14ac:dyDescent="0.2">
      <c r="A1578" s="104" t="s">
        <v>3568</v>
      </c>
      <c r="B1578" s="105" t="s">
        <v>42</v>
      </c>
      <c r="C1578" s="105" t="s">
        <v>43</v>
      </c>
      <c r="D1578" s="106"/>
      <c r="E1578" s="107"/>
      <c r="F1578" s="108" t="s">
        <v>14947</v>
      </c>
      <c r="G1578" s="118">
        <v>3</v>
      </c>
      <c r="H1578" s="108" t="s">
        <v>14948</v>
      </c>
      <c r="I1578" s="117">
        <v>2</v>
      </c>
      <c r="J1578" s="113"/>
      <c r="K1578" s="108" t="s">
        <v>14949</v>
      </c>
      <c r="L1578" s="116">
        <v>1</v>
      </c>
      <c r="M1578" s="111" t="s">
        <v>53</v>
      </c>
      <c r="N1578" s="108" t="s">
        <v>14947</v>
      </c>
      <c r="O1578" s="110">
        <v>3</v>
      </c>
      <c r="P1578" s="113"/>
      <c r="Q1578" s="108" t="s">
        <v>14950</v>
      </c>
      <c r="R1578" s="112">
        <v>4</v>
      </c>
      <c r="S1578" s="113"/>
      <c r="T1578" s="108" t="s">
        <v>14951</v>
      </c>
      <c r="U1578" s="112">
        <v>4</v>
      </c>
      <c r="V1578" s="113"/>
      <c r="W1578" s="108" t="s">
        <v>14952</v>
      </c>
      <c r="X1578" s="112">
        <v>4</v>
      </c>
      <c r="Y1578" s="113"/>
      <c r="Z1578" s="108" t="s">
        <v>47</v>
      </c>
      <c r="AA1578" s="114"/>
      <c r="AB1578" s="113"/>
      <c r="AC1578" s="105" t="s">
        <v>3569</v>
      </c>
      <c r="AD1578" s="115" t="s">
        <v>180</v>
      </c>
    </row>
    <row r="1579" spans="1:30" x14ac:dyDescent="0.2">
      <c r="A1579" s="104" t="s">
        <v>3570</v>
      </c>
      <c r="B1579" s="105" t="s">
        <v>42</v>
      </c>
      <c r="C1579" s="105" t="s">
        <v>43</v>
      </c>
      <c r="D1579" s="106"/>
      <c r="E1579" s="107"/>
      <c r="F1579" s="108" t="s">
        <v>14953</v>
      </c>
      <c r="G1579" s="118">
        <v>3</v>
      </c>
      <c r="H1579" s="108" t="s">
        <v>14954</v>
      </c>
      <c r="I1579" s="117">
        <v>2</v>
      </c>
      <c r="J1579" s="111" t="s">
        <v>40</v>
      </c>
      <c r="K1579" s="108" t="s">
        <v>14955</v>
      </c>
      <c r="L1579" s="117">
        <v>2</v>
      </c>
      <c r="M1579" s="111" t="s">
        <v>40</v>
      </c>
      <c r="N1579" s="108" t="s">
        <v>14953</v>
      </c>
      <c r="O1579" s="110">
        <v>3</v>
      </c>
      <c r="P1579" s="113"/>
      <c r="Q1579" s="108" t="s">
        <v>14956</v>
      </c>
      <c r="R1579" s="110">
        <v>3</v>
      </c>
      <c r="S1579" s="113"/>
      <c r="T1579" s="108" t="s">
        <v>14957</v>
      </c>
      <c r="U1579" s="117">
        <v>2</v>
      </c>
      <c r="V1579" s="113"/>
      <c r="W1579" s="108" t="s">
        <v>14958</v>
      </c>
      <c r="X1579" s="117">
        <v>2</v>
      </c>
      <c r="Y1579" s="113"/>
      <c r="Z1579" s="108" t="s">
        <v>47</v>
      </c>
      <c r="AA1579" s="114"/>
      <c r="AB1579" s="113"/>
      <c r="AC1579" s="105" t="s">
        <v>3571</v>
      </c>
      <c r="AD1579" s="115" t="s">
        <v>180</v>
      </c>
    </row>
    <row r="1580" spans="1:30" x14ac:dyDescent="0.2">
      <c r="A1580" s="104" t="s">
        <v>3572</v>
      </c>
      <c r="B1580" s="105" t="s">
        <v>42</v>
      </c>
      <c r="C1580" s="105" t="s">
        <v>43</v>
      </c>
      <c r="D1580" s="106"/>
      <c r="E1580" s="107"/>
      <c r="F1580" s="108" t="s">
        <v>14959</v>
      </c>
      <c r="G1580" s="118">
        <v>3</v>
      </c>
      <c r="H1580" s="108" t="s">
        <v>14960</v>
      </c>
      <c r="I1580" s="117">
        <v>2</v>
      </c>
      <c r="J1580" s="111" t="s">
        <v>46</v>
      </c>
      <c r="K1580" s="108" t="s">
        <v>14961</v>
      </c>
      <c r="L1580" s="116">
        <v>1</v>
      </c>
      <c r="M1580" s="111" t="s">
        <v>40</v>
      </c>
      <c r="N1580" s="108" t="s">
        <v>14959</v>
      </c>
      <c r="O1580" s="110">
        <v>3</v>
      </c>
      <c r="P1580" s="113"/>
      <c r="Q1580" s="108" t="s">
        <v>3573</v>
      </c>
      <c r="R1580" s="110">
        <v>3</v>
      </c>
      <c r="S1580" s="113"/>
      <c r="T1580" s="108" t="s">
        <v>14962</v>
      </c>
      <c r="U1580" s="117">
        <v>2</v>
      </c>
      <c r="V1580" s="113"/>
      <c r="W1580" s="108" t="s">
        <v>14963</v>
      </c>
      <c r="X1580" s="116">
        <v>1</v>
      </c>
      <c r="Y1580" s="113"/>
      <c r="Z1580" s="108" t="s">
        <v>47</v>
      </c>
      <c r="AA1580" s="114"/>
      <c r="AB1580" s="113"/>
      <c r="AC1580" s="105" t="s">
        <v>3574</v>
      </c>
      <c r="AD1580" s="115" t="s">
        <v>180</v>
      </c>
    </row>
    <row r="1581" spans="1:30" x14ac:dyDescent="0.2">
      <c r="A1581" s="104" t="s">
        <v>3575</v>
      </c>
      <c r="B1581" s="105" t="s">
        <v>42</v>
      </c>
      <c r="C1581" s="105" t="s">
        <v>43</v>
      </c>
      <c r="D1581" s="106"/>
      <c r="E1581" s="107"/>
      <c r="F1581" s="108" t="s">
        <v>14964</v>
      </c>
      <c r="G1581" s="118">
        <v>3</v>
      </c>
      <c r="H1581" s="108" t="s">
        <v>14965</v>
      </c>
      <c r="I1581" s="116">
        <v>1</v>
      </c>
      <c r="J1581" s="113"/>
      <c r="K1581" s="108" t="s">
        <v>14966</v>
      </c>
      <c r="L1581" s="116">
        <v>1</v>
      </c>
      <c r="M1581" s="111" t="s">
        <v>40</v>
      </c>
      <c r="N1581" s="108" t="s">
        <v>14964</v>
      </c>
      <c r="O1581" s="110">
        <v>3</v>
      </c>
      <c r="P1581" s="113"/>
      <c r="Q1581" s="108" t="s">
        <v>14967</v>
      </c>
      <c r="R1581" s="112">
        <v>4</v>
      </c>
      <c r="S1581" s="113"/>
      <c r="T1581" s="108" t="s">
        <v>14968</v>
      </c>
      <c r="U1581" s="117">
        <v>2</v>
      </c>
      <c r="V1581" s="113"/>
      <c r="W1581" s="108" t="s">
        <v>14969</v>
      </c>
      <c r="X1581" s="116">
        <v>1</v>
      </c>
      <c r="Y1581" s="113"/>
      <c r="Z1581" s="108" t="s">
        <v>47</v>
      </c>
      <c r="AA1581" s="114"/>
      <c r="AB1581" s="113"/>
      <c r="AC1581" s="105" t="s">
        <v>3576</v>
      </c>
      <c r="AD1581" s="115" t="s">
        <v>180</v>
      </c>
    </row>
    <row r="1582" spans="1:30" x14ac:dyDescent="0.2">
      <c r="A1582" s="104" t="s">
        <v>3577</v>
      </c>
      <c r="B1582" s="105" t="s">
        <v>42</v>
      </c>
      <c r="C1582" s="105" t="s">
        <v>122</v>
      </c>
      <c r="D1582" s="106" t="s">
        <v>94</v>
      </c>
      <c r="E1582" s="107"/>
      <c r="F1582" s="108" t="s">
        <v>14970</v>
      </c>
      <c r="G1582" s="118">
        <v>3</v>
      </c>
      <c r="H1582" s="108" t="s">
        <v>3578</v>
      </c>
      <c r="I1582" s="110">
        <v>3</v>
      </c>
      <c r="J1582" s="111" t="s">
        <v>46</v>
      </c>
      <c r="K1582" s="108" t="s">
        <v>14971</v>
      </c>
      <c r="L1582" s="117">
        <v>2</v>
      </c>
      <c r="M1582" s="113"/>
      <c r="N1582" s="108" t="s">
        <v>14970</v>
      </c>
      <c r="O1582" s="110">
        <v>3</v>
      </c>
      <c r="P1582" s="113"/>
      <c r="Q1582" s="108" t="s">
        <v>14972</v>
      </c>
      <c r="R1582" s="110">
        <v>3</v>
      </c>
      <c r="S1582" s="113"/>
      <c r="T1582" s="108" t="s">
        <v>14973</v>
      </c>
      <c r="U1582" s="117">
        <v>2</v>
      </c>
      <c r="V1582" s="111" t="s">
        <v>46</v>
      </c>
      <c r="W1582" s="108" t="s">
        <v>14974</v>
      </c>
      <c r="X1582" s="116">
        <v>1</v>
      </c>
      <c r="Y1582" s="113"/>
      <c r="Z1582" s="108" t="s">
        <v>14975</v>
      </c>
      <c r="AA1582" s="117">
        <v>2</v>
      </c>
      <c r="AB1582" s="111" t="s">
        <v>46</v>
      </c>
      <c r="AC1582" s="105" t="s">
        <v>3579</v>
      </c>
      <c r="AD1582" s="115" t="s">
        <v>49</v>
      </c>
    </row>
    <row r="1583" spans="1:30" x14ac:dyDescent="0.2">
      <c r="A1583" s="104" t="s">
        <v>3580</v>
      </c>
      <c r="B1583" s="105" t="s">
        <v>42</v>
      </c>
      <c r="C1583" s="105" t="s">
        <v>122</v>
      </c>
      <c r="D1583" s="106" t="s">
        <v>94</v>
      </c>
      <c r="E1583" s="107"/>
      <c r="F1583" s="108" t="s">
        <v>14976</v>
      </c>
      <c r="G1583" s="109">
        <v>4</v>
      </c>
      <c r="H1583" s="108" t="s">
        <v>14977</v>
      </c>
      <c r="I1583" s="110">
        <v>3</v>
      </c>
      <c r="J1583" s="113"/>
      <c r="K1583" s="108" t="s">
        <v>14978</v>
      </c>
      <c r="L1583" s="110">
        <v>3</v>
      </c>
      <c r="M1583" s="111" t="s">
        <v>46</v>
      </c>
      <c r="N1583" s="108" t="s">
        <v>14976</v>
      </c>
      <c r="O1583" s="112">
        <v>4</v>
      </c>
      <c r="P1583" s="111" t="s">
        <v>46</v>
      </c>
      <c r="Q1583" s="108" t="s">
        <v>14979</v>
      </c>
      <c r="R1583" s="112">
        <v>4</v>
      </c>
      <c r="S1583" s="111" t="s">
        <v>46</v>
      </c>
      <c r="T1583" s="108" t="s">
        <v>14980</v>
      </c>
      <c r="U1583" s="117">
        <v>2</v>
      </c>
      <c r="V1583" s="113"/>
      <c r="W1583" s="108" t="s">
        <v>14981</v>
      </c>
      <c r="X1583" s="116">
        <v>1</v>
      </c>
      <c r="Y1583" s="113"/>
      <c r="Z1583" s="108" t="s">
        <v>47</v>
      </c>
      <c r="AA1583" s="114"/>
      <c r="AB1583" s="113"/>
      <c r="AC1583" s="105" t="s">
        <v>3581</v>
      </c>
      <c r="AD1583" s="115" t="s">
        <v>49</v>
      </c>
    </row>
    <row r="1584" spans="1:30" x14ac:dyDescent="0.2">
      <c r="A1584" s="104" t="s">
        <v>3582</v>
      </c>
      <c r="B1584" s="105" t="s">
        <v>42</v>
      </c>
      <c r="C1584" s="105" t="s">
        <v>582</v>
      </c>
      <c r="D1584" s="106" t="s">
        <v>514</v>
      </c>
      <c r="E1584" s="107"/>
      <c r="F1584" s="108" t="s">
        <v>14982</v>
      </c>
      <c r="G1584" s="120">
        <v>2</v>
      </c>
      <c r="H1584" s="108" t="s">
        <v>14983</v>
      </c>
      <c r="I1584" s="116">
        <v>1</v>
      </c>
      <c r="J1584" s="113"/>
      <c r="K1584" s="108" t="s">
        <v>14984</v>
      </c>
      <c r="L1584" s="116">
        <v>1</v>
      </c>
      <c r="M1584" s="113"/>
      <c r="N1584" s="108" t="s">
        <v>14982</v>
      </c>
      <c r="O1584" s="117">
        <v>2</v>
      </c>
      <c r="P1584" s="113"/>
      <c r="Q1584" s="108" t="s">
        <v>14985</v>
      </c>
      <c r="R1584" s="117">
        <v>2</v>
      </c>
      <c r="S1584" s="113"/>
      <c r="T1584" s="108" t="s">
        <v>8502</v>
      </c>
      <c r="U1584" s="116">
        <v>1</v>
      </c>
      <c r="V1584" s="113"/>
      <c r="W1584" s="108" t="s">
        <v>14986</v>
      </c>
      <c r="X1584" s="116">
        <v>1</v>
      </c>
      <c r="Y1584" s="113"/>
      <c r="Z1584" s="108" t="s">
        <v>47</v>
      </c>
      <c r="AA1584" s="114"/>
      <c r="AB1584" s="113"/>
      <c r="AC1584" s="105" t="s">
        <v>3583</v>
      </c>
      <c r="AD1584" s="115" t="s">
        <v>107</v>
      </c>
    </row>
    <row r="1585" spans="1:30" x14ac:dyDescent="0.2">
      <c r="A1585" s="104" t="s">
        <v>3584</v>
      </c>
      <c r="B1585" s="105" t="s">
        <v>42</v>
      </c>
      <c r="C1585" s="105" t="s">
        <v>582</v>
      </c>
      <c r="D1585" s="106" t="s">
        <v>514</v>
      </c>
      <c r="E1585" s="107"/>
      <c r="F1585" s="108" t="s">
        <v>14987</v>
      </c>
      <c r="G1585" s="120">
        <v>2</v>
      </c>
      <c r="H1585" s="108" t="s">
        <v>14988</v>
      </c>
      <c r="I1585" s="116">
        <v>1</v>
      </c>
      <c r="J1585" s="113"/>
      <c r="K1585" s="108" t="s">
        <v>14989</v>
      </c>
      <c r="L1585" s="116">
        <v>1</v>
      </c>
      <c r="M1585" s="113"/>
      <c r="N1585" s="108" t="s">
        <v>14987</v>
      </c>
      <c r="O1585" s="117">
        <v>2</v>
      </c>
      <c r="P1585" s="113"/>
      <c r="Q1585" s="108" t="s">
        <v>14990</v>
      </c>
      <c r="R1585" s="117">
        <v>2</v>
      </c>
      <c r="S1585" s="113"/>
      <c r="T1585" s="108" t="s">
        <v>8494</v>
      </c>
      <c r="U1585" s="116">
        <v>1</v>
      </c>
      <c r="V1585" s="113"/>
      <c r="W1585" s="108" t="s">
        <v>14991</v>
      </c>
      <c r="X1585" s="116">
        <v>1</v>
      </c>
      <c r="Y1585" s="113"/>
      <c r="Z1585" s="108" t="s">
        <v>47</v>
      </c>
      <c r="AA1585" s="114"/>
      <c r="AB1585" s="113"/>
      <c r="AC1585" s="105" t="s">
        <v>3585</v>
      </c>
      <c r="AD1585" s="115" t="s">
        <v>107</v>
      </c>
    </row>
    <row r="1586" spans="1:30" x14ac:dyDescent="0.2">
      <c r="A1586" s="104" t="s">
        <v>14992</v>
      </c>
      <c r="B1586" s="105" t="s">
        <v>42</v>
      </c>
      <c r="C1586" s="105" t="s">
        <v>582</v>
      </c>
      <c r="D1586" s="106" t="s">
        <v>514</v>
      </c>
      <c r="E1586" s="107"/>
      <c r="F1586" s="108" t="s">
        <v>14993</v>
      </c>
      <c r="G1586" s="118">
        <v>3</v>
      </c>
      <c r="H1586" s="108" t="s">
        <v>14994</v>
      </c>
      <c r="I1586" s="116">
        <v>1</v>
      </c>
      <c r="J1586" s="113"/>
      <c r="K1586" s="108" t="s">
        <v>14995</v>
      </c>
      <c r="L1586" s="116">
        <v>1</v>
      </c>
      <c r="M1586" s="113"/>
      <c r="N1586" s="108" t="s">
        <v>14993</v>
      </c>
      <c r="O1586" s="110">
        <v>3</v>
      </c>
      <c r="P1586" s="111" t="s">
        <v>46</v>
      </c>
      <c r="Q1586" s="108" t="s">
        <v>14996</v>
      </c>
      <c r="R1586" s="117">
        <v>2</v>
      </c>
      <c r="S1586" s="113"/>
      <c r="T1586" s="108" t="s">
        <v>14997</v>
      </c>
      <c r="U1586" s="117">
        <v>2</v>
      </c>
      <c r="V1586" s="113"/>
      <c r="W1586" s="108" t="s">
        <v>14998</v>
      </c>
      <c r="X1586" s="116">
        <v>1</v>
      </c>
      <c r="Y1586" s="113"/>
      <c r="Z1586" s="108" t="s">
        <v>47</v>
      </c>
      <c r="AA1586" s="114"/>
      <c r="AB1586" s="113"/>
      <c r="AC1586" s="105" t="s">
        <v>3586</v>
      </c>
      <c r="AD1586" s="115" t="s">
        <v>107</v>
      </c>
    </row>
    <row r="1587" spans="1:30" x14ac:dyDescent="0.2">
      <c r="A1587" s="104" t="s">
        <v>3587</v>
      </c>
      <c r="B1587" s="105" t="s">
        <v>42</v>
      </c>
      <c r="C1587" s="105" t="s">
        <v>638</v>
      </c>
      <c r="D1587" s="106"/>
      <c r="E1587" s="107"/>
      <c r="F1587" s="108" t="s">
        <v>14999</v>
      </c>
      <c r="G1587" s="120">
        <v>2</v>
      </c>
      <c r="H1587" s="108" t="s">
        <v>15000</v>
      </c>
      <c r="I1587" s="117">
        <v>2</v>
      </c>
      <c r="J1587" s="111" t="s">
        <v>46</v>
      </c>
      <c r="K1587" s="108" t="s">
        <v>15001</v>
      </c>
      <c r="L1587" s="116">
        <v>1</v>
      </c>
      <c r="M1587" s="111" t="s">
        <v>40</v>
      </c>
      <c r="N1587" s="108" t="s">
        <v>14999</v>
      </c>
      <c r="O1587" s="117">
        <v>2</v>
      </c>
      <c r="P1587" s="111" t="s">
        <v>40</v>
      </c>
      <c r="Q1587" s="108" t="s">
        <v>15002</v>
      </c>
      <c r="R1587" s="117">
        <v>2</v>
      </c>
      <c r="S1587" s="111" t="s">
        <v>40</v>
      </c>
      <c r="T1587" s="108" t="s">
        <v>15003</v>
      </c>
      <c r="U1587" s="117">
        <v>2</v>
      </c>
      <c r="V1587" s="113"/>
      <c r="W1587" s="108" t="s">
        <v>15004</v>
      </c>
      <c r="X1587" s="117">
        <v>2</v>
      </c>
      <c r="Y1587" s="113"/>
      <c r="Z1587" s="108" t="s">
        <v>15005</v>
      </c>
      <c r="AA1587" s="110">
        <v>3</v>
      </c>
      <c r="AB1587" s="111" t="s">
        <v>46</v>
      </c>
      <c r="AC1587" s="105" t="s">
        <v>3588</v>
      </c>
      <c r="AD1587" s="115" t="s">
        <v>180</v>
      </c>
    </row>
    <row r="1588" spans="1:30" x14ac:dyDescent="0.2">
      <c r="A1588" s="104" t="s">
        <v>3589</v>
      </c>
      <c r="B1588" s="105" t="s">
        <v>42</v>
      </c>
      <c r="C1588" s="105" t="s">
        <v>582</v>
      </c>
      <c r="D1588" s="106" t="s">
        <v>94</v>
      </c>
      <c r="E1588" s="107"/>
      <c r="F1588" s="108" t="s">
        <v>15006</v>
      </c>
      <c r="G1588" s="120">
        <v>2</v>
      </c>
      <c r="H1588" s="108" t="s">
        <v>15007</v>
      </c>
      <c r="I1588" s="116">
        <v>1</v>
      </c>
      <c r="J1588" s="113"/>
      <c r="K1588" s="108" t="s">
        <v>15008</v>
      </c>
      <c r="L1588" s="116">
        <v>1</v>
      </c>
      <c r="M1588" s="113"/>
      <c r="N1588" s="108" t="s">
        <v>15006</v>
      </c>
      <c r="O1588" s="117">
        <v>2</v>
      </c>
      <c r="P1588" s="111" t="s">
        <v>46</v>
      </c>
      <c r="Q1588" s="108" t="s">
        <v>15009</v>
      </c>
      <c r="R1588" s="117">
        <v>2</v>
      </c>
      <c r="S1588" s="113"/>
      <c r="T1588" s="108" t="s">
        <v>15010</v>
      </c>
      <c r="U1588" s="116">
        <v>1</v>
      </c>
      <c r="V1588" s="113"/>
      <c r="W1588" s="108" t="s">
        <v>15011</v>
      </c>
      <c r="X1588" s="116">
        <v>1</v>
      </c>
      <c r="Y1588" s="113"/>
      <c r="Z1588" s="108" t="s">
        <v>15012</v>
      </c>
      <c r="AA1588" s="117">
        <v>2</v>
      </c>
      <c r="AB1588" s="113"/>
      <c r="AC1588" s="105" t="s">
        <v>3590</v>
      </c>
      <c r="AD1588" s="115" t="s">
        <v>49</v>
      </c>
    </row>
    <row r="1589" spans="1:30" x14ac:dyDescent="0.2">
      <c r="A1589" s="104" t="s">
        <v>3591</v>
      </c>
      <c r="B1589" s="105" t="s">
        <v>42</v>
      </c>
      <c r="C1589" s="105" t="s">
        <v>582</v>
      </c>
      <c r="D1589" s="106" t="s">
        <v>94</v>
      </c>
      <c r="E1589" s="107"/>
      <c r="F1589" s="108" t="s">
        <v>15013</v>
      </c>
      <c r="G1589" s="120">
        <v>2</v>
      </c>
      <c r="H1589" s="108" t="s">
        <v>15014</v>
      </c>
      <c r="I1589" s="116">
        <v>1</v>
      </c>
      <c r="J1589" s="113"/>
      <c r="K1589" s="108" t="s">
        <v>15015</v>
      </c>
      <c r="L1589" s="116">
        <v>1</v>
      </c>
      <c r="M1589" s="113"/>
      <c r="N1589" s="108" t="s">
        <v>15013</v>
      </c>
      <c r="O1589" s="117">
        <v>2</v>
      </c>
      <c r="P1589" s="111" t="s">
        <v>46</v>
      </c>
      <c r="Q1589" s="108" t="s">
        <v>15016</v>
      </c>
      <c r="R1589" s="117">
        <v>2</v>
      </c>
      <c r="S1589" s="113"/>
      <c r="T1589" s="108" t="s">
        <v>9293</v>
      </c>
      <c r="U1589" s="116">
        <v>1</v>
      </c>
      <c r="V1589" s="113"/>
      <c r="W1589" s="108" t="s">
        <v>15017</v>
      </c>
      <c r="X1589" s="116">
        <v>1</v>
      </c>
      <c r="Y1589" s="113"/>
      <c r="Z1589" s="108" t="s">
        <v>15018</v>
      </c>
      <c r="AA1589" s="117">
        <v>2</v>
      </c>
      <c r="AB1589" s="113"/>
      <c r="AC1589" s="105" t="s">
        <v>3592</v>
      </c>
      <c r="AD1589" s="115" t="s">
        <v>49</v>
      </c>
    </row>
    <row r="1590" spans="1:30" x14ac:dyDescent="0.2">
      <c r="A1590" s="104" t="s">
        <v>3593</v>
      </c>
      <c r="B1590" s="105" t="s">
        <v>42</v>
      </c>
      <c r="C1590" s="105" t="s">
        <v>1553</v>
      </c>
      <c r="D1590" s="106" t="s">
        <v>514</v>
      </c>
      <c r="E1590" s="107"/>
      <c r="F1590" s="108" t="s">
        <v>15019</v>
      </c>
      <c r="G1590" s="119">
        <v>1</v>
      </c>
      <c r="H1590" s="108" t="s">
        <v>15020</v>
      </c>
      <c r="I1590" s="117">
        <v>2</v>
      </c>
      <c r="J1590" s="111" t="s">
        <v>40</v>
      </c>
      <c r="K1590" s="108" t="s">
        <v>15021</v>
      </c>
      <c r="L1590" s="117">
        <v>2</v>
      </c>
      <c r="M1590" s="113"/>
      <c r="N1590" s="108" t="s">
        <v>15019</v>
      </c>
      <c r="O1590" s="116">
        <v>1</v>
      </c>
      <c r="P1590" s="113"/>
      <c r="Q1590" s="108" t="s">
        <v>15022</v>
      </c>
      <c r="R1590" s="112">
        <v>4</v>
      </c>
      <c r="S1590" s="111" t="s">
        <v>46</v>
      </c>
      <c r="T1590" s="108" t="s">
        <v>15023</v>
      </c>
      <c r="U1590" s="110">
        <v>3</v>
      </c>
      <c r="V1590" s="113"/>
      <c r="W1590" s="108" t="s">
        <v>3594</v>
      </c>
      <c r="X1590" s="116">
        <v>1</v>
      </c>
      <c r="Y1590" s="113"/>
      <c r="Z1590" s="108" t="s">
        <v>15024</v>
      </c>
      <c r="AA1590" s="110">
        <v>3</v>
      </c>
      <c r="AB1590" s="111" t="s">
        <v>55</v>
      </c>
      <c r="AC1590" s="105" t="s">
        <v>3595</v>
      </c>
      <c r="AD1590" s="115" t="s">
        <v>107</v>
      </c>
    </row>
    <row r="1591" spans="1:30" x14ac:dyDescent="0.2">
      <c r="A1591" s="104" t="s">
        <v>3596</v>
      </c>
      <c r="B1591" s="105" t="s">
        <v>42</v>
      </c>
      <c r="C1591" s="105" t="s">
        <v>1553</v>
      </c>
      <c r="D1591" s="106" t="s">
        <v>94</v>
      </c>
      <c r="E1591" s="107"/>
      <c r="F1591" s="108" t="s">
        <v>15025</v>
      </c>
      <c r="G1591" s="119">
        <v>1</v>
      </c>
      <c r="H1591" s="108" t="s">
        <v>15026</v>
      </c>
      <c r="I1591" s="117">
        <v>2</v>
      </c>
      <c r="J1591" s="111" t="s">
        <v>40</v>
      </c>
      <c r="K1591" s="108" t="s">
        <v>15027</v>
      </c>
      <c r="L1591" s="117">
        <v>2</v>
      </c>
      <c r="M1591" s="113"/>
      <c r="N1591" s="108" t="s">
        <v>15025</v>
      </c>
      <c r="O1591" s="116">
        <v>1</v>
      </c>
      <c r="P1591" s="113"/>
      <c r="Q1591" s="108" t="s">
        <v>15028</v>
      </c>
      <c r="R1591" s="112">
        <v>4</v>
      </c>
      <c r="S1591" s="111" t="s">
        <v>46</v>
      </c>
      <c r="T1591" s="108" t="s">
        <v>15029</v>
      </c>
      <c r="U1591" s="110">
        <v>3</v>
      </c>
      <c r="V1591" s="113"/>
      <c r="W1591" s="108" t="s">
        <v>15030</v>
      </c>
      <c r="X1591" s="116">
        <v>1</v>
      </c>
      <c r="Y1591" s="113"/>
      <c r="Z1591" s="108" t="s">
        <v>47</v>
      </c>
      <c r="AA1591" s="114"/>
      <c r="AB1591" s="113"/>
      <c r="AC1591" s="105" t="s">
        <v>3597</v>
      </c>
      <c r="AD1591" s="115" t="s">
        <v>107</v>
      </c>
    </row>
    <row r="1592" spans="1:30" x14ac:dyDescent="0.2">
      <c r="A1592" s="104" t="s">
        <v>3598</v>
      </c>
      <c r="B1592" s="105" t="s">
        <v>42</v>
      </c>
      <c r="C1592" s="105" t="s">
        <v>1553</v>
      </c>
      <c r="D1592" s="106" t="s">
        <v>514</v>
      </c>
      <c r="E1592" s="107"/>
      <c r="F1592" s="108" t="s">
        <v>15031</v>
      </c>
      <c r="G1592" s="119">
        <v>1</v>
      </c>
      <c r="H1592" s="108" t="s">
        <v>15032</v>
      </c>
      <c r="I1592" s="117">
        <v>2</v>
      </c>
      <c r="J1592" s="111" t="s">
        <v>40</v>
      </c>
      <c r="K1592" s="108" t="s">
        <v>15033</v>
      </c>
      <c r="L1592" s="117">
        <v>2</v>
      </c>
      <c r="M1592" s="113"/>
      <c r="N1592" s="108" t="s">
        <v>15031</v>
      </c>
      <c r="O1592" s="116">
        <v>1</v>
      </c>
      <c r="P1592" s="113"/>
      <c r="Q1592" s="108" t="s">
        <v>15034</v>
      </c>
      <c r="R1592" s="112">
        <v>4</v>
      </c>
      <c r="S1592" s="111" t="s">
        <v>46</v>
      </c>
      <c r="T1592" s="108" t="s">
        <v>15035</v>
      </c>
      <c r="U1592" s="110">
        <v>3</v>
      </c>
      <c r="V1592" s="113"/>
      <c r="W1592" s="108" t="s">
        <v>3599</v>
      </c>
      <c r="X1592" s="116">
        <v>1</v>
      </c>
      <c r="Y1592" s="113"/>
      <c r="Z1592" s="108" t="s">
        <v>15036</v>
      </c>
      <c r="AA1592" s="117">
        <v>2</v>
      </c>
      <c r="AB1592" s="111" t="s">
        <v>46</v>
      </c>
      <c r="AC1592" s="105" t="s">
        <v>3600</v>
      </c>
      <c r="AD1592" s="115" t="s">
        <v>107</v>
      </c>
    </row>
    <row r="1593" spans="1:30" x14ac:dyDescent="0.2">
      <c r="A1593" s="104" t="s">
        <v>3601</v>
      </c>
      <c r="B1593" s="105" t="s">
        <v>42</v>
      </c>
      <c r="C1593" s="105" t="s">
        <v>1262</v>
      </c>
      <c r="D1593" s="106"/>
      <c r="E1593" s="107"/>
      <c r="F1593" s="108" t="s">
        <v>12020</v>
      </c>
      <c r="G1593" s="109">
        <v>4</v>
      </c>
      <c r="H1593" s="108" t="s">
        <v>3602</v>
      </c>
      <c r="I1593" s="112">
        <v>4</v>
      </c>
      <c r="J1593" s="113"/>
      <c r="K1593" s="108" t="s">
        <v>15037</v>
      </c>
      <c r="L1593" s="112">
        <v>4</v>
      </c>
      <c r="M1593" s="113"/>
      <c r="N1593" s="108" t="s">
        <v>12020</v>
      </c>
      <c r="O1593" s="112">
        <v>4</v>
      </c>
      <c r="P1593" s="111" t="s">
        <v>46</v>
      </c>
      <c r="Q1593" s="108" t="s">
        <v>15038</v>
      </c>
      <c r="R1593" s="112">
        <v>4</v>
      </c>
      <c r="S1593" s="111" t="s">
        <v>46</v>
      </c>
      <c r="T1593" s="108" t="s">
        <v>47</v>
      </c>
      <c r="U1593" s="114"/>
      <c r="V1593" s="113"/>
      <c r="W1593" s="108" t="s">
        <v>47</v>
      </c>
      <c r="X1593" s="114"/>
      <c r="Y1593" s="113"/>
      <c r="Z1593" s="108" t="s">
        <v>47</v>
      </c>
      <c r="AA1593" s="114"/>
      <c r="AB1593" s="113"/>
      <c r="AC1593" s="105" t="s">
        <v>3603</v>
      </c>
      <c r="AD1593" s="115" t="s">
        <v>107</v>
      </c>
    </row>
    <row r="1594" spans="1:30" x14ac:dyDescent="0.2">
      <c r="A1594" s="104" t="s">
        <v>3604</v>
      </c>
      <c r="B1594" s="105" t="s">
        <v>42</v>
      </c>
      <c r="C1594" s="105" t="s">
        <v>1553</v>
      </c>
      <c r="D1594" s="106" t="s">
        <v>94</v>
      </c>
      <c r="E1594" s="107"/>
      <c r="F1594" s="108" t="s">
        <v>10629</v>
      </c>
      <c r="G1594" s="120">
        <v>2</v>
      </c>
      <c r="H1594" s="108" t="s">
        <v>15039</v>
      </c>
      <c r="I1594" s="117">
        <v>2</v>
      </c>
      <c r="J1594" s="113"/>
      <c r="K1594" s="108" t="s">
        <v>15040</v>
      </c>
      <c r="L1594" s="117">
        <v>2</v>
      </c>
      <c r="M1594" s="113"/>
      <c r="N1594" s="108" t="s">
        <v>10629</v>
      </c>
      <c r="O1594" s="117">
        <v>2</v>
      </c>
      <c r="P1594" s="111" t="s">
        <v>46</v>
      </c>
      <c r="Q1594" s="108" t="s">
        <v>15041</v>
      </c>
      <c r="R1594" s="112">
        <v>4</v>
      </c>
      <c r="S1594" s="111" t="s">
        <v>46</v>
      </c>
      <c r="T1594" s="108" t="s">
        <v>15042</v>
      </c>
      <c r="U1594" s="110">
        <v>3</v>
      </c>
      <c r="V1594" s="113"/>
      <c r="W1594" s="108" t="s">
        <v>15043</v>
      </c>
      <c r="X1594" s="116">
        <v>1</v>
      </c>
      <c r="Y1594" s="113"/>
      <c r="Z1594" s="108" t="s">
        <v>47</v>
      </c>
      <c r="AA1594" s="114"/>
      <c r="AB1594" s="113"/>
      <c r="AC1594" s="105" t="s">
        <v>3605</v>
      </c>
      <c r="AD1594" s="115" t="s">
        <v>107</v>
      </c>
    </row>
    <row r="1595" spans="1:30" x14ac:dyDescent="0.2">
      <c r="A1595" s="104" t="s">
        <v>3606</v>
      </c>
      <c r="B1595" s="105" t="s">
        <v>42</v>
      </c>
      <c r="C1595" s="105" t="s">
        <v>1553</v>
      </c>
      <c r="D1595" s="106" t="s">
        <v>94</v>
      </c>
      <c r="E1595" s="107"/>
      <c r="F1595" s="108" t="s">
        <v>15044</v>
      </c>
      <c r="G1595" s="119">
        <v>1</v>
      </c>
      <c r="H1595" s="108" t="s">
        <v>15045</v>
      </c>
      <c r="I1595" s="117">
        <v>2</v>
      </c>
      <c r="J1595" s="111" t="s">
        <v>40</v>
      </c>
      <c r="K1595" s="108" t="s">
        <v>15046</v>
      </c>
      <c r="L1595" s="117">
        <v>2</v>
      </c>
      <c r="M1595" s="113"/>
      <c r="N1595" s="108" t="s">
        <v>15044</v>
      </c>
      <c r="O1595" s="116">
        <v>1</v>
      </c>
      <c r="P1595" s="113"/>
      <c r="Q1595" s="108" t="s">
        <v>15047</v>
      </c>
      <c r="R1595" s="112">
        <v>4</v>
      </c>
      <c r="S1595" s="111" t="s">
        <v>46</v>
      </c>
      <c r="T1595" s="108" t="s">
        <v>15048</v>
      </c>
      <c r="U1595" s="110">
        <v>3</v>
      </c>
      <c r="V1595" s="113"/>
      <c r="W1595" s="108" t="s">
        <v>3607</v>
      </c>
      <c r="X1595" s="116">
        <v>1</v>
      </c>
      <c r="Y1595" s="113"/>
      <c r="Z1595" s="108" t="s">
        <v>15049</v>
      </c>
      <c r="AA1595" s="110">
        <v>3</v>
      </c>
      <c r="AB1595" s="111" t="s">
        <v>55</v>
      </c>
      <c r="AC1595" s="105" t="s">
        <v>3608</v>
      </c>
      <c r="AD1595" s="115" t="s">
        <v>107</v>
      </c>
    </row>
    <row r="1596" spans="1:30" x14ac:dyDescent="0.2">
      <c r="A1596" s="104" t="s">
        <v>3609</v>
      </c>
      <c r="B1596" s="105" t="s">
        <v>42</v>
      </c>
      <c r="C1596" s="105" t="s">
        <v>1553</v>
      </c>
      <c r="D1596" s="106" t="s">
        <v>94</v>
      </c>
      <c r="E1596" s="107"/>
      <c r="F1596" s="108" t="s">
        <v>15050</v>
      </c>
      <c r="G1596" s="120">
        <v>2</v>
      </c>
      <c r="H1596" s="108" t="s">
        <v>15051</v>
      </c>
      <c r="I1596" s="110">
        <v>3</v>
      </c>
      <c r="J1596" s="111" t="s">
        <v>46</v>
      </c>
      <c r="K1596" s="108" t="s">
        <v>15052</v>
      </c>
      <c r="L1596" s="117">
        <v>2</v>
      </c>
      <c r="M1596" s="113"/>
      <c r="N1596" s="108" t="s">
        <v>15050</v>
      </c>
      <c r="O1596" s="117">
        <v>2</v>
      </c>
      <c r="P1596" s="111" t="s">
        <v>46</v>
      </c>
      <c r="Q1596" s="108" t="s">
        <v>15053</v>
      </c>
      <c r="R1596" s="112">
        <v>4</v>
      </c>
      <c r="S1596" s="111" t="s">
        <v>46</v>
      </c>
      <c r="T1596" s="108" t="s">
        <v>15054</v>
      </c>
      <c r="U1596" s="110">
        <v>3</v>
      </c>
      <c r="V1596" s="113"/>
      <c r="W1596" s="108" t="s">
        <v>15055</v>
      </c>
      <c r="X1596" s="116">
        <v>1</v>
      </c>
      <c r="Y1596" s="113"/>
      <c r="Z1596" s="108" t="s">
        <v>47</v>
      </c>
      <c r="AA1596" s="114"/>
      <c r="AB1596" s="113"/>
      <c r="AC1596" s="105" t="s">
        <v>3610</v>
      </c>
      <c r="AD1596" s="115" t="s">
        <v>107</v>
      </c>
    </row>
    <row r="1597" spans="1:30" x14ac:dyDescent="0.2">
      <c r="A1597" s="104" t="s">
        <v>3611</v>
      </c>
      <c r="B1597" s="105" t="s">
        <v>42</v>
      </c>
      <c r="C1597" s="105" t="s">
        <v>1553</v>
      </c>
      <c r="D1597" s="106" t="s">
        <v>94</v>
      </c>
      <c r="E1597" s="107"/>
      <c r="F1597" s="108" t="s">
        <v>15056</v>
      </c>
      <c r="G1597" s="119">
        <v>1</v>
      </c>
      <c r="H1597" s="108" t="s">
        <v>15057</v>
      </c>
      <c r="I1597" s="117">
        <v>2</v>
      </c>
      <c r="J1597" s="111" t="s">
        <v>40</v>
      </c>
      <c r="K1597" s="108" t="s">
        <v>15058</v>
      </c>
      <c r="L1597" s="117">
        <v>2</v>
      </c>
      <c r="M1597" s="113"/>
      <c r="N1597" s="108" t="s">
        <v>15056</v>
      </c>
      <c r="O1597" s="116">
        <v>1</v>
      </c>
      <c r="P1597" s="113"/>
      <c r="Q1597" s="108" t="s">
        <v>15059</v>
      </c>
      <c r="R1597" s="112">
        <v>4</v>
      </c>
      <c r="S1597" s="111" t="s">
        <v>46</v>
      </c>
      <c r="T1597" s="108" t="s">
        <v>15060</v>
      </c>
      <c r="U1597" s="110">
        <v>3</v>
      </c>
      <c r="V1597" s="113"/>
      <c r="W1597" s="108" t="s">
        <v>15061</v>
      </c>
      <c r="X1597" s="116">
        <v>1</v>
      </c>
      <c r="Y1597" s="113"/>
      <c r="Z1597" s="108" t="s">
        <v>47</v>
      </c>
      <c r="AA1597" s="114"/>
      <c r="AB1597" s="113"/>
      <c r="AC1597" s="105" t="s">
        <v>3612</v>
      </c>
      <c r="AD1597" s="115" t="s">
        <v>107</v>
      </c>
    </row>
    <row r="1598" spans="1:30" x14ac:dyDescent="0.2">
      <c r="A1598" s="104" t="s">
        <v>3613</v>
      </c>
      <c r="B1598" s="105" t="s">
        <v>42</v>
      </c>
      <c r="C1598" s="105" t="s">
        <v>1553</v>
      </c>
      <c r="D1598" s="106" t="s">
        <v>105</v>
      </c>
      <c r="E1598" s="107"/>
      <c r="F1598" s="108" t="s">
        <v>15062</v>
      </c>
      <c r="G1598" s="119">
        <v>1</v>
      </c>
      <c r="H1598" s="108" t="s">
        <v>15063</v>
      </c>
      <c r="I1598" s="116">
        <v>1</v>
      </c>
      <c r="J1598" s="113"/>
      <c r="K1598" s="108" t="s">
        <v>15064</v>
      </c>
      <c r="L1598" s="116">
        <v>1</v>
      </c>
      <c r="M1598" s="113"/>
      <c r="N1598" s="108" t="s">
        <v>15062</v>
      </c>
      <c r="O1598" s="116">
        <v>1</v>
      </c>
      <c r="P1598" s="111" t="s">
        <v>40</v>
      </c>
      <c r="Q1598" s="108" t="s">
        <v>15065</v>
      </c>
      <c r="R1598" s="112">
        <v>4</v>
      </c>
      <c r="S1598" s="113"/>
      <c r="T1598" s="108" t="s">
        <v>15066</v>
      </c>
      <c r="U1598" s="112">
        <v>4</v>
      </c>
      <c r="V1598" s="113"/>
      <c r="W1598" s="108" t="s">
        <v>3614</v>
      </c>
      <c r="X1598" s="112">
        <v>4</v>
      </c>
      <c r="Y1598" s="111" t="s">
        <v>46</v>
      </c>
      <c r="Z1598" s="108" t="s">
        <v>15067</v>
      </c>
      <c r="AA1598" s="112">
        <v>4</v>
      </c>
      <c r="AB1598" s="113"/>
      <c r="AC1598" s="105" t="s">
        <v>3615</v>
      </c>
      <c r="AD1598" s="115" t="s">
        <v>107</v>
      </c>
    </row>
    <row r="1599" spans="1:30" x14ac:dyDescent="0.2">
      <c r="A1599" s="104" t="s">
        <v>3616</v>
      </c>
      <c r="B1599" s="105" t="s">
        <v>42</v>
      </c>
      <c r="C1599" s="105" t="s">
        <v>582</v>
      </c>
      <c r="D1599" s="106"/>
      <c r="E1599" s="107"/>
      <c r="F1599" s="108" t="s">
        <v>15068</v>
      </c>
      <c r="G1599" s="120">
        <v>2</v>
      </c>
      <c r="H1599" s="108" t="s">
        <v>15069</v>
      </c>
      <c r="I1599" s="117">
        <v>2</v>
      </c>
      <c r="J1599" s="111" t="s">
        <v>46</v>
      </c>
      <c r="K1599" s="108" t="s">
        <v>15070</v>
      </c>
      <c r="L1599" s="116">
        <v>1</v>
      </c>
      <c r="M1599" s="113"/>
      <c r="N1599" s="108" t="s">
        <v>15068</v>
      </c>
      <c r="O1599" s="117">
        <v>2</v>
      </c>
      <c r="P1599" s="113"/>
      <c r="Q1599" s="108" t="s">
        <v>15071</v>
      </c>
      <c r="R1599" s="110">
        <v>3</v>
      </c>
      <c r="S1599" s="111" t="s">
        <v>46</v>
      </c>
      <c r="T1599" s="108" t="s">
        <v>15072</v>
      </c>
      <c r="U1599" s="116">
        <v>1</v>
      </c>
      <c r="V1599" s="113"/>
      <c r="W1599" s="108" t="s">
        <v>15073</v>
      </c>
      <c r="X1599" s="116">
        <v>1</v>
      </c>
      <c r="Y1599" s="113"/>
      <c r="Z1599" s="108" t="s">
        <v>15074</v>
      </c>
      <c r="AA1599" s="117">
        <v>2</v>
      </c>
      <c r="AB1599" s="113"/>
      <c r="AC1599" s="105" t="s">
        <v>3617</v>
      </c>
      <c r="AD1599" s="115" t="s">
        <v>180</v>
      </c>
    </row>
    <row r="1600" spans="1:30" x14ac:dyDescent="0.2">
      <c r="A1600" s="104" t="s">
        <v>3618</v>
      </c>
      <c r="B1600" s="105" t="s">
        <v>97</v>
      </c>
      <c r="C1600" s="105" t="s">
        <v>582</v>
      </c>
      <c r="D1600" s="106" t="s">
        <v>125</v>
      </c>
      <c r="E1600" s="107" t="s">
        <v>99</v>
      </c>
      <c r="F1600" s="108" t="s">
        <v>15075</v>
      </c>
      <c r="G1600" s="118">
        <v>3</v>
      </c>
      <c r="H1600" s="108" t="s">
        <v>15076</v>
      </c>
      <c r="I1600" s="117">
        <v>2</v>
      </c>
      <c r="J1600" s="111" t="s">
        <v>40</v>
      </c>
      <c r="K1600" s="108" t="s">
        <v>15077</v>
      </c>
      <c r="L1600" s="110">
        <v>3</v>
      </c>
      <c r="M1600" s="113"/>
      <c r="N1600" s="108" t="s">
        <v>15075</v>
      </c>
      <c r="O1600" s="110">
        <v>3</v>
      </c>
      <c r="P1600" s="111" t="s">
        <v>40</v>
      </c>
      <c r="Q1600" s="108" t="s">
        <v>15078</v>
      </c>
      <c r="R1600" s="110">
        <v>3</v>
      </c>
      <c r="S1600" s="113"/>
      <c r="T1600" s="108" t="s">
        <v>15079</v>
      </c>
      <c r="U1600" s="110">
        <v>3</v>
      </c>
      <c r="V1600" s="113"/>
      <c r="W1600" s="108" t="s">
        <v>15080</v>
      </c>
      <c r="X1600" s="110">
        <v>3</v>
      </c>
      <c r="Y1600" s="113"/>
      <c r="Z1600" s="108" t="s">
        <v>47</v>
      </c>
      <c r="AA1600" s="114"/>
      <c r="AB1600" s="113"/>
      <c r="AC1600" s="105" t="s">
        <v>3619</v>
      </c>
      <c r="AD1600" s="115" t="s">
        <v>101</v>
      </c>
    </row>
    <row r="1601" spans="1:30" x14ac:dyDescent="0.2">
      <c r="A1601" s="104" t="s">
        <v>3620</v>
      </c>
      <c r="B1601" s="105" t="s">
        <v>97</v>
      </c>
      <c r="C1601" s="105" t="s">
        <v>582</v>
      </c>
      <c r="D1601" s="106" t="s">
        <v>125</v>
      </c>
      <c r="E1601" s="107" t="s">
        <v>99</v>
      </c>
      <c r="F1601" s="108" t="s">
        <v>15081</v>
      </c>
      <c r="G1601" s="118">
        <v>3</v>
      </c>
      <c r="H1601" s="108" t="s">
        <v>15082</v>
      </c>
      <c r="I1601" s="117">
        <v>2</v>
      </c>
      <c r="J1601" s="111" t="s">
        <v>40</v>
      </c>
      <c r="K1601" s="108" t="s">
        <v>15083</v>
      </c>
      <c r="L1601" s="110">
        <v>3</v>
      </c>
      <c r="M1601" s="113"/>
      <c r="N1601" s="108" t="s">
        <v>15081</v>
      </c>
      <c r="O1601" s="110">
        <v>3</v>
      </c>
      <c r="P1601" s="111" t="s">
        <v>40</v>
      </c>
      <c r="Q1601" s="108" t="s">
        <v>15084</v>
      </c>
      <c r="R1601" s="110">
        <v>3</v>
      </c>
      <c r="S1601" s="113"/>
      <c r="T1601" s="108" t="s">
        <v>15085</v>
      </c>
      <c r="U1601" s="110">
        <v>3</v>
      </c>
      <c r="V1601" s="113"/>
      <c r="W1601" s="108" t="s">
        <v>15086</v>
      </c>
      <c r="X1601" s="110">
        <v>3</v>
      </c>
      <c r="Y1601" s="113"/>
      <c r="Z1601" s="108" t="s">
        <v>47</v>
      </c>
      <c r="AA1601" s="114"/>
      <c r="AB1601" s="113"/>
      <c r="AC1601" s="105" t="s">
        <v>3621</v>
      </c>
      <c r="AD1601" s="115" t="s">
        <v>101</v>
      </c>
    </row>
    <row r="1602" spans="1:30" x14ac:dyDescent="0.2">
      <c r="A1602" s="104" t="s">
        <v>3622</v>
      </c>
      <c r="B1602" s="105" t="s">
        <v>97</v>
      </c>
      <c r="C1602" s="105" t="s">
        <v>582</v>
      </c>
      <c r="D1602" s="106" t="s">
        <v>125</v>
      </c>
      <c r="E1602" s="107" t="s">
        <v>99</v>
      </c>
      <c r="F1602" s="108" t="s">
        <v>15087</v>
      </c>
      <c r="G1602" s="118">
        <v>3</v>
      </c>
      <c r="H1602" s="108" t="s">
        <v>15088</v>
      </c>
      <c r="I1602" s="117">
        <v>2</v>
      </c>
      <c r="J1602" s="111" t="s">
        <v>40</v>
      </c>
      <c r="K1602" s="108" t="s">
        <v>15089</v>
      </c>
      <c r="L1602" s="110">
        <v>3</v>
      </c>
      <c r="M1602" s="113"/>
      <c r="N1602" s="108" t="s">
        <v>15087</v>
      </c>
      <c r="O1602" s="110">
        <v>3</v>
      </c>
      <c r="P1602" s="111" t="s">
        <v>40</v>
      </c>
      <c r="Q1602" s="108" t="s">
        <v>15090</v>
      </c>
      <c r="R1602" s="110">
        <v>3</v>
      </c>
      <c r="S1602" s="113"/>
      <c r="T1602" s="108" t="s">
        <v>15091</v>
      </c>
      <c r="U1602" s="110">
        <v>3</v>
      </c>
      <c r="V1602" s="113"/>
      <c r="W1602" s="108" t="s">
        <v>15092</v>
      </c>
      <c r="X1602" s="110">
        <v>3</v>
      </c>
      <c r="Y1602" s="113"/>
      <c r="Z1602" s="108" t="s">
        <v>47</v>
      </c>
      <c r="AA1602" s="114"/>
      <c r="AB1602" s="113"/>
      <c r="AC1602" s="105" t="s">
        <v>3623</v>
      </c>
      <c r="AD1602" s="115" t="s">
        <v>101</v>
      </c>
    </row>
    <row r="1603" spans="1:30" x14ac:dyDescent="0.2">
      <c r="A1603" s="104" t="s">
        <v>3624</v>
      </c>
      <c r="B1603" s="105" t="s">
        <v>97</v>
      </c>
      <c r="C1603" s="105" t="s">
        <v>3625</v>
      </c>
      <c r="D1603" s="106" t="s">
        <v>125</v>
      </c>
      <c r="E1603" s="107" t="s">
        <v>99</v>
      </c>
      <c r="F1603" s="108" t="s">
        <v>15093</v>
      </c>
      <c r="G1603" s="109">
        <v>4</v>
      </c>
      <c r="H1603" s="108" t="s">
        <v>15094</v>
      </c>
      <c r="I1603" s="110">
        <v>3</v>
      </c>
      <c r="J1603" s="111" t="s">
        <v>40</v>
      </c>
      <c r="K1603" s="108" t="s">
        <v>15095</v>
      </c>
      <c r="L1603" s="112">
        <v>4</v>
      </c>
      <c r="M1603" s="113"/>
      <c r="N1603" s="108" t="s">
        <v>15093</v>
      </c>
      <c r="O1603" s="112">
        <v>4</v>
      </c>
      <c r="P1603" s="113"/>
      <c r="Q1603" s="108" t="s">
        <v>15096</v>
      </c>
      <c r="R1603" s="112">
        <v>4</v>
      </c>
      <c r="S1603" s="113"/>
      <c r="T1603" s="108" t="s">
        <v>15097</v>
      </c>
      <c r="U1603" s="117">
        <v>2</v>
      </c>
      <c r="V1603" s="113"/>
      <c r="W1603" s="108" t="s">
        <v>15098</v>
      </c>
      <c r="X1603" s="110">
        <v>3</v>
      </c>
      <c r="Y1603" s="111" t="s">
        <v>46</v>
      </c>
      <c r="Z1603" s="108" t="s">
        <v>15099</v>
      </c>
      <c r="AA1603" s="116">
        <v>1</v>
      </c>
      <c r="AB1603" s="113"/>
      <c r="AC1603" s="105" t="s">
        <v>3626</v>
      </c>
      <c r="AD1603" s="115" t="s">
        <v>101</v>
      </c>
    </row>
    <row r="1604" spans="1:30" x14ac:dyDescent="0.2">
      <c r="A1604" s="104" t="s">
        <v>3627</v>
      </c>
      <c r="B1604" s="105" t="s">
        <v>97</v>
      </c>
      <c r="C1604" s="105" t="s">
        <v>3625</v>
      </c>
      <c r="D1604" s="106" t="s">
        <v>125</v>
      </c>
      <c r="E1604" s="107" t="s">
        <v>99</v>
      </c>
      <c r="F1604" s="108" t="s">
        <v>15100</v>
      </c>
      <c r="G1604" s="109">
        <v>4</v>
      </c>
      <c r="H1604" s="108" t="s">
        <v>15101</v>
      </c>
      <c r="I1604" s="110">
        <v>3</v>
      </c>
      <c r="J1604" s="111" t="s">
        <v>40</v>
      </c>
      <c r="K1604" s="108" t="s">
        <v>3628</v>
      </c>
      <c r="L1604" s="112">
        <v>4</v>
      </c>
      <c r="M1604" s="113"/>
      <c r="N1604" s="108" t="s">
        <v>15100</v>
      </c>
      <c r="O1604" s="112">
        <v>4</v>
      </c>
      <c r="P1604" s="113"/>
      <c r="Q1604" s="108" t="s">
        <v>15102</v>
      </c>
      <c r="R1604" s="112">
        <v>4</v>
      </c>
      <c r="S1604" s="113"/>
      <c r="T1604" s="108" t="s">
        <v>15103</v>
      </c>
      <c r="U1604" s="117">
        <v>2</v>
      </c>
      <c r="V1604" s="113"/>
      <c r="W1604" s="108" t="s">
        <v>15104</v>
      </c>
      <c r="X1604" s="110">
        <v>3</v>
      </c>
      <c r="Y1604" s="111" t="s">
        <v>46</v>
      </c>
      <c r="Z1604" s="108" t="s">
        <v>15105</v>
      </c>
      <c r="AA1604" s="116">
        <v>1</v>
      </c>
      <c r="AB1604" s="113"/>
      <c r="AC1604" s="105" t="s">
        <v>3629</v>
      </c>
      <c r="AD1604" s="115" t="s">
        <v>101</v>
      </c>
    </row>
    <row r="1605" spans="1:30" x14ac:dyDescent="0.2">
      <c r="A1605" s="104" t="s">
        <v>3630</v>
      </c>
      <c r="B1605" s="105" t="s">
        <v>42</v>
      </c>
      <c r="C1605" s="105" t="s">
        <v>98</v>
      </c>
      <c r="D1605" s="106" t="s">
        <v>125</v>
      </c>
      <c r="E1605" s="107"/>
      <c r="F1605" s="108" t="s">
        <v>15106</v>
      </c>
      <c r="G1605" s="119">
        <v>1</v>
      </c>
      <c r="H1605" s="108" t="s">
        <v>15107</v>
      </c>
      <c r="I1605" s="116">
        <v>1</v>
      </c>
      <c r="J1605" s="113"/>
      <c r="K1605" s="108" t="s">
        <v>15108</v>
      </c>
      <c r="L1605" s="116">
        <v>1</v>
      </c>
      <c r="M1605" s="113"/>
      <c r="N1605" s="108" t="s">
        <v>15106</v>
      </c>
      <c r="O1605" s="116">
        <v>1</v>
      </c>
      <c r="P1605" s="113"/>
      <c r="Q1605" s="108" t="s">
        <v>15109</v>
      </c>
      <c r="R1605" s="116">
        <v>1</v>
      </c>
      <c r="S1605" s="111" t="s">
        <v>40</v>
      </c>
      <c r="T1605" s="108" t="s">
        <v>15110</v>
      </c>
      <c r="U1605" s="110">
        <v>3</v>
      </c>
      <c r="V1605" s="113"/>
      <c r="W1605" s="108" t="s">
        <v>15111</v>
      </c>
      <c r="X1605" s="110">
        <v>3</v>
      </c>
      <c r="Y1605" s="113"/>
      <c r="Z1605" s="108" t="s">
        <v>15112</v>
      </c>
      <c r="AA1605" s="117">
        <v>2</v>
      </c>
      <c r="AB1605" s="111" t="s">
        <v>40</v>
      </c>
      <c r="AC1605" s="105" t="s">
        <v>3631</v>
      </c>
      <c r="AD1605" s="115" t="s">
        <v>49</v>
      </c>
    </row>
    <row r="1606" spans="1:30" x14ac:dyDescent="0.2">
      <c r="A1606" s="104" t="s">
        <v>3632</v>
      </c>
      <c r="B1606" s="105" t="s">
        <v>42</v>
      </c>
      <c r="C1606" s="105" t="s">
        <v>2716</v>
      </c>
      <c r="D1606" s="106"/>
      <c r="E1606" s="107"/>
      <c r="F1606" s="108" t="s">
        <v>15113</v>
      </c>
      <c r="G1606" s="119">
        <v>1</v>
      </c>
      <c r="H1606" s="108" t="s">
        <v>15114</v>
      </c>
      <c r="I1606" s="117">
        <v>2</v>
      </c>
      <c r="J1606" s="111" t="s">
        <v>46</v>
      </c>
      <c r="K1606" s="108" t="s">
        <v>15115</v>
      </c>
      <c r="L1606" s="116">
        <v>1</v>
      </c>
      <c r="M1606" s="113"/>
      <c r="N1606" s="108" t="s">
        <v>15113</v>
      </c>
      <c r="O1606" s="116">
        <v>1</v>
      </c>
      <c r="P1606" s="113"/>
      <c r="Q1606" s="108" t="s">
        <v>15116</v>
      </c>
      <c r="R1606" s="116">
        <v>1</v>
      </c>
      <c r="S1606" s="113"/>
      <c r="T1606" s="108" t="s">
        <v>15117</v>
      </c>
      <c r="U1606" s="116">
        <v>1</v>
      </c>
      <c r="V1606" s="113"/>
      <c r="W1606" s="108" t="s">
        <v>15118</v>
      </c>
      <c r="X1606" s="116">
        <v>1</v>
      </c>
      <c r="Y1606" s="113"/>
      <c r="Z1606" s="108" t="s">
        <v>47</v>
      </c>
      <c r="AA1606" s="114"/>
      <c r="AB1606" s="113"/>
      <c r="AC1606" s="105"/>
      <c r="AD1606" s="115" t="s">
        <v>180</v>
      </c>
    </row>
    <row r="1607" spans="1:30" x14ac:dyDescent="0.2">
      <c r="A1607" s="104" t="s">
        <v>3633</v>
      </c>
      <c r="B1607" s="105" t="s">
        <v>42</v>
      </c>
      <c r="C1607" s="105" t="s">
        <v>2716</v>
      </c>
      <c r="D1607" s="106"/>
      <c r="E1607" s="107"/>
      <c r="F1607" s="108" t="s">
        <v>15119</v>
      </c>
      <c r="G1607" s="119">
        <v>1</v>
      </c>
      <c r="H1607" s="108" t="s">
        <v>15120</v>
      </c>
      <c r="I1607" s="117">
        <v>2</v>
      </c>
      <c r="J1607" s="111" t="s">
        <v>46</v>
      </c>
      <c r="K1607" s="108" t="s">
        <v>15121</v>
      </c>
      <c r="L1607" s="116">
        <v>1</v>
      </c>
      <c r="M1607" s="113"/>
      <c r="N1607" s="108" t="s">
        <v>15119</v>
      </c>
      <c r="O1607" s="116">
        <v>1</v>
      </c>
      <c r="P1607" s="113"/>
      <c r="Q1607" s="108" t="s">
        <v>15122</v>
      </c>
      <c r="R1607" s="116">
        <v>1</v>
      </c>
      <c r="S1607" s="113"/>
      <c r="T1607" s="108" t="s">
        <v>15123</v>
      </c>
      <c r="U1607" s="117">
        <v>2</v>
      </c>
      <c r="V1607" s="113"/>
      <c r="W1607" s="108" t="s">
        <v>15124</v>
      </c>
      <c r="X1607" s="116">
        <v>1</v>
      </c>
      <c r="Y1607" s="113"/>
      <c r="Z1607" s="108" t="s">
        <v>15125</v>
      </c>
      <c r="AA1607" s="117">
        <v>2</v>
      </c>
      <c r="AB1607" s="111" t="s">
        <v>46</v>
      </c>
      <c r="AC1607" s="105"/>
      <c r="AD1607" s="115" t="s">
        <v>180</v>
      </c>
    </row>
    <row r="1608" spans="1:30" x14ac:dyDescent="0.2">
      <c r="A1608" s="104" t="s">
        <v>3634</v>
      </c>
      <c r="B1608" s="105" t="s">
        <v>97</v>
      </c>
      <c r="C1608" s="105" t="s">
        <v>582</v>
      </c>
      <c r="D1608" s="106" t="s">
        <v>298</v>
      </c>
      <c r="E1608" s="107" t="s">
        <v>146</v>
      </c>
      <c r="F1608" s="108" t="s">
        <v>15126</v>
      </c>
      <c r="G1608" s="118">
        <v>3</v>
      </c>
      <c r="H1608" s="108" t="s">
        <v>15127</v>
      </c>
      <c r="I1608" s="117">
        <v>2</v>
      </c>
      <c r="J1608" s="111" t="s">
        <v>53</v>
      </c>
      <c r="K1608" s="108" t="s">
        <v>15128</v>
      </c>
      <c r="L1608" s="112">
        <v>4</v>
      </c>
      <c r="M1608" s="113"/>
      <c r="N1608" s="108" t="s">
        <v>15126</v>
      </c>
      <c r="O1608" s="110">
        <v>3</v>
      </c>
      <c r="P1608" s="111" t="s">
        <v>40</v>
      </c>
      <c r="Q1608" s="108" t="s">
        <v>15129</v>
      </c>
      <c r="R1608" s="117">
        <v>2</v>
      </c>
      <c r="S1608" s="111" t="s">
        <v>40</v>
      </c>
      <c r="T1608" s="108" t="s">
        <v>15130</v>
      </c>
      <c r="U1608" s="112">
        <v>4</v>
      </c>
      <c r="V1608" s="113"/>
      <c r="W1608" s="108" t="s">
        <v>15131</v>
      </c>
      <c r="X1608" s="112">
        <v>4</v>
      </c>
      <c r="Y1608" s="113"/>
      <c r="Z1608" s="108" t="s">
        <v>15132</v>
      </c>
      <c r="AA1608" s="112">
        <v>4</v>
      </c>
      <c r="AB1608" s="113"/>
      <c r="AC1608" s="105" t="s">
        <v>3635</v>
      </c>
      <c r="AD1608" s="115" t="s">
        <v>101</v>
      </c>
    </row>
    <row r="1609" spans="1:30" x14ac:dyDescent="0.2">
      <c r="A1609" s="104" t="s">
        <v>3636</v>
      </c>
      <c r="B1609" s="105" t="s">
        <v>97</v>
      </c>
      <c r="C1609" s="105" t="s">
        <v>582</v>
      </c>
      <c r="D1609" s="106" t="s">
        <v>298</v>
      </c>
      <c r="E1609" s="107" t="s">
        <v>146</v>
      </c>
      <c r="F1609" s="108" t="s">
        <v>15133</v>
      </c>
      <c r="G1609" s="118">
        <v>3</v>
      </c>
      <c r="H1609" s="108" t="s">
        <v>15134</v>
      </c>
      <c r="I1609" s="116">
        <v>1</v>
      </c>
      <c r="J1609" s="111" t="s">
        <v>157</v>
      </c>
      <c r="K1609" s="108" t="s">
        <v>15135</v>
      </c>
      <c r="L1609" s="112">
        <v>4</v>
      </c>
      <c r="M1609" s="113"/>
      <c r="N1609" s="108" t="s">
        <v>15133</v>
      </c>
      <c r="O1609" s="110">
        <v>3</v>
      </c>
      <c r="P1609" s="111" t="s">
        <v>40</v>
      </c>
      <c r="Q1609" s="108" t="s">
        <v>15136</v>
      </c>
      <c r="R1609" s="117">
        <v>2</v>
      </c>
      <c r="S1609" s="111" t="s">
        <v>40</v>
      </c>
      <c r="T1609" s="108" t="s">
        <v>15137</v>
      </c>
      <c r="U1609" s="112">
        <v>4</v>
      </c>
      <c r="V1609" s="113"/>
      <c r="W1609" s="108" t="s">
        <v>15138</v>
      </c>
      <c r="X1609" s="112">
        <v>4</v>
      </c>
      <c r="Y1609" s="113"/>
      <c r="Z1609" s="108" t="s">
        <v>15139</v>
      </c>
      <c r="AA1609" s="112">
        <v>4</v>
      </c>
      <c r="AB1609" s="113"/>
      <c r="AC1609" s="105" t="s">
        <v>3637</v>
      </c>
      <c r="AD1609" s="115" t="s">
        <v>101</v>
      </c>
    </row>
    <row r="1610" spans="1:30" x14ac:dyDescent="0.2">
      <c r="A1610" s="104" t="s">
        <v>3638</v>
      </c>
      <c r="B1610" s="105" t="s">
        <v>212</v>
      </c>
      <c r="C1610" s="105" t="s">
        <v>112</v>
      </c>
      <c r="D1610" s="106"/>
      <c r="E1610" s="107"/>
      <c r="F1610" s="108" t="s">
        <v>15140</v>
      </c>
      <c r="G1610" s="118">
        <v>3</v>
      </c>
      <c r="H1610" s="108" t="s">
        <v>15141</v>
      </c>
      <c r="I1610" s="116">
        <v>1</v>
      </c>
      <c r="J1610" s="111" t="s">
        <v>53</v>
      </c>
      <c r="K1610" s="108" t="s">
        <v>15142</v>
      </c>
      <c r="L1610" s="116">
        <v>1</v>
      </c>
      <c r="M1610" s="111" t="s">
        <v>53</v>
      </c>
      <c r="N1610" s="108" t="s">
        <v>15140</v>
      </c>
      <c r="O1610" s="110">
        <v>3</v>
      </c>
      <c r="P1610" s="113"/>
      <c r="Q1610" s="108" t="s">
        <v>15143</v>
      </c>
      <c r="R1610" s="110">
        <v>3</v>
      </c>
      <c r="S1610" s="111" t="s">
        <v>40</v>
      </c>
      <c r="T1610" s="108" t="s">
        <v>15144</v>
      </c>
      <c r="U1610" s="117">
        <v>2</v>
      </c>
      <c r="V1610" s="113"/>
      <c r="W1610" s="108" t="s">
        <v>47</v>
      </c>
      <c r="X1610" s="114"/>
      <c r="Y1610" s="113"/>
      <c r="Z1610" s="108" t="s">
        <v>47</v>
      </c>
      <c r="AA1610" s="114"/>
      <c r="AB1610" s="113"/>
      <c r="AC1610" s="105" t="s">
        <v>3639</v>
      </c>
      <c r="AD1610" s="115" t="s">
        <v>49</v>
      </c>
    </row>
    <row r="1611" spans="1:30" x14ac:dyDescent="0.2">
      <c r="A1611" s="104" t="s">
        <v>3640</v>
      </c>
      <c r="B1611" s="105" t="s">
        <v>212</v>
      </c>
      <c r="C1611" s="105" t="s">
        <v>112</v>
      </c>
      <c r="D1611" s="106"/>
      <c r="E1611" s="107"/>
      <c r="F1611" s="108" t="s">
        <v>15145</v>
      </c>
      <c r="G1611" s="118">
        <v>3</v>
      </c>
      <c r="H1611" s="108" t="s">
        <v>15146</v>
      </c>
      <c r="I1611" s="116">
        <v>1</v>
      </c>
      <c r="J1611" s="111" t="s">
        <v>53</v>
      </c>
      <c r="K1611" s="108" t="s">
        <v>15147</v>
      </c>
      <c r="L1611" s="117">
        <v>2</v>
      </c>
      <c r="M1611" s="111" t="s">
        <v>40</v>
      </c>
      <c r="N1611" s="108" t="s">
        <v>15145</v>
      </c>
      <c r="O1611" s="110">
        <v>3</v>
      </c>
      <c r="P1611" s="111" t="s">
        <v>40</v>
      </c>
      <c r="Q1611" s="108" t="s">
        <v>15148</v>
      </c>
      <c r="R1611" s="110">
        <v>3</v>
      </c>
      <c r="S1611" s="111" t="s">
        <v>40</v>
      </c>
      <c r="T1611" s="108" t="s">
        <v>15149</v>
      </c>
      <c r="U1611" s="110">
        <v>3</v>
      </c>
      <c r="V1611" s="113"/>
      <c r="W1611" s="108" t="s">
        <v>47</v>
      </c>
      <c r="X1611" s="114"/>
      <c r="Y1611" s="113"/>
      <c r="Z1611" s="108" t="s">
        <v>47</v>
      </c>
      <c r="AA1611" s="114"/>
      <c r="AB1611" s="113"/>
      <c r="AC1611" s="105" t="s">
        <v>3641</v>
      </c>
      <c r="AD1611" s="115" t="s">
        <v>49</v>
      </c>
    </row>
    <row r="1612" spans="1:30" x14ac:dyDescent="0.2">
      <c r="A1612" s="104" t="s">
        <v>3642</v>
      </c>
      <c r="B1612" s="105" t="s">
        <v>212</v>
      </c>
      <c r="C1612" s="105" t="s">
        <v>112</v>
      </c>
      <c r="D1612" s="106"/>
      <c r="E1612" s="107"/>
      <c r="F1612" s="108" t="s">
        <v>15150</v>
      </c>
      <c r="G1612" s="120">
        <v>2</v>
      </c>
      <c r="H1612" s="108" t="s">
        <v>15151</v>
      </c>
      <c r="I1612" s="116">
        <v>1</v>
      </c>
      <c r="J1612" s="111" t="s">
        <v>40</v>
      </c>
      <c r="K1612" s="108" t="s">
        <v>15152</v>
      </c>
      <c r="L1612" s="116">
        <v>1</v>
      </c>
      <c r="M1612" s="111" t="s">
        <v>40</v>
      </c>
      <c r="N1612" s="108" t="s">
        <v>15150</v>
      </c>
      <c r="O1612" s="117">
        <v>2</v>
      </c>
      <c r="P1612" s="111" t="s">
        <v>40</v>
      </c>
      <c r="Q1612" s="108" t="s">
        <v>15153</v>
      </c>
      <c r="R1612" s="117">
        <v>2</v>
      </c>
      <c r="S1612" s="111" t="s">
        <v>40</v>
      </c>
      <c r="T1612" s="108" t="s">
        <v>15154</v>
      </c>
      <c r="U1612" s="117">
        <v>2</v>
      </c>
      <c r="V1612" s="113"/>
      <c r="W1612" s="108" t="s">
        <v>47</v>
      </c>
      <c r="X1612" s="114"/>
      <c r="Y1612" s="113"/>
      <c r="Z1612" s="108" t="s">
        <v>47</v>
      </c>
      <c r="AA1612" s="114"/>
      <c r="AB1612" s="113"/>
      <c r="AC1612" s="105" t="s">
        <v>3643</v>
      </c>
      <c r="AD1612" s="115" t="s">
        <v>49</v>
      </c>
    </row>
    <row r="1613" spans="1:30" x14ac:dyDescent="0.2">
      <c r="A1613" s="104" t="s">
        <v>3644</v>
      </c>
      <c r="B1613" s="105" t="s">
        <v>212</v>
      </c>
      <c r="C1613" s="105" t="s">
        <v>112</v>
      </c>
      <c r="D1613" s="106"/>
      <c r="E1613" s="107"/>
      <c r="F1613" s="108" t="s">
        <v>15155</v>
      </c>
      <c r="G1613" s="119">
        <v>1</v>
      </c>
      <c r="H1613" s="108" t="s">
        <v>15156</v>
      </c>
      <c r="I1613" s="116">
        <v>1</v>
      </c>
      <c r="J1613" s="113"/>
      <c r="K1613" s="108" t="s">
        <v>15157</v>
      </c>
      <c r="L1613" s="116">
        <v>1</v>
      </c>
      <c r="M1613" s="113"/>
      <c r="N1613" s="108" t="s">
        <v>15155</v>
      </c>
      <c r="O1613" s="116">
        <v>1</v>
      </c>
      <c r="P1613" s="113"/>
      <c r="Q1613" s="108" t="s">
        <v>15158</v>
      </c>
      <c r="R1613" s="116">
        <v>1</v>
      </c>
      <c r="S1613" s="111" t="s">
        <v>40</v>
      </c>
      <c r="T1613" s="108" t="s">
        <v>47</v>
      </c>
      <c r="U1613" s="114"/>
      <c r="V1613" s="113"/>
      <c r="W1613" s="108" t="s">
        <v>47</v>
      </c>
      <c r="X1613" s="114"/>
      <c r="Y1613" s="113"/>
      <c r="Z1613" s="108" t="s">
        <v>47</v>
      </c>
      <c r="AA1613" s="114"/>
      <c r="AB1613" s="113"/>
      <c r="AC1613" s="105" t="s">
        <v>3645</v>
      </c>
      <c r="AD1613" s="115" t="s">
        <v>49</v>
      </c>
    </row>
    <row r="1614" spans="1:30" x14ac:dyDescent="0.2">
      <c r="A1614" s="104" t="s">
        <v>3646</v>
      </c>
      <c r="B1614" s="105" t="s">
        <v>212</v>
      </c>
      <c r="C1614" s="105" t="s">
        <v>112</v>
      </c>
      <c r="D1614" s="106"/>
      <c r="E1614" s="107"/>
      <c r="F1614" s="108" t="s">
        <v>15159</v>
      </c>
      <c r="G1614" s="118">
        <v>3</v>
      </c>
      <c r="H1614" s="108" t="s">
        <v>15160</v>
      </c>
      <c r="I1614" s="116">
        <v>1</v>
      </c>
      <c r="J1614" s="111" t="s">
        <v>40</v>
      </c>
      <c r="K1614" s="108" t="s">
        <v>15161</v>
      </c>
      <c r="L1614" s="116">
        <v>1</v>
      </c>
      <c r="M1614" s="111" t="s">
        <v>53</v>
      </c>
      <c r="N1614" s="108" t="s">
        <v>15159</v>
      </c>
      <c r="O1614" s="110">
        <v>3</v>
      </c>
      <c r="P1614" s="113"/>
      <c r="Q1614" s="108" t="s">
        <v>15162</v>
      </c>
      <c r="R1614" s="110">
        <v>3</v>
      </c>
      <c r="S1614" s="113"/>
      <c r="T1614" s="108" t="s">
        <v>15163</v>
      </c>
      <c r="U1614" s="117">
        <v>2</v>
      </c>
      <c r="V1614" s="113"/>
      <c r="W1614" s="108" t="s">
        <v>47</v>
      </c>
      <c r="X1614" s="114"/>
      <c r="Y1614" s="113"/>
      <c r="Z1614" s="108" t="s">
        <v>47</v>
      </c>
      <c r="AA1614" s="114"/>
      <c r="AB1614" s="113"/>
      <c r="AC1614" s="105" t="s">
        <v>3647</v>
      </c>
      <c r="AD1614" s="115" t="s">
        <v>49</v>
      </c>
    </row>
    <row r="1615" spans="1:30" x14ac:dyDescent="0.2">
      <c r="A1615" s="104" t="s">
        <v>3648</v>
      </c>
      <c r="B1615" s="105" t="s">
        <v>212</v>
      </c>
      <c r="C1615" s="105" t="s">
        <v>112</v>
      </c>
      <c r="D1615" s="106"/>
      <c r="E1615" s="107"/>
      <c r="F1615" s="108" t="s">
        <v>15164</v>
      </c>
      <c r="G1615" s="119">
        <v>1</v>
      </c>
      <c r="H1615" s="108" t="s">
        <v>15165</v>
      </c>
      <c r="I1615" s="116">
        <v>1</v>
      </c>
      <c r="J1615" s="113"/>
      <c r="K1615" s="108" t="s">
        <v>15166</v>
      </c>
      <c r="L1615" s="116">
        <v>1</v>
      </c>
      <c r="M1615" s="113"/>
      <c r="N1615" s="108" t="s">
        <v>15164</v>
      </c>
      <c r="O1615" s="116">
        <v>1</v>
      </c>
      <c r="P1615" s="113"/>
      <c r="Q1615" s="108" t="s">
        <v>15167</v>
      </c>
      <c r="R1615" s="116">
        <v>1</v>
      </c>
      <c r="S1615" s="111" t="s">
        <v>40</v>
      </c>
      <c r="T1615" s="108" t="s">
        <v>15168</v>
      </c>
      <c r="U1615" s="110">
        <v>3</v>
      </c>
      <c r="V1615" s="113"/>
      <c r="W1615" s="108" t="s">
        <v>47</v>
      </c>
      <c r="X1615" s="114"/>
      <c r="Y1615" s="113"/>
      <c r="Z1615" s="108" t="s">
        <v>47</v>
      </c>
      <c r="AA1615" s="114"/>
      <c r="AB1615" s="113"/>
      <c r="AC1615" s="105" t="s">
        <v>3649</v>
      </c>
      <c r="AD1615" s="115" t="s">
        <v>49</v>
      </c>
    </row>
    <row r="1616" spans="1:30" x14ac:dyDescent="0.2">
      <c r="A1616" s="104" t="s">
        <v>3650</v>
      </c>
      <c r="B1616" s="105" t="s">
        <v>212</v>
      </c>
      <c r="C1616" s="105" t="s">
        <v>112</v>
      </c>
      <c r="D1616" s="106"/>
      <c r="E1616" s="107"/>
      <c r="F1616" s="108" t="s">
        <v>15169</v>
      </c>
      <c r="G1616" s="120">
        <v>2</v>
      </c>
      <c r="H1616" s="108" t="s">
        <v>15170</v>
      </c>
      <c r="I1616" s="116">
        <v>1</v>
      </c>
      <c r="J1616" s="111" t="s">
        <v>40</v>
      </c>
      <c r="K1616" s="108" t="s">
        <v>15171</v>
      </c>
      <c r="L1616" s="116">
        <v>1</v>
      </c>
      <c r="M1616" s="111" t="s">
        <v>53</v>
      </c>
      <c r="N1616" s="108" t="s">
        <v>15169</v>
      </c>
      <c r="O1616" s="117">
        <v>2</v>
      </c>
      <c r="P1616" s="111" t="s">
        <v>40</v>
      </c>
      <c r="Q1616" s="108" t="s">
        <v>15172</v>
      </c>
      <c r="R1616" s="117">
        <v>2</v>
      </c>
      <c r="S1616" s="113"/>
      <c r="T1616" s="108" t="s">
        <v>47</v>
      </c>
      <c r="U1616" s="114"/>
      <c r="V1616" s="113"/>
      <c r="W1616" s="108" t="s">
        <v>47</v>
      </c>
      <c r="X1616" s="114"/>
      <c r="Y1616" s="113"/>
      <c r="Z1616" s="108" t="s">
        <v>47</v>
      </c>
      <c r="AA1616" s="114"/>
      <c r="AB1616" s="113"/>
      <c r="AC1616" s="105" t="s">
        <v>3651</v>
      </c>
      <c r="AD1616" s="115" t="s">
        <v>49</v>
      </c>
    </row>
    <row r="1617" spans="1:30" x14ac:dyDescent="0.2">
      <c r="A1617" s="104" t="s">
        <v>3652</v>
      </c>
      <c r="B1617" s="105" t="s">
        <v>212</v>
      </c>
      <c r="C1617" s="105" t="s">
        <v>112</v>
      </c>
      <c r="D1617" s="106"/>
      <c r="E1617" s="107"/>
      <c r="F1617" s="108" t="s">
        <v>15173</v>
      </c>
      <c r="G1617" s="119">
        <v>1</v>
      </c>
      <c r="H1617" s="108" t="s">
        <v>15174</v>
      </c>
      <c r="I1617" s="117">
        <v>2</v>
      </c>
      <c r="J1617" s="111" t="s">
        <v>46</v>
      </c>
      <c r="K1617" s="108" t="s">
        <v>15175</v>
      </c>
      <c r="L1617" s="116">
        <v>1</v>
      </c>
      <c r="M1617" s="113"/>
      <c r="N1617" s="108" t="s">
        <v>15173</v>
      </c>
      <c r="O1617" s="116">
        <v>1</v>
      </c>
      <c r="P1617" s="113"/>
      <c r="Q1617" s="108" t="s">
        <v>15176</v>
      </c>
      <c r="R1617" s="117">
        <v>2</v>
      </c>
      <c r="S1617" s="113"/>
      <c r="T1617" s="108" t="s">
        <v>15177</v>
      </c>
      <c r="U1617" s="116">
        <v>1</v>
      </c>
      <c r="V1617" s="113"/>
      <c r="W1617" s="108" t="s">
        <v>47</v>
      </c>
      <c r="X1617" s="114"/>
      <c r="Y1617" s="113"/>
      <c r="Z1617" s="108" t="s">
        <v>47</v>
      </c>
      <c r="AA1617" s="114"/>
      <c r="AB1617" s="113"/>
      <c r="AC1617" s="105" t="s">
        <v>3653</v>
      </c>
      <c r="AD1617" s="115" t="s">
        <v>49</v>
      </c>
    </row>
    <row r="1618" spans="1:30" x14ac:dyDescent="0.2">
      <c r="A1618" s="104" t="s">
        <v>3654</v>
      </c>
      <c r="B1618" s="105" t="s">
        <v>212</v>
      </c>
      <c r="C1618" s="105" t="s">
        <v>112</v>
      </c>
      <c r="D1618" s="106"/>
      <c r="E1618" s="107"/>
      <c r="F1618" s="108" t="s">
        <v>15178</v>
      </c>
      <c r="G1618" s="120">
        <v>2</v>
      </c>
      <c r="H1618" s="108" t="s">
        <v>15179</v>
      </c>
      <c r="I1618" s="116">
        <v>1</v>
      </c>
      <c r="J1618" s="111" t="s">
        <v>40</v>
      </c>
      <c r="K1618" s="108" t="s">
        <v>15180</v>
      </c>
      <c r="L1618" s="116">
        <v>1</v>
      </c>
      <c r="M1618" s="111" t="s">
        <v>40</v>
      </c>
      <c r="N1618" s="108" t="s">
        <v>15178</v>
      </c>
      <c r="O1618" s="117">
        <v>2</v>
      </c>
      <c r="P1618" s="111" t="s">
        <v>40</v>
      </c>
      <c r="Q1618" s="108" t="s">
        <v>15181</v>
      </c>
      <c r="R1618" s="110">
        <v>3</v>
      </c>
      <c r="S1618" s="111" t="s">
        <v>40</v>
      </c>
      <c r="T1618" s="108" t="s">
        <v>15182</v>
      </c>
      <c r="U1618" s="117">
        <v>2</v>
      </c>
      <c r="V1618" s="113"/>
      <c r="W1618" s="108" t="s">
        <v>47</v>
      </c>
      <c r="X1618" s="114"/>
      <c r="Y1618" s="113"/>
      <c r="Z1618" s="108" t="s">
        <v>47</v>
      </c>
      <c r="AA1618" s="114"/>
      <c r="AB1618" s="113"/>
      <c r="AC1618" s="105" t="s">
        <v>3655</v>
      </c>
      <c r="AD1618" s="115" t="s">
        <v>49</v>
      </c>
    </row>
    <row r="1619" spans="1:30" x14ac:dyDescent="0.2">
      <c r="A1619" s="104" t="s">
        <v>3656</v>
      </c>
      <c r="B1619" s="105" t="s">
        <v>212</v>
      </c>
      <c r="C1619" s="105" t="s">
        <v>112</v>
      </c>
      <c r="D1619" s="106"/>
      <c r="E1619" s="107" t="s">
        <v>182</v>
      </c>
      <c r="F1619" s="108" t="s">
        <v>15183</v>
      </c>
      <c r="G1619" s="118">
        <v>3</v>
      </c>
      <c r="H1619" s="108" t="s">
        <v>15184</v>
      </c>
      <c r="I1619" s="117">
        <v>2</v>
      </c>
      <c r="J1619" s="111" t="s">
        <v>46</v>
      </c>
      <c r="K1619" s="108" t="s">
        <v>15185</v>
      </c>
      <c r="L1619" s="116">
        <v>1</v>
      </c>
      <c r="M1619" s="111" t="s">
        <v>40</v>
      </c>
      <c r="N1619" s="108" t="s">
        <v>15183</v>
      </c>
      <c r="O1619" s="110">
        <v>3</v>
      </c>
      <c r="P1619" s="113"/>
      <c r="Q1619" s="108" t="s">
        <v>15186</v>
      </c>
      <c r="R1619" s="112">
        <v>4</v>
      </c>
      <c r="S1619" s="113"/>
      <c r="T1619" s="108" t="s">
        <v>47</v>
      </c>
      <c r="U1619" s="114"/>
      <c r="V1619" s="113"/>
      <c r="W1619" s="108" t="s">
        <v>47</v>
      </c>
      <c r="X1619" s="114"/>
      <c r="Y1619" s="113"/>
      <c r="Z1619" s="108" t="s">
        <v>47</v>
      </c>
      <c r="AA1619" s="114"/>
      <c r="AB1619" s="113"/>
      <c r="AC1619" s="105" t="s">
        <v>3657</v>
      </c>
      <c r="AD1619" s="115" t="s">
        <v>49</v>
      </c>
    </row>
    <row r="1620" spans="1:30" x14ac:dyDescent="0.2">
      <c r="A1620" s="104" t="s">
        <v>3658</v>
      </c>
      <c r="B1620" s="105" t="s">
        <v>212</v>
      </c>
      <c r="C1620" s="105" t="s">
        <v>112</v>
      </c>
      <c r="D1620" s="106"/>
      <c r="E1620" s="107"/>
      <c r="F1620" s="108" t="s">
        <v>15187</v>
      </c>
      <c r="G1620" s="109">
        <v>4</v>
      </c>
      <c r="H1620" s="108" t="s">
        <v>15188</v>
      </c>
      <c r="I1620" s="110">
        <v>3</v>
      </c>
      <c r="J1620" s="111" t="s">
        <v>40</v>
      </c>
      <c r="K1620" s="108" t="s">
        <v>15189</v>
      </c>
      <c r="L1620" s="112">
        <v>4</v>
      </c>
      <c r="M1620" s="113"/>
      <c r="N1620" s="108" t="s">
        <v>15187</v>
      </c>
      <c r="O1620" s="112">
        <v>4</v>
      </c>
      <c r="P1620" s="113"/>
      <c r="Q1620" s="108" t="s">
        <v>15190</v>
      </c>
      <c r="R1620" s="112">
        <v>4</v>
      </c>
      <c r="S1620" s="113"/>
      <c r="T1620" s="108" t="s">
        <v>47</v>
      </c>
      <c r="U1620" s="114"/>
      <c r="V1620" s="113"/>
      <c r="W1620" s="108" t="s">
        <v>47</v>
      </c>
      <c r="X1620" s="114"/>
      <c r="Y1620" s="113"/>
      <c r="Z1620" s="108" t="s">
        <v>47</v>
      </c>
      <c r="AA1620" s="114"/>
      <c r="AB1620" s="113"/>
      <c r="AC1620" s="105" t="s">
        <v>3659</v>
      </c>
      <c r="AD1620" s="115" t="s">
        <v>49</v>
      </c>
    </row>
    <row r="1621" spans="1:30" x14ac:dyDescent="0.2">
      <c r="A1621" s="104" t="s">
        <v>3660</v>
      </c>
      <c r="B1621" s="105" t="s">
        <v>212</v>
      </c>
      <c r="C1621" s="105" t="s">
        <v>112</v>
      </c>
      <c r="D1621" s="106"/>
      <c r="E1621" s="107"/>
      <c r="F1621" s="108" t="s">
        <v>15191</v>
      </c>
      <c r="G1621" s="109">
        <v>4</v>
      </c>
      <c r="H1621" s="108" t="s">
        <v>15192</v>
      </c>
      <c r="I1621" s="116">
        <v>1</v>
      </c>
      <c r="J1621" s="111" t="s">
        <v>53</v>
      </c>
      <c r="K1621" s="108" t="s">
        <v>15193</v>
      </c>
      <c r="L1621" s="110">
        <v>3</v>
      </c>
      <c r="M1621" s="111" t="s">
        <v>40</v>
      </c>
      <c r="N1621" s="108" t="s">
        <v>15191</v>
      </c>
      <c r="O1621" s="112">
        <v>4</v>
      </c>
      <c r="P1621" s="113"/>
      <c r="Q1621" s="108" t="s">
        <v>15194</v>
      </c>
      <c r="R1621" s="112">
        <v>4</v>
      </c>
      <c r="S1621" s="113"/>
      <c r="T1621" s="108" t="s">
        <v>47</v>
      </c>
      <c r="U1621" s="114"/>
      <c r="V1621" s="113"/>
      <c r="W1621" s="108" t="s">
        <v>47</v>
      </c>
      <c r="X1621" s="114"/>
      <c r="Y1621" s="113"/>
      <c r="Z1621" s="108" t="s">
        <v>47</v>
      </c>
      <c r="AA1621" s="114"/>
      <c r="AB1621" s="113"/>
      <c r="AC1621" s="105" t="s">
        <v>3661</v>
      </c>
      <c r="AD1621" s="115" t="s">
        <v>49</v>
      </c>
    </row>
    <row r="1622" spans="1:30" x14ac:dyDescent="0.2">
      <c r="A1622" s="104" t="s">
        <v>3662</v>
      </c>
      <c r="B1622" s="105" t="s">
        <v>97</v>
      </c>
      <c r="C1622" s="105" t="s">
        <v>3663</v>
      </c>
      <c r="D1622" s="106" t="s">
        <v>94</v>
      </c>
      <c r="E1622" s="107" t="s">
        <v>376</v>
      </c>
      <c r="F1622" s="108" t="s">
        <v>15195</v>
      </c>
      <c r="G1622" s="118">
        <v>3</v>
      </c>
      <c r="H1622" s="108" t="s">
        <v>708</v>
      </c>
      <c r="I1622" s="110">
        <v>3</v>
      </c>
      <c r="J1622" s="111" t="s">
        <v>55</v>
      </c>
      <c r="K1622" s="108" t="s">
        <v>8851</v>
      </c>
      <c r="L1622" s="117">
        <v>2</v>
      </c>
      <c r="M1622" s="113"/>
      <c r="N1622" s="108" t="s">
        <v>15195</v>
      </c>
      <c r="O1622" s="110">
        <v>3</v>
      </c>
      <c r="P1622" s="113"/>
      <c r="Q1622" s="108" t="s">
        <v>703</v>
      </c>
      <c r="R1622" s="110">
        <v>3</v>
      </c>
      <c r="S1622" s="111" t="s">
        <v>46</v>
      </c>
      <c r="T1622" s="108" t="s">
        <v>15196</v>
      </c>
      <c r="U1622" s="117">
        <v>2</v>
      </c>
      <c r="V1622" s="113"/>
      <c r="W1622" s="108" t="s">
        <v>2570</v>
      </c>
      <c r="X1622" s="110">
        <v>3</v>
      </c>
      <c r="Y1622" s="113"/>
      <c r="Z1622" s="108" t="s">
        <v>3664</v>
      </c>
      <c r="AA1622" s="110">
        <v>3</v>
      </c>
      <c r="AB1622" s="113"/>
      <c r="AC1622" s="105" t="s">
        <v>3665</v>
      </c>
      <c r="AD1622" s="115" t="s">
        <v>101</v>
      </c>
    </row>
    <row r="1623" spans="1:30" x14ac:dyDescent="0.2">
      <c r="A1623" s="104" t="s">
        <v>3666</v>
      </c>
      <c r="B1623" s="105" t="s">
        <v>97</v>
      </c>
      <c r="C1623" s="105" t="s">
        <v>3663</v>
      </c>
      <c r="D1623" s="106" t="s">
        <v>94</v>
      </c>
      <c r="E1623" s="107" t="s">
        <v>376</v>
      </c>
      <c r="F1623" s="108" t="s">
        <v>15197</v>
      </c>
      <c r="G1623" s="118">
        <v>3</v>
      </c>
      <c r="H1623" s="108" t="s">
        <v>714</v>
      </c>
      <c r="I1623" s="110">
        <v>3</v>
      </c>
      <c r="J1623" s="111" t="s">
        <v>55</v>
      </c>
      <c r="K1623" s="108" t="s">
        <v>15198</v>
      </c>
      <c r="L1623" s="117">
        <v>2</v>
      </c>
      <c r="M1623" s="113"/>
      <c r="N1623" s="108" t="s">
        <v>15197</v>
      </c>
      <c r="O1623" s="110">
        <v>3</v>
      </c>
      <c r="P1623" s="113"/>
      <c r="Q1623" s="108" t="s">
        <v>3667</v>
      </c>
      <c r="R1623" s="110">
        <v>3</v>
      </c>
      <c r="S1623" s="111" t="s">
        <v>46</v>
      </c>
      <c r="T1623" s="108" t="s">
        <v>15199</v>
      </c>
      <c r="U1623" s="117">
        <v>2</v>
      </c>
      <c r="V1623" s="113"/>
      <c r="W1623" s="108" t="s">
        <v>3668</v>
      </c>
      <c r="X1623" s="110">
        <v>3</v>
      </c>
      <c r="Y1623" s="113"/>
      <c r="Z1623" s="108" t="s">
        <v>3669</v>
      </c>
      <c r="AA1623" s="110">
        <v>3</v>
      </c>
      <c r="AB1623" s="113"/>
      <c r="AC1623" s="105" t="s">
        <v>3670</v>
      </c>
      <c r="AD1623" s="115" t="s">
        <v>101</v>
      </c>
    </row>
    <row r="1624" spans="1:30" x14ac:dyDescent="0.2">
      <c r="A1624" s="104" t="s">
        <v>3671</v>
      </c>
      <c r="B1624" s="105" t="s">
        <v>97</v>
      </c>
      <c r="C1624" s="105" t="s">
        <v>3672</v>
      </c>
      <c r="D1624" s="106" t="s">
        <v>125</v>
      </c>
      <c r="E1624" s="107" t="s">
        <v>99</v>
      </c>
      <c r="F1624" s="108" t="s">
        <v>15200</v>
      </c>
      <c r="G1624" s="120">
        <v>2</v>
      </c>
      <c r="H1624" s="108" t="s">
        <v>15201</v>
      </c>
      <c r="I1624" s="112">
        <v>4</v>
      </c>
      <c r="J1624" s="111" t="s">
        <v>55</v>
      </c>
      <c r="K1624" s="108" t="s">
        <v>15202</v>
      </c>
      <c r="L1624" s="110">
        <v>3</v>
      </c>
      <c r="M1624" s="113"/>
      <c r="N1624" s="108" t="s">
        <v>15200</v>
      </c>
      <c r="O1624" s="117">
        <v>2</v>
      </c>
      <c r="P1624" s="111" t="s">
        <v>46</v>
      </c>
      <c r="Q1624" s="108" t="s">
        <v>15203</v>
      </c>
      <c r="R1624" s="110">
        <v>3</v>
      </c>
      <c r="S1624" s="113"/>
      <c r="T1624" s="108" t="s">
        <v>15204</v>
      </c>
      <c r="U1624" s="116">
        <v>1</v>
      </c>
      <c r="V1624" s="113"/>
      <c r="W1624" s="108" t="s">
        <v>15205</v>
      </c>
      <c r="X1624" s="117">
        <v>2</v>
      </c>
      <c r="Y1624" s="113"/>
      <c r="Z1624" s="108" t="s">
        <v>15206</v>
      </c>
      <c r="AA1624" s="117">
        <v>2</v>
      </c>
      <c r="AB1624" s="111" t="s">
        <v>40</v>
      </c>
      <c r="AC1624" s="105" t="s">
        <v>3673</v>
      </c>
      <c r="AD1624" s="115" t="s">
        <v>101</v>
      </c>
    </row>
    <row r="1625" spans="1:30" x14ac:dyDescent="0.2">
      <c r="A1625" s="104" t="s">
        <v>3674</v>
      </c>
      <c r="B1625" s="105" t="s">
        <v>97</v>
      </c>
      <c r="C1625" s="105" t="s">
        <v>3672</v>
      </c>
      <c r="D1625" s="106" t="s">
        <v>125</v>
      </c>
      <c r="E1625" s="107" t="s">
        <v>99</v>
      </c>
      <c r="F1625" s="108" t="s">
        <v>15207</v>
      </c>
      <c r="G1625" s="120">
        <v>2</v>
      </c>
      <c r="H1625" s="108" t="s">
        <v>15208</v>
      </c>
      <c r="I1625" s="112">
        <v>4</v>
      </c>
      <c r="J1625" s="111" t="s">
        <v>55</v>
      </c>
      <c r="K1625" s="108" t="s">
        <v>15209</v>
      </c>
      <c r="L1625" s="110">
        <v>3</v>
      </c>
      <c r="M1625" s="113"/>
      <c r="N1625" s="108" t="s">
        <v>15207</v>
      </c>
      <c r="O1625" s="117">
        <v>2</v>
      </c>
      <c r="P1625" s="111" t="s">
        <v>46</v>
      </c>
      <c r="Q1625" s="108" t="s">
        <v>15210</v>
      </c>
      <c r="R1625" s="110">
        <v>3</v>
      </c>
      <c r="S1625" s="113"/>
      <c r="T1625" s="108" t="s">
        <v>15211</v>
      </c>
      <c r="U1625" s="117">
        <v>2</v>
      </c>
      <c r="V1625" s="111" t="s">
        <v>46</v>
      </c>
      <c r="W1625" s="108" t="s">
        <v>15212</v>
      </c>
      <c r="X1625" s="117">
        <v>2</v>
      </c>
      <c r="Y1625" s="113"/>
      <c r="Z1625" s="108" t="s">
        <v>15213</v>
      </c>
      <c r="AA1625" s="117">
        <v>2</v>
      </c>
      <c r="AB1625" s="111" t="s">
        <v>40</v>
      </c>
      <c r="AC1625" s="105" t="s">
        <v>3675</v>
      </c>
      <c r="AD1625" s="115" t="s">
        <v>101</v>
      </c>
    </row>
    <row r="1626" spans="1:30" x14ac:dyDescent="0.2">
      <c r="A1626" s="104" t="s">
        <v>3676</v>
      </c>
      <c r="B1626" s="105" t="s">
        <v>381</v>
      </c>
      <c r="C1626" s="105" t="s">
        <v>2887</v>
      </c>
      <c r="D1626" s="106"/>
      <c r="E1626" s="107"/>
      <c r="F1626" s="108" t="s">
        <v>47</v>
      </c>
      <c r="G1626" s="113"/>
      <c r="H1626" s="108" t="s">
        <v>47</v>
      </c>
      <c r="I1626" s="114"/>
      <c r="J1626" s="113"/>
      <c r="K1626" s="108" t="s">
        <v>47</v>
      </c>
      <c r="L1626" s="114"/>
      <c r="M1626" s="113"/>
      <c r="N1626" s="108" t="s">
        <v>47</v>
      </c>
      <c r="O1626" s="114"/>
      <c r="P1626" s="113"/>
      <c r="Q1626" s="108" t="s">
        <v>47</v>
      </c>
      <c r="R1626" s="114"/>
      <c r="S1626" s="113"/>
      <c r="T1626" s="108" t="s">
        <v>47</v>
      </c>
      <c r="U1626" s="114"/>
      <c r="V1626" s="113"/>
      <c r="W1626" s="108" t="s">
        <v>47</v>
      </c>
      <c r="X1626" s="114"/>
      <c r="Y1626" s="113"/>
      <c r="Z1626" s="108" t="s">
        <v>47</v>
      </c>
      <c r="AA1626" s="114"/>
      <c r="AB1626" s="113"/>
      <c r="AC1626" s="105"/>
      <c r="AD1626" s="115" t="s">
        <v>101</v>
      </c>
    </row>
    <row r="1627" spans="1:30" x14ac:dyDescent="0.2">
      <c r="A1627" s="104" t="s">
        <v>3677</v>
      </c>
      <c r="B1627" s="105" t="s">
        <v>42</v>
      </c>
      <c r="C1627" s="105" t="s">
        <v>2716</v>
      </c>
      <c r="D1627" s="106" t="s">
        <v>105</v>
      </c>
      <c r="E1627" s="107"/>
      <c r="F1627" s="108" t="s">
        <v>15214</v>
      </c>
      <c r="G1627" s="118">
        <v>3</v>
      </c>
      <c r="H1627" s="108" t="s">
        <v>15215</v>
      </c>
      <c r="I1627" s="116">
        <v>1</v>
      </c>
      <c r="J1627" s="111" t="s">
        <v>40</v>
      </c>
      <c r="K1627" s="108" t="s">
        <v>15216</v>
      </c>
      <c r="L1627" s="117">
        <v>2</v>
      </c>
      <c r="M1627" s="113"/>
      <c r="N1627" s="108" t="s">
        <v>15214</v>
      </c>
      <c r="O1627" s="110">
        <v>3</v>
      </c>
      <c r="P1627" s="113"/>
      <c r="Q1627" s="108" t="s">
        <v>15217</v>
      </c>
      <c r="R1627" s="112">
        <v>4</v>
      </c>
      <c r="S1627" s="113"/>
      <c r="T1627" s="108" t="s">
        <v>15218</v>
      </c>
      <c r="U1627" s="112">
        <v>4</v>
      </c>
      <c r="V1627" s="113"/>
      <c r="W1627" s="108" t="s">
        <v>3678</v>
      </c>
      <c r="X1627" s="110">
        <v>3</v>
      </c>
      <c r="Y1627" s="113"/>
      <c r="Z1627" s="108" t="s">
        <v>47</v>
      </c>
      <c r="AA1627" s="114"/>
      <c r="AB1627" s="113"/>
      <c r="AC1627" s="105" t="s">
        <v>3679</v>
      </c>
      <c r="AD1627" s="115" t="s">
        <v>49</v>
      </c>
    </row>
    <row r="1628" spans="1:30" x14ac:dyDescent="0.2">
      <c r="A1628" s="104" t="s">
        <v>3680</v>
      </c>
      <c r="B1628" s="105" t="s">
        <v>42</v>
      </c>
      <c r="C1628" s="105" t="s">
        <v>2716</v>
      </c>
      <c r="D1628" s="106"/>
      <c r="E1628" s="107"/>
      <c r="F1628" s="108" t="s">
        <v>15219</v>
      </c>
      <c r="G1628" s="120">
        <v>2</v>
      </c>
      <c r="H1628" s="108" t="s">
        <v>15220</v>
      </c>
      <c r="I1628" s="116">
        <v>1</v>
      </c>
      <c r="J1628" s="111" t="s">
        <v>40</v>
      </c>
      <c r="K1628" s="108" t="s">
        <v>15221</v>
      </c>
      <c r="L1628" s="117">
        <v>2</v>
      </c>
      <c r="M1628" s="113"/>
      <c r="N1628" s="108" t="s">
        <v>15219</v>
      </c>
      <c r="O1628" s="117">
        <v>2</v>
      </c>
      <c r="P1628" s="111" t="s">
        <v>40</v>
      </c>
      <c r="Q1628" s="108" t="s">
        <v>15222</v>
      </c>
      <c r="R1628" s="112">
        <v>4</v>
      </c>
      <c r="S1628" s="113"/>
      <c r="T1628" s="108" t="s">
        <v>15223</v>
      </c>
      <c r="U1628" s="110">
        <v>3</v>
      </c>
      <c r="V1628" s="113"/>
      <c r="W1628" s="108" t="s">
        <v>15224</v>
      </c>
      <c r="X1628" s="117">
        <v>2</v>
      </c>
      <c r="Y1628" s="113"/>
      <c r="Z1628" s="108" t="s">
        <v>15225</v>
      </c>
      <c r="AA1628" s="117">
        <v>2</v>
      </c>
      <c r="AB1628" s="111" t="s">
        <v>40</v>
      </c>
      <c r="AC1628" s="105" t="s">
        <v>3681</v>
      </c>
      <c r="AD1628" s="115" t="s">
        <v>180</v>
      </c>
    </row>
    <row r="1629" spans="1:30" x14ac:dyDescent="0.2">
      <c r="A1629" s="104" t="s">
        <v>15226</v>
      </c>
      <c r="B1629" s="105" t="s">
        <v>42</v>
      </c>
      <c r="C1629" s="105" t="s">
        <v>2716</v>
      </c>
      <c r="D1629" s="106"/>
      <c r="E1629" s="107"/>
      <c r="F1629" s="108" t="s">
        <v>15227</v>
      </c>
      <c r="G1629" s="120">
        <v>2</v>
      </c>
      <c r="H1629" s="108" t="s">
        <v>15228</v>
      </c>
      <c r="I1629" s="116">
        <v>1</v>
      </c>
      <c r="J1629" s="111" t="s">
        <v>40</v>
      </c>
      <c r="K1629" s="108" t="s">
        <v>15229</v>
      </c>
      <c r="L1629" s="116">
        <v>1</v>
      </c>
      <c r="M1629" s="111" t="s">
        <v>40</v>
      </c>
      <c r="N1629" s="108" t="s">
        <v>15227</v>
      </c>
      <c r="O1629" s="117">
        <v>2</v>
      </c>
      <c r="P1629" s="111" t="s">
        <v>40</v>
      </c>
      <c r="Q1629" s="108" t="s">
        <v>15230</v>
      </c>
      <c r="R1629" s="110">
        <v>3</v>
      </c>
      <c r="S1629" s="111" t="s">
        <v>40</v>
      </c>
      <c r="T1629" s="108" t="s">
        <v>47</v>
      </c>
      <c r="U1629" s="114"/>
      <c r="V1629" s="113"/>
      <c r="W1629" s="108" t="s">
        <v>47</v>
      </c>
      <c r="X1629" s="114"/>
      <c r="Y1629" s="113"/>
      <c r="Z1629" s="108" t="s">
        <v>47</v>
      </c>
      <c r="AA1629" s="114"/>
      <c r="AB1629" s="113"/>
      <c r="AC1629" s="105" t="s">
        <v>3682</v>
      </c>
      <c r="AD1629" s="115" t="s">
        <v>49</v>
      </c>
    </row>
    <row r="1630" spans="1:30" x14ac:dyDescent="0.2">
      <c r="A1630" s="104" t="s">
        <v>3683</v>
      </c>
      <c r="B1630" s="105" t="s">
        <v>381</v>
      </c>
      <c r="C1630" s="105" t="s">
        <v>3684</v>
      </c>
      <c r="D1630" s="106"/>
      <c r="E1630" s="107"/>
      <c r="F1630" s="108" t="s">
        <v>2333</v>
      </c>
      <c r="G1630" s="118">
        <v>3</v>
      </c>
      <c r="H1630" s="108" t="s">
        <v>15231</v>
      </c>
      <c r="I1630" s="110">
        <v>3</v>
      </c>
      <c r="J1630" s="113"/>
      <c r="K1630" s="108" t="s">
        <v>15232</v>
      </c>
      <c r="L1630" s="110">
        <v>3</v>
      </c>
      <c r="M1630" s="111" t="s">
        <v>46</v>
      </c>
      <c r="N1630" s="108" t="s">
        <v>2333</v>
      </c>
      <c r="O1630" s="110">
        <v>3</v>
      </c>
      <c r="P1630" s="111" t="s">
        <v>40</v>
      </c>
      <c r="Q1630" s="108" t="s">
        <v>3685</v>
      </c>
      <c r="R1630" s="112">
        <v>4</v>
      </c>
      <c r="S1630" s="113"/>
      <c r="T1630" s="108" t="s">
        <v>47</v>
      </c>
      <c r="U1630" s="114"/>
      <c r="V1630" s="113"/>
      <c r="W1630" s="108" t="s">
        <v>47</v>
      </c>
      <c r="X1630" s="114"/>
      <c r="Y1630" s="113"/>
      <c r="Z1630" s="108" t="s">
        <v>47</v>
      </c>
      <c r="AA1630" s="114"/>
      <c r="AB1630" s="113"/>
      <c r="AC1630" s="105" t="s">
        <v>3686</v>
      </c>
      <c r="AD1630" s="115" t="s">
        <v>101</v>
      </c>
    </row>
    <row r="1631" spans="1:30" x14ac:dyDescent="0.2">
      <c r="A1631" s="104" t="s">
        <v>3687</v>
      </c>
      <c r="B1631" s="105" t="s">
        <v>381</v>
      </c>
      <c r="C1631" s="105" t="s">
        <v>3684</v>
      </c>
      <c r="D1631" s="106"/>
      <c r="E1631" s="107"/>
      <c r="F1631" s="108" t="s">
        <v>14916</v>
      </c>
      <c r="G1631" s="118">
        <v>3</v>
      </c>
      <c r="H1631" s="108" t="s">
        <v>15233</v>
      </c>
      <c r="I1631" s="110">
        <v>3</v>
      </c>
      <c r="J1631" s="113"/>
      <c r="K1631" s="108" t="s">
        <v>15234</v>
      </c>
      <c r="L1631" s="110">
        <v>3</v>
      </c>
      <c r="M1631" s="111" t="s">
        <v>46</v>
      </c>
      <c r="N1631" s="108" t="s">
        <v>14916</v>
      </c>
      <c r="O1631" s="110">
        <v>3</v>
      </c>
      <c r="P1631" s="111" t="s">
        <v>40</v>
      </c>
      <c r="Q1631" s="108" t="s">
        <v>15235</v>
      </c>
      <c r="R1631" s="112">
        <v>4</v>
      </c>
      <c r="S1631" s="113"/>
      <c r="T1631" s="108" t="s">
        <v>47</v>
      </c>
      <c r="U1631" s="114"/>
      <c r="V1631" s="113"/>
      <c r="W1631" s="108" t="s">
        <v>47</v>
      </c>
      <c r="X1631" s="114"/>
      <c r="Y1631" s="113"/>
      <c r="Z1631" s="108" t="s">
        <v>47</v>
      </c>
      <c r="AA1631" s="114"/>
      <c r="AB1631" s="113"/>
      <c r="AC1631" s="105" t="s">
        <v>3688</v>
      </c>
      <c r="AD1631" s="115" t="s">
        <v>101</v>
      </c>
    </row>
    <row r="1632" spans="1:30" x14ac:dyDescent="0.2">
      <c r="A1632" s="104" t="s">
        <v>15236</v>
      </c>
      <c r="B1632" s="105" t="s">
        <v>42</v>
      </c>
      <c r="C1632" s="105" t="s">
        <v>2716</v>
      </c>
      <c r="D1632" s="106" t="s">
        <v>105</v>
      </c>
      <c r="E1632" s="107"/>
      <c r="F1632" s="108" t="s">
        <v>15237</v>
      </c>
      <c r="G1632" s="120">
        <v>2</v>
      </c>
      <c r="H1632" s="108" t="s">
        <v>15238</v>
      </c>
      <c r="I1632" s="116">
        <v>1</v>
      </c>
      <c r="J1632" s="111" t="s">
        <v>40</v>
      </c>
      <c r="K1632" s="108" t="s">
        <v>15239</v>
      </c>
      <c r="L1632" s="116">
        <v>1</v>
      </c>
      <c r="M1632" s="111" t="s">
        <v>40</v>
      </c>
      <c r="N1632" s="108" t="s">
        <v>15237</v>
      </c>
      <c r="O1632" s="117">
        <v>2</v>
      </c>
      <c r="P1632" s="111" t="s">
        <v>40</v>
      </c>
      <c r="Q1632" s="108" t="s">
        <v>15240</v>
      </c>
      <c r="R1632" s="110">
        <v>3</v>
      </c>
      <c r="S1632" s="111" t="s">
        <v>40</v>
      </c>
      <c r="T1632" s="108" t="s">
        <v>15241</v>
      </c>
      <c r="U1632" s="110">
        <v>3</v>
      </c>
      <c r="V1632" s="113"/>
      <c r="W1632" s="108" t="s">
        <v>47</v>
      </c>
      <c r="X1632" s="114"/>
      <c r="Y1632" s="113"/>
      <c r="Z1632" s="108" t="s">
        <v>47</v>
      </c>
      <c r="AA1632" s="114"/>
      <c r="AB1632" s="113"/>
      <c r="AC1632" s="105" t="s">
        <v>3689</v>
      </c>
      <c r="AD1632" s="115" t="s">
        <v>49</v>
      </c>
    </row>
    <row r="1633" spans="1:30" x14ac:dyDescent="0.2">
      <c r="A1633" s="104" t="s">
        <v>15242</v>
      </c>
      <c r="B1633" s="105" t="s">
        <v>42</v>
      </c>
      <c r="C1633" s="105" t="s">
        <v>2716</v>
      </c>
      <c r="D1633" s="106" t="s">
        <v>125</v>
      </c>
      <c r="E1633" s="107"/>
      <c r="F1633" s="108" t="s">
        <v>15243</v>
      </c>
      <c r="G1633" s="120">
        <v>2</v>
      </c>
      <c r="H1633" s="108" t="s">
        <v>15244</v>
      </c>
      <c r="I1633" s="116">
        <v>1</v>
      </c>
      <c r="J1633" s="111" t="s">
        <v>40</v>
      </c>
      <c r="K1633" s="108" t="s">
        <v>15245</v>
      </c>
      <c r="L1633" s="116">
        <v>1</v>
      </c>
      <c r="M1633" s="111" t="s">
        <v>40</v>
      </c>
      <c r="N1633" s="108" t="s">
        <v>15243</v>
      </c>
      <c r="O1633" s="117">
        <v>2</v>
      </c>
      <c r="P1633" s="111" t="s">
        <v>40</v>
      </c>
      <c r="Q1633" s="108" t="s">
        <v>15246</v>
      </c>
      <c r="R1633" s="110">
        <v>3</v>
      </c>
      <c r="S1633" s="111" t="s">
        <v>40</v>
      </c>
      <c r="T1633" s="108" t="s">
        <v>15247</v>
      </c>
      <c r="U1633" s="110">
        <v>3</v>
      </c>
      <c r="V1633" s="113"/>
      <c r="W1633" s="108" t="s">
        <v>47</v>
      </c>
      <c r="X1633" s="114"/>
      <c r="Y1633" s="113"/>
      <c r="Z1633" s="108" t="s">
        <v>47</v>
      </c>
      <c r="AA1633" s="114"/>
      <c r="AB1633" s="113"/>
      <c r="AC1633" s="105" t="s">
        <v>3690</v>
      </c>
      <c r="AD1633" s="115" t="s">
        <v>49</v>
      </c>
    </row>
    <row r="1634" spans="1:30" x14ac:dyDescent="0.2">
      <c r="A1634" s="104" t="s">
        <v>3691</v>
      </c>
      <c r="B1634" s="105" t="s">
        <v>42</v>
      </c>
      <c r="C1634" s="105" t="s">
        <v>3692</v>
      </c>
      <c r="D1634" s="106" t="s">
        <v>105</v>
      </c>
      <c r="E1634" s="107" t="s">
        <v>146</v>
      </c>
      <c r="F1634" s="108" t="s">
        <v>15248</v>
      </c>
      <c r="G1634" s="118">
        <v>3</v>
      </c>
      <c r="H1634" s="108" t="s">
        <v>15249</v>
      </c>
      <c r="I1634" s="116">
        <v>1</v>
      </c>
      <c r="J1634" s="111" t="s">
        <v>53</v>
      </c>
      <c r="K1634" s="108" t="s">
        <v>15250</v>
      </c>
      <c r="L1634" s="110">
        <v>3</v>
      </c>
      <c r="M1634" s="113"/>
      <c r="N1634" s="108" t="s">
        <v>15248</v>
      </c>
      <c r="O1634" s="110">
        <v>3</v>
      </c>
      <c r="P1634" s="111" t="s">
        <v>40</v>
      </c>
      <c r="Q1634" s="108" t="s">
        <v>15251</v>
      </c>
      <c r="R1634" s="112">
        <v>4</v>
      </c>
      <c r="S1634" s="113"/>
      <c r="T1634" s="108" t="s">
        <v>15252</v>
      </c>
      <c r="U1634" s="112">
        <v>4</v>
      </c>
      <c r="V1634" s="113"/>
      <c r="W1634" s="108" t="s">
        <v>47</v>
      </c>
      <c r="X1634" s="114"/>
      <c r="Y1634" s="113"/>
      <c r="Z1634" s="108" t="s">
        <v>47</v>
      </c>
      <c r="AA1634" s="114"/>
      <c r="AB1634" s="113"/>
      <c r="AC1634" s="105" t="s">
        <v>3693</v>
      </c>
      <c r="AD1634" s="115" t="s">
        <v>49</v>
      </c>
    </row>
    <row r="1635" spans="1:30" x14ac:dyDescent="0.2">
      <c r="A1635" s="104" t="s">
        <v>3694</v>
      </c>
      <c r="B1635" s="105" t="s">
        <v>42</v>
      </c>
      <c r="C1635" s="105" t="s">
        <v>200</v>
      </c>
      <c r="D1635" s="106"/>
      <c r="E1635" s="107"/>
      <c r="F1635" s="108" t="s">
        <v>47</v>
      </c>
      <c r="G1635" s="113"/>
      <c r="H1635" s="108" t="s">
        <v>47</v>
      </c>
      <c r="I1635" s="114"/>
      <c r="J1635" s="113"/>
      <c r="K1635" s="108" t="s">
        <v>47</v>
      </c>
      <c r="L1635" s="114"/>
      <c r="M1635" s="113"/>
      <c r="N1635" s="108" t="s">
        <v>47</v>
      </c>
      <c r="O1635" s="114"/>
      <c r="P1635" s="113"/>
      <c r="Q1635" s="108" t="s">
        <v>47</v>
      </c>
      <c r="R1635" s="114"/>
      <c r="S1635" s="113"/>
      <c r="T1635" s="108" t="s">
        <v>47</v>
      </c>
      <c r="U1635" s="114"/>
      <c r="V1635" s="113"/>
      <c r="W1635" s="108" t="s">
        <v>47</v>
      </c>
      <c r="X1635" s="114"/>
      <c r="Y1635" s="113"/>
      <c r="Z1635" s="108" t="s">
        <v>47</v>
      </c>
      <c r="AA1635" s="114"/>
      <c r="AB1635" s="113"/>
      <c r="AC1635" s="105" t="s">
        <v>3695</v>
      </c>
      <c r="AD1635" s="115" t="s">
        <v>49</v>
      </c>
    </row>
    <row r="1636" spans="1:30" x14ac:dyDescent="0.2">
      <c r="A1636" s="104" t="s">
        <v>3696</v>
      </c>
      <c r="B1636" s="105" t="s">
        <v>212</v>
      </c>
      <c r="C1636" s="105" t="s">
        <v>200</v>
      </c>
      <c r="D1636" s="106"/>
      <c r="E1636" s="107"/>
      <c r="F1636" s="108" t="s">
        <v>15253</v>
      </c>
      <c r="G1636" s="118">
        <v>3</v>
      </c>
      <c r="H1636" s="108" t="s">
        <v>15254</v>
      </c>
      <c r="I1636" s="116">
        <v>1</v>
      </c>
      <c r="J1636" s="111" t="s">
        <v>40</v>
      </c>
      <c r="K1636" s="108" t="s">
        <v>15255</v>
      </c>
      <c r="L1636" s="117">
        <v>2</v>
      </c>
      <c r="M1636" s="113"/>
      <c r="N1636" s="108" t="s">
        <v>15253</v>
      </c>
      <c r="O1636" s="110">
        <v>3</v>
      </c>
      <c r="P1636" s="113"/>
      <c r="Q1636" s="108" t="s">
        <v>15256</v>
      </c>
      <c r="R1636" s="110">
        <v>3</v>
      </c>
      <c r="S1636" s="113"/>
      <c r="T1636" s="108" t="s">
        <v>47</v>
      </c>
      <c r="U1636" s="114"/>
      <c r="V1636" s="113"/>
      <c r="W1636" s="108" t="s">
        <v>47</v>
      </c>
      <c r="X1636" s="114"/>
      <c r="Y1636" s="113"/>
      <c r="Z1636" s="108" t="s">
        <v>47</v>
      </c>
      <c r="AA1636" s="114"/>
      <c r="AB1636" s="113"/>
      <c r="AC1636" s="105" t="s">
        <v>3697</v>
      </c>
      <c r="AD1636" s="115" t="s">
        <v>49</v>
      </c>
    </row>
    <row r="1637" spans="1:30" x14ac:dyDescent="0.2">
      <c r="A1637" s="104" t="s">
        <v>3698</v>
      </c>
      <c r="B1637" s="105" t="s">
        <v>212</v>
      </c>
      <c r="C1637" s="105" t="s">
        <v>200</v>
      </c>
      <c r="D1637" s="106"/>
      <c r="E1637" s="107"/>
      <c r="F1637" s="108" t="s">
        <v>15257</v>
      </c>
      <c r="G1637" s="118">
        <v>3</v>
      </c>
      <c r="H1637" s="108" t="s">
        <v>15258</v>
      </c>
      <c r="I1637" s="116">
        <v>1</v>
      </c>
      <c r="J1637" s="111" t="s">
        <v>40</v>
      </c>
      <c r="K1637" s="108" t="s">
        <v>15259</v>
      </c>
      <c r="L1637" s="117">
        <v>2</v>
      </c>
      <c r="M1637" s="113"/>
      <c r="N1637" s="108" t="s">
        <v>15257</v>
      </c>
      <c r="O1637" s="110">
        <v>3</v>
      </c>
      <c r="P1637" s="113"/>
      <c r="Q1637" s="108" t="s">
        <v>15260</v>
      </c>
      <c r="R1637" s="112">
        <v>4</v>
      </c>
      <c r="S1637" s="111" t="s">
        <v>46</v>
      </c>
      <c r="T1637" s="108" t="s">
        <v>15261</v>
      </c>
      <c r="U1637" s="110">
        <v>3</v>
      </c>
      <c r="V1637" s="113"/>
      <c r="W1637" s="108" t="s">
        <v>15262</v>
      </c>
      <c r="X1637" s="112">
        <v>4</v>
      </c>
      <c r="Y1637" s="113"/>
      <c r="Z1637" s="108" t="s">
        <v>15263</v>
      </c>
      <c r="AA1637" s="112">
        <v>4</v>
      </c>
      <c r="AB1637" s="111" t="s">
        <v>46</v>
      </c>
      <c r="AC1637" s="105" t="s">
        <v>3699</v>
      </c>
      <c r="AD1637" s="115" t="s">
        <v>49</v>
      </c>
    </row>
    <row r="1638" spans="1:30" x14ac:dyDescent="0.2">
      <c r="A1638" s="104" t="s">
        <v>3700</v>
      </c>
      <c r="B1638" s="105" t="s">
        <v>212</v>
      </c>
      <c r="C1638" s="105" t="s">
        <v>200</v>
      </c>
      <c r="D1638" s="106"/>
      <c r="E1638" s="107"/>
      <c r="F1638" s="108" t="s">
        <v>15264</v>
      </c>
      <c r="G1638" s="118">
        <v>3</v>
      </c>
      <c r="H1638" s="108" t="s">
        <v>15265</v>
      </c>
      <c r="I1638" s="116">
        <v>1</v>
      </c>
      <c r="J1638" s="111" t="s">
        <v>40</v>
      </c>
      <c r="K1638" s="108" t="s">
        <v>15266</v>
      </c>
      <c r="L1638" s="117">
        <v>2</v>
      </c>
      <c r="M1638" s="113"/>
      <c r="N1638" s="108" t="s">
        <v>15264</v>
      </c>
      <c r="O1638" s="110">
        <v>3</v>
      </c>
      <c r="P1638" s="113"/>
      <c r="Q1638" s="108" t="s">
        <v>15267</v>
      </c>
      <c r="R1638" s="112">
        <v>4</v>
      </c>
      <c r="S1638" s="113"/>
      <c r="T1638" s="108" t="s">
        <v>47</v>
      </c>
      <c r="U1638" s="114"/>
      <c r="V1638" s="113"/>
      <c r="W1638" s="108" t="s">
        <v>47</v>
      </c>
      <c r="X1638" s="114"/>
      <c r="Y1638" s="113"/>
      <c r="Z1638" s="108" t="s">
        <v>47</v>
      </c>
      <c r="AA1638" s="114"/>
      <c r="AB1638" s="113"/>
      <c r="AC1638" s="105" t="s">
        <v>3701</v>
      </c>
      <c r="AD1638" s="115" t="s">
        <v>49</v>
      </c>
    </row>
    <row r="1639" spans="1:30" x14ac:dyDescent="0.2">
      <c r="A1639" s="104" t="s">
        <v>3702</v>
      </c>
      <c r="B1639" s="105" t="s">
        <v>212</v>
      </c>
      <c r="C1639" s="105" t="s">
        <v>122</v>
      </c>
      <c r="D1639" s="106"/>
      <c r="E1639" s="107"/>
      <c r="F1639" s="108" t="s">
        <v>47</v>
      </c>
      <c r="G1639" s="113"/>
      <c r="H1639" s="108" t="s">
        <v>15268</v>
      </c>
      <c r="I1639" s="117">
        <v>2</v>
      </c>
      <c r="J1639" s="111" t="s">
        <v>53</v>
      </c>
      <c r="K1639" s="108" t="s">
        <v>15269</v>
      </c>
      <c r="L1639" s="112">
        <v>4</v>
      </c>
      <c r="M1639" s="113"/>
      <c r="N1639" s="108" t="s">
        <v>47</v>
      </c>
      <c r="O1639" s="114"/>
      <c r="P1639" s="113"/>
      <c r="Q1639" s="108" t="s">
        <v>47</v>
      </c>
      <c r="R1639" s="114"/>
      <c r="S1639" s="113"/>
      <c r="T1639" s="108" t="s">
        <v>47</v>
      </c>
      <c r="U1639" s="114"/>
      <c r="V1639" s="113"/>
      <c r="W1639" s="108" t="s">
        <v>47</v>
      </c>
      <c r="X1639" s="114"/>
      <c r="Y1639" s="113"/>
      <c r="Z1639" s="108" t="s">
        <v>47</v>
      </c>
      <c r="AA1639" s="114"/>
      <c r="AB1639" s="113"/>
      <c r="AC1639" s="105" t="s">
        <v>3703</v>
      </c>
      <c r="AD1639" s="115" t="s">
        <v>49</v>
      </c>
    </row>
    <row r="1640" spans="1:30" x14ac:dyDescent="0.2">
      <c r="A1640" s="104" t="s">
        <v>3704</v>
      </c>
      <c r="B1640" s="105" t="s">
        <v>97</v>
      </c>
      <c r="C1640" s="105" t="s">
        <v>582</v>
      </c>
      <c r="D1640" s="106" t="s">
        <v>298</v>
      </c>
      <c r="E1640" s="107"/>
      <c r="F1640" s="108" t="s">
        <v>15270</v>
      </c>
      <c r="G1640" s="118">
        <v>3</v>
      </c>
      <c r="H1640" s="108" t="s">
        <v>15271</v>
      </c>
      <c r="I1640" s="116">
        <v>1</v>
      </c>
      <c r="J1640" s="111" t="s">
        <v>157</v>
      </c>
      <c r="K1640" s="108" t="s">
        <v>15272</v>
      </c>
      <c r="L1640" s="110">
        <v>3</v>
      </c>
      <c r="M1640" s="111" t="s">
        <v>40</v>
      </c>
      <c r="N1640" s="108" t="s">
        <v>15270</v>
      </c>
      <c r="O1640" s="110">
        <v>3</v>
      </c>
      <c r="P1640" s="111" t="s">
        <v>40</v>
      </c>
      <c r="Q1640" s="108" t="s">
        <v>15273</v>
      </c>
      <c r="R1640" s="110">
        <v>3</v>
      </c>
      <c r="S1640" s="111" t="s">
        <v>40</v>
      </c>
      <c r="T1640" s="108" t="s">
        <v>15274</v>
      </c>
      <c r="U1640" s="112">
        <v>4</v>
      </c>
      <c r="V1640" s="113"/>
      <c r="W1640" s="108" t="s">
        <v>15275</v>
      </c>
      <c r="X1640" s="112">
        <v>4</v>
      </c>
      <c r="Y1640" s="113"/>
      <c r="Z1640" s="108" t="s">
        <v>15276</v>
      </c>
      <c r="AA1640" s="112">
        <v>4</v>
      </c>
      <c r="AB1640" s="113"/>
      <c r="AC1640" s="105" t="s">
        <v>3705</v>
      </c>
      <c r="AD1640" s="115" t="s">
        <v>101</v>
      </c>
    </row>
    <row r="1641" spans="1:30" x14ac:dyDescent="0.2">
      <c r="A1641" s="104" t="s">
        <v>3706</v>
      </c>
      <c r="B1641" s="105" t="s">
        <v>97</v>
      </c>
      <c r="C1641" s="105" t="s">
        <v>582</v>
      </c>
      <c r="D1641" s="106" t="s">
        <v>298</v>
      </c>
      <c r="E1641" s="107"/>
      <c r="F1641" s="108" t="s">
        <v>15277</v>
      </c>
      <c r="G1641" s="118">
        <v>3</v>
      </c>
      <c r="H1641" s="108" t="s">
        <v>15278</v>
      </c>
      <c r="I1641" s="116">
        <v>1</v>
      </c>
      <c r="J1641" s="111" t="s">
        <v>157</v>
      </c>
      <c r="K1641" s="108" t="s">
        <v>15279</v>
      </c>
      <c r="L1641" s="110">
        <v>3</v>
      </c>
      <c r="M1641" s="111" t="s">
        <v>40</v>
      </c>
      <c r="N1641" s="108" t="s">
        <v>15277</v>
      </c>
      <c r="O1641" s="110">
        <v>3</v>
      </c>
      <c r="P1641" s="111" t="s">
        <v>40</v>
      </c>
      <c r="Q1641" s="108" t="s">
        <v>15280</v>
      </c>
      <c r="R1641" s="110">
        <v>3</v>
      </c>
      <c r="S1641" s="111" t="s">
        <v>40</v>
      </c>
      <c r="T1641" s="108" t="s">
        <v>15281</v>
      </c>
      <c r="U1641" s="112">
        <v>4</v>
      </c>
      <c r="V1641" s="113"/>
      <c r="W1641" s="108" t="s">
        <v>15282</v>
      </c>
      <c r="X1641" s="112">
        <v>4</v>
      </c>
      <c r="Y1641" s="113"/>
      <c r="Z1641" s="108" t="s">
        <v>15283</v>
      </c>
      <c r="AA1641" s="112">
        <v>4</v>
      </c>
      <c r="AB1641" s="113"/>
      <c r="AC1641" s="105" t="s">
        <v>3707</v>
      </c>
      <c r="AD1641" s="115" t="s">
        <v>101</v>
      </c>
    </row>
    <row r="1642" spans="1:30" x14ac:dyDescent="0.2">
      <c r="A1642" s="104" t="s">
        <v>3708</v>
      </c>
      <c r="B1642" s="105" t="s">
        <v>97</v>
      </c>
      <c r="C1642" s="105" t="s">
        <v>2741</v>
      </c>
      <c r="D1642" s="106" t="s">
        <v>125</v>
      </c>
      <c r="E1642" s="107"/>
      <c r="F1642" s="108" t="s">
        <v>15284</v>
      </c>
      <c r="G1642" s="109">
        <v>4</v>
      </c>
      <c r="H1642" s="108" t="s">
        <v>15285</v>
      </c>
      <c r="I1642" s="110">
        <v>3</v>
      </c>
      <c r="J1642" s="111" t="s">
        <v>40</v>
      </c>
      <c r="K1642" s="108" t="s">
        <v>15286</v>
      </c>
      <c r="L1642" s="112">
        <v>4</v>
      </c>
      <c r="M1642" s="113"/>
      <c r="N1642" s="108" t="s">
        <v>15284</v>
      </c>
      <c r="O1642" s="112">
        <v>4</v>
      </c>
      <c r="P1642" s="113"/>
      <c r="Q1642" s="108" t="s">
        <v>15287</v>
      </c>
      <c r="R1642" s="112">
        <v>4</v>
      </c>
      <c r="S1642" s="113"/>
      <c r="T1642" s="108" t="s">
        <v>15288</v>
      </c>
      <c r="U1642" s="117">
        <v>2</v>
      </c>
      <c r="V1642" s="113"/>
      <c r="W1642" s="108" t="s">
        <v>15289</v>
      </c>
      <c r="X1642" s="112">
        <v>4</v>
      </c>
      <c r="Y1642" s="113"/>
      <c r="Z1642" s="108" t="s">
        <v>15290</v>
      </c>
      <c r="AA1642" s="110">
        <v>3</v>
      </c>
      <c r="AB1642" s="111" t="s">
        <v>46</v>
      </c>
      <c r="AC1642" s="105" t="s">
        <v>3709</v>
      </c>
      <c r="AD1642" s="115" t="s">
        <v>101</v>
      </c>
    </row>
    <row r="1643" spans="1:30" x14ac:dyDescent="0.2">
      <c r="A1643" s="104" t="s">
        <v>3710</v>
      </c>
      <c r="B1643" s="105" t="s">
        <v>97</v>
      </c>
      <c r="C1643" s="105" t="s">
        <v>2741</v>
      </c>
      <c r="D1643" s="106" t="s">
        <v>125</v>
      </c>
      <c r="E1643" s="107"/>
      <c r="F1643" s="108" t="s">
        <v>15291</v>
      </c>
      <c r="G1643" s="109">
        <v>4</v>
      </c>
      <c r="H1643" s="108" t="s">
        <v>15292</v>
      </c>
      <c r="I1643" s="110">
        <v>3</v>
      </c>
      <c r="J1643" s="111" t="s">
        <v>40</v>
      </c>
      <c r="K1643" s="108" t="s">
        <v>15293</v>
      </c>
      <c r="L1643" s="112">
        <v>4</v>
      </c>
      <c r="M1643" s="113"/>
      <c r="N1643" s="108" t="s">
        <v>15291</v>
      </c>
      <c r="O1643" s="112">
        <v>4</v>
      </c>
      <c r="P1643" s="113"/>
      <c r="Q1643" s="108" t="s">
        <v>15294</v>
      </c>
      <c r="R1643" s="112">
        <v>4</v>
      </c>
      <c r="S1643" s="113"/>
      <c r="T1643" s="108" t="s">
        <v>15295</v>
      </c>
      <c r="U1643" s="117">
        <v>2</v>
      </c>
      <c r="V1643" s="113"/>
      <c r="W1643" s="108" t="s">
        <v>15296</v>
      </c>
      <c r="X1643" s="112">
        <v>4</v>
      </c>
      <c r="Y1643" s="113"/>
      <c r="Z1643" s="108" t="s">
        <v>15297</v>
      </c>
      <c r="AA1643" s="110">
        <v>3</v>
      </c>
      <c r="AB1643" s="111" t="s">
        <v>46</v>
      </c>
      <c r="AC1643" s="105" t="s">
        <v>3711</v>
      </c>
      <c r="AD1643" s="115" t="s">
        <v>101</v>
      </c>
    </row>
    <row r="1644" spans="1:30" x14ac:dyDescent="0.2">
      <c r="A1644" s="104" t="s">
        <v>15298</v>
      </c>
      <c r="B1644" s="105" t="s">
        <v>212</v>
      </c>
      <c r="C1644" s="105" t="s">
        <v>384</v>
      </c>
      <c r="D1644" s="106"/>
      <c r="E1644" s="107"/>
      <c r="F1644" s="108" t="s">
        <v>47</v>
      </c>
      <c r="G1644" s="113"/>
      <c r="H1644" s="108" t="s">
        <v>15299</v>
      </c>
      <c r="I1644" s="110">
        <v>3</v>
      </c>
      <c r="J1644" s="113"/>
      <c r="K1644" s="108" t="s">
        <v>47</v>
      </c>
      <c r="L1644" s="114"/>
      <c r="M1644" s="113"/>
      <c r="N1644" s="108" t="s">
        <v>47</v>
      </c>
      <c r="O1644" s="114"/>
      <c r="P1644" s="113"/>
      <c r="Q1644" s="108" t="s">
        <v>47</v>
      </c>
      <c r="R1644" s="114"/>
      <c r="S1644" s="113"/>
      <c r="T1644" s="108" t="s">
        <v>47</v>
      </c>
      <c r="U1644" s="114"/>
      <c r="V1644" s="113"/>
      <c r="W1644" s="108" t="s">
        <v>47</v>
      </c>
      <c r="X1644" s="114"/>
      <c r="Y1644" s="113"/>
      <c r="Z1644" s="108" t="s">
        <v>47</v>
      </c>
      <c r="AA1644" s="114"/>
      <c r="AB1644" s="113"/>
      <c r="AC1644" s="105" t="s">
        <v>15300</v>
      </c>
      <c r="AD1644" s="115" t="s">
        <v>49</v>
      </c>
    </row>
    <row r="1645" spans="1:30" x14ac:dyDescent="0.2">
      <c r="A1645" s="104" t="s">
        <v>15301</v>
      </c>
      <c r="B1645" s="105" t="s">
        <v>212</v>
      </c>
      <c r="C1645" s="105" t="s">
        <v>384</v>
      </c>
      <c r="D1645" s="106"/>
      <c r="E1645" s="107"/>
      <c r="F1645" s="108" t="s">
        <v>47</v>
      </c>
      <c r="G1645" s="113"/>
      <c r="H1645" s="108" t="s">
        <v>15302</v>
      </c>
      <c r="I1645" s="110">
        <v>3</v>
      </c>
      <c r="J1645" s="113"/>
      <c r="K1645" s="108" t="s">
        <v>47</v>
      </c>
      <c r="L1645" s="114"/>
      <c r="M1645" s="113"/>
      <c r="N1645" s="108" t="s">
        <v>47</v>
      </c>
      <c r="O1645" s="114"/>
      <c r="P1645" s="113"/>
      <c r="Q1645" s="108" t="s">
        <v>47</v>
      </c>
      <c r="R1645" s="114"/>
      <c r="S1645" s="113"/>
      <c r="T1645" s="108" t="s">
        <v>47</v>
      </c>
      <c r="U1645" s="114"/>
      <c r="V1645" s="113"/>
      <c r="W1645" s="108" t="s">
        <v>47</v>
      </c>
      <c r="X1645" s="114"/>
      <c r="Y1645" s="113"/>
      <c r="Z1645" s="108" t="s">
        <v>47</v>
      </c>
      <c r="AA1645" s="114"/>
      <c r="AB1645" s="113"/>
      <c r="AC1645" s="105" t="s">
        <v>15303</v>
      </c>
      <c r="AD1645" s="115" t="s">
        <v>49</v>
      </c>
    </row>
    <row r="1646" spans="1:30" x14ac:dyDescent="0.2">
      <c r="A1646" s="104" t="s">
        <v>3712</v>
      </c>
      <c r="B1646" s="105" t="s">
        <v>42</v>
      </c>
      <c r="C1646" s="105" t="s">
        <v>51</v>
      </c>
      <c r="D1646" s="106"/>
      <c r="E1646" s="107"/>
      <c r="F1646" s="108" t="s">
        <v>15304</v>
      </c>
      <c r="G1646" s="118">
        <v>3</v>
      </c>
      <c r="H1646" s="108" t="s">
        <v>15305</v>
      </c>
      <c r="I1646" s="116">
        <v>1</v>
      </c>
      <c r="J1646" s="111" t="s">
        <v>53</v>
      </c>
      <c r="K1646" s="108" t="s">
        <v>15306</v>
      </c>
      <c r="L1646" s="117">
        <v>2</v>
      </c>
      <c r="M1646" s="111" t="s">
        <v>40</v>
      </c>
      <c r="N1646" s="108" t="s">
        <v>15304</v>
      </c>
      <c r="O1646" s="110">
        <v>3</v>
      </c>
      <c r="P1646" s="111" t="s">
        <v>40</v>
      </c>
      <c r="Q1646" s="108" t="s">
        <v>15307</v>
      </c>
      <c r="R1646" s="112">
        <v>4</v>
      </c>
      <c r="S1646" s="113"/>
      <c r="T1646" s="108" t="s">
        <v>15308</v>
      </c>
      <c r="U1646" s="112">
        <v>4</v>
      </c>
      <c r="V1646" s="113"/>
      <c r="W1646" s="108" t="s">
        <v>15309</v>
      </c>
      <c r="X1646" s="112">
        <v>4</v>
      </c>
      <c r="Y1646" s="113"/>
      <c r="Z1646" s="108" t="s">
        <v>15310</v>
      </c>
      <c r="AA1646" s="112">
        <v>4</v>
      </c>
      <c r="AB1646" s="111" t="s">
        <v>46</v>
      </c>
      <c r="AC1646" s="105" t="s">
        <v>3713</v>
      </c>
      <c r="AD1646" s="115" t="s">
        <v>49</v>
      </c>
    </row>
    <row r="1647" spans="1:30" x14ac:dyDescent="0.2">
      <c r="A1647" s="104" t="s">
        <v>3714</v>
      </c>
      <c r="B1647" s="105" t="s">
        <v>42</v>
      </c>
      <c r="C1647" s="105" t="s">
        <v>51</v>
      </c>
      <c r="D1647" s="106"/>
      <c r="E1647" s="107"/>
      <c r="F1647" s="108" t="s">
        <v>15311</v>
      </c>
      <c r="G1647" s="118">
        <v>3</v>
      </c>
      <c r="H1647" s="108" t="s">
        <v>15312</v>
      </c>
      <c r="I1647" s="116">
        <v>1</v>
      </c>
      <c r="J1647" s="111" t="s">
        <v>53</v>
      </c>
      <c r="K1647" s="108" t="s">
        <v>15313</v>
      </c>
      <c r="L1647" s="117">
        <v>2</v>
      </c>
      <c r="M1647" s="111" t="s">
        <v>40</v>
      </c>
      <c r="N1647" s="108" t="s">
        <v>15311</v>
      </c>
      <c r="O1647" s="110">
        <v>3</v>
      </c>
      <c r="P1647" s="111" t="s">
        <v>40</v>
      </c>
      <c r="Q1647" s="108" t="s">
        <v>15314</v>
      </c>
      <c r="R1647" s="112">
        <v>4</v>
      </c>
      <c r="S1647" s="113"/>
      <c r="T1647" s="108" t="s">
        <v>15315</v>
      </c>
      <c r="U1647" s="112">
        <v>4</v>
      </c>
      <c r="V1647" s="113"/>
      <c r="W1647" s="108" t="s">
        <v>15316</v>
      </c>
      <c r="X1647" s="112">
        <v>4</v>
      </c>
      <c r="Y1647" s="113"/>
      <c r="Z1647" s="108" t="s">
        <v>15317</v>
      </c>
      <c r="AA1647" s="112">
        <v>4</v>
      </c>
      <c r="AB1647" s="111" t="s">
        <v>46</v>
      </c>
      <c r="AC1647" s="105" t="s">
        <v>3715</v>
      </c>
      <c r="AD1647" s="115" t="s">
        <v>49</v>
      </c>
    </row>
    <row r="1648" spans="1:30" x14ac:dyDescent="0.2">
      <c r="A1648" s="104" t="s">
        <v>3716</v>
      </c>
      <c r="B1648" s="105" t="s">
        <v>42</v>
      </c>
      <c r="C1648" s="105" t="s">
        <v>51</v>
      </c>
      <c r="D1648" s="106"/>
      <c r="E1648" s="107"/>
      <c r="F1648" s="108" t="s">
        <v>15318</v>
      </c>
      <c r="G1648" s="118">
        <v>3</v>
      </c>
      <c r="H1648" s="108" t="s">
        <v>15319</v>
      </c>
      <c r="I1648" s="117">
        <v>2</v>
      </c>
      <c r="J1648" s="113"/>
      <c r="K1648" s="108" t="s">
        <v>15320</v>
      </c>
      <c r="L1648" s="117">
        <v>2</v>
      </c>
      <c r="M1648" s="111" t="s">
        <v>40</v>
      </c>
      <c r="N1648" s="108" t="s">
        <v>15318</v>
      </c>
      <c r="O1648" s="110">
        <v>3</v>
      </c>
      <c r="P1648" s="113"/>
      <c r="Q1648" s="108" t="s">
        <v>15321</v>
      </c>
      <c r="R1648" s="110">
        <v>3</v>
      </c>
      <c r="S1648" s="113"/>
      <c r="T1648" s="108" t="s">
        <v>15322</v>
      </c>
      <c r="U1648" s="110">
        <v>3</v>
      </c>
      <c r="V1648" s="113"/>
      <c r="W1648" s="108" t="s">
        <v>15323</v>
      </c>
      <c r="X1648" s="110">
        <v>3</v>
      </c>
      <c r="Y1648" s="113"/>
      <c r="Z1648" s="108" t="s">
        <v>15324</v>
      </c>
      <c r="AA1648" s="110">
        <v>3</v>
      </c>
      <c r="AB1648" s="113"/>
      <c r="AC1648" s="105" t="s">
        <v>3717</v>
      </c>
      <c r="AD1648" s="115" t="s">
        <v>180</v>
      </c>
    </row>
    <row r="1649" spans="1:30" x14ac:dyDescent="0.2">
      <c r="A1649" s="104" t="s">
        <v>3718</v>
      </c>
      <c r="B1649" s="105" t="s">
        <v>42</v>
      </c>
      <c r="C1649" s="105" t="s">
        <v>51</v>
      </c>
      <c r="D1649" s="106"/>
      <c r="E1649" s="107"/>
      <c r="F1649" s="108" t="s">
        <v>15325</v>
      </c>
      <c r="G1649" s="118">
        <v>3</v>
      </c>
      <c r="H1649" s="108" t="s">
        <v>15326</v>
      </c>
      <c r="I1649" s="117">
        <v>2</v>
      </c>
      <c r="J1649" s="111" t="s">
        <v>40</v>
      </c>
      <c r="K1649" s="108" t="s">
        <v>15327</v>
      </c>
      <c r="L1649" s="117">
        <v>2</v>
      </c>
      <c r="M1649" s="111" t="s">
        <v>40</v>
      </c>
      <c r="N1649" s="108" t="s">
        <v>15325</v>
      </c>
      <c r="O1649" s="110">
        <v>3</v>
      </c>
      <c r="P1649" s="111" t="s">
        <v>40</v>
      </c>
      <c r="Q1649" s="108" t="s">
        <v>15328</v>
      </c>
      <c r="R1649" s="112">
        <v>4</v>
      </c>
      <c r="S1649" s="113"/>
      <c r="T1649" s="108" t="s">
        <v>15329</v>
      </c>
      <c r="U1649" s="112">
        <v>4</v>
      </c>
      <c r="V1649" s="113"/>
      <c r="W1649" s="108" t="s">
        <v>47</v>
      </c>
      <c r="X1649" s="114"/>
      <c r="Y1649" s="113"/>
      <c r="Z1649" s="108" t="s">
        <v>47</v>
      </c>
      <c r="AA1649" s="114"/>
      <c r="AB1649" s="113"/>
      <c r="AC1649" s="105" t="s">
        <v>3719</v>
      </c>
      <c r="AD1649" s="115" t="s">
        <v>49</v>
      </c>
    </row>
    <row r="1650" spans="1:30" x14ac:dyDescent="0.2">
      <c r="A1650" s="104" t="s">
        <v>15330</v>
      </c>
      <c r="B1650" s="105" t="s">
        <v>42</v>
      </c>
      <c r="C1650" s="105" t="s">
        <v>51</v>
      </c>
      <c r="D1650" s="106"/>
      <c r="E1650" s="107"/>
      <c r="F1650" s="108" t="s">
        <v>15331</v>
      </c>
      <c r="G1650" s="118">
        <v>3</v>
      </c>
      <c r="H1650" s="108" t="s">
        <v>15332</v>
      </c>
      <c r="I1650" s="117">
        <v>2</v>
      </c>
      <c r="J1650" s="113"/>
      <c r="K1650" s="108" t="s">
        <v>15333</v>
      </c>
      <c r="L1650" s="117">
        <v>2</v>
      </c>
      <c r="M1650" s="111" t="s">
        <v>40</v>
      </c>
      <c r="N1650" s="108" t="s">
        <v>15331</v>
      </c>
      <c r="O1650" s="110">
        <v>3</v>
      </c>
      <c r="P1650" s="113"/>
      <c r="Q1650" s="108" t="s">
        <v>15334</v>
      </c>
      <c r="R1650" s="110">
        <v>3</v>
      </c>
      <c r="S1650" s="113"/>
      <c r="T1650" s="108" t="s">
        <v>15335</v>
      </c>
      <c r="U1650" s="110">
        <v>3</v>
      </c>
      <c r="V1650" s="113"/>
      <c r="W1650" s="108" t="s">
        <v>47</v>
      </c>
      <c r="X1650" s="114"/>
      <c r="Y1650" s="113"/>
      <c r="Z1650" s="108" t="s">
        <v>47</v>
      </c>
      <c r="AA1650" s="114"/>
      <c r="AB1650" s="113"/>
      <c r="AC1650" s="105" t="s">
        <v>3720</v>
      </c>
      <c r="AD1650" s="115" t="s">
        <v>49</v>
      </c>
    </row>
    <row r="1651" spans="1:30" x14ac:dyDescent="0.2">
      <c r="A1651" s="104" t="s">
        <v>15336</v>
      </c>
      <c r="B1651" s="105" t="s">
        <v>42</v>
      </c>
      <c r="C1651" s="105" t="s">
        <v>51</v>
      </c>
      <c r="D1651" s="106"/>
      <c r="E1651" s="107"/>
      <c r="F1651" s="108" t="s">
        <v>15337</v>
      </c>
      <c r="G1651" s="118">
        <v>3</v>
      </c>
      <c r="H1651" s="108" t="s">
        <v>15338</v>
      </c>
      <c r="I1651" s="116">
        <v>1</v>
      </c>
      <c r="J1651" s="111" t="s">
        <v>53</v>
      </c>
      <c r="K1651" s="108" t="s">
        <v>15339</v>
      </c>
      <c r="L1651" s="117">
        <v>2</v>
      </c>
      <c r="M1651" s="111" t="s">
        <v>40</v>
      </c>
      <c r="N1651" s="108" t="s">
        <v>15337</v>
      </c>
      <c r="O1651" s="110">
        <v>3</v>
      </c>
      <c r="P1651" s="111" t="s">
        <v>40</v>
      </c>
      <c r="Q1651" s="108" t="s">
        <v>15340</v>
      </c>
      <c r="R1651" s="110">
        <v>3</v>
      </c>
      <c r="S1651" s="111" t="s">
        <v>40</v>
      </c>
      <c r="T1651" s="108" t="s">
        <v>15341</v>
      </c>
      <c r="U1651" s="112">
        <v>4</v>
      </c>
      <c r="V1651" s="113"/>
      <c r="W1651" s="108" t="s">
        <v>47</v>
      </c>
      <c r="X1651" s="114"/>
      <c r="Y1651" s="113"/>
      <c r="Z1651" s="108" t="s">
        <v>47</v>
      </c>
      <c r="AA1651" s="114"/>
      <c r="AB1651" s="113"/>
      <c r="AC1651" s="105" t="s">
        <v>3721</v>
      </c>
      <c r="AD1651" s="115" t="s">
        <v>49</v>
      </c>
    </row>
    <row r="1652" spans="1:30" x14ac:dyDescent="0.2">
      <c r="A1652" s="104" t="s">
        <v>3722</v>
      </c>
      <c r="B1652" s="105" t="s">
        <v>212</v>
      </c>
      <c r="C1652" s="105" t="s">
        <v>51</v>
      </c>
      <c r="D1652" s="106"/>
      <c r="E1652" s="107"/>
      <c r="F1652" s="108" t="s">
        <v>15342</v>
      </c>
      <c r="G1652" s="118">
        <v>3</v>
      </c>
      <c r="H1652" s="108" t="s">
        <v>15343</v>
      </c>
      <c r="I1652" s="117">
        <v>2</v>
      </c>
      <c r="J1652" s="113"/>
      <c r="K1652" s="108" t="s">
        <v>15344</v>
      </c>
      <c r="L1652" s="117">
        <v>2</v>
      </c>
      <c r="M1652" s="111" t="s">
        <v>40</v>
      </c>
      <c r="N1652" s="108" t="s">
        <v>15342</v>
      </c>
      <c r="O1652" s="110">
        <v>3</v>
      </c>
      <c r="P1652" s="113"/>
      <c r="Q1652" s="108" t="s">
        <v>15345</v>
      </c>
      <c r="R1652" s="112">
        <v>4</v>
      </c>
      <c r="S1652" s="111" t="s">
        <v>46</v>
      </c>
      <c r="T1652" s="108" t="s">
        <v>47</v>
      </c>
      <c r="U1652" s="114"/>
      <c r="V1652" s="113"/>
      <c r="W1652" s="108" t="s">
        <v>47</v>
      </c>
      <c r="X1652" s="114"/>
      <c r="Y1652" s="113"/>
      <c r="Z1652" s="108" t="s">
        <v>47</v>
      </c>
      <c r="AA1652" s="114"/>
      <c r="AB1652" s="113"/>
      <c r="AC1652" s="105" t="s">
        <v>3723</v>
      </c>
      <c r="AD1652" s="115" t="s">
        <v>49</v>
      </c>
    </row>
    <row r="1653" spans="1:30" x14ac:dyDescent="0.2">
      <c r="A1653" s="104" t="s">
        <v>3724</v>
      </c>
      <c r="B1653" s="105" t="s">
        <v>42</v>
      </c>
      <c r="C1653" s="105" t="s">
        <v>2741</v>
      </c>
      <c r="D1653" s="106" t="s">
        <v>105</v>
      </c>
      <c r="E1653" s="107" t="s">
        <v>99</v>
      </c>
      <c r="F1653" s="108" t="s">
        <v>15346</v>
      </c>
      <c r="G1653" s="118">
        <v>3</v>
      </c>
      <c r="H1653" s="108" t="s">
        <v>15347</v>
      </c>
      <c r="I1653" s="117">
        <v>2</v>
      </c>
      <c r="J1653" s="113"/>
      <c r="K1653" s="108" t="s">
        <v>15348</v>
      </c>
      <c r="L1653" s="117">
        <v>2</v>
      </c>
      <c r="M1653" s="111" t="s">
        <v>40</v>
      </c>
      <c r="N1653" s="108" t="s">
        <v>15346</v>
      </c>
      <c r="O1653" s="110">
        <v>3</v>
      </c>
      <c r="P1653" s="113"/>
      <c r="Q1653" s="108" t="s">
        <v>15349</v>
      </c>
      <c r="R1653" s="112">
        <v>4</v>
      </c>
      <c r="S1653" s="113"/>
      <c r="T1653" s="108" t="s">
        <v>15350</v>
      </c>
      <c r="U1653" s="112">
        <v>4</v>
      </c>
      <c r="V1653" s="113"/>
      <c r="W1653" s="108" t="s">
        <v>15351</v>
      </c>
      <c r="X1653" s="112">
        <v>4</v>
      </c>
      <c r="Y1653" s="113"/>
      <c r="Z1653" s="108" t="s">
        <v>15352</v>
      </c>
      <c r="AA1653" s="112">
        <v>4</v>
      </c>
      <c r="AB1653" s="113"/>
      <c r="AC1653" s="105" t="s">
        <v>3725</v>
      </c>
      <c r="AD1653" s="115" t="s">
        <v>49</v>
      </c>
    </row>
    <row r="1654" spans="1:30" x14ac:dyDescent="0.2">
      <c r="A1654" s="104" t="s">
        <v>3726</v>
      </c>
      <c r="B1654" s="105" t="s">
        <v>42</v>
      </c>
      <c r="C1654" s="105" t="s">
        <v>3326</v>
      </c>
      <c r="D1654" s="106" t="s">
        <v>105</v>
      </c>
      <c r="E1654" s="107" t="s">
        <v>146</v>
      </c>
      <c r="F1654" s="108" t="s">
        <v>15353</v>
      </c>
      <c r="G1654" s="120">
        <v>2</v>
      </c>
      <c r="H1654" s="108" t="s">
        <v>15354</v>
      </c>
      <c r="I1654" s="112">
        <v>4</v>
      </c>
      <c r="J1654" s="111" t="s">
        <v>46</v>
      </c>
      <c r="K1654" s="108" t="s">
        <v>15355</v>
      </c>
      <c r="L1654" s="112">
        <v>4</v>
      </c>
      <c r="M1654" s="111" t="s">
        <v>55</v>
      </c>
      <c r="N1654" s="108" t="s">
        <v>15353</v>
      </c>
      <c r="O1654" s="117">
        <v>2</v>
      </c>
      <c r="P1654" s="111" t="s">
        <v>46</v>
      </c>
      <c r="Q1654" s="108" t="s">
        <v>15356</v>
      </c>
      <c r="R1654" s="117">
        <v>2</v>
      </c>
      <c r="S1654" s="111" t="s">
        <v>46</v>
      </c>
      <c r="T1654" s="108" t="s">
        <v>15357</v>
      </c>
      <c r="U1654" s="110">
        <v>3</v>
      </c>
      <c r="V1654" s="113"/>
      <c r="W1654" s="108" t="s">
        <v>15358</v>
      </c>
      <c r="X1654" s="117">
        <v>2</v>
      </c>
      <c r="Y1654" s="111" t="s">
        <v>46</v>
      </c>
      <c r="Z1654" s="108" t="s">
        <v>15359</v>
      </c>
      <c r="AA1654" s="110">
        <v>3</v>
      </c>
      <c r="AB1654" s="111" t="s">
        <v>40</v>
      </c>
      <c r="AC1654" s="105" t="s">
        <v>3727</v>
      </c>
      <c r="AD1654" s="115" t="s">
        <v>49</v>
      </c>
    </row>
    <row r="1655" spans="1:30" x14ac:dyDescent="0.2">
      <c r="A1655" s="104" t="s">
        <v>3728</v>
      </c>
      <c r="B1655" s="105" t="s">
        <v>42</v>
      </c>
      <c r="C1655" s="105" t="s">
        <v>2741</v>
      </c>
      <c r="D1655" s="106" t="s">
        <v>94</v>
      </c>
      <c r="E1655" s="107"/>
      <c r="F1655" s="108" t="s">
        <v>15360</v>
      </c>
      <c r="G1655" s="119">
        <v>1</v>
      </c>
      <c r="H1655" s="108" t="s">
        <v>15361</v>
      </c>
      <c r="I1655" s="116">
        <v>1</v>
      </c>
      <c r="J1655" s="111" t="s">
        <v>40</v>
      </c>
      <c r="K1655" s="108" t="s">
        <v>15362</v>
      </c>
      <c r="L1655" s="116">
        <v>1</v>
      </c>
      <c r="M1655" s="111" t="s">
        <v>40</v>
      </c>
      <c r="N1655" s="108" t="s">
        <v>15360</v>
      </c>
      <c r="O1655" s="116">
        <v>1</v>
      </c>
      <c r="P1655" s="111" t="s">
        <v>53</v>
      </c>
      <c r="Q1655" s="108" t="s">
        <v>15363</v>
      </c>
      <c r="R1655" s="117">
        <v>2</v>
      </c>
      <c r="S1655" s="113"/>
      <c r="T1655" s="108" t="s">
        <v>15364</v>
      </c>
      <c r="U1655" s="116">
        <v>1</v>
      </c>
      <c r="V1655" s="111" t="s">
        <v>40</v>
      </c>
      <c r="W1655" s="108" t="s">
        <v>15365</v>
      </c>
      <c r="X1655" s="117">
        <v>2</v>
      </c>
      <c r="Y1655" s="113"/>
      <c r="Z1655" s="108" t="s">
        <v>47</v>
      </c>
      <c r="AA1655" s="114"/>
      <c r="AB1655" s="113"/>
      <c r="AC1655" s="105" t="s">
        <v>3729</v>
      </c>
      <c r="AD1655" s="115" t="s">
        <v>49</v>
      </c>
    </row>
    <row r="1656" spans="1:30" x14ac:dyDescent="0.2">
      <c r="A1656" s="104" t="s">
        <v>3730</v>
      </c>
      <c r="B1656" s="105" t="s">
        <v>42</v>
      </c>
      <c r="C1656" s="105" t="s">
        <v>2741</v>
      </c>
      <c r="D1656" s="106" t="s">
        <v>94</v>
      </c>
      <c r="E1656" s="107"/>
      <c r="F1656" s="108" t="s">
        <v>15366</v>
      </c>
      <c r="G1656" s="119">
        <v>1</v>
      </c>
      <c r="H1656" s="108" t="s">
        <v>15367</v>
      </c>
      <c r="I1656" s="116">
        <v>1</v>
      </c>
      <c r="J1656" s="111" t="s">
        <v>40</v>
      </c>
      <c r="K1656" s="108" t="s">
        <v>15368</v>
      </c>
      <c r="L1656" s="116">
        <v>1</v>
      </c>
      <c r="M1656" s="111" t="s">
        <v>40</v>
      </c>
      <c r="N1656" s="108" t="s">
        <v>15366</v>
      </c>
      <c r="O1656" s="116">
        <v>1</v>
      </c>
      <c r="P1656" s="111" t="s">
        <v>40</v>
      </c>
      <c r="Q1656" s="108" t="s">
        <v>15369</v>
      </c>
      <c r="R1656" s="117">
        <v>2</v>
      </c>
      <c r="S1656" s="113"/>
      <c r="T1656" s="108" t="s">
        <v>15370</v>
      </c>
      <c r="U1656" s="116">
        <v>1</v>
      </c>
      <c r="V1656" s="111" t="s">
        <v>40</v>
      </c>
      <c r="W1656" s="108" t="s">
        <v>15371</v>
      </c>
      <c r="X1656" s="117">
        <v>2</v>
      </c>
      <c r="Y1656" s="113"/>
      <c r="Z1656" s="108" t="s">
        <v>15372</v>
      </c>
      <c r="AA1656" s="117">
        <v>2</v>
      </c>
      <c r="AB1656" s="111" t="s">
        <v>46</v>
      </c>
      <c r="AC1656" s="105" t="s">
        <v>3731</v>
      </c>
      <c r="AD1656" s="115" t="s">
        <v>49</v>
      </c>
    </row>
    <row r="1657" spans="1:30" x14ac:dyDescent="0.2">
      <c r="A1657" s="104" t="s">
        <v>3732</v>
      </c>
      <c r="B1657" s="105" t="s">
        <v>42</v>
      </c>
      <c r="C1657" s="105" t="s">
        <v>2741</v>
      </c>
      <c r="D1657" s="106"/>
      <c r="E1657" s="107"/>
      <c r="F1657" s="108" t="s">
        <v>15373</v>
      </c>
      <c r="G1657" s="120">
        <v>2</v>
      </c>
      <c r="H1657" s="108" t="s">
        <v>15374</v>
      </c>
      <c r="I1657" s="116">
        <v>1</v>
      </c>
      <c r="J1657" s="111" t="s">
        <v>40</v>
      </c>
      <c r="K1657" s="108" t="s">
        <v>15375</v>
      </c>
      <c r="L1657" s="116">
        <v>1</v>
      </c>
      <c r="M1657" s="111" t="s">
        <v>40</v>
      </c>
      <c r="N1657" s="108" t="s">
        <v>15373</v>
      </c>
      <c r="O1657" s="117">
        <v>2</v>
      </c>
      <c r="P1657" s="111" t="s">
        <v>40</v>
      </c>
      <c r="Q1657" s="108" t="s">
        <v>15376</v>
      </c>
      <c r="R1657" s="117">
        <v>2</v>
      </c>
      <c r="S1657" s="113"/>
      <c r="T1657" s="108" t="s">
        <v>47</v>
      </c>
      <c r="U1657" s="114"/>
      <c r="V1657" s="113"/>
      <c r="W1657" s="108" t="s">
        <v>47</v>
      </c>
      <c r="X1657" s="114"/>
      <c r="Y1657" s="113"/>
      <c r="Z1657" s="108" t="s">
        <v>47</v>
      </c>
      <c r="AA1657" s="114"/>
      <c r="AB1657" s="113"/>
      <c r="AC1657" s="105" t="s">
        <v>3733</v>
      </c>
      <c r="AD1657" s="115" t="s">
        <v>49</v>
      </c>
    </row>
    <row r="1658" spans="1:30" x14ac:dyDescent="0.2">
      <c r="A1658" s="104" t="s">
        <v>3734</v>
      </c>
      <c r="B1658" s="105" t="s">
        <v>42</v>
      </c>
      <c r="C1658" s="105" t="s">
        <v>2741</v>
      </c>
      <c r="D1658" s="106" t="s">
        <v>125</v>
      </c>
      <c r="E1658" s="107"/>
      <c r="F1658" s="108" t="s">
        <v>15377</v>
      </c>
      <c r="G1658" s="120">
        <v>2</v>
      </c>
      <c r="H1658" s="108" t="s">
        <v>15378</v>
      </c>
      <c r="I1658" s="116">
        <v>1</v>
      </c>
      <c r="J1658" s="111" t="s">
        <v>53</v>
      </c>
      <c r="K1658" s="108" t="s">
        <v>15379</v>
      </c>
      <c r="L1658" s="117">
        <v>2</v>
      </c>
      <c r="M1658" s="111" t="s">
        <v>40</v>
      </c>
      <c r="N1658" s="108" t="s">
        <v>15377</v>
      </c>
      <c r="O1658" s="117">
        <v>2</v>
      </c>
      <c r="P1658" s="111" t="s">
        <v>40</v>
      </c>
      <c r="Q1658" s="108" t="s">
        <v>15380</v>
      </c>
      <c r="R1658" s="117">
        <v>2</v>
      </c>
      <c r="S1658" s="113"/>
      <c r="T1658" s="108" t="s">
        <v>15381</v>
      </c>
      <c r="U1658" s="117">
        <v>2</v>
      </c>
      <c r="V1658" s="113"/>
      <c r="W1658" s="108" t="s">
        <v>15382</v>
      </c>
      <c r="X1658" s="117">
        <v>2</v>
      </c>
      <c r="Y1658" s="111" t="s">
        <v>40</v>
      </c>
      <c r="Z1658" s="108" t="s">
        <v>47</v>
      </c>
      <c r="AA1658" s="114"/>
      <c r="AB1658" s="113"/>
      <c r="AC1658" s="105" t="s">
        <v>3735</v>
      </c>
      <c r="AD1658" s="115" t="s">
        <v>49</v>
      </c>
    </row>
    <row r="1659" spans="1:30" x14ac:dyDescent="0.2">
      <c r="A1659" s="104" t="s">
        <v>3736</v>
      </c>
      <c r="B1659" s="105" t="s">
        <v>42</v>
      </c>
      <c r="C1659" s="105" t="s">
        <v>306</v>
      </c>
      <c r="D1659" s="106" t="s">
        <v>125</v>
      </c>
      <c r="E1659" s="107"/>
      <c r="F1659" s="108" t="s">
        <v>15383</v>
      </c>
      <c r="G1659" s="120">
        <v>2</v>
      </c>
      <c r="H1659" s="108" t="s">
        <v>15384</v>
      </c>
      <c r="I1659" s="117">
        <v>2</v>
      </c>
      <c r="J1659" s="113"/>
      <c r="K1659" s="108" t="s">
        <v>8113</v>
      </c>
      <c r="L1659" s="117">
        <v>2</v>
      </c>
      <c r="M1659" s="111" t="s">
        <v>40</v>
      </c>
      <c r="N1659" s="108" t="s">
        <v>15383</v>
      </c>
      <c r="O1659" s="117">
        <v>2</v>
      </c>
      <c r="P1659" s="111" t="s">
        <v>40</v>
      </c>
      <c r="Q1659" s="108" t="s">
        <v>15385</v>
      </c>
      <c r="R1659" s="117">
        <v>2</v>
      </c>
      <c r="S1659" s="111" t="s">
        <v>40</v>
      </c>
      <c r="T1659" s="108" t="s">
        <v>15386</v>
      </c>
      <c r="U1659" s="116">
        <v>1</v>
      </c>
      <c r="V1659" s="113"/>
      <c r="W1659" s="108" t="s">
        <v>15387</v>
      </c>
      <c r="X1659" s="116">
        <v>1</v>
      </c>
      <c r="Y1659" s="113"/>
      <c r="Z1659" s="108" t="s">
        <v>15388</v>
      </c>
      <c r="AA1659" s="117">
        <v>2</v>
      </c>
      <c r="AB1659" s="111" t="s">
        <v>40</v>
      </c>
      <c r="AC1659" s="105" t="s">
        <v>3737</v>
      </c>
      <c r="AD1659" s="115" t="s">
        <v>49</v>
      </c>
    </row>
    <row r="1660" spans="1:30" x14ac:dyDescent="0.2">
      <c r="A1660" s="104" t="s">
        <v>3738</v>
      </c>
      <c r="B1660" s="105" t="s">
        <v>42</v>
      </c>
      <c r="C1660" s="105" t="s">
        <v>332</v>
      </c>
      <c r="D1660" s="106" t="s">
        <v>125</v>
      </c>
      <c r="E1660" s="107"/>
      <c r="F1660" s="108" t="s">
        <v>15389</v>
      </c>
      <c r="G1660" s="120">
        <v>2</v>
      </c>
      <c r="H1660" s="108" t="s">
        <v>15390</v>
      </c>
      <c r="I1660" s="117">
        <v>2</v>
      </c>
      <c r="J1660" s="111" t="s">
        <v>40</v>
      </c>
      <c r="K1660" s="108" t="s">
        <v>15391</v>
      </c>
      <c r="L1660" s="117">
        <v>2</v>
      </c>
      <c r="M1660" s="113"/>
      <c r="N1660" s="108" t="s">
        <v>15389</v>
      </c>
      <c r="O1660" s="117">
        <v>2</v>
      </c>
      <c r="P1660" s="113"/>
      <c r="Q1660" s="108" t="s">
        <v>15392</v>
      </c>
      <c r="R1660" s="110">
        <v>3</v>
      </c>
      <c r="S1660" s="113"/>
      <c r="T1660" s="108" t="s">
        <v>15393</v>
      </c>
      <c r="U1660" s="117">
        <v>2</v>
      </c>
      <c r="V1660" s="113"/>
      <c r="W1660" s="108" t="s">
        <v>15394</v>
      </c>
      <c r="X1660" s="117">
        <v>2</v>
      </c>
      <c r="Y1660" s="113"/>
      <c r="Z1660" s="108" t="s">
        <v>15395</v>
      </c>
      <c r="AA1660" s="117">
        <v>2</v>
      </c>
      <c r="AB1660" s="113"/>
      <c r="AC1660" s="105" t="s">
        <v>3739</v>
      </c>
      <c r="AD1660" s="115" t="s">
        <v>49</v>
      </c>
    </row>
    <row r="1661" spans="1:30" x14ac:dyDescent="0.2">
      <c r="A1661" s="104" t="s">
        <v>15396</v>
      </c>
      <c r="B1661" s="105" t="s">
        <v>42</v>
      </c>
      <c r="C1661" s="105" t="s">
        <v>582</v>
      </c>
      <c r="D1661" s="106" t="s">
        <v>94</v>
      </c>
      <c r="E1661" s="107"/>
      <c r="F1661" s="108" t="s">
        <v>15397</v>
      </c>
      <c r="G1661" s="120">
        <v>2</v>
      </c>
      <c r="H1661" s="108" t="s">
        <v>15398</v>
      </c>
      <c r="I1661" s="117">
        <v>2</v>
      </c>
      <c r="J1661" s="111" t="s">
        <v>46</v>
      </c>
      <c r="K1661" s="108" t="s">
        <v>15399</v>
      </c>
      <c r="L1661" s="116">
        <v>1</v>
      </c>
      <c r="M1661" s="113"/>
      <c r="N1661" s="108" t="s">
        <v>15397</v>
      </c>
      <c r="O1661" s="117">
        <v>2</v>
      </c>
      <c r="P1661" s="113"/>
      <c r="Q1661" s="108" t="s">
        <v>15400</v>
      </c>
      <c r="R1661" s="110">
        <v>3</v>
      </c>
      <c r="S1661" s="111" t="s">
        <v>46</v>
      </c>
      <c r="T1661" s="108" t="s">
        <v>15401</v>
      </c>
      <c r="U1661" s="116">
        <v>1</v>
      </c>
      <c r="V1661" s="113"/>
      <c r="W1661" s="108" t="s">
        <v>15402</v>
      </c>
      <c r="X1661" s="116">
        <v>1</v>
      </c>
      <c r="Y1661" s="113"/>
      <c r="Z1661" s="108" t="s">
        <v>15403</v>
      </c>
      <c r="AA1661" s="117">
        <v>2</v>
      </c>
      <c r="AB1661" s="113"/>
      <c r="AC1661" s="105" t="s">
        <v>3740</v>
      </c>
      <c r="AD1661" s="115" t="s">
        <v>49</v>
      </c>
    </row>
    <row r="1662" spans="1:30" x14ac:dyDescent="0.2">
      <c r="A1662" s="104" t="s">
        <v>15404</v>
      </c>
      <c r="B1662" s="105" t="s">
        <v>42</v>
      </c>
      <c r="C1662" s="105" t="s">
        <v>3369</v>
      </c>
      <c r="D1662" s="106"/>
      <c r="E1662" s="107" t="s">
        <v>376</v>
      </c>
      <c r="F1662" s="108" t="s">
        <v>15405</v>
      </c>
      <c r="G1662" s="118">
        <v>3</v>
      </c>
      <c r="H1662" s="108" t="s">
        <v>15406</v>
      </c>
      <c r="I1662" s="117">
        <v>2</v>
      </c>
      <c r="J1662" s="111" t="s">
        <v>40</v>
      </c>
      <c r="K1662" s="108" t="s">
        <v>15407</v>
      </c>
      <c r="L1662" s="110">
        <v>3</v>
      </c>
      <c r="M1662" s="113"/>
      <c r="N1662" s="108" t="s">
        <v>15405</v>
      </c>
      <c r="O1662" s="110">
        <v>3</v>
      </c>
      <c r="P1662" s="113"/>
      <c r="Q1662" s="108" t="s">
        <v>15408</v>
      </c>
      <c r="R1662" s="110">
        <v>3</v>
      </c>
      <c r="S1662" s="113"/>
      <c r="T1662" s="108" t="s">
        <v>15409</v>
      </c>
      <c r="U1662" s="110">
        <v>3</v>
      </c>
      <c r="V1662" s="113"/>
      <c r="W1662" s="108" t="s">
        <v>47</v>
      </c>
      <c r="X1662" s="114"/>
      <c r="Y1662" s="113"/>
      <c r="Z1662" s="108" t="s">
        <v>47</v>
      </c>
      <c r="AA1662" s="114"/>
      <c r="AB1662" s="113"/>
      <c r="AC1662" s="105" t="s">
        <v>3741</v>
      </c>
      <c r="AD1662" s="115" t="s">
        <v>49</v>
      </c>
    </row>
    <row r="1663" spans="1:30" x14ac:dyDescent="0.2">
      <c r="A1663" s="104" t="s">
        <v>3742</v>
      </c>
      <c r="B1663" s="105" t="s">
        <v>381</v>
      </c>
      <c r="C1663" s="105" t="s">
        <v>411</v>
      </c>
      <c r="D1663" s="106" t="s">
        <v>298</v>
      </c>
      <c r="E1663" s="107"/>
      <c r="F1663" s="108" t="s">
        <v>15410</v>
      </c>
      <c r="G1663" s="118">
        <v>3</v>
      </c>
      <c r="H1663" s="108" t="s">
        <v>3743</v>
      </c>
      <c r="I1663" s="112">
        <v>4</v>
      </c>
      <c r="J1663" s="111" t="s">
        <v>55</v>
      </c>
      <c r="K1663" s="108" t="s">
        <v>3744</v>
      </c>
      <c r="L1663" s="110">
        <v>3</v>
      </c>
      <c r="M1663" s="111" t="s">
        <v>46</v>
      </c>
      <c r="N1663" s="108" t="s">
        <v>15410</v>
      </c>
      <c r="O1663" s="110">
        <v>3</v>
      </c>
      <c r="P1663" s="111" t="s">
        <v>46</v>
      </c>
      <c r="Q1663" s="108" t="s">
        <v>3745</v>
      </c>
      <c r="R1663" s="110">
        <v>3</v>
      </c>
      <c r="S1663" s="113"/>
      <c r="T1663" s="108" t="s">
        <v>3746</v>
      </c>
      <c r="U1663" s="112">
        <v>4</v>
      </c>
      <c r="V1663" s="113"/>
      <c r="W1663" s="108" t="s">
        <v>15411</v>
      </c>
      <c r="X1663" s="112">
        <v>4</v>
      </c>
      <c r="Y1663" s="113"/>
      <c r="Z1663" s="108" t="s">
        <v>3747</v>
      </c>
      <c r="AA1663" s="110">
        <v>3</v>
      </c>
      <c r="AB1663" s="111" t="s">
        <v>40</v>
      </c>
      <c r="AC1663" s="105" t="s">
        <v>3748</v>
      </c>
      <c r="AD1663" s="115" t="s">
        <v>101</v>
      </c>
    </row>
    <row r="1664" spans="1:30" x14ac:dyDescent="0.2">
      <c r="A1664" s="104" t="s">
        <v>3749</v>
      </c>
      <c r="B1664" s="105" t="s">
        <v>381</v>
      </c>
      <c r="C1664" s="105" t="s">
        <v>2885</v>
      </c>
      <c r="D1664" s="106" t="s">
        <v>94</v>
      </c>
      <c r="E1664" s="107"/>
      <c r="F1664" s="108" t="s">
        <v>15412</v>
      </c>
      <c r="G1664" s="119">
        <v>1</v>
      </c>
      <c r="H1664" s="108" t="s">
        <v>15413</v>
      </c>
      <c r="I1664" s="112">
        <v>4</v>
      </c>
      <c r="J1664" s="111" t="s">
        <v>44</v>
      </c>
      <c r="K1664" s="108" t="s">
        <v>3750</v>
      </c>
      <c r="L1664" s="116">
        <v>1</v>
      </c>
      <c r="M1664" s="113"/>
      <c r="N1664" s="108" t="s">
        <v>15412</v>
      </c>
      <c r="O1664" s="116">
        <v>1</v>
      </c>
      <c r="P1664" s="113"/>
      <c r="Q1664" s="108" t="s">
        <v>15414</v>
      </c>
      <c r="R1664" s="112">
        <v>4</v>
      </c>
      <c r="S1664" s="111" t="s">
        <v>46</v>
      </c>
      <c r="T1664" s="108" t="s">
        <v>15415</v>
      </c>
      <c r="U1664" s="116">
        <v>1</v>
      </c>
      <c r="V1664" s="113"/>
      <c r="W1664" s="108" t="s">
        <v>12433</v>
      </c>
      <c r="X1664" s="110">
        <v>3</v>
      </c>
      <c r="Y1664" s="113"/>
      <c r="Z1664" s="108" t="s">
        <v>3751</v>
      </c>
      <c r="AA1664" s="116">
        <v>1</v>
      </c>
      <c r="AB1664" s="113"/>
      <c r="AC1664" s="105" t="s">
        <v>3752</v>
      </c>
      <c r="AD1664" s="115" t="s">
        <v>101</v>
      </c>
    </row>
    <row r="1665" spans="1:30" x14ac:dyDescent="0.2">
      <c r="A1665" s="104" t="s">
        <v>3753</v>
      </c>
      <c r="B1665" s="105" t="s">
        <v>381</v>
      </c>
      <c r="C1665" s="105" t="s">
        <v>3754</v>
      </c>
      <c r="D1665" s="106" t="s">
        <v>94</v>
      </c>
      <c r="E1665" s="107"/>
      <c r="F1665" s="108" t="s">
        <v>15416</v>
      </c>
      <c r="G1665" s="120">
        <v>2</v>
      </c>
      <c r="H1665" s="108" t="s">
        <v>3755</v>
      </c>
      <c r="I1665" s="117">
        <v>2</v>
      </c>
      <c r="J1665" s="113"/>
      <c r="K1665" s="108" t="s">
        <v>15417</v>
      </c>
      <c r="L1665" s="117">
        <v>2</v>
      </c>
      <c r="M1665" s="113"/>
      <c r="N1665" s="108" t="s">
        <v>15416</v>
      </c>
      <c r="O1665" s="117">
        <v>2</v>
      </c>
      <c r="P1665" s="113"/>
      <c r="Q1665" s="108" t="s">
        <v>3756</v>
      </c>
      <c r="R1665" s="110">
        <v>3</v>
      </c>
      <c r="S1665" s="113"/>
      <c r="T1665" s="108" t="s">
        <v>3757</v>
      </c>
      <c r="U1665" s="117">
        <v>2</v>
      </c>
      <c r="V1665" s="113"/>
      <c r="W1665" s="108" t="s">
        <v>3758</v>
      </c>
      <c r="X1665" s="116">
        <v>1</v>
      </c>
      <c r="Y1665" s="113"/>
      <c r="Z1665" s="108" t="s">
        <v>8356</v>
      </c>
      <c r="AA1665" s="116">
        <v>1</v>
      </c>
      <c r="AB1665" s="113"/>
      <c r="AC1665" s="105" t="s">
        <v>3759</v>
      </c>
      <c r="AD1665" s="115" t="s">
        <v>101</v>
      </c>
    </row>
    <row r="1666" spans="1:30" x14ac:dyDescent="0.2">
      <c r="A1666" s="104" t="s">
        <v>3760</v>
      </c>
      <c r="B1666" s="105" t="s">
        <v>381</v>
      </c>
      <c r="C1666" s="105" t="s">
        <v>382</v>
      </c>
      <c r="D1666" s="106"/>
      <c r="E1666" s="107" t="s">
        <v>146</v>
      </c>
      <c r="F1666" s="108" t="s">
        <v>47</v>
      </c>
      <c r="G1666" s="113"/>
      <c r="H1666" s="108" t="s">
        <v>47</v>
      </c>
      <c r="I1666" s="114"/>
      <c r="J1666" s="113"/>
      <c r="K1666" s="108" t="s">
        <v>47</v>
      </c>
      <c r="L1666" s="114"/>
      <c r="M1666" s="113"/>
      <c r="N1666" s="108" t="s">
        <v>47</v>
      </c>
      <c r="O1666" s="114"/>
      <c r="P1666" s="113"/>
      <c r="Q1666" s="108" t="s">
        <v>47</v>
      </c>
      <c r="R1666" s="114"/>
      <c r="S1666" s="113"/>
      <c r="T1666" s="108" t="s">
        <v>47</v>
      </c>
      <c r="U1666" s="114"/>
      <c r="V1666" s="113"/>
      <c r="W1666" s="108" t="s">
        <v>47</v>
      </c>
      <c r="X1666" s="114"/>
      <c r="Y1666" s="113"/>
      <c r="Z1666" s="108" t="s">
        <v>47</v>
      </c>
      <c r="AA1666" s="114"/>
      <c r="AB1666" s="113"/>
      <c r="AC1666" s="105"/>
      <c r="AD1666" s="115" t="s">
        <v>101</v>
      </c>
    </row>
    <row r="1667" spans="1:30" x14ac:dyDescent="0.2">
      <c r="A1667" s="104" t="s">
        <v>3761</v>
      </c>
      <c r="B1667" s="105" t="s">
        <v>381</v>
      </c>
      <c r="C1667" s="105" t="s">
        <v>3514</v>
      </c>
      <c r="D1667" s="106"/>
      <c r="E1667" s="107"/>
      <c r="F1667" s="108" t="s">
        <v>47</v>
      </c>
      <c r="G1667" s="113"/>
      <c r="H1667" s="108" t="s">
        <v>47</v>
      </c>
      <c r="I1667" s="114"/>
      <c r="J1667" s="113"/>
      <c r="K1667" s="108" t="s">
        <v>47</v>
      </c>
      <c r="L1667" s="114"/>
      <c r="M1667" s="113"/>
      <c r="N1667" s="108" t="s">
        <v>47</v>
      </c>
      <c r="O1667" s="114"/>
      <c r="P1667" s="113"/>
      <c r="Q1667" s="108" t="s">
        <v>47</v>
      </c>
      <c r="R1667" s="114"/>
      <c r="S1667" s="113"/>
      <c r="T1667" s="108" t="s">
        <v>47</v>
      </c>
      <c r="U1667" s="114"/>
      <c r="V1667" s="113"/>
      <c r="W1667" s="108" t="s">
        <v>47</v>
      </c>
      <c r="X1667" s="114"/>
      <c r="Y1667" s="113"/>
      <c r="Z1667" s="108" t="s">
        <v>47</v>
      </c>
      <c r="AA1667" s="114"/>
      <c r="AB1667" s="113"/>
      <c r="AC1667" s="105"/>
      <c r="AD1667" s="115" t="s">
        <v>101</v>
      </c>
    </row>
    <row r="1668" spans="1:30" x14ac:dyDescent="0.2">
      <c r="A1668" s="104" t="s">
        <v>3762</v>
      </c>
      <c r="B1668" s="105" t="s">
        <v>381</v>
      </c>
      <c r="C1668" s="105" t="s">
        <v>3763</v>
      </c>
      <c r="D1668" s="106" t="s">
        <v>125</v>
      </c>
      <c r="E1668" s="107"/>
      <c r="F1668" s="108" t="s">
        <v>15418</v>
      </c>
      <c r="G1668" s="120">
        <v>2</v>
      </c>
      <c r="H1668" s="108" t="s">
        <v>3764</v>
      </c>
      <c r="I1668" s="116">
        <v>1</v>
      </c>
      <c r="J1668" s="111" t="s">
        <v>40</v>
      </c>
      <c r="K1668" s="108" t="s">
        <v>15419</v>
      </c>
      <c r="L1668" s="116">
        <v>1</v>
      </c>
      <c r="M1668" s="111" t="s">
        <v>40</v>
      </c>
      <c r="N1668" s="108" t="s">
        <v>15418</v>
      </c>
      <c r="O1668" s="117">
        <v>2</v>
      </c>
      <c r="P1668" s="113"/>
      <c r="Q1668" s="108" t="s">
        <v>15420</v>
      </c>
      <c r="R1668" s="110">
        <v>3</v>
      </c>
      <c r="S1668" s="113"/>
      <c r="T1668" s="108" t="s">
        <v>11504</v>
      </c>
      <c r="U1668" s="117">
        <v>2</v>
      </c>
      <c r="V1668" s="113"/>
      <c r="W1668" s="108" t="s">
        <v>47</v>
      </c>
      <c r="X1668" s="114"/>
      <c r="Y1668" s="113"/>
      <c r="Z1668" s="108" t="s">
        <v>47</v>
      </c>
      <c r="AA1668" s="114"/>
      <c r="AB1668" s="113"/>
      <c r="AC1668" s="105" t="s">
        <v>3765</v>
      </c>
      <c r="AD1668" s="115" t="s">
        <v>101</v>
      </c>
    </row>
    <row r="1669" spans="1:30" x14ac:dyDescent="0.2">
      <c r="A1669" s="104" t="s">
        <v>3766</v>
      </c>
      <c r="B1669" s="105" t="s">
        <v>381</v>
      </c>
      <c r="C1669" s="105" t="s">
        <v>382</v>
      </c>
      <c r="D1669" s="106" t="s">
        <v>125</v>
      </c>
      <c r="E1669" s="107"/>
      <c r="F1669" s="108" t="s">
        <v>15421</v>
      </c>
      <c r="G1669" s="119">
        <v>1</v>
      </c>
      <c r="H1669" s="108" t="s">
        <v>15422</v>
      </c>
      <c r="I1669" s="112">
        <v>4</v>
      </c>
      <c r="J1669" s="111" t="s">
        <v>44</v>
      </c>
      <c r="K1669" s="108" t="s">
        <v>15423</v>
      </c>
      <c r="L1669" s="116">
        <v>1</v>
      </c>
      <c r="M1669" s="113"/>
      <c r="N1669" s="108" t="s">
        <v>15421</v>
      </c>
      <c r="O1669" s="116">
        <v>1</v>
      </c>
      <c r="P1669" s="113"/>
      <c r="Q1669" s="108" t="s">
        <v>15424</v>
      </c>
      <c r="R1669" s="112">
        <v>4</v>
      </c>
      <c r="S1669" s="111" t="s">
        <v>46</v>
      </c>
      <c r="T1669" s="108" t="s">
        <v>15425</v>
      </c>
      <c r="U1669" s="110">
        <v>3</v>
      </c>
      <c r="V1669" s="113"/>
      <c r="W1669" s="108" t="s">
        <v>47</v>
      </c>
      <c r="X1669" s="114"/>
      <c r="Y1669" s="113"/>
      <c r="Z1669" s="108" t="s">
        <v>47</v>
      </c>
      <c r="AA1669" s="114"/>
      <c r="AB1669" s="113"/>
      <c r="AC1669" s="105" t="s">
        <v>3767</v>
      </c>
      <c r="AD1669" s="115" t="s">
        <v>101</v>
      </c>
    </row>
    <row r="1670" spans="1:30" x14ac:dyDescent="0.2">
      <c r="A1670" s="104" t="s">
        <v>3768</v>
      </c>
      <c r="B1670" s="105" t="s">
        <v>381</v>
      </c>
      <c r="C1670" s="105" t="s">
        <v>382</v>
      </c>
      <c r="D1670" s="106" t="s">
        <v>125</v>
      </c>
      <c r="E1670" s="107"/>
      <c r="F1670" s="108" t="s">
        <v>15426</v>
      </c>
      <c r="G1670" s="109">
        <v>4</v>
      </c>
      <c r="H1670" s="108" t="s">
        <v>15427</v>
      </c>
      <c r="I1670" s="117">
        <v>2</v>
      </c>
      <c r="J1670" s="111" t="s">
        <v>53</v>
      </c>
      <c r="K1670" s="108" t="s">
        <v>15428</v>
      </c>
      <c r="L1670" s="110">
        <v>3</v>
      </c>
      <c r="M1670" s="111" t="s">
        <v>40</v>
      </c>
      <c r="N1670" s="108" t="s">
        <v>15426</v>
      </c>
      <c r="O1670" s="112">
        <v>4</v>
      </c>
      <c r="P1670" s="113"/>
      <c r="Q1670" s="108" t="s">
        <v>15429</v>
      </c>
      <c r="R1670" s="110">
        <v>3</v>
      </c>
      <c r="S1670" s="113"/>
      <c r="T1670" s="108" t="s">
        <v>15430</v>
      </c>
      <c r="U1670" s="110">
        <v>3</v>
      </c>
      <c r="V1670" s="113"/>
      <c r="W1670" s="108" t="s">
        <v>47</v>
      </c>
      <c r="X1670" s="114"/>
      <c r="Y1670" s="113"/>
      <c r="Z1670" s="108" t="s">
        <v>47</v>
      </c>
      <c r="AA1670" s="114"/>
      <c r="AB1670" s="113"/>
      <c r="AC1670" s="105" t="s">
        <v>3769</v>
      </c>
      <c r="AD1670" s="115" t="s">
        <v>101</v>
      </c>
    </row>
    <row r="1671" spans="1:30" x14ac:dyDescent="0.2">
      <c r="A1671" s="104" t="s">
        <v>3770</v>
      </c>
      <c r="B1671" s="105" t="s">
        <v>381</v>
      </c>
      <c r="C1671" s="105" t="s">
        <v>3514</v>
      </c>
      <c r="D1671" s="106" t="s">
        <v>125</v>
      </c>
      <c r="E1671" s="107"/>
      <c r="F1671" s="108" t="s">
        <v>15431</v>
      </c>
      <c r="G1671" s="109">
        <v>4</v>
      </c>
      <c r="H1671" s="108" t="s">
        <v>15432</v>
      </c>
      <c r="I1671" s="110">
        <v>3</v>
      </c>
      <c r="J1671" s="111" t="s">
        <v>40</v>
      </c>
      <c r="K1671" s="108" t="s">
        <v>15433</v>
      </c>
      <c r="L1671" s="112">
        <v>4</v>
      </c>
      <c r="M1671" s="113"/>
      <c r="N1671" s="108" t="s">
        <v>15431</v>
      </c>
      <c r="O1671" s="112">
        <v>4</v>
      </c>
      <c r="P1671" s="113"/>
      <c r="Q1671" s="108" t="s">
        <v>3771</v>
      </c>
      <c r="R1671" s="117">
        <v>2</v>
      </c>
      <c r="S1671" s="113"/>
      <c r="T1671" s="108" t="s">
        <v>15434</v>
      </c>
      <c r="U1671" s="110">
        <v>3</v>
      </c>
      <c r="V1671" s="113"/>
      <c r="W1671" s="108" t="s">
        <v>15435</v>
      </c>
      <c r="X1671" s="110">
        <v>3</v>
      </c>
      <c r="Y1671" s="113"/>
      <c r="Z1671" s="108" t="s">
        <v>15436</v>
      </c>
      <c r="AA1671" s="110">
        <v>3</v>
      </c>
      <c r="AB1671" s="111" t="s">
        <v>46</v>
      </c>
      <c r="AC1671" s="105" t="s">
        <v>3772</v>
      </c>
      <c r="AD1671" s="115" t="s">
        <v>101</v>
      </c>
    </row>
    <row r="1672" spans="1:30" x14ac:dyDescent="0.2">
      <c r="A1672" s="104" t="s">
        <v>3773</v>
      </c>
      <c r="B1672" s="105" t="s">
        <v>381</v>
      </c>
      <c r="C1672" s="105" t="s">
        <v>3514</v>
      </c>
      <c r="D1672" s="106"/>
      <c r="E1672" s="107"/>
      <c r="F1672" s="108" t="s">
        <v>47</v>
      </c>
      <c r="G1672" s="113"/>
      <c r="H1672" s="108" t="s">
        <v>47</v>
      </c>
      <c r="I1672" s="114"/>
      <c r="J1672" s="113"/>
      <c r="K1672" s="108" t="s">
        <v>47</v>
      </c>
      <c r="L1672" s="114"/>
      <c r="M1672" s="113"/>
      <c r="N1672" s="108" t="s">
        <v>47</v>
      </c>
      <c r="O1672" s="114"/>
      <c r="P1672" s="113"/>
      <c r="Q1672" s="108" t="s">
        <v>47</v>
      </c>
      <c r="R1672" s="114"/>
      <c r="S1672" s="113"/>
      <c r="T1672" s="108" t="s">
        <v>47</v>
      </c>
      <c r="U1672" s="114"/>
      <c r="V1672" s="113"/>
      <c r="W1672" s="108" t="s">
        <v>47</v>
      </c>
      <c r="X1672" s="114"/>
      <c r="Y1672" s="113"/>
      <c r="Z1672" s="108" t="s">
        <v>47</v>
      </c>
      <c r="AA1672" s="114"/>
      <c r="AB1672" s="113"/>
      <c r="AC1672" s="105"/>
      <c r="AD1672" s="115" t="s">
        <v>101</v>
      </c>
    </row>
    <row r="1673" spans="1:30" x14ac:dyDescent="0.2">
      <c r="A1673" s="104" t="s">
        <v>3774</v>
      </c>
      <c r="B1673" s="105" t="s">
        <v>381</v>
      </c>
      <c r="C1673" s="105" t="s">
        <v>3309</v>
      </c>
      <c r="D1673" s="106" t="s">
        <v>125</v>
      </c>
      <c r="E1673" s="107"/>
      <c r="F1673" s="108" t="s">
        <v>3775</v>
      </c>
      <c r="G1673" s="120">
        <v>2</v>
      </c>
      <c r="H1673" s="108" t="s">
        <v>3776</v>
      </c>
      <c r="I1673" s="110">
        <v>3</v>
      </c>
      <c r="J1673" s="111" t="s">
        <v>55</v>
      </c>
      <c r="K1673" s="108" t="s">
        <v>15437</v>
      </c>
      <c r="L1673" s="116">
        <v>1</v>
      </c>
      <c r="M1673" s="113"/>
      <c r="N1673" s="108" t="s">
        <v>3775</v>
      </c>
      <c r="O1673" s="117">
        <v>2</v>
      </c>
      <c r="P1673" s="113"/>
      <c r="Q1673" s="108" t="s">
        <v>15438</v>
      </c>
      <c r="R1673" s="112">
        <v>4</v>
      </c>
      <c r="S1673" s="111" t="s">
        <v>46</v>
      </c>
      <c r="T1673" s="108" t="s">
        <v>15439</v>
      </c>
      <c r="U1673" s="117">
        <v>2</v>
      </c>
      <c r="V1673" s="113"/>
      <c r="W1673" s="108" t="s">
        <v>3777</v>
      </c>
      <c r="X1673" s="112">
        <v>4</v>
      </c>
      <c r="Y1673" s="113"/>
      <c r="Z1673" s="108" t="s">
        <v>406</v>
      </c>
      <c r="AA1673" s="110">
        <v>3</v>
      </c>
      <c r="AB1673" s="111" t="s">
        <v>40</v>
      </c>
      <c r="AC1673" s="105" t="s">
        <v>3778</v>
      </c>
      <c r="AD1673" s="115" t="s">
        <v>101</v>
      </c>
    </row>
    <row r="1674" spans="1:30" x14ac:dyDescent="0.2">
      <c r="A1674" s="104" t="s">
        <v>3779</v>
      </c>
      <c r="B1674" s="105" t="s">
        <v>381</v>
      </c>
      <c r="C1674" s="105" t="s">
        <v>382</v>
      </c>
      <c r="D1674" s="106" t="s">
        <v>125</v>
      </c>
      <c r="E1674" s="107"/>
      <c r="F1674" s="108" t="s">
        <v>15440</v>
      </c>
      <c r="G1674" s="118">
        <v>3</v>
      </c>
      <c r="H1674" s="108" t="s">
        <v>15441</v>
      </c>
      <c r="I1674" s="117">
        <v>2</v>
      </c>
      <c r="J1674" s="111" t="s">
        <v>40</v>
      </c>
      <c r="K1674" s="108" t="s">
        <v>15442</v>
      </c>
      <c r="L1674" s="117">
        <v>2</v>
      </c>
      <c r="M1674" s="111" t="s">
        <v>40</v>
      </c>
      <c r="N1674" s="108" t="s">
        <v>15440</v>
      </c>
      <c r="O1674" s="110">
        <v>3</v>
      </c>
      <c r="P1674" s="113"/>
      <c r="Q1674" s="108" t="s">
        <v>15443</v>
      </c>
      <c r="R1674" s="117">
        <v>2</v>
      </c>
      <c r="S1674" s="111" t="s">
        <v>40</v>
      </c>
      <c r="T1674" s="108" t="s">
        <v>15444</v>
      </c>
      <c r="U1674" s="117">
        <v>2</v>
      </c>
      <c r="V1674" s="111" t="s">
        <v>40</v>
      </c>
      <c r="W1674" s="108" t="s">
        <v>15445</v>
      </c>
      <c r="X1674" s="110">
        <v>3</v>
      </c>
      <c r="Y1674" s="113"/>
      <c r="Z1674" s="108" t="s">
        <v>15446</v>
      </c>
      <c r="AA1674" s="110">
        <v>3</v>
      </c>
      <c r="AB1674" s="113"/>
      <c r="AC1674" s="105" t="s">
        <v>3780</v>
      </c>
      <c r="AD1674" s="115" t="s">
        <v>101</v>
      </c>
    </row>
    <row r="1675" spans="1:30" x14ac:dyDescent="0.2">
      <c r="A1675" s="104" t="s">
        <v>3781</v>
      </c>
      <c r="B1675" s="105" t="s">
        <v>381</v>
      </c>
      <c r="C1675" s="105" t="s">
        <v>3782</v>
      </c>
      <c r="D1675" s="106"/>
      <c r="E1675" s="107"/>
      <c r="F1675" s="108" t="s">
        <v>47</v>
      </c>
      <c r="G1675" s="113"/>
      <c r="H1675" s="108" t="s">
        <v>47</v>
      </c>
      <c r="I1675" s="114"/>
      <c r="J1675" s="113"/>
      <c r="K1675" s="108" t="s">
        <v>47</v>
      </c>
      <c r="L1675" s="114"/>
      <c r="M1675" s="113"/>
      <c r="N1675" s="108" t="s">
        <v>47</v>
      </c>
      <c r="O1675" s="114"/>
      <c r="P1675" s="113"/>
      <c r="Q1675" s="108" t="s">
        <v>47</v>
      </c>
      <c r="R1675" s="114"/>
      <c r="S1675" s="113"/>
      <c r="T1675" s="108" t="s">
        <v>47</v>
      </c>
      <c r="U1675" s="114"/>
      <c r="V1675" s="113"/>
      <c r="W1675" s="108" t="s">
        <v>47</v>
      </c>
      <c r="X1675" s="114"/>
      <c r="Y1675" s="113"/>
      <c r="Z1675" s="108" t="s">
        <v>47</v>
      </c>
      <c r="AA1675" s="114"/>
      <c r="AB1675" s="113"/>
      <c r="AC1675" s="105"/>
      <c r="AD1675" s="115" t="s">
        <v>101</v>
      </c>
    </row>
    <row r="1676" spans="1:30" x14ac:dyDescent="0.2">
      <c r="A1676" s="104" t="s">
        <v>3783</v>
      </c>
      <c r="B1676" s="105" t="s">
        <v>381</v>
      </c>
      <c r="C1676" s="105" t="s">
        <v>722</v>
      </c>
      <c r="D1676" s="106"/>
      <c r="E1676" s="107"/>
      <c r="F1676" s="108" t="s">
        <v>15447</v>
      </c>
      <c r="G1676" s="119">
        <v>1</v>
      </c>
      <c r="H1676" s="108" t="s">
        <v>15448</v>
      </c>
      <c r="I1676" s="116">
        <v>1</v>
      </c>
      <c r="J1676" s="111" t="s">
        <v>53</v>
      </c>
      <c r="K1676" s="108" t="s">
        <v>15449</v>
      </c>
      <c r="L1676" s="117">
        <v>2</v>
      </c>
      <c r="M1676" s="111" t="s">
        <v>53</v>
      </c>
      <c r="N1676" s="108" t="s">
        <v>15447</v>
      </c>
      <c r="O1676" s="116">
        <v>1</v>
      </c>
      <c r="P1676" s="111" t="s">
        <v>53</v>
      </c>
      <c r="Q1676" s="108" t="s">
        <v>15450</v>
      </c>
      <c r="R1676" s="117">
        <v>2</v>
      </c>
      <c r="S1676" s="113"/>
      <c r="T1676" s="108" t="s">
        <v>15451</v>
      </c>
      <c r="U1676" s="110">
        <v>3</v>
      </c>
      <c r="V1676" s="113"/>
      <c r="W1676" s="108" t="s">
        <v>3784</v>
      </c>
      <c r="X1676" s="110">
        <v>3</v>
      </c>
      <c r="Y1676" s="113"/>
      <c r="Z1676" s="108" t="s">
        <v>47</v>
      </c>
      <c r="AA1676" s="114"/>
      <c r="AB1676" s="113"/>
      <c r="AC1676" s="105" t="s">
        <v>3785</v>
      </c>
      <c r="AD1676" s="115" t="s">
        <v>101</v>
      </c>
    </row>
    <row r="1677" spans="1:30" x14ac:dyDescent="0.2">
      <c r="A1677" s="104" t="s">
        <v>3786</v>
      </c>
      <c r="B1677" s="105" t="s">
        <v>381</v>
      </c>
      <c r="C1677" s="105" t="s">
        <v>722</v>
      </c>
      <c r="D1677" s="106"/>
      <c r="E1677" s="107"/>
      <c r="F1677" s="108" t="s">
        <v>15452</v>
      </c>
      <c r="G1677" s="118">
        <v>3</v>
      </c>
      <c r="H1677" s="108" t="s">
        <v>15453</v>
      </c>
      <c r="I1677" s="110">
        <v>3</v>
      </c>
      <c r="J1677" s="111" t="s">
        <v>40</v>
      </c>
      <c r="K1677" s="108" t="s">
        <v>15454</v>
      </c>
      <c r="L1677" s="112">
        <v>4</v>
      </c>
      <c r="M1677" s="113"/>
      <c r="N1677" s="108" t="s">
        <v>15452</v>
      </c>
      <c r="O1677" s="110">
        <v>3</v>
      </c>
      <c r="P1677" s="111" t="s">
        <v>55</v>
      </c>
      <c r="Q1677" s="108" t="s">
        <v>15455</v>
      </c>
      <c r="R1677" s="116">
        <v>1</v>
      </c>
      <c r="S1677" s="113"/>
      <c r="T1677" s="108" t="s">
        <v>15456</v>
      </c>
      <c r="U1677" s="117">
        <v>2</v>
      </c>
      <c r="V1677" s="113"/>
      <c r="W1677" s="108" t="s">
        <v>15457</v>
      </c>
      <c r="X1677" s="117">
        <v>2</v>
      </c>
      <c r="Y1677" s="113"/>
      <c r="Z1677" s="108" t="s">
        <v>47</v>
      </c>
      <c r="AA1677" s="114"/>
      <c r="AB1677" s="113"/>
      <c r="AC1677" s="105" t="s">
        <v>3787</v>
      </c>
      <c r="AD1677" s="115" t="s">
        <v>101</v>
      </c>
    </row>
    <row r="1678" spans="1:30" x14ac:dyDescent="0.2">
      <c r="A1678" s="104" t="s">
        <v>3788</v>
      </c>
      <c r="B1678" s="105" t="s">
        <v>381</v>
      </c>
      <c r="C1678" s="105" t="s">
        <v>722</v>
      </c>
      <c r="D1678" s="106"/>
      <c r="E1678" s="107"/>
      <c r="F1678" s="108" t="s">
        <v>8865</v>
      </c>
      <c r="G1678" s="120">
        <v>2</v>
      </c>
      <c r="H1678" s="108" t="s">
        <v>15458</v>
      </c>
      <c r="I1678" s="117">
        <v>2</v>
      </c>
      <c r="J1678" s="113"/>
      <c r="K1678" s="108" t="s">
        <v>15459</v>
      </c>
      <c r="L1678" s="116">
        <v>1</v>
      </c>
      <c r="M1678" s="111" t="s">
        <v>40</v>
      </c>
      <c r="N1678" s="108" t="s">
        <v>8865</v>
      </c>
      <c r="O1678" s="117">
        <v>2</v>
      </c>
      <c r="P1678" s="113"/>
      <c r="Q1678" s="108" t="s">
        <v>15460</v>
      </c>
      <c r="R1678" s="110">
        <v>3</v>
      </c>
      <c r="S1678" s="113"/>
      <c r="T1678" s="108" t="s">
        <v>15461</v>
      </c>
      <c r="U1678" s="116">
        <v>1</v>
      </c>
      <c r="V1678" s="113"/>
      <c r="W1678" s="108" t="s">
        <v>3789</v>
      </c>
      <c r="X1678" s="116">
        <v>1</v>
      </c>
      <c r="Y1678" s="113"/>
      <c r="Z1678" s="108" t="s">
        <v>47</v>
      </c>
      <c r="AA1678" s="114"/>
      <c r="AB1678" s="113"/>
      <c r="AC1678" s="105" t="s">
        <v>3790</v>
      </c>
      <c r="AD1678" s="115" t="s">
        <v>101</v>
      </c>
    </row>
    <row r="1679" spans="1:30" x14ac:dyDescent="0.2">
      <c r="A1679" s="104" t="s">
        <v>3791</v>
      </c>
      <c r="B1679" s="105" t="s">
        <v>381</v>
      </c>
      <c r="C1679" s="105" t="s">
        <v>3792</v>
      </c>
      <c r="D1679" s="106" t="s">
        <v>105</v>
      </c>
      <c r="E1679" s="107"/>
      <c r="F1679" s="108" t="s">
        <v>3793</v>
      </c>
      <c r="G1679" s="119">
        <v>1</v>
      </c>
      <c r="H1679" s="108" t="s">
        <v>3794</v>
      </c>
      <c r="I1679" s="116">
        <v>1</v>
      </c>
      <c r="J1679" s="113"/>
      <c r="K1679" s="108" t="s">
        <v>3795</v>
      </c>
      <c r="L1679" s="116">
        <v>1</v>
      </c>
      <c r="M1679" s="111" t="s">
        <v>53</v>
      </c>
      <c r="N1679" s="108" t="s">
        <v>3793</v>
      </c>
      <c r="O1679" s="116">
        <v>1</v>
      </c>
      <c r="P1679" s="113"/>
      <c r="Q1679" s="108" t="s">
        <v>3796</v>
      </c>
      <c r="R1679" s="117">
        <v>2</v>
      </c>
      <c r="S1679" s="113"/>
      <c r="T1679" s="108" t="s">
        <v>405</v>
      </c>
      <c r="U1679" s="110">
        <v>3</v>
      </c>
      <c r="V1679" s="113"/>
      <c r="W1679" s="108" t="s">
        <v>1892</v>
      </c>
      <c r="X1679" s="112">
        <v>4</v>
      </c>
      <c r="Y1679" s="113"/>
      <c r="Z1679" s="108" t="s">
        <v>47</v>
      </c>
      <c r="AA1679" s="114"/>
      <c r="AB1679" s="113"/>
      <c r="AC1679" s="105" t="s">
        <v>3797</v>
      </c>
      <c r="AD1679" s="115" t="s">
        <v>101</v>
      </c>
    </row>
    <row r="1680" spans="1:30" x14ac:dyDescent="0.2">
      <c r="A1680" s="104" t="s">
        <v>3798</v>
      </c>
      <c r="B1680" s="105" t="s">
        <v>381</v>
      </c>
      <c r="C1680" s="105" t="s">
        <v>722</v>
      </c>
      <c r="D1680" s="106"/>
      <c r="E1680" s="107"/>
      <c r="F1680" s="108" t="s">
        <v>15462</v>
      </c>
      <c r="G1680" s="119">
        <v>1</v>
      </c>
      <c r="H1680" s="108" t="s">
        <v>15463</v>
      </c>
      <c r="I1680" s="116">
        <v>1</v>
      </c>
      <c r="J1680" s="113"/>
      <c r="K1680" s="108" t="s">
        <v>15464</v>
      </c>
      <c r="L1680" s="116">
        <v>1</v>
      </c>
      <c r="M1680" s="113"/>
      <c r="N1680" s="108" t="s">
        <v>15462</v>
      </c>
      <c r="O1680" s="116">
        <v>1</v>
      </c>
      <c r="P1680" s="113"/>
      <c r="Q1680" s="108" t="s">
        <v>15465</v>
      </c>
      <c r="R1680" s="116">
        <v>1</v>
      </c>
      <c r="S1680" s="111" t="s">
        <v>40</v>
      </c>
      <c r="T1680" s="108" t="s">
        <v>15466</v>
      </c>
      <c r="U1680" s="112">
        <v>4</v>
      </c>
      <c r="V1680" s="113"/>
      <c r="W1680" s="108" t="s">
        <v>47</v>
      </c>
      <c r="X1680" s="114"/>
      <c r="Y1680" s="113"/>
      <c r="Z1680" s="108" t="s">
        <v>47</v>
      </c>
      <c r="AA1680" s="114"/>
      <c r="AB1680" s="113"/>
      <c r="AC1680" s="105" t="s">
        <v>3799</v>
      </c>
      <c r="AD1680" s="115" t="s">
        <v>101</v>
      </c>
    </row>
    <row r="1681" spans="1:30" x14ac:dyDescent="0.2">
      <c r="A1681" s="104" t="s">
        <v>3800</v>
      </c>
      <c r="B1681" s="105" t="s">
        <v>381</v>
      </c>
      <c r="C1681" s="105" t="s">
        <v>722</v>
      </c>
      <c r="D1681" s="106"/>
      <c r="E1681" s="107"/>
      <c r="F1681" s="108" t="s">
        <v>15467</v>
      </c>
      <c r="G1681" s="120">
        <v>2</v>
      </c>
      <c r="H1681" s="108" t="s">
        <v>15468</v>
      </c>
      <c r="I1681" s="117">
        <v>2</v>
      </c>
      <c r="J1681" s="113"/>
      <c r="K1681" s="108" t="s">
        <v>15469</v>
      </c>
      <c r="L1681" s="116">
        <v>1</v>
      </c>
      <c r="M1681" s="113"/>
      <c r="N1681" s="108" t="s">
        <v>15467</v>
      </c>
      <c r="O1681" s="117">
        <v>2</v>
      </c>
      <c r="P1681" s="111" t="s">
        <v>40</v>
      </c>
      <c r="Q1681" s="108" t="s">
        <v>15470</v>
      </c>
      <c r="R1681" s="112">
        <v>4</v>
      </c>
      <c r="S1681" s="113"/>
      <c r="T1681" s="108" t="s">
        <v>15471</v>
      </c>
      <c r="U1681" s="112">
        <v>4</v>
      </c>
      <c r="V1681" s="113"/>
      <c r="W1681" s="108" t="s">
        <v>47</v>
      </c>
      <c r="X1681" s="114"/>
      <c r="Y1681" s="113"/>
      <c r="Z1681" s="108" t="s">
        <v>47</v>
      </c>
      <c r="AA1681" s="114"/>
      <c r="AB1681" s="113"/>
      <c r="AC1681" s="105" t="s">
        <v>3801</v>
      </c>
      <c r="AD1681" s="115" t="s">
        <v>101</v>
      </c>
    </row>
    <row r="1682" spans="1:30" x14ac:dyDescent="0.2">
      <c r="A1682" s="104" t="s">
        <v>3802</v>
      </c>
      <c r="B1682" s="105" t="s">
        <v>381</v>
      </c>
      <c r="C1682" s="105" t="s">
        <v>3803</v>
      </c>
      <c r="D1682" s="106" t="s">
        <v>125</v>
      </c>
      <c r="E1682" s="107"/>
      <c r="F1682" s="108" t="s">
        <v>15472</v>
      </c>
      <c r="G1682" s="119">
        <v>1</v>
      </c>
      <c r="H1682" s="108" t="s">
        <v>3804</v>
      </c>
      <c r="I1682" s="116">
        <v>1</v>
      </c>
      <c r="J1682" s="113"/>
      <c r="K1682" s="108" t="s">
        <v>8206</v>
      </c>
      <c r="L1682" s="116">
        <v>1</v>
      </c>
      <c r="M1682" s="111" t="s">
        <v>40</v>
      </c>
      <c r="N1682" s="108" t="s">
        <v>15472</v>
      </c>
      <c r="O1682" s="116">
        <v>1</v>
      </c>
      <c r="P1682" s="111" t="s">
        <v>40</v>
      </c>
      <c r="Q1682" s="108" t="s">
        <v>15473</v>
      </c>
      <c r="R1682" s="117">
        <v>2</v>
      </c>
      <c r="S1682" s="111" t="s">
        <v>40</v>
      </c>
      <c r="T1682" s="108" t="s">
        <v>3668</v>
      </c>
      <c r="U1682" s="110">
        <v>3</v>
      </c>
      <c r="V1682" s="111" t="s">
        <v>40</v>
      </c>
      <c r="W1682" s="108" t="s">
        <v>47</v>
      </c>
      <c r="X1682" s="114"/>
      <c r="Y1682" s="113"/>
      <c r="Z1682" s="108" t="s">
        <v>47</v>
      </c>
      <c r="AA1682" s="114"/>
      <c r="AB1682" s="113"/>
      <c r="AC1682" s="105" t="s">
        <v>3805</v>
      </c>
      <c r="AD1682" s="115" t="s">
        <v>101</v>
      </c>
    </row>
    <row r="1683" spans="1:30" x14ac:dyDescent="0.2">
      <c r="A1683" s="104" t="s">
        <v>3806</v>
      </c>
      <c r="B1683" s="105" t="s">
        <v>381</v>
      </c>
      <c r="C1683" s="105" t="s">
        <v>722</v>
      </c>
      <c r="D1683" s="106"/>
      <c r="E1683" s="107"/>
      <c r="F1683" s="108" t="s">
        <v>14753</v>
      </c>
      <c r="G1683" s="119">
        <v>1</v>
      </c>
      <c r="H1683" s="108" t="s">
        <v>15474</v>
      </c>
      <c r="I1683" s="117">
        <v>2</v>
      </c>
      <c r="J1683" s="111" t="s">
        <v>46</v>
      </c>
      <c r="K1683" s="108" t="s">
        <v>15475</v>
      </c>
      <c r="L1683" s="117">
        <v>2</v>
      </c>
      <c r="M1683" s="111" t="s">
        <v>40</v>
      </c>
      <c r="N1683" s="108" t="s">
        <v>14753</v>
      </c>
      <c r="O1683" s="116">
        <v>1</v>
      </c>
      <c r="P1683" s="113"/>
      <c r="Q1683" s="108" t="s">
        <v>15476</v>
      </c>
      <c r="R1683" s="116">
        <v>1</v>
      </c>
      <c r="S1683" s="113"/>
      <c r="T1683" s="108" t="s">
        <v>15477</v>
      </c>
      <c r="U1683" s="116">
        <v>1</v>
      </c>
      <c r="V1683" s="113"/>
      <c r="W1683" s="108" t="s">
        <v>15478</v>
      </c>
      <c r="X1683" s="110">
        <v>3</v>
      </c>
      <c r="Y1683" s="113"/>
      <c r="Z1683" s="108" t="s">
        <v>47</v>
      </c>
      <c r="AA1683" s="114"/>
      <c r="AB1683" s="113"/>
      <c r="AC1683" s="105" t="s">
        <v>3807</v>
      </c>
      <c r="AD1683" s="115" t="s">
        <v>101</v>
      </c>
    </row>
    <row r="1684" spans="1:30" x14ac:dyDescent="0.2">
      <c r="A1684" s="104" t="s">
        <v>3808</v>
      </c>
      <c r="B1684" s="105" t="s">
        <v>381</v>
      </c>
      <c r="C1684" s="105" t="s">
        <v>3809</v>
      </c>
      <c r="D1684" s="106" t="s">
        <v>105</v>
      </c>
      <c r="E1684" s="107"/>
      <c r="F1684" s="108" t="s">
        <v>15479</v>
      </c>
      <c r="G1684" s="119">
        <v>1</v>
      </c>
      <c r="H1684" s="108" t="s">
        <v>15480</v>
      </c>
      <c r="I1684" s="110">
        <v>3</v>
      </c>
      <c r="J1684" s="111" t="s">
        <v>55</v>
      </c>
      <c r="K1684" s="108" t="s">
        <v>15479</v>
      </c>
      <c r="L1684" s="116">
        <v>1</v>
      </c>
      <c r="M1684" s="113"/>
      <c r="N1684" s="108" t="s">
        <v>15479</v>
      </c>
      <c r="O1684" s="116">
        <v>1</v>
      </c>
      <c r="P1684" s="113"/>
      <c r="Q1684" s="108" t="s">
        <v>3810</v>
      </c>
      <c r="R1684" s="110">
        <v>3</v>
      </c>
      <c r="S1684" s="113"/>
      <c r="T1684" s="108" t="s">
        <v>3811</v>
      </c>
      <c r="U1684" s="110">
        <v>3</v>
      </c>
      <c r="V1684" s="111" t="s">
        <v>46</v>
      </c>
      <c r="W1684" s="108" t="s">
        <v>3812</v>
      </c>
      <c r="X1684" s="116">
        <v>1</v>
      </c>
      <c r="Y1684" s="113"/>
      <c r="Z1684" s="108" t="s">
        <v>3813</v>
      </c>
      <c r="AA1684" s="110">
        <v>3</v>
      </c>
      <c r="AB1684" s="111" t="s">
        <v>40</v>
      </c>
      <c r="AC1684" s="105" t="s">
        <v>3814</v>
      </c>
      <c r="AD1684" s="115" t="s">
        <v>101</v>
      </c>
    </row>
    <row r="1685" spans="1:30" x14ac:dyDescent="0.2">
      <c r="A1685" s="104" t="s">
        <v>3815</v>
      </c>
      <c r="B1685" s="105" t="s">
        <v>381</v>
      </c>
      <c r="C1685" s="105" t="s">
        <v>433</v>
      </c>
      <c r="D1685" s="106" t="s">
        <v>94</v>
      </c>
      <c r="E1685" s="107"/>
      <c r="F1685" s="108" t="s">
        <v>15481</v>
      </c>
      <c r="G1685" s="118">
        <v>3</v>
      </c>
      <c r="H1685" s="108" t="s">
        <v>15482</v>
      </c>
      <c r="I1685" s="117">
        <v>2</v>
      </c>
      <c r="J1685" s="113"/>
      <c r="K1685" s="108" t="s">
        <v>15483</v>
      </c>
      <c r="L1685" s="117">
        <v>2</v>
      </c>
      <c r="M1685" s="113"/>
      <c r="N1685" s="108" t="s">
        <v>15481</v>
      </c>
      <c r="O1685" s="110">
        <v>3</v>
      </c>
      <c r="P1685" s="113"/>
      <c r="Q1685" s="108" t="s">
        <v>3816</v>
      </c>
      <c r="R1685" s="110">
        <v>3</v>
      </c>
      <c r="S1685" s="113"/>
      <c r="T1685" s="108" t="s">
        <v>15484</v>
      </c>
      <c r="U1685" s="110">
        <v>3</v>
      </c>
      <c r="V1685" s="113"/>
      <c r="W1685" s="108" t="s">
        <v>9607</v>
      </c>
      <c r="X1685" s="110">
        <v>3</v>
      </c>
      <c r="Y1685" s="113"/>
      <c r="Z1685" s="108" t="s">
        <v>15485</v>
      </c>
      <c r="AA1685" s="117">
        <v>2</v>
      </c>
      <c r="AB1685" s="113"/>
      <c r="AC1685" s="105" t="s">
        <v>3817</v>
      </c>
      <c r="AD1685" s="115" t="s">
        <v>101</v>
      </c>
    </row>
    <row r="1686" spans="1:30" x14ac:dyDescent="0.2">
      <c r="A1686" s="104" t="s">
        <v>3818</v>
      </c>
      <c r="B1686" s="105" t="s">
        <v>42</v>
      </c>
      <c r="C1686" s="105" t="s">
        <v>384</v>
      </c>
      <c r="D1686" s="106"/>
      <c r="E1686" s="107" t="s">
        <v>146</v>
      </c>
      <c r="F1686" s="108" t="s">
        <v>15486</v>
      </c>
      <c r="G1686" s="119">
        <v>1</v>
      </c>
      <c r="H1686" s="108" t="s">
        <v>15487</v>
      </c>
      <c r="I1686" s="116">
        <v>1</v>
      </c>
      <c r="J1686" s="113"/>
      <c r="K1686" s="108" t="s">
        <v>15488</v>
      </c>
      <c r="L1686" s="116">
        <v>1</v>
      </c>
      <c r="M1686" s="113"/>
      <c r="N1686" s="108" t="s">
        <v>15486</v>
      </c>
      <c r="O1686" s="116">
        <v>1</v>
      </c>
      <c r="P1686" s="113"/>
      <c r="Q1686" s="108" t="s">
        <v>15489</v>
      </c>
      <c r="R1686" s="116">
        <v>1</v>
      </c>
      <c r="S1686" s="113"/>
      <c r="T1686" s="108" t="s">
        <v>47</v>
      </c>
      <c r="U1686" s="114"/>
      <c r="V1686" s="113"/>
      <c r="W1686" s="108" t="s">
        <v>47</v>
      </c>
      <c r="X1686" s="114"/>
      <c r="Y1686" s="113"/>
      <c r="Z1686" s="108" t="s">
        <v>47</v>
      </c>
      <c r="AA1686" s="114"/>
      <c r="AB1686" s="113"/>
      <c r="AC1686" s="105" t="s">
        <v>3819</v>
      </c>
      <c r="AD1686" s="115" t="s">
        <v>49</v>
      </c>
    </row>
    <row r="1687" spans="1:30" x14ac:dyDescent="0.2">
      <c r="A1687" s="104" t="s">
        <v>3820</v>
      </c>
      <c r="B1687" s="105" t="s">
        <v>42</v>
      </c>
      <c r="C1687" s="105" t="s">
        <v>384</v>
      </c>
      <c r="D1687" s="106"/>
      <c r="E1687" s="107" t="s">
        <v>146</v>
      </c>
      <c r="F1687" s="108" t="s">
        <v>15490</v>
      </c>
      <c r="G1687" s="119">
        <v>1</v>
      </c>
      <c r="H1687" s="108" t="s">
        <v>15491</v>
      </c>
      <c r="I1687" s="116">
        <v>1</v>
      </c>
      <c r="J1687" s="113"/>
      <c r="K1687" s="108" t="s">
        <v>15492</v>
      </c>
      <c r="L1687" s="116">
        <v>1</v>
      </c>
      <c r="M1687" s="113"/>
      <c r="N1687" s="108" t="s">
        <v>15490</v>
      </c>
      <c r="O1687" s="116">
        <v>1</v>
      </c>
      <c r="P1687" s="113"/>
      <c r="Q1687" s="108" t="s">
        <v>15493</v>
      </c>
      <c r="R1687" s="116">
        <v>1</v>
      </c>
      <c r="S1687" s="113"/>
      <c r="T1687" s="108" t="s">
        <v>47</v>
      </c>
      <c r="U1687" s="114"/>
      <c r="V1687" s="113"/>
      <c r="W1687" s="108" t="s">
        <v>47</v>
      </c>
      <c r="X1687" s="114"/>
      <c r="Y1687" s="113"/>
      <c r="Z1687" s="108" t="s">
        <v>47</v>
      </c>
      <c r="AA1687" s="114"/>
      <c r="AB1687" s="113"/>
      <c r="AC1687" s="105" t="s">
        <v>3821</v>
      </c>
      <c r="AD1687" s="115" t="s">
        <v>49</v>
      </c>
    </row>
    <row r="1688" spans="1:30" x14ac:dyDescent="0.2">
      <c r="A1688" s="104" t="s">
        <v>3822</v>
      </c>
      <c r="B1688" s="105" t="s">
        <v>42</v>
      </c>
      <c r="C1688" s="105" t="s">
        <v>384</v>
      </c>
      <c r="D1688" s="106"/>
      <c r="E1688" s="107" t="s">
        <v>146</v>
      </c>
      <c r="F1688" s="108" t="s">
        <v>15494</v>
      </c>
      <c r="G1688" s="119">
        <v>1</v>
      </c>
      <c r="H1688" s="108" t="s">
        <v>15495</v>
      </c>
      <c r="I1688" s="116">
        <v>1</v>
      </c>
      <c r="J1688" s="113"/>
      <c r="K1688" s="108" t="s">
        <v>15496</v>
      </c>
      <c r="L1688" s="116">
        <v>1</v>
      </c>
      <c r="M1688" s="113"/>
      <c r="N1688" s="108" t="s">
        <v>15494</v>
      </c>
      <c r="O1688" s="116">
        <v>1</v>
      </c>
      <c r="P1688" s="113"/>
      <c r="Q1688" s="108" t="s">
        <v>15497</v>
      </c>
      <c r="R1688" s="116">
        <v>1</v>
      </c>
      <c r="S1688" s="113"/>
      <c r="T1688" s="108" t="s">
        <v>47</v>
      </c>
      <c r="U1688" s="114"/>
      <c r="V1688" s="113"/>
      <c r="W1688" s="108" t="s">
        <v>47</v>
      </c>
      <c r="X1688" s="114"/>
      <c r="Y1688" s="113"/>
      <c r="Z1688" s="108" t="s">
        <v>47</v>
      </c>
      <c r="AA1688" s="114"/>
      <c r="AB1688" s="113"/>
      <c r="AC1688" s="105" t="s">
        <v>3823</v>
      </c>
      <c r="AD1688" s="115" t="s">
        <v>49</v>
      </c>
    </row>
    <row r="1689" spans="1:30" x14ac:dyDescent="0.2">
      <c r="A1689" s="104" t="s">
        <v>3824</v>
      </c>
      <c r="B1689" s="105" t="s">
        <v>42</v>
      </c>
      <c r="C1689" s="105" t="s">
        <v>384</v>
      </c>
      <c r="D1689" s="106"/>
      <c r="E1689" s="107" t="s">
        <v>146</v>
      </c>
      <c r="F1689" s="108" t="s">
        <v>15498</v>
      </c>
      <c r="G1689" s="119">
        <v>1</v>
      </c>
      <c r="H1689" s="108" t="s">
        <v>15499</v>
      </c>
      <c r="I1689" s="116">
        <v>1</v>
      </c>
      <c r="J1689" s="113"/>
      <c r="K1689" s="108" t="s">
        <v>15500</v>
      </c>
      <c r="L1689" s="116">
        <v>1</v>
      </c>
      <c r="M1689" s="113"/>
      <c r="N1689" s="108" t="s">
        <v>15498</v>
      </c>
      <c r="O1689" s="116">
        <v>1</v>
      </c>
      <c r="P1689" s="113"/>
      <c r="Q1689" s="108" t="s">
        <v>15501</v>
      </c>
      <c r="R1689" s="116">
        <v>1</v>
      </c>
      <c r="S1689" s="113"/>
      <c r="T1689" s="108" t="s">
        <v>47</v>
      </c>
      <c r="U1689" s="114"/>
      <c r="V1689" s="113"/>
      <c r="W1689" s="108" t="s">
        <v>47</v>
      </c>
      <c r="X1689" s="114"/>
      <c r="Y1689" s="113"/>
      <c r="Z1689" s="108" t="s">
        <v>47</v>
      </c>
      <c r="AA1689" s="114"/>
      <c r="AB1689" s="113"/>
      <c r="AC1689" s="105" t="s">
        <v>3825</v>
      </c>
      <c r="AD1689" s="115" t="s">
        <v>49</v>
      </c>
    </row>
    <row r="1690" spans="1:30" x14ac:dyDescent="0.2">
      <c r="A1690" s="104" t="s">
        <v>3826</v>
      </c>
      <c r="B1690" s="105" t="s">
        <v>97</v>
      </c>
      <c r="C1690" s="105" t="s">
        <v>3827</v>
      </c>
      <c r="D1690" s="106"/>
      <c r="E1690" s="107"/>
      <c r="F1690" s="108" t="s">
        <v>15502</v>
      </c>
      <c r="G1690" s="120">
        <v>2</v>
      </c>
      <c r="H1690" s="108" t="s">
        <v>15503</v>
      </c>
      <c r="I1690" s="110">
        <v>3</v>
      </c>
      <c r="J1690" s="113"/>
      <c r="K1690" s="108" t="s">
        <v>15504</v>
      </c>
      <c r="L1690" s="110">
        <v>3</v>
      </c>
      <c r="M1690" s="111" t="s">
        <v>46</v>
      </c>
      <c r="N1690" s="108" t="s">
        <v>15502</v>
      </c>
      <c r="O1690" s="117">
        <v>2</v>
      </c>
      <c r="P1690" s="111" t="s">
        <v>46</v>
      </c>
      <c r="Q1690" s="108" t="s">
        <v>15505</v>
      </c>
      <c r="R1690" s="116">
        <v>1</v>
      </c>
      <c r="S1690" s="113"/>
      <c r="T1690" s="108" t="s">
        <v>15506</v>
      </c>
      <c r="U1690" s="116">
        <v>1</v>
      </c>
      <c r="V1690" s="113"/>
      <c r="W1690" s="108" t="s">
        <v>15507</v>
      </c>
      <c r="X1690" s="116">
        <v>1</v>
      </c>
      <c r="Y1690" s="113"/>
      <c r="Z1690" s="108" t="s">
        <v>47</v>
      </c>
      <c r="AA1690" s="114"/>
      <c r="AB1690" s="113"/>
      <c r="AC1690" s="105" t="s">
        <v>3828</v>
      </c>
      <c r="AD1690" s="115" t="s">
        <v>101</v>
      </c>
    </row>
    <row r="1691" spans="1:30" x14ac:dyDescent="0.2">
      <c r="A1691" s="104" t="s">
        <v>3829</v>
      </c>
      <c r="B1691" s="105" t="s">
        <v>381</v>
      </c>
      <c r="C1691" s="105" t="s">
        <v>404</v>
      </c>
      <c r="D1691" s="106"/>
      <c r="E1691" s="107"/>
      <c r="F1691" s="108" t="s">
        <v>3830</v>
      </c>
      <c r="G1691" s="118">
        <v>3</v>
      </c>
      <c r="H1691" s="108" t="s">
        <v>3421</v>
      </c>
      <c r="I1691" s="110">
        <v>3</v>
      </c>
      <c r="J1691" s="111" t="s">
        <v>46</v>
      </c>
      <c r="K1691" s="108" t="s">
        <v>3831</v>
      </c>
      <c r="L1691" s="110">
        <v>3</v>
      </c>
      <c r="M1691" s="111" t="s">
        <v>46</v>
      </c>
      <c r="N1691" s="108" t="s">
        <v>3830</v>
      </c>
      <c r="O1691" s="110">
        <v>3</v>
      </c>
      <c r="P1691" s="113"/>
      <c r="Q1691" s="108" t="s">
        <v>15508</v>
      </c>
      <c r="R1691" s="116">
        <v>1</v>
      </c>
      <c r="S1691" s="113"/>
      <c r="T1691" s="108" t="s">
        <v>8775</v>
      </c>
      <c r="U1691" s="116">
        <v>1</v>
      </c>
      <c r="V1691" s="113"/>
      <c r="W1691" s="108" t="s">
        <v>3832</v>
      </c>
      <c r="X1691" s="117">
        <v>2</v>
      </c>
      <c r="Y1691" s="113"/>
      <c r="Z1691" s="108" t="s">
        <v>3833</v>
      </c>
      <c r="AA1691" s="117">
        <v>2</v>
      </c>
      <c r="AB1691" s="111" t="s">
        <v>40</v>
      </c>
      <c r="AC1691" s="105" t="s">
        <v>3834</v>
      </c>
      <c r="AD1691" s="115" t="s">
        <v>101</v>
      </c>
    </row>
    <row r="1692" spans="1:30" x14ac:dyDescent="0.2">
      <c r="A1692" s="104" t="s">
        <v>3835</v>
      </c>
      <c r="B1692" s="105" t="s">
        <v>97</v>
      </c>
      <c r="C1692" s="105" t="s">
        <v>582</v>
      </c>
      <c r="D1692" s="106" t="s">
        <v>298</v>
      </c>
      <c r="E1692" s="107"/>
      <c r="F1692" s="108" t="s">
        <v>15509</v>
      </c>
      <c r="G1692" s="120">
        <v>2</v>
      </c>
      <c r="H1692" s="108" t="s">
        <v>15510</v>
      </c>
      <c r="I1692" s="116">
        <v>1</v>
      </c>
      <c r="J1692" s="111" t="s">
        <v>157</v>
      </c>
      <c r="K1692" s="108" t="s">
        <v>15511</v>
      </c>
      <c r="L1692" s="110">
        <v>3</v>
      </c>
      <c r="M1692" s="113"/>
      <c r="N1692" s="108" t="s">
        <v>15509</v>
      </c>
      <c r="O1692" s="117">
        <v>2</v>
      </c>
      <c r="P1692" s="111" t="s">
        <v>53</v>
      </c>
      <c r="Q1692" s="108" t="s">
        <v>15512</v>
      </c>
      <c r="R1692" s="117">
        <v>2</v>
      </c>
      <c r="S1692" s="111" t="s">
        <v>53</v>
      </c>
      <c r="T1692" s="108" t="s">
        <v>15513</v>
      </c>
      <c r="U1692" s="112">
        <v>4</v>
      </c>
      <c r="V1692" s="113"/>
      <c r="W1692" s="108" t="s">
        <v>15514</v>
      </c>
      <c r="X1692" s="112">
        <v>4</v>
      </c>
      <c r="Y1692" s="113"/>
      <c r="Z1692" s="108" t="s">
        <v>15515</v>
      </c>
      <c r="AA1692" s="112">
        <v>4</v>
      </c>
      <c r="AB1692" s="113"/>
      <c r="AC1692" s="105" t="s">
        <v>3836</v>
      </c>
      <c r="AD1692" s="115" t="s">
        <v>101</v>
      </c>
    </row>
    <row r="1693" spans="1:30" x14ac:dyDescent="0.2">
      <c r="A1693" s="104" t="s">
        <v>3837</v>
      </c>
      <c r="B1693" s="105" t="s">
        <v>97</v>
      </c>
      <c r="C1693" s="105" t="s">
        <v>582</v>
      </c>
      <c r="D1693" s="106" t="s">
        <v>298</v>
      </c>
      <c r="E1693" s="107"/>
      <c r="F1693" s="108" t="s">
        <v>15516</v>
      </c>
      <c r="G1693" s="120">
        <v>2</v>
      </c>
      <c r="H1693" s="108" t="s">
        <v>15517</v>
      </c>
      <c r="I1693" s="116">
        <v>1</v>
      </c>
      <c r="J1693" s="111" t="s">
        <v>157</v>
      </c>
      <c r="K1693" s="108" t="s">
        <v>15518</v>
      </c>
      <c r="L1693" s="110">
        <v>3</v>
      </c>
      <c r="M1693" s="113"/>
      <c r="N1693" s="108" t="s">
        <v>15516</v>
      </c>
      <c r="O1693" s="117">
        <v>2</v>
      </c>
      <c r="P1693" s="111" t="s">
        <v>53</v>
      </c>
      <c r="Q1693" s="108" t="s">
        <v>15519</v>
      </c>
      <c r="R1693" s="117">
        <v>2</v>
      </c>
      <c r="S1693" s="111" t="s">
        <v>53</v>
      </c>
      <c r="T1693" s="108" t="s">
        <v>15520</v>
      </c>
      <c r="U1693" s="112">
        <v>4</v>
      </c>
      <c r="V1693" s="113"/>
      <c r="W1693" s="108" t="s">
        <v>15521</v>
      </c>
      <c r="X1693" s="112">
        <v>4</v>
      </c>
      <c r="Y1693" s="113"/>
      <c r="Z1693" s="108" t="s">
        <v>15522</v>
      </c>
      <c r="AA1693" s="112">
        <v>4</v>
      </c>
      <c r="AB1693" s="113"/>
      <c r="AC1693" s="105" t="s">
        <v>3838</v>
      </c>
      <c r="AD1693" s="115" t="s">
        <v>101</v>
      </c>
    </row>
    <row r="1694" spans="1:30" x14ac:dyDescent="0.2">
      <c r="A1694" s="104" t="s">
        <v>15523</v>
      </c>
      <c r="B1694" s="105" t="s">
        <v>42</v>
      </c>
      <c r="C1694" s="105" t="s">
        <v>3369</v>
      </c>
      <c r="D1694" s="106"/>
      <c r="E1694" s="107"/>
      <c r="F1694" s="108" t="s">
        <v>15524</v>
      </c>
      <c r="G1694" s="119">
        <v>1</v>
      </c>
      <c r="H1694" s="108" t="s">
        <v>15525</v>
      </c>
      <c r="I1694" s="116">
        <v>1</v>
      </c>
      <c r="J1694" s="113"/>
      <c r="K1694" s="108" t="s">
        <v>15526</v>
      </c>
      <c r="L1694" s="116">
        <v>1</v>
      </c>
      <c r="M1694" s="113"/>
      <c r="N1694" s="108" t="s">
        <v>15524</v>
      </c>
      <c r="O1694" s="116">
        <v>1</v>
      </c>
      <c r="P1694" s="113"/>
      <c r="Q1694" s="108" t="s">
        <v>47</v>
      </c>
      <c r="R1694" s="114"/>
      <c r="S1694" s="113"/>
      <c r="T1694" s="108" t="s">
        <v>47</v>
      </c>
      <c r="U1694" s="114"/>
      <c r="V1694" s="113"/>
      <c r="W1694" s="108" t="s">
        <v>47</v>
      </c>
      <c r="X1694" s="114"/>
      <c r="Y1694" s="113"/>
      <c r="Z1694" s="108" t="s">
        <v>47</v>
      </c>
      <c r="AA1694" s="114"/>
      <c r="AB1694" s="113"/>
      <c r="AC1694" s="105" t="s">
        <v>3839</v>
      </c>
      <c r="AD1694" s="115" t="s">
        <v>49</v>
      </c>
    </row>
    <row r="1695" spans="1:30" x14ac:dyDescent="0.2">
      <c r="A1695" s="104" t="s">
        <v>3840</v>
      </c>
      <c r="B1695" s="105" t="s">
        <v>42</v>
      </c>
      <c r="C1695" s="105" t="s">
        <v>3841</v>
      </c>
      <c r="D1695" s="106"/>
      <c r="E1695" s="107"/>
      <c r="F1695" s="108" t="s">
        <v>684</v>
      </c>
      <c r="G1695" s="118">
        <v>3</v>
      </c>
      <c r="H1695" s="108" t="s">
        <v>15527</v>
      </c>
      <c r="I1695" s="110">
        <v>3</v>
      </c>
      <c r="J1695" s="113"/>
      <c r="K1695" s="108" t="s">
        <v>15527</v>
      </c>
      <c r="L1695" s="110">
        <v>3</v>
      </c>
      <c r="M1695" s="113"/>
      <c r="N1695" s="108" t="s">
        <v>684</v>
      </c>
      <c r="O1695" s="110">
        <v>3</v>
      </c>
      <c r="P1695" s="113"/>
      <c r="Q1695" s="108" t="s">
        <v>8844</v>
      </c>
      <c r="R1695" s="110">
        <v>3</v>
      </c>
      <c r="S1695" s="113"/>
      <c r="T1695" s="108" t="s">
        <v>15528</v>
      </c>
      <c r="U1695" s="110">
        <v>3</v>
      </c>
      <c r="V1695" s="113"/>
      <c r="W1695" s="108" t="s">
        <v>15529</v>
      </c>
      <c r="X1695" s="110">
        <v>3</v>
      </c>
      <c r="Y1695" s="113"/>
      <c r="Z1695" s="108" t="s">
        <v>3842</v>
      </c>
      <c r="AA1695" s="117">
        <v>2</v>
      </c>
      <c r="AB1695" s="111" t="s">
        <v>46</v>
      </c>
      <c r="AC1695" s="105" t="s">
        <v>3843</v>
      </c>
      <c r="AD1695" s="115" t="s">
        <v>49</v>
      </c>
    </row>
    <row r="1696" spans="1:30" x14ac:dyDescent="0.2">
      <c r="A1696" s="104" t="s">
        <v>3844</v>
      </c>
      <c r="B1696" s="105" t="s">
        <v>42</v>
      </c>
      <c r="C1696" s="105" t="s">
        <v>3841</v>
      </c>
      <c r="D1696" s="106"/>
      <c r="E1696" s="107"/>
      <c r="F1696" s="108" t="s">
        <v>8844</v>
      </c>
      <c r="G1696" s="118">
        <v>3</v>
      </c>
      <c r="H1696" s="108" t="s">
        <v>15530</v>
      </c>
      <c r="I1696" s="110">
        <v>3</v>
      </c>
      <c r="J1696" s="111" t="s">
        <v>46</v>
      </c>
      <c r="K1696" s="108" t="s">
        <v>15530</v>
      </c>
      <c r="L1696" s="110">
        <v>3</v>
      </c>
      <c r="M1696" s="113"/>
      <c r="N1696" s="108" t="s">
        <v>8844</v>
      </c>
      <c r="O1696" s="110">
        <v>3</v>
      </c>
      <c r="P1696" s="113"/>
      <c r="Q1696" s="108" t="s">
        <v>684</v>
      </c>
      <c r="R1696" s="110">
        <v>3</v>
      </c>
      <c r="S1696" s="113"/>
      <c r="T1696" s="108" t="s">
        <v>3845</v>
      </c>
      <c r="U1696" s="110">
        <v>3</v>
      </c>
      <c r="V1696" s="113"/>
      <c r="W1696" s="108" t="s">
        <v>3756</v>
      </c>
      <c r="X1696" s="110">
        <v>3</v>
      </c>
      <c r="Y1696" s="113"/>
      <c r="Z1696" s="108" t="s">
        <v>3846</v>
      </c>
      <c r="AA1696" s="117">
        <v>2</v>
      </c>
      <c r="AB1696" s="111" t="s">
        <v>46</v>
      </c>
      <c r="AC1696" s="105" t="s">
        <v>3847</v>
      </c>
      <c r="AD1696" s="115" t="s">
        <v>49</v>
      </c>
    </row>
    <row r="1697" spans="1:30" x14ac:dyDescent="0.2">
      <c r="A1697" s="104" t="s">
        <v>3848</v>
      </c>
      <c r="B1697" s="105" t="s">
        <v>42</v>
      </c>
      <c r="C1697" s="105" t="s">
        <v>3841</v>
      </c>
      <c r="D1697" s="106"/>
      <c r="E1697" s="107"/>
      <c r="F1697" s="108" t="s">
        <v>15531</v>
      </c>
      <c r="G1697" s="120">
        <v>2</v>
      </c>
      <c r="H1697" s="108" t="s">
        <v>15485</v>
      </c>
      <c r="I1697" s="117">
        <v>2</v>
      </c>
      <c r="J1697" s="111" t="s">
        <v>46</v>
      </c>
      <c r="K1697" s="108" t="s">
        <v>8839</v>
      </c>
      <c r="L1697" s="117">
        <v>2</v>
      </c>
      <c r="M1697" s="113"/>
      <c r="N1697" s="108" t="s">
        <v>15531</v>
      </c>
      <c r="O1697" s="117">
        <v>2</v>
      </c>
      <c r="P1697" s="113"/>
      <c r="Q1697" s="108" t="s">
        <v>8837</v>
      </c>
      <c r="R1697" s="117">
        <v>2</v>
      </c>
      <c r="S1697" s="113"/>
      <c r="T1697" s="108" t="s">
        <v>47</v>
      </c>
      <c r="U1697" s="114"/>
      <c r="V1697" s="113"/>
      <c r="W1697" s="108" t="s">
        <v>47</v>
      </c>
      <c r="X1697" s="114"/>
      <c r="Y1697" s="113"/>
      <c r="Z1697" s="108" t="s">
        <v>47</v>
      </c>
      <c r="AA1697" s="114"/>
      <c r="AB1697" s="113"/>
      <c r="AC1697" s="105" t="s">
        <v>3849</v>
      </c>
      <c r="AD1697" s="115" t="s">
        <v>49</v>
      </c>
    </row>
    <row r="1698" spans="1:30" x14ac:dyDescent="0.2">
      <c r="A1698" s="104" t="s">
        <v>3850</v>
      </c>
      <c r="B1698" s="105" t="s">
        <v>42</v>
      </c>
      <c r="C1698" s="105" t="s">
        <v>3841</v>
      </c>
      <c r="D1698" s="106"/>
      <c r="E1698" s="107"/>
      <c r="F1698" s="108" t="s">
        <v>715</v>
      </c>
      <c r="G1698" s="109">
        <v>4</v>
      </c>
      <c r="H1698" s="108" t="s">
        <v>715</v>
      </c>
      <c r="I1698" s="112">
        <v>4</v>
      </c>
      <c r="J1698" s="111" t="s">
        <v>46</v>
      </c>
      <c r="K1698" s="108" t="s">
        <v>715</v>
      </c>
      <c r="L1698" s="112">
        <v>4</v>
      </c>
      <c r="M1698" s="111" t="s">
        <v>46</v>
      </c>
      <c r="N1698" s="108" t="s">
        <v>715</v>
      </c>
      <c r="O1698" s="112">
        <v>4</v>
      </c>
      <c r="P1698" s="111" t="s">
        <v>46</v>
      </c>
      <c r="Q1698" s="108" t="s">
        <v>3851</v>
      </c>
      <c r="R1698" s="112">
        <v>4</v>
      </c>
      <c r="S1698" s="113"/>
      <c r="T1698" s="108" t="s">
        <v>3852</v>
      </c>
      <c r="U1698" s="110">
        <v>3</v>
      </c>
      <c r="V1698" s="113"/>
      <c r="W1698" s="108" t="s">
        <v>47</v>
      </c>
      <c r="X1698" s="114"/>
      <c r="Y1698" s="113"/>
      <c r="Z1698" s="108" t="s">
        <v>47</v>
      </c>
      <c r="AA1698" s="114"/>
      <c r="AB1698" s="113"/>
      <c r="AC1698" s="105" t="s">
        <v>3853</v>
      </c>
      <c r="AD1698" s="115" t="s">
        <v>49</v>
      </c>
    </row>
    <row r="1699" spans="1:30" x14ac:dyDescent="0.2">
      <c r="A1699" s="104" t="s">
        <v>3854</v>
      </c>
      <c r="B1699" s="105" t="s">
        <v>381</v>
      </c>
      <c r="C1699" s="105" t="s">
        <v>382</v>
      </c>
      <c r="D1699" s="106"/>
      <c r="E1699" s="107"/>
      <c r="F1699" s="108" t="s">
        <v>47</v>
      </c>
      <c r="G1699" s="113"/>
      <c r="H1699" s="108" t="s">
        <v>47</v>
      </c>
      <c r="I1699" s="114"/>
      <c r="J1699" s="113"/>
      <c r="K1699" s="108" t="s">
        <v>47</v>
      </c>
      <c r="L1699" s="114"/>
      <c r="M1699" s="113"/>
      <c r="N1699" s="108" t="s">
        <v>47</v>
      </c>
      <c r="O1699" s="114"/>
      <c r="P1699" s="113"/>
      <c r="Q1699" s="108" t="s">
        <v>47</v>
      </c>
      <c r="R1699" s="114"/>
      <c r="S1699" s="113"/>
      <c r="T1699" s="108" t="s">
        <v>47</v>
      </c>
      <c r="U1699" s="114"/>
      <c r="V1699" s="113"/>
      <c r="W1699" s="108" t="s">
        <v>47</v>
      </c>
      <c r="X1699" s="114"/>
      <c r="Y1699" s="113"/>
      <c r="Z1699" s="108" t="s">
        <v>47</v>
      </c>
      <c r="AA1699" s="114"/>
      <c r="AB1699" s="113"/>
      <c r="AC1699" s="105"/>
      <c r="AD1699" s="115" t="s">
        <v>101</v>
      </c>
    </row>
    <row r="1700" spans="1:30" x14ac:dyDescent="0.2">
      <c r="A1700" s="104" t="s">
        <v>3855</v>
      </c>
      <c r="B1700" s="105" t="s">
        <v>420</v>
      </c>
      <c r="C1700" s="105" t="s">
        <v>3856</v>
      </c>
      <c r="D1700" s="106" t="s">
        <v>125</v>
      </c>
      <c r="E1700" s="107" t="s">
        <v>182</v>
      </c>
      <c r="F1700" s="108" t="s">
        <v>15532</v>
      </c>
      <c r="G1700" s="120">
        <v>2</v>
      </c>
      <c r="H1700" s="108" t="s">
        <v>15533</v>
      </c>
      <c r="I1700" s="116">
        <v>1</v>
      </c>
      <c r="J1700" s="111" t="s">
        <v>53</v>
      </c>
      <c r="K1700" s="108" t="s">
        <v>15534</v>
      </c>
      <c r="L1700" s="110">
        <v>3</v>
      </c>
      <c r="M1700" s="111" t="s">
        <v>40</v>
      </c>
      <c r="N1700" s="108" t="s">
        <v>15532</v>
      </c>
      <c r="O1700" s="117">
        <v>2</v>
      </c>
      <c r="P1700" s="113"/>
      <c r="Q1700" s="108" t="s">
        <v>15472</v>
      </c>
      <c r="R1700" s="116">
        <v>1</v>
      </c>
      <c r="S1700" s="113"/>
      <c r="T1700" s="108" t="s">
        <v>12262</v>
      </c>
      <c r="U1700" s="110">
        <v>3</v>
      </c>
      <c r="V1700" s="111" t="s">
        <v>40</v>
      </c>
      <c r="W1700" s="108" t="s">
        <v>3857</v>
      </c>
      <c r="X1700" s="112">
        <v>4</v>
      </c>
      <c r="Y1700" s="113"/>
      <c r="Z1700" s="108" t="s">
        <v>3858</v>
      </c>
      <c r="AA1700" s="110">
        <v>3</v>
      </c>
      <c r="AB1700" s="111" t="s">
        <v>46</v>
      </c>
      <c r="AC1700" s="105" t="s">
        <v>3859</v>
      </c>
      <c r="AD1700" s="115" t="s">
        <v>101</v>
      </c>
    </row>
    <row r="1701" spans="1:30" x14ac:dyDescent="0.2">
      <c r="A1701" s="104" t="s">
        <v>3860</v>
      </c>
      <c r="B1701" s="105" t="s">
        <v>42</v>
      </c>
      <c r="C1701" s="105" t="s">
        <v>2161</v>
      </c>
      <c r="D1701" s="106" t="s">
        <v>105</v>
      </c>
      <c r="E1701" s="107"/>
      <c r="F1701" s="108" t="s">
        <v>15535</v>
      </c>
      <c r="G1701" s="118">
        <v>3</v>
      </c>
      <c r="H1701" s="108" t="s">
        <v>15536</v>
      </c>
      <c r="I1701" s="112">
        <v>4</v>
      </c>
      <c r="J1701" s="111" t="s">
        <v>55</v>
      </c>
      <c r="K1701" s="108" t="s">
        <v>15537</v>
      </c>
      <c r="L1701" s="110">
        <v>3</v>
      </c>
      <c r="M1701" s="111" t="s">
        <v>46</v>
      </c>
      <c r="N1701" s="108" t="s">
        <v>15535</v>
      </c>
      <c r="O1701" s="110">
        <v>3</v>
      </c>
      <c r="P1701" s="111" t="s">
        <v>46</v>
      </c>
      <c r="Q1701" s="108" t="s">
        <v>15538</v>
      </c>
      <c r="R1701" s="117">
        <v>2</v>
      </c>
      <c r="S1701" s="111" t="s">
        <v>40</v>
      </c>
      <c r="T1701" s="108" t="s">
        <v>15539</v>
      </c>
      <c r="U1701" s="110">
        <v>3</v>
      </c>
      <c r="V1701" s="111" t="s">
        <v>40</v>
      </c>
      <c r="W1701" s="108" t="s">
        <v>15540</v>
      </c>
      <c r="X1701" s="110">
        <v>3</v>
      </c>
      <c r="Y1701" s="113"/>
      <c r="Z1701" s="108" t="s">
        <v>15541</v>
      </c>
      <c r="AA1701" s="110">
        <v>3</v>
      </c>
      <c r="AB1701" s="113"/>
      <c r="AC1701" s="105" t="s">
        <v>3861</v>
      </c>
      <c r="AD1701" s="115" t="s">
        <v>107</v>
      </c>
    </row>
    <row r="1702" spans="1:30" x14ac:dyDescent="0.2">
      <c r="A1702" s="104" t="s">
        <v>3862</v>
      </c>
      <c r="B1702" s="105" t="s">
        <v>42</v>
      </c>
      <c r="C1702" s="105" t="s">
        <v>2161</v>
      </c>
      <c r="D1702" s="106" t="s">
        <v>105</v>
      </c>
      <c r="E1702" s="107"/>
      <c r="F1702" s="108" t="s">
        <v>15542</v>
      </c>
      <c r="G1702" s="118">
        <v>3</v>
      </c>
      <c r="H1702" s="108" t="s">
        <v>15543</v>
      </c>
      <c r="I1702" s="112">
        <v>4</v>
      </c>
      <c r="J1702" s="111" t="s">
        <v>55</v>
      </c>
      <c r="K1702" s="108" t="s">
        <v>15544</v>
      </c>
      <c r="L1702" s="110">
        <v>3</v>
      </c>
      <c r="M1702" s="111" t="s">
        <v>46</v>
      </c>
      <c r="N1702" s="108" t="s">
        <v>15542</v>
      </c>
      <c r="O1702" s="110">
        <v>3</v>
      </c>
      <c r="P1702" s="111" t="s">
        <v>46</v>
      </c>
      <c r="Q1702" s="108" t="s">
        <v>3863</v>
      </c>
      <c r="R1702" s="117">
        <v>2</v>
      </c>
      <c r="S1702" s="111" t="s">
        <v>40</v>
      </c>
      <c r="T1702" s="108" t="s">
        <v>15545</v>
      </c>
      <c r="U1702" s="110">
        <v>3</v>
      </c>
      <c r="V1702" s="111" t="s">
        <v>40</v>
      </c>
      <c r="W1702" s="108" t="s">
        <v>15546</v>
      </c>
      <c r="X1702" s="110">
        <v>3</v>
      </c>
      <c r="Y1702" s="113"/>
      <c r="Z1702" s="108" t="s">
        <v>3537</v>
      </c>
      <c r="AA1702" s="110">
        <v>3</v>
      </c>
      <c r="AB1702" s="111" t="s">
        <v>40</v>
      </c>
      <c r="AC1702" s="105" t="s">
        <v>3864</v>
      </c>
      <c r="AD1702" s="115" t="s">
        <v>107</v>
      </c>
    </row>
    <row r="1703" spans="1:30" x14ac:dyDescent="0.2">
      <c r="A1703" s="104" t="s">
        <v>15547</v>
      </c>
      <c r="B1703" s="105" t="s">
        <v>381</v>
      </c>
      <c r="C1703" s="105" t="s">
        <v>551</v>
      </c>
      <c r="D1703" s="106"/>
      <c r="E1703" s="107"/>
      <c r="F1703" s="108" t="s">
        <v>47</v>
      </c>
      <c r="G1703" s="113"/>
      <c r="H1703" s="108" t="s">
        <v>47</v>
      </c>
      <c r="I1703" s="114"/>
      <c r="J1703" s="113"/>
      <c r="K1703" s="108" t="s">
        <v>47</v>
      </c>
      <c r="L1703" s="114"/>
      <c r="M1703" s="113"/>
      <c r="N1703" s="108" t="s">
        <v>47</v>
      </c>
      <c r="O1703" s="114"/>
      <c r="P1703" s="113"/>
      <c r="Q1703" s="108" t="s">
        <v>47</v>
      </c>
      <c r="R1703" s="114"/>
      <c r="S1703" s="113"/>
      <c r="T1703" s="108" t="s">
        <v>47</v>
      </c>
      <c r="U1703" s="114"/>
      <c r="V1703" s="113"/>
      <c r="W1703" s="108" t="s">
        <v>47</v>
      </c>
      <c r="X1703" s="114"/>
      <c r="Y1703" s="113"/>
      <c r="Z1703" s="108" t="s">
        <v>47</v>
      </c>
      <c r="AA1703" s="114"/>
      <c r="AB1703" s="113"/>
      <c r="AC1703" s="105"/>
      <c r="AD1703" s="115" t="s">
        <v>101</v>
      </c>
    </row>
    <row r="1704" spans="1:30" x14ac:dyDescent="0.2">
      <c r="A1704" s="104" t="s">
        <v>15548</v>
      </c>
      <c r="B1704" s="105" t="s">
        <v>381</v>
      </c>
      <c r="C1704" s="105" t="s">
        <v>15549</v>
      </c>
      <c r="D1704" s="106"/>
      <c r="E1704" s="107"/>
      <c r="F1704" s="108" t="s">
        <v>47</v>
      </c>
      <c r="G1704" s="113"/>
      <c r="H1704" s="108" t="s">
        <v>15550</v>
      </c>
      <c r="I1704" s="110">
        <v>3</v>
      </c>
      <c r="J1704" s="113"/>
      <c r="K1704" s="108" t="s">
        <v>47</v>
      </c>
      <c r="L1704" s="114"/>
      <c r="M1704" s="113"/>
      <c r="N1704" s="108" t="s">
        <v>47</v>
      </c>
      <c r="O1704" s="114"/>
      <c r="P1704" s="113"/>
      <c r="Q1704" s="108" t="s">
        <v>47</v>
      </c>
      <c r="R1704" s="114"/>
      <c r="S1704" s="113"/>
      <c r="T1704" s="108" t="s">
        <v>47</v>
      </c>
      <c r="U1704" s="114"/>
      <c r="V1704" s="113"/>
      <c r="W1704" s="108" t="s">
        <v>47</v>
      </c>
      <c r="X1704" s="114"/>
      <c r="Y1704" s="113"/>
      <c r="Z1704" s="108" t="s">
        <v>47</v>
      </c>
      <c r="AA1704" s="114"/>
      <c r="AB1704" s="113"/>
      <c r="AC1704" s="105" t="s">
        <v>15551</v>
      </c>
      <c r="AD1704" s="115" t="s">
        <v>101</v>
      </c>
    </row>
    <row r="1705" spans="1:30" x14ac:dyDescent="0.2">
      <c r="A1705" s="104" t="s">
        <v>15552</v>
      </c>
      <c r="B1705" s="105" t="s">
        <v>381</v>
      </c>
      <c r="C1705" s="105" t="s">
        <v>15549</v>
      </c>
      <c r="D1705" s="106"/>
      <c r="E1705" s="107"/>
      <c r="F1705" s="108" t="s">
        <v>47</v>
      </c>
      <c r="G1705" s="113"/>
      <c r="H1705" s="108" t="s">
        <v>15553</v>
      </c>
      <c r="I1705" s="110">
        <v>3</v>
      </c>
      <c r="J1705" s="113"/>
      <c r="K1705" s="108" t="s">
        <v>47</v>
      </c>
      <c r="L1705" s="114"/>
      <c r="M1705" s="113"/>
      <c r="N1705" s="108" t="s">
        <v>47</v>
      </c>
      <c r="O1705" s="114"/>
      <c r="P1705" s="113"/>
      <c r="Q1705" s="108" t="s">
        <v>47</v>
      </c>
      <c r="R1705" s="114"/>
      <c r="S1705" s="113"/>
      <c r="T1705" s="108" t="s">
        <v>47</v>
      </c>
      <c r="U1705" s="114"/>
      <c r="V1705" s="113"/>
      <c r="W1705" s="108" t="s">
        <v>47</v>
      </c>
      <c r="X1705" s="114"/>
      <c r="Y1705" s="113"/>
      <c r="Z1705" s="108" t="s">
        <v>47</v>
      </c>
      <c r="AA1705" s="114"/>
      <c r="AB1705" s="113"/>
      <c r="AC1705" s="105" t="s">
        <v>15554</v>
      </c>
      <c r="AD1705" s="115" t="s">
        <v>101</v>
      </c>
    </row>
    <row r="1706" spans="1:30" x14ac:dyDescent="0.2">
      <c r="A1706" s="104" t="s">
        <v>15555</v>
      </c>
      <c r="B1706" s="105" t="s">
        <v>381</v>
      </c>
      <c r="C1706" s="105" t="s">
        <v>2887</v>
      </c>
      <c r="D1706" s="106"/>
      <c r="E1706" s="107"/>
      <c r="F1706" s="108" t="s">
        <v>47</v>
      </c>
      <c r="G1706" s="113"/>
      <c r="H1706" s="108" t="s">
        <v>15556</v>
      </c>
      <c r="I1706" s="112">
        <v>4</v>
      </c>
      <c r="J1706" s="113"/>
      <c r="K1706" s="108" t="s">
        <v>47</v>
      </c>
      <c r="L1706" s="114"/>
      <c r="M1706" s="113"/>
      <c r="N1706" s="108" t="s">
        <v>47</v>
      </c>
      <c r="O1706" s="114"/>
      <c r="P1706" s="113"/>
      <c r="Q1706" s="108" t="s">
        <v>47</v>
      </c>
      <c r="R1706" s="114"/>
      <c r="S1706" s="113"/>
      <c r="T1706" s="108" t="s">
        <v>47</v>
      </c>
      <c r="U1706" s="114"/>
      <c r="V1706" s="113"/>
      <c r="W1706" s="108" t="s">
        <v>47</v>
      </c>
      <c r="X1706" s="114"/>
      <c r="Y1706" s="113"/>
      <c r="Z1706" s="108" t="s">
        <v>47</v>
      </c>
      <c r="AA1706" s="114"/>
      <c r="AB1706" s="113"/>
      <c r="AC1706" s="105" t="s">
        <v>15557</v>
      </c>
      <c r="AD1706" s="115" t="s">
        <v>101</v>
      </c>
    </row>
    <row r="1707" spans="1:30" x14ac:dyDescent="0.2">
      <c r="A1707" s="104" t="s">
        <v>15558</v>
      </c>
      <c r="B1707" s="105" t="s">
        <v>381</v>
      </c>
      <c r="C1707" s="105" t="s">
        <v>2887</v>
      </c>
      <c r="D1707" s="106"/>
      <c r="E1707" s="107"/>
      <c r="F1707" s="108" t="s">
        <v>47</v>
      </c>
      <c r="G1707" s="113"/>
      <c r="H1707" s="108" t="s">
        <v>15559</v>
      </c>
      <c r="I1707" s="112">
        <v>4</v>
      </c>
      <c r="J1707" s="113"/>
      <c r="K1707" s="108" t="s">
        <v>47</v>
      </c>
      <c r="L1707" s="114"/>
      <c r="M1707" s="113"/>
      <c r="N1707" s="108" t="s">
        <v>47</v>
      </c>
      <c r="O1707" s="114"/>
      <c r="P1707" s="113"/>
      <c r="Q1707" s="108" t="s">
        <v>47</v>
      </c>
      <c r="R1707" s="114"/>
      <c r="S1707" s="113"/>
      <c r="T1707" s="108" t="s">
        <v>47</v>
      </c>
      <c r="U1707" s="114"/>
      <c r="V1707" s="113"/>
      <c r="W1707" s="108" t="s">
        <v>47</v>
      </c>
      <c r="X1707" s="114"/>
      <c r="Y1707" s="113"/>
      <c r="Z1707" s="108" t="s">
        <v>47</v>
      </c>
      <c r="AA1707" s="114"/>
      <c r="AB1707" s="113"/>
      <c r="AC1707" s="105" t="s">
        <v>15560</v>
      </c>
      <c r="AD1707" s="115" t="s">
        <v>101</v>
      </c>
    </row>
    <row r="1708" spans="1:30" x14ac:dyDescent="0.2">
      <c r="A1708" s="104" t="s">
        <v>15561</v>
      </c>
      <c r="B1708" s="105" t="s">
        <v>42</v>
      </c>
      <c r="C1708" s="105" t="s">
        <v>244</v>
      </c>
      <c r="D1708" s="106" t="s">
        <v>125</v>
      </c>
      <c r="E1708" s="107" t="s">
        <v>146</v>
      </c>
      <c r="F1708" s="108" t="s">
        <v>15562</v>
      </c>
      <c r="G1708" s="120">
        <v>2</v>
      </c>
      <c r="H1708" s="108" t="s">
        <v>15563</v>
      </c>
      <c r="I1708" s="110">
        <v>3</v>
      </c>
      <c r="J1708" s="111" t="s">
        <v>55</v>
      </c>
      <c r="K1708" s="108" t="s">
        <v>15564</v>
      </c>
      <c r="L1708" s="117">
        <v>2</v>
      </c>
      <c r="M1708" s="113"/>
      <c r="N1708" s="108" t="s">
        <v>15562</v>
      </c>
      <c r="O1708" s="117">
        <v>2</v>
      </c>
      <c r="P1708" s="113"/>
      <c r="Q1708" s="108" t="s">
        <v>15565</v>
      </c>
      <c r="R1708" s="110">
        <v>3</v>
      </c>
      <c r="S1708" s="113"/>
      <c r="T1708" s="108" t="s">
        <v>15566</v>
      </c>
      <c r="U1708" s="117">
        <v>2</v>
      </c>
      <c r="V1708" s="113"/>
      <c r="W1708" s="108" t="s">
        <v>15567</v>
      </c>
      <c r="X1708" s="110">
        <v>3</v>
      </c>
      <c r="Y1708" s="113"/>
      <c r="Z1708" s="108" t="s">
        <v>15568</v>
      </c>
      <c r="AA1708" s="110">
        <v>3</v>
      </c>
      <c r="AB1708" s="113"/>
      <c r="AC1708" s="105" t="s">
        <v>3865</v>
      </c>
      <c r="AD1708" s="115" t="s">
        <v>49</v>
      </c>
    </row>
    <row r="1709" spans="1:30" x14ac:dyDescent="0.2">
      <c r="A1709" s="104" t="s">
        <v>15569</v>
      </c>
      <c r="B1709" s="105" t="s">
        <v>42</v>
      </c>
      <c r="C1709" s="105" t="s">
        <v>279</v>
      </c>
      <c r="D1709" s="106" t="s">
        <v>125</v>
      </c>
      <c r="E1709" s="107" t="s">
        <v>182</v>
      </c>
      <c r="F1709" s="108" t="s">
        <v>15570</v>
      </c>
      <c r="G1709" s="118">
        <v>3</v>
      </c>
      <c r="H1709" s="108" t="s">
        <v>15571</v>
      </c>
      <c r="I1709" s="110">
        <v>3</v>
      </c>
      <c r="J1709" s="111" t="s">
        <v>55</v>
      </c>
      <c r="K1709" s="108" t="s">
        <v>15572</v>
      </c>
      <c r="L1709" s="110">
        <v>3</v>
      </c>
      <c r="M1709" s="111" t="s">
        <v>46</v>
      </c>
      <c r="N1709" s="108" t="s">
        <v>15570</v>
      </c>
      <c r="O1709" s="110">
        <v>3</v>
      </c>
      <c r="P1709" s="111" t="s">
        <v>46</v>
      </c>
      <c r="Q1709" s="108" t="s">
        <v>15573</v>
      </c>
      <c r="R1709" s="110">
        <v>3</v>
      </c>
      <c r="S1709" s="113"/>
      <c r="T1709" s="108" t="s">
        <v>15574</v>
      </c>
      <c r="U1709" s="110">
        <v>3</v>
      </c>
      <c r="V1709" s="113"/>
      <c r="W1709" s="108" t="s">
        <v>15575</v>
      </c>
      <c r="X1709" s="110">
        <v>3</v>
      </c>
      <c r="Y1709" s="113"/>
      <c r="Z1709" s="108" t="s">
        <v>15576</v>
      </c>
      <c r="AA1709" s="110">
        <v>3</v>
      </c>
      <c r="AB1709" s="111" t="s">
        <v>40</v>
      </c>
      <c r="AC1709" s="105" t="s">
        <v>3866</v>
      </c>
      <c r="AD1709" s="115" t="s">
        <v>49</v>
      </c>
    </row>
    <row r="1710" spans="1:30" x14ac:dyDescent="0.2">
      <c r="A1710" s="104" t="s">
        <v>15577</v>
      </c>
      <c r="B1710" s="105" t="s">
        <v>42</v>
      </c>
      <c r="C1710" s="105" t="s">
        <v>279</v>
      </c>
      <c r="D1710" s="106" t="s">
        <v>125</v>
      </c>
      <c r="E1710" s="107" t="s">
        <v>182</v>
      </c>
      <c r="F1710" s="108" t="s">
        <v>15578</v>
      </c>
      <c r="G1710" s="118">
        <v>3</v>
      </c>
      <c r="H1710" s="108" t="s">
        <v>15579</v>
      </c>
      <c r="I1710" s="110">
        <v>3</v>
      </c>
      <c r="J1710" s="111" t="s">
        <v>55</v>
      </c>
      <c r="K1710" s="108" t="s">
        <v>15580</v>
      </c>
      <c r="L1710" s="110">
        <v>3</v>
      </c>
      <c r="M1710" s="111" t="s">
        <v>46</v>
      </c>
      <c r="N1710" s="108" t="s">
        <v>15578</v>
      </c>
      <c r="O1710" s="110">
        <v>3</v>
      </c>
      <c r="P1710" s="111" t="s">
        <v>46</v>
      </c>
      <c r="Q1710" s="108" t="s">
        <v>15581</v>
      </c>
      <c r="R1710" s="110">
        <v>3</v>
      </c>
      <c r="S1710" s="113"/>
      <c r="T1710" s="108" t="s">
        <v>15582</v>
      </c>
      <c r="U1710" s="110">
        <v>3</v>
      </c>
      <c r="V1710" s="113"/>
      <c r="W1710" s="108" t="s">
        <v>15583</v>
      </c>
      <c r="X1710" s="110">
        <v>3</v>
      </c>
      <c r="Y1710" s="113"/>
      <c r="Z1710" s="108" t="s">
        <v>15584</v>
      </c>
      <c r="AA1710" s="110">
        <v>3</v>
      </c>
      <c r="AB1710" s="111" t="s">
        <v>40</v>
      </c>
      <c r="AC1710" s="105" t="s">
        <v>3867</v>
      </c>
      <c r="AD1710" s="115" t="s">
        <v>49</v>
      </c>
    </row>
    <row r="1711" spans="1:30" x14ac:dyDescent="0.2">
      <c r="A1711" s="104" t="s">
        <v>15585</v>
      </c>
      <c r="B1711" s="105" t="s">
        <v>42</v>
      </c>
      <c r="C1711" s="105" t="s">
        <v>306</v>
      </c>
      <c r="D1711" s="106" t="s">
        <v>125</v>
      </c>
      <c r="E1711" s="107" t="s">
        <v>99</v>
      </c>
      <c r="F1711" s="108" t="s">
        <v>15586</v>
      </c>
      <c r="G1711" s="120">
        <v>2</v>
      </c>
      <c r="H1711" s="108" t="s">
        <v>15587</v>
      </c>
      <c r="I1711" s="110">
        <v>3</v>
      </c>
      <c r="J1711" s="111" t="s">
        <v>46</v>
      </c>
      <c r="K1711" s="108" t="s">
        <v>15588</v>
      </c>
      <c r="L1711" s="117">
        <v>2</v>
      </c>
      <c r="M1711" s="113"/>
      <c r="N1711" s="108" t="s">
        <v>15586</v>
      </c>
      <c r="O1711" s="117">
        <v>2</v>
      </c>
      <c r="P1711" s="113"/>
      <c r="Q1711" s="108" t="s">
        <v>15589</v>
      </c>
      <c r="R1711" s="117">
        <v>2</v>
      </c>
      <c r="S1711" s="113"/>
      <c r="T1711" s="108" t="s">
        <v>15590</v>
      </c>
      <c r="U1711" s="117">
        <v>2</v>
      </c>
      <c r="V1711" s="113"/>
      <c r="W1711" s="108" t="s">
        <v>15591</v>
      </c>
      <c r="X1711" s="117">
        <v>2</v>
      </c>
      <c r="Y1711" s="113"/>
      <c r="Z1711" s="108" t="s">
        <v>15592</v>
      </c>
      <c r="AA1711" s="116">
        <v>1</v>
      </c>
      <c r="AB1711" s="111" t="s">
        <v>53</v>
      </c>
      <c r="AC1711" s="105" t="s">
        <v>3868</v>
      </c>
      <c r="AD1711" s="115" t="s">
        <v>49</v>
      </c>
    </row>
    <row r="1712" spans="1:30" x14ac:dyDescent="0.2">
      <c r="A1712" s="104" t="s">
        <v>15593</v>
      </c>
      <c r="B1712" s="105" t="s">
        <v>42</v>
      </c>
      <c r="C1712" s="105" t="s">
        <v>306</v>
      </c>
      <c r="D1712" s="106" t="s">
        <v>125</v>
      </c>
      <c r="E1712" s="107" t="s">
        <v>99</v>
      </c>
      <c r="F1712" s="108" t="s">
        <v>3869</v>
      </c>
      <c r="G1712" s="120">
        <v>2</v>
      </c>
      <c r="H1712" s="108" t="s">
        <v>15594</v>
      </c>
      <c r="I1712" s="110">
        <v>3</v>
      </c>
      <c r="J1712" s="111" t="s">
        <v>46</v>
      </c>
      <c r="K1712" s="108" t="s">
        <v>15595</v>
      </c>
      <c r="L1712" s="117">
        <v>2</v>
      </c>
      <c r="M1712" s="113"/>
      <c r="N1712" s="108" t="s">
        <v>3869</v>
      </c>
      <c r="O1712" s="117">
        <v>2</v>
      </c>
      <c r="P1712" s="113"/>
      <c r="Q1712" s="108" t="s">
        <v>15596</v>
      </c>
      <c r="R1712" s="117">
        <v>2</v>
      </c>
      <c r="S1712" s="113"/>
      <c r="T1712" s="108" t="s">
        <v>15597</v>
      </c>
      <c r="U1712" s="117">
        <v>2</v>
      </c>
      <c r="V1712" s="113"/>
      <c r="W1712" s="108" t="s">
        <v>15598</v>
      </c>
      <c r="X1712" s="117">
        <v>2</v>
      </c>
      <c r="Y1712" s="113"/>
      <c r="Z1712" s="108" t="s">
        <v>15599</v>
      </c>
      <c r="AA1712" s="116">
        <v>1</v>
      </c>
      <c r="AB1712" s="111" t="s">
        <v>53</v>
      </c>
      <c r="AC1712" s="105" t="s">
        <v>3870</v>
      </c>
      <c r="AD1712" s="115" t="s">
        <v>49</v>
      </c>
    </row>
    <row r="1713" spans="1:30" x14ac:dyDescent="0.2">
      <c r="A1713" s="104" t="s">
        <v>3871</v>
      </c>
      <c r="B1713" s="105" t="s">
        <v>381</v>
      </c>
      <c r="C1713" s="105" t="s">
        <v>488</v>
      </c>
      <c r="D1713" s="106"/>
      <c r="E1713" s="107"/>
      <c r="F1713" s="108" t="s">
        <v>47</v>
      </c>
      <c r="G1713" s="113"/>
      <c r="H1713" s="108" t="s">
        <v>47</v>
      </c>
      <c r="I1713" s="114"/>
      <c r="J1713" s="113"/>
      <c r="K1713" s="108" t="s">
        <v>47</v>
      </c>
      <c r="L1713" s="114"/>
      <c r="M1713" s="113"/>
      <c r="N1713" s="108" t="s">
        <v>47</v>
      </c>
      <c r="O1713" s="114"/>
      <c r="P1713" s="113"/>
      <c r="Q1713" s="108" t="s">
        <v>47</v>
      </c>
      <c r="R1713" s="114"/>
      <c r="S1713" s="113"/>
      <c r="T1713" s="108" t="s">
        <v>47</v>
      </c>
      <c r="U1713" s="114"/>
      <c r="V1713" s="113"/>
      <c r="W1713" s="108" t="s">
        <v>47</v>
      </c>
      <c r="X1713" s="114"/>
      <c r="Y1713" s="113"/>
      <c r="Z1713" s="108" t="s">
        <v>47</v>
      </c>
      <c r="AA1713" s="114"/>
      <c r="AB1713" s="113"/>
      <c r="AC1713" s="105"/>
      <c r="AD1713" s="115" t="s">
        <v>101</v>
      </c>
    </row>
    <row r="1714" spans="1:30" x14ac:dyDescent="0.2">
      <c r="A1714" s="104" t="s">
        <v>3872</v>
      </c>
      <c r="B1714" s="105" t="s">
        <v>381</v>
      </c>
      <c r="C1714" s="105" t="s">
        <v>2828</v>
      </c>
      <c r="D1714" s="106" t="s">
        <v>94</v>
      </c>
      <c r="E1714" s="107"/>
      <c r="F1714" s="108" t="s">
        <v>15600</v>
      </c>
      <c r="G1714" s="118">
        <v>3</v>
      </c>
      <c r="H1714" s="108" t="s">
        <v>15601</v>
      </c>
      <c r="I1714" s="116">
        <v>1</v>
      </c>
      <c r="J1714" s="111" t="s">
        <v>40</v>
      </c>
      <c r="K1714" s="108" t="s">
        <v>15602</v>
      </c>
      <c r="L1714" s="110">
        <v>3</v>
      </c>
      <c r="M1714" s="111" t="s">
        <v>46</v>
      </c>
      <c r="N1714" s="108" t="s">
        <v>15600</v>
      </c>
      <c r="O1714" s="110">
        <v>3</v>
      </c>
      <c r="P1714" s="113"/>
      <c r="Q1714" s="108" t="s">
        <v>9560</v>
      </c>
      <c r="R1714" s="110">
        <v>3</v>
      </c>
      <c r="S1714" s="111" t="s">
        <v>40</v>
      </c>
      <c r="T1714" s="108" t="s">
        <v>15603</v>
      </c>
      <c r="U1714" s="110">
        <v>3</v>
      </c>
      <c r="V1714" s="113"/>
      <c r="W1714" s="108" t="s">
        <v>3873</v>
      </c>
      <c r="X1714" s="110">
        <v>3</v>
      </c>
      <c r="Y1714" s="113"/>
      <c r="Z1714" s="108" t="s">
        <v>2084</v>
      </c>
      <c r="AA1714" s="117">
        <v>2</v>
      </c>
      <c r="AB1714" s="113"/>
      <c r="AC1714" s="105" t="s">
        <v>3874</v>
      </c>
      <c r="AD1714" s="115" t="s">
        <v>101</v>
      </c>
    </row>
    <row r="1715" spans="1:30" x14ac:dyDescent="0.2">
      <c r="A1715" s="104" t="s">
        <v>3875</v>
      </c>
      <c r="B1715" s="105" t="s">
        <v>381</v>
      </c>
      <c r="C1715" s="105" t="s">
        <v>3309</v>
      </c>
      <c r="D1715" s="106"/>
      <c r="E1715" s="107"/>
      <c r="F1715" s="108" t="s">
        <v>47</v>
      </c>
      <c r="G1715" s="113"/>
      <c r="H1715" s="108" t="s">
        <v>47</v>
      </c>
      <c r="I1715" s="114"/>
      <c r="J1715" s="113"/>
      <c r="K1715" s="108" t="s">
        <v>47</v>
      </c>
      <c r="L1715" s="114"/>
      <c r="M1715" s="113"/>
      <c r="N1715" s="108" t="s">
        <v>47</v>
      </c>
      <c r="O1715" s="114"/>
      <c r="P1715" s="113"/>
      <c r="Q1715" s="108" t="s">
        <v>47</v>
      </c>
      <c r="R1715" s="114"/>
      <c r="S1715" s="113"/>
      <c r="T1715" s="108" t="s">
        <v>47</v>
      </c>
      <c r="U1715" s="114"/>
      <c r="V1715" s="113"/>
      <c r="W1715" s="108" t="s">
        <v>47</v>
      </c>
      <c r="X1715" s="114"/>
      <c r="Y1715" s="113"/>
      <c r="Z1715" s="108" t="s">
        <v>47</v>
      </c>
      <c r="AA1715" s="114"/>
      <c r="AB1715" s="113"/>
      <c r="AC1715" s="105"/>
      <c r="AD1715" s="115" t="s">
        <v>101</v>
      </c>
    </row>
    <row r="1716" spans="1:30" x14ac:dyDescent="0.2">
      <c r="A1716" s="104" t="s">
        <v>3876</v>
      </c>
      <c r="B1716" s="105" t="s">
        <v>381</v>
      </c>
      <c r="C1716" s="105" t="s">
        <v>3309</v>
      </c>
      <c r="D1716" s="106" t="s">
        <v>94</v>
      </c>
      <c r="E1716" s="107"/>
      <c r="F1716" s="108" t="s">
        <v>15604</v>
      </c>
      <c r="G1716" s="109">
        <v>4</v>
      </c>
      <c r="H1716" s="108" t="s">
        <v>15605</v>
      </c>
      <c r="I1716" s="117">
        <v>2</v>
      </c>
      <c r="J1716" s="111" t="s">
        <v>40</v>
      </c>
      <c r="K1716" s="108" t="s">
        <v>15606</v>
      </c>
      <c r="L1716" s="112">
        <v>4</v>
      </c>
      <c r="M1716" s="113"/>
      <c r="N1716" s="108" t="s">
        <v>15604</v>
      </c>
      <c r="O1716" s="112">
        <v>4</v>
      </c>
      <c r="P1716" s="111" t="s">
        <v>46</v>
      </c>
      <c r="Q1716" s="108" t="s">
        <v>2860</v>
      </c>
      <c r="R1716" s="117">
        <v>2</v>
      </c>
      <c r="S1716" s="111" t="s">
        <v>46</v>
      </c>
      <c r="T1716" s="108" t="s">
        <v>3877</v>
      </c>
      <c r="U1716" s="117">
        <v>2</v>
      </c>
      <c r="V1716" s="113"/>
      <c r="W1716" s="108" t="s">
        <v>2578</v>
      </c>
      <c r="X1716" s="110">
        <v>3</v>
      </c>
      <c r="Y1716" s="111" t="s">
        <v>46</v>
      </c>
      <c r="Z1716" s="108" t="s">
        <v>3830</v>
      </c>
      <c r="AA1716" s="110">
        <v>3</v>
      </c>
      <c r="AB1716" s="111" t="s">
        <v>55</v>
      </c>
      <c r="AC1716" s="105" t="s">
        <v>3878</v>
      </c>
      <c r="AD1716" s="115" t="s">
        <v>101</v>
      </c>
    </row>
    <row r="1717" spans="1:30" x14ac:dyDescent="0.2">
      <c r="A1717" s="104" t="s">
        <v>3879</v>
      </c>
      <c r="B1717" s="105" t="s">
        <v>381</v>
      </c>
      <c r="C1717" s="105" t="s">
        <v>3880</v>
      </c>
      <c r="D1717" s="106"/>
      <c r="E1717" s="107"/>
      <c r="F1717" s="108" t="s">
        <v>15607</v>
      </c>
      <c r="G1717" s="120">
        <v>2</v>
      </c>
      <c r="H1717" s="108" t="s">
        <v>15608</v>
      </c>
      <c r="I1717" s="110">
        <v>3</v>
      </c>
      <c r="J1717" s="113"/>
      <c r="K1717" s="108" t="s">
        <v>15609</v>
      </c>
      <c r="L1717" s="117">
        <v>2</v>
      </c>
      <c r="M1717" s="111" t="s">
        <v>46</v>
      </c>
      <c r="N1717" s="108" t="s">
        <v>15607</v>
      </c>
      <c r="O1717" s="117">
        <v>2</v>
      </c>
      <c r="P1717" s="113"/>
      <c r="Q1717" s="108" t="s">
        <v>3881</v>
      </c>
      <c r="R1717" s="117">
        <v>2</v>
      </c>
      <c r="S1717" s="113"/>
      <c r="T1717" s="108" t="s">
        <v>15610</v>
      </c>
      <c r="U1717" s="116">
        <v>1</v>
      </c>
      <c r="V1717" s="113"/>
      <c r="W1717" s="108" t="s">
        <v>15611</v>
      </c>
      <c r="X1717" s="116">
        <v>1</v>
      </c>
      <c r="Y1717" s="113"/>
      <c r="Z1717" s="108" t="s">
        <v>47</v>
      </c>
      <c r="AA1717" s="114"/>
      <c r="AB1717" s="113"/>
      <c r="AC1717" s="105" t="s">
        <v>3882</v>
      </c>
      <c r="AD1717" s="115" t="s">
        <v>101</v>
      </c>
    </row>
    <row r="1718" spans="1:30" x14ac:dyDescent="0.2">
      <c r="A1718" s="104" t="s">
        <v>3883</v>
      </c>
      <c r="B1718" s="105" t="s">
        <v>381</v>
      </c>
      <c r="C1718" s="105" t="s">
        <v>3880</v>
      </c>
      <c r="D1718" s="106"/>
      <c r="E1718" s="107"/>
      <c r="F1718" s="108" t="s">
        <v>15612</v>
      </c>
      <c r="G1718" s="119">
        <v>1</v>
      </c>
      <c r="H1718" s="108" t="s">
        <v>3884</v>
      </c>
      <c r="I1718" s="116">
        <v>1</v>
      </c>
      <c r="J1718" s="111" t="s">
        <v>53</v>
      </c>
      <c r="K1718" s="108" t="s">
        <v>3885</v>
      </c>
      <c r="L1718" s="110">
        <v>3</v>
      </c>
      <c r="M1718" s="111" t="s">
        <v>40</v>
      </c>
      <c r="N1718" s="108" t="s">
        <v>15612</v>
      </c>
      <c r="O1718" s="116">
        <v>1</v>
      </c>
      <c r="P1718" s="111" t="s">
        <v>53</v>
      </c>
      <c r="Q1718" s="108" t="s">
        <v>15613</v>
      </c>
      <c r="R1718" s="117">
        <v>2</v>
      </c>
      <c r="S1718" s="113"/>
      <c r="T1718" s="108" t="s">
        <v>3886</v>
      </c>
      <c r="U1718" s="110">
        <v>3</v>
      </c>
      <c r="V1718" s="113"/>
      <c r="W1718" s="108" t="s">
        <v>15614</v>
      </c>
      <c r="X1718" s="110">
        <v>3</v>
      </c>
      <c r="Y1718" s="113"/>
      <c r="Z1718" s="108" t="s">
        <v>47</v>
      </c>
      <c r="AA1718" s="114"/>
      <c r="AB1718" s="113"/>
      <c r="AC1718" s="105" t="s">
        <v>3887</v>
      </c>
      <c r="AD1718" s="115" t="s">
        <v>101</v>
      </c>
    </row>
    <row r="1719" spans="1:30" x14ac:dyDescent="0.2">
      <c r="A1719" s="104" t="s">
        <v>3888</v>
      </c>
      <c r="B1719" s="105" t="s">
        <v>381</v>
      </c>
      <c r="C1719" s="105" t="s">
        <v>3880</v>
      </c>
      <c r="D1719" s="106"/>
      <c r="E1719" s="107"/>
      <c r="F1719" s="108" t="s">
        <v>15615</v>
      </c>
      <c r="G1719" s="109">
        <v>4</v>
      </c>
      <c r="H1719" s="108" t="s">
        <v>15616</v>
      </c>
      <c r="I1719" s="112">
        <v>4</v>
      </c>
      <c r="J1719" s="113"/>
      <c r="K1719" s="108" t="s">
        <v>15617</v>
      </c>
      <c r="L1719" s="112">
        <v>4</v>
      </c>
      <c r="M1719" s="113"/>
      <c r="N1719" s="108" t="s">
        <v>15615</v>
      </c>
      <c r="O1719" s="112">
        <v>4</v>
      </c>
      <c r="P1719" s="111" t="s">
        <v>44</v>
      </c>
      <c r="Q1719" s="108" t="s">
        <v>15618</v>
      </c>
      <c r="R1719" s="116">
        <v>1</v>
      </c>
      <c r="S1719" s="113"/>
      <c r="T1719" s="108" t="s">
        <v>3889</v>
      </c>
      <c r="U1719" s="110">
        <v>3</v>
      </c>
      <c r="V1719" s="111" t="s">
        <v>46</v>
      </c>
      <c r="W1719" s="108" t="s">
        <v>15619</v>
      </c>
      <c r="X1719" s="117">
        <v>2</v>
      </c>
      <c r="Y1719" s="113"/>
      <c r="Z1719" s="108" t="s">
        <v>47</v>
      </c>
      <c r="AA1719" s="114"/>
      <c r="AB1719" s="113"/>
      <c r="AC1719" s="105" t="s">
        <v>3890</v>
      </c>
      <c r="AD1719" s="115" t="s">
        <v>101</v>
      </c>
    </row>
    <row r="1720" spans="1:30" x14ac:dyDescent="0.2">
      <c r="A1720" s="104" t="s">
        <v>3891</v>
      </c>
      <c r="B1720" s="105" t="s">
        <v>381</v>
      </c>
      <c r="C1720" s="105" t="s">
        <v>3892</v>
      </c>
      <c r="D1720" s="106" t="s">
        <v>125</v>
      </c>
      <c r="E1720" s="107"/>
      <c r="F1720" s="108" t="s">
        <v>3893</v>
      </c>
      <c r="G1720" s="120">
        <v>2</v>
      </c>
      <c r="H1720" s="108" t="s">
        <v>3894</v>
      </c>
      <c r="I1720" s="112">
        <v>4</v>
      </c>
      <c r="J1720" s="111" t="s">
        <v>46</v>
      </c>
      <c r="K1720" s="108" t="s">
        <v>3895</v>
      </c>
      <c r="L1720" s="112">
        <v>4</v>
      </c>
      <c r="M1720" s="111" t="s">
        <v>46</v>
      </c>
      <c r="N1720" s="108" t="s">
        <v>3893</v>
      </c>
      <c r="O1720" s="117">
        <v>2</v>
      </c>
      <c r="P1720" s="111" t="s">
        <v>46</v>
      </c>
      <c r="Q1720" s="108" t="s">
        <v>3896</v>
      </c>
      <c r="R1720" s="116">
        <v>1</v>
      </c>
      <c r="S1720" s="113"/>
      <c r="T1720" s="108" t="s">
        <v>3851</v>
      </c>
      <c r="U1720" s="112">
        <v>4</v>
      </c>
      <c r="V1720" s="111" t="s">
        <v>46</v>
      </c>
      <c r="W1720" s="108" t="s">
        <v>2574</v>
      </c>
      <c r="X1720" s="116">
        <v>1</v>
      </c>
      <c r="Y1720" s="113"/>
      <c r="Z1720" s="108" t="s">
        <v>47</v>
      </c>
      <c r="AA1720" s="114"/>
      <c r="AB1720" s="113"/>
      <c r="AC1720" s="105" t="s">
        <v>3897</v>
      </c>
      <c r="AD1720" s="115" t="s">
        <v>101</v>
      </c>
    </row>
    <row r="1721" spans="1:30" x14ac:dyDescent="0.2">
      <c r="A1721" s="104" t="s">
        <v>3898</v>
      </c>
      <c r="B1721" s="105" t="s">
        <v>381</v>
      </c>
      <c r="C1721" s="105" t="s">
        <v>3899</v>
      </c>
      <c r="D1721" s="106" t="s">
        <v>514</v>
      </c>
      <c r="E1721" s="107"/>
      <c r="F1721" s="108" t="s">
        <v>15620</v>
      </c>
      <c r="G1721" s="118">
        <v>3</v>
      </c>
      <c r="H1721" s="108" t="s">
        <v>15621</v>
      </c>
      <c r="I1721" s="112">
        <v>4</v>
      </c>
      <c r="J1721" s="113"/>
      <c r="K1721" s="108" t="s">
        <v>3900</v>
      </c>
      <c r="L1721" s="110">
        <v>3</v>
      </c>
      <c r="M1721" s="111" t="s">
        <v>46</v>
      </c>
      <c r="N1721" s="108" t="s">
        <v>15620</v>
      </c>
      <c r="O1721" s="110">
        <v>3</v>
      </c>
      <c r="P1721" s="111" t="s">
        <v>46</v>
      </c>
      <c r="Q1721" s="108" t="s">
        <v>15622</v>
      </c>
      <c r="R1721" s="116">
        <v>1</v>
      </c>
      <c r="S1721" s="113"/>
      <c r="T1721" s="108" t="s">
        <v>15623</v>
      </c>
      <c r="U1721" s="116">
        <v>1</v>
      </c>
      <c r="V1721" s="113"/>
      <c r="W1721" s="108" t="s">
        <v>3901</v>
      </c>
      <c r="X1721" s="116">
        <v>1</v>
      </c>
      <c r="Y1721" s="113"/>
      <c r="Z1721" s="108" t="s">
        <v>47</v>
      </c>
      <c r="AA1721" s="114"/>
      <c r="AB1721" s="113"/>
      <c r="AC1721" s="105" t="s">
        <v>3902</v>
      </c>
      <c r="AD1721" s="115" t="s">
        <v>101</v>
      </c>
    </row>
    <row r="1722" spans="1:30" x14ac:dyDescent="0.2">
      <c r="A1722" s="104" t="s">
        <v>3903</v>
      </c>
      <c r="B1722" s="105" t="s">
        <v>381</v>
      </c>
      <c r="C1722" s="105" t="s">
        <v>3904</v>
      </c>
      <c r="D1722" s="106"/>
      <c r="E1722" s="107"/>
      <c r="F1722" s="108" t="s">
        <v>15624</v>
      </c>
      <c r="G1722" s="119">
        <v>1</v>
      </c>
      <c r="H1722" s="108" t="s">
        <v>15625</v>
      </c>
      <c r="I1722" s="117">
        <v>2</v>
      </c>
      <c r="J1722" s="113"/>
      <c r="K1722" s="108" t="s">
        <v>8916</v>
      </c>
      <c r="L1722" s="116">
        <v>1</v>
      </c>
      <c r="M1722" s="111" t="s">
        <v>40</v>
      </c>
      <c r="N1722" s="108" t="s">
        <v>15624</v>
      </c>
      <c r="O1722" s="116">
        <v>1</v>
      </c>
      <c r="P1722" s="111" t="s">
        <v>40</v>
      </c>
      <c r="Q1722" s="108" t="s">
        <v>15626</v>
      </c>
      <c r="R1722" s="116">
        <v>1</v>
      </c>
      <c r="S1722" s="113"/>
      <c r="T1722" s="108" t="s">
        <v>47</v>
      </c>
      <c r="U1722" s="114"/>
      <c r="V1722" s="113"/>
      <c r="W1722" s="108" t="s">
        <v>47</v>
      </c>
      <c r="X1722" s="114"/>
      <c r="Y1722" s="113"/>
      <c r="Z1722" s="108" t="s">
        <v>47</v>
      </c>
      <c r="AA1722" s="114"/>
      <c r="AB1722" s="113"/>
      <c r="AC1722" s="105" t="s">
        <v>3905</v>
      </c>
      <c r="AD1722" s="115" t="s">
        <v>101</v>
      </c>
    </row>
    <row r="1723" spans="1:30" x14ac:dyDescent="0.2">
      <c r="A1723" s="104" t="s">
        <v>3906</v>
      </c>
      <c r="B1723" s="105" t="s">
        <v>381</v>
      </c>
      <c r="C1723" s="105" t="s">
        <v>3904</v>
      </c>
      <c r="D1723" s="106"/>
      <c r="E1723" s="107"/>
      <c r="F1723" s="108" t="s">
        <v>15624</v>
      </c>
      <c r="G1723" s="119">
        <v>1</v>
      </c>
      <c r="H1723" s="108" t="s">
        <v>15625</v>
      </c>
      <c r="I1723" s="117">
        <v>2</v>
      </c>
      <c r="J1723" s="113"/>
      <c r="K1723" s="108" t="s">
        <v>8916</v>
      </c>
      <c r="L1723" s="116">
        <v>1</v>
      </c>
      <c r="M1723" s="111" t="s">
        <v>40</v>
      </c>
      <c r="N1723" s="108" t="s">
        <v>15624</v>
      </c>
      <c r="O1723" s="116">
        <v>1</v>
      </c>
      <c r="P1723" s="111" t="s">
        <v>40</v>
      </c>
      <c r="Q1723" s="108" t="s">
        <v>15626</v>
      </c>
      <c r="R1723" s="116">
        <v>1</v>
      </c>
      <c r="S1723" s="113"/>
      <c r="T1723" s="108" t="s">
        <v>47</v>
      </c>
      <c r="U1723" s="114"/>
      <c r="V1723" s="113"/>
      <c r="W1723" s="108" t="s">
        <v>47</v>
      </c>
      <c r="X1723" s="114"/>
      <c r="Y1723" s="113"/>
      <c r="Z1723" s="108" t="s">
        <v>47</v>
      </c>
      <c r="AA1723" s="114"/>
      <c r="AB1723" s="113"/>
      <c r="AC1723" s="105" t="s">
        <v>3907</v>
      </c>
      <c r="AD1723" s="115" t="s">
        <v>101</v>
      </c>
    </row>
    <row r="1724" spans="1:30" x14ac:dyDescent="0.2">
      <c r="A1724" s="104" t="s">
        <v>3908</v>
      </c>
      <c r="B1724" s="105" t="s">
        <v>381</v>
      </c>
      <c r="C1724" s="105" t="s">
        <v>643</v>
      </c>
      <c r="D1724" s="106"/>
      <c r="E1724" s="107"/>
      <c r="F1724" s="108" t="s">
        <v>709</v>
      </c>
      <c r="G1724" s="109">
        <v>4</v>
      </c>
      <c r="H1724" s="108" t="s">
        <v>689</v>
      </c>
      <c r="I1724" s="112">
        <v>4</v>
      </c>
      <c r="J1724" s="113"/>
      <c r="K1724" s="108" t="s">
        <v>709</v>
      </c>
      <c r="L1724" s="112">
        <v>4</v>
      </c>
      <c r="M1724" s="113"/>
      <c r="N1724" s="108" t="s">
        <v>709</v>
      </c>
      <c r="O1724" s="112">
        <v>4</v>
      </c>
      <c r="P1724" s="113"/>
      <c r="Q1724" s="108" t="s">
        <v>689</v>
      </c>
      <c r="R1724" s="112">
        <v>4</v>
      </c>
      <c r="S1724" s="113"/>
      <c r="T1724" s="108" t="s">
        <v>47</v>
      </c>
      <c r="U1724" s="114"/>
      <c r="V1724" s="113"/>
      <c r="W1724" s="108" t="s">
        <v>47</v>
      </c>
      <c r="X1724" s="114"/>
      <c r="Y1724" s="113"/>
      <c r="Z1724" s="108" t="s">
        <v>47</v>
      </c>
      <c r="AA1724" s="114"/>
      <c r="AB1724" s="113"/>
      <c r="AC1724" s="105" t="s">
        <v>3909</v>
      </c>
      <c r="AD1724" s="115" t="s">
        <v>101</v>
      </c>
    </row>
    <row r="1725" spans="1:30" x14ac:dyDescent="0.2">
      <c r="A1725" s="104" t="s">
        <v>3910</v>
      </c>
      <c r="B1725" s="105" t="s">
        <v>381</v>
      </c>
      <c r="C1725" s="105" t="s">
        <v>643</v>
      </c>
      <c r="D1725" s="106"/>
      <c r="E1725" s="107"/>
      <c r="F1725" s="108" t="s">
        <v>3911</v>
      </c>
      <c r="G1725" s="109">
        <v>4</v>
      </c>
      <c r="H1725" s="108" t="s">
        <v>705</v>
      </c>
      <c r="I1725" s="112">
        <v>4</v>
      </c>
      <c r="J1725" s="113"/>
      <c r="K1725" s="108" t="s">
        <v>3911</v>
      </c>
      <c r="L1725" s="112">
        <v>4</v>
      </c>
      <c r="M1725" s="113"/>
      <c r="N1725" s="108" t="s">
        <v>3911</v>
      </c>
      <c r="O1725" s="112">
        <v>4</v>
      </c>
      <c r="P1725" s="113"/>
      <c r="Q1725" s="108" t="s">
        <v>705</v>
      </c>
      <c r="R1725" s="112">
        <v>4</v>
      </c>
      <c r="S1725" s="113"/>
      <c r="T1725" s="108" t="s">
        <v>47</v>
      </c>
      <c r="U1725" s="114"/>
      <c r="V1725" s="113"/>
      <c r="W1725" s="108" t="s">
        <v>47</v>
      </c>
      <c r="X1725" s="114"/>
      <c r="Y1725" s="113"/>
      <c r="Z1725" s="108" t="s">
        <v>47</v>
      </c>
      <c r="AA1725" s="114"/>
      <c r="AB1725" s="113"/>
      <c r="AC1725" s="105" t="s">
        <v>3912</v>
      </c>
      <c r="AD1725" s="115" t="s">
        <v>101</v>
      </c>
    </row>
    <row r="1726" spans="1:30" x14ac:dyDescent="0.2">
      <c r="A1726" s="104" t="s">
        <v>3913</v>
      </c>
      <c r="B1726" s="105" t="s">
        <v>381</v>
      </c>
      <c r="C1726" s="105" t="s">
        <v>643</v>
      </c>
      <c r="D1726" s="106"/>
      <c r="E1726" s="107"/>
      <c r="F1726" s="108" t="s">
        <v>47</v>
      </c>
      <c r="G1726" s="113"/>
      <c r="H1726" s="108" t="s">
        <v>47</v>
      </c>
      <c r="I1726" s="114"/>
      <c r="J1726" s="113"/>
      <c r="K1726" s="108" t="s">
        <v>47</v>
      </c>
      <c r="L1726" s="114"/>
      <c r="M1726" s="113"/>
      <c r="N1726" s="108" t="s">
        <v>47</v>
      </c>
      <c r="O1726" s="114"/>
      <c r="P1726" s="113"/>
      <c r="Q1726" s="108" t="s">
        <v>47</v>
      </c>
      <c r="R1726" s="114"/>
      <c r="S1726" s="113"/>
      <c r="T1726" s="108" t="s">
        <v>47</v>
      </c>
      <c r="U1726" s="114"/>
      <c r="V1726" s="113"/>
      <c r="W1726" s="108" t="s">
        <v>47</v>
      </c>
      <c r="X1726" s="114"/>
      <c r="Y1726" s="113"/>
      <c r="Z1726" s="108" t="s">
        <v>47</v>
      </c>
      <c r="AA1726" s="114"/>
      <c r="AB1726" s="113"/>
      <c r="AC1726" s="105"/>
      <c r="AD1726" s="115" t="s">
        <v>101</v>
      </c>
    </row>
    <row r="1727" spans="1:30" x14ac:dyDescent="0.2">
      <c r="A1727" s="104" t="s">
        <v>3914</v>
      </c>
      <c r="B1727" s="105" t="s">
        <v>97</v>
      </c>
      <c r="C1727" s="105" t="s">
        <v>3915</v>
      </c>
      <c r="D1727" s="106"/>
      <c r="E1727" s="107"/>
      <c r="F1727" s="108" t="s">
        <v>15627</v>
      </c>
      <c r="G1727" s="119">
        <v>1</v>
      </c>
      <c r="H1727" s="108" t="s">
        <v>15628</v>
      </c>
      <c r="I1727" s="117">
        <v>2</v>
      </c>
      <c r="J1727" s="113"/>
      <c r="K1727" s="108" t="s">
        <v>15629</v>
      </c>
      <c r="L1727" s="116">
        <v>1</v>
      </c>
      <c r="M1727" s="113"/>
      <c r="N1727" s="108" t="s">
        <v>15627</v>
      </c>
      <c r="O1727" s="116">
        <v>1</v>
      </c>
      <c r="P1727" s="113"/>
      <c r="Q1727" s="108" t="s">
        <v>15630</v>
      </c>
      <c r="R1727" s="116">
        <v>1</v>
      </c>
      <c r="S1727" s="113"/>
      <c r="T1727" s="108" t="s">
        <v>15631</v>
      </c>
      <c r="U1727" s="116">
        <v>1</v>
      </c>
      <c r="V1727" s="111" t="s">
        <v>40</v>
      </c>
      <c r="W1727" s="108" t="s">
        <v>15632</v>
      </c>
      <c r="X1727" s="116">
        <v>1</v>
      </c>
      <c r="Y1727" s="113"/>
      <c r="Z1727" s="108" t="s">
        <v>3916</v>
      </c>
      <c r="AA1727" s="117">
        <v>2</v>
      </c>
      <c r="AB1727" s="113"/>
      <c r="AC1727" s="105" t="s">
        <v>3917</v>
      </c>
      <c r="AD1727" s="115" t="s">
        <v>101</v>
      </c>
    </row>
    <row r="1728" spans="1:30" x14ac:dyDescent="0.2">
      <c r="A1728" s="104" t="s">
        <v>3918</v>
      </c>
      <c r="B1728" s="105" t="s">
        <v>212</v>
      </c>
      <c r="C1728" s="105" t="s">
        <v>3369</v>
      </c>
      <c r="D1728" s="106"/>
      <c r="E1728" s="107"/>
      <c r="F1728" s="108" t="s">
        <v>15633</v>
      </c>
      <c r="G1728" s="118">
        <v>3</v>
      </c>
      <c r="H1728" s="108" t="s">
        <v>15634</v>
      </c>
      <c r="I1728" s="117">
        <v>2</v>
      </c>
      <c r="J1728" s="111" t="s">
        <v>40</v>
      </c>
      <c r="K1728" s="108" t="s">
        <v>15635</v>
      </c>
      <c r="L1728" s="110">
        <v>3</v>
      </c>
      <c r="M1728" s="113"/>
      <c r="N1728" s="108" t="s">
        <v>15633</v>
      </c>
      <c r="O1728" s="110">
        <v>3</v>
      </c>
      <c r="P1728" s="111" t="s">
        <v>40</v>
      </c>
      <c r="Q1728" s="108" t="s">
        <v>15636</v>
      </c>
      <c r="R1728" s="112">
        <v>4</v>
      </c>
      <c r="S1728" s="113"/>
      <c r="T1728" s="108" t="s">
        <v>15637</v>
      </c>
      <c r="U1728" s="110">
        <v>3</v>
      </c>
      <c r="V1728" s="113"/>
      <c r="W1728" s="108" t="s">
        <v>47</v>
      </c>
      <c r="X1728" s="114"/>
      <c r="Y1728" s="113"/>
      <c r="Z1728" s="108" t="s">
        <v>47</v>
      </c>
      <c r="AA1728" s="114"/>
      <c r="AB1728" s="113"/>
      <c r="AC1728" s="105" t="s">
        <v>3919</v>
      </c>
      <c r="AD1728" s="115" t="s">
        <v>49</v>
      </c>
    </row>
    <row r="1729" spans="1:30" x14ac:dyDescent="0.2">
      <c r="A1729" s="104" t="s">
        <v>3920</v>
      </c>
      <c r="B1729" s="105" t="s">
        <v>42</v>
      </c>
      <c r="C1729" s="105" t="s">
        <v>3921</v>
      </c>
      <c r="D1729" s="106"/>
      <c r="E1729" s="107"/>
      <c r="F1729" s="108" t="s">
        <v>15638</v>
      </c>
      <c r="G1729" s="119">
        <v>1</v>
      </c>
      <c r="H1729" s="108" t="s">
        <v>15639</v>
      </c>
      <c r="I1729" s="110">
        <v>3</v>
      </c>
      <c r="J1729" s="111" t="s">
        <v>55</v>
      </c>
      <c r="K1729" s="108" t="s">
        <v>15640</v>
      </c>
      <c r="L1729" s="116">
        <v>1</v>
      </c>
      <c r="M1729" s="113"/>
      <c r="N1729" s="108" t="s">
        <v>15638</v>
      </c>
      <c r="O1729" s="116">
        <v>1</v>
      </c>
      <c r="P1729" s="113"/>
      <c r="Q1729" s="108" t="s">
        <v>14460</v>
      </c>
      <c r="R1729" s="116">
        <v>1</v>
      </c>
      <c r="S1729" s="113"/>
      <c r="T1729" s="108" t="s">
        <v>47</v>
      </c>
      <c r="U1729" s="114"/>
      <c r="V1729" s="113"/>
      <c r="W1729" s="108" t="s">
        <v>47</v>
      </c>
      <c r="X1729" s="114"/>
      <c r="Y1729" s="113"/>
      <c r="Z1729" s="108" t="s">
        <v>47</v>
      </c>
      <c r="AA1729" s="114"/>
      <c r="AB1729" s="113"/>
      <c r="AC1729" s="105" t="s">
        <v>3922</v>
      </c>
      <c r="AD1729" s="115" t="s">
        <v>49</v>
      </c>
    </row>
    <row r="1730" spans="1:30" x14ac:dyDescent="0.2">
      <c r="A1730" s="104" t="s">
        <v>3923</v>
      </c>
      <c r="B1730" s="105" t="s">
        <v>42</v>
      </c>
      <c r="C1730" s="105" t="s">
        <v>2716</v>
      </c>
      <c r="D1730" s="106"/>
      <c r="E1730" s="107"/>
      <c r="F1730" s="108" t="s">
        <v>15641</v>
      </c>
      <c r="G1730" s="119">
        <v>1</v>
      </c>
      <c r="H1730" s="108" t="s">
        <v>15642</v>
      </c>
      <c r="I1730" s="116">
        <v>1</v>
      </c>
      <c r="J1730" s="113"/>
      <c r="K1730" s="108" t="s">
        <v>15643</v>
      </c>
      <c r="L1730" s="116">
        <v>1</v>
      </c>
      <c r="M1730" s="113"/>
      <c r="N1730" s="108" t="s">
        <v>15641</v>
      </c>
      <c r="O1730" s="116">
        <v>1</v>
      </c>
      <c r="P1730" s="113"/>
      <c r="Q1730" s="108" t="s">
        <v>15644</v>
      </c>
      <c r="R1730" s="117">
        <v>2</v>
      </c>
      <c r="S1730" s="113"/>
      <c r="T1730" s="108" t="s">
        <v>47</v>
      </c>
      <c r="U1730" s="114"/>
      <c r="V1730" s="113"/>
      <c r="W1730" s="108" t="s">
        <v>47</v>
      </c>
      <c r="X1730" s="114"/>
      <c r="Y1730" s="113"/>
      <c r="Z1730" s="108" t="s">
        <v>47</v>
      </c>
      <c r="AA1730" s="114"/>
      <c r="AB1730" s="113"/>
      <c r="AC1730" s="105" t="s">
        <v>3924</v>
      </c>
      <c r="AD1730" s="115" t="s">
        <v>49</v>
      </c>
    </row>
    <row r="1731" spans="1:30" x14ac:dyDescent="0.2">
      <c r="A1731" s="104" t="s">
        <v>3925</v>
      </c>
      <c r="B1731" s="105" t="s">
        <v>42</v>
      </c>
      <c r="C1731" s="105" t="s">
        <v>132</v>
      </c>
      <c r="D1731" s="106" t="s">
        <v>125</v>
      </c>
      <c r="E1731" s="107"/>
      <c r="F1731" s="108" t="s">
        <v>15645</v>
      </c>
      <c r="G1731" s="120">
        <v>2</v>
      </c>
      <c r="H1731" s="108" t="s">
        <v>15646</v>
      </c>
      <c r="I1731" s="117">
        <v>2</v>
      </c>
      <c r="J1731" s="113"/>
      <c r="K1731" s="108" t="s">
        <v>15647</v>
      </c>
      <c r="L1731" s="117">
        <v>2</v>
      </c>
      <c r="M1731" s="111" t="s">
        <v>40</v>
      </c>
      <c r="N1731" s="108" t="s">
        <v>15645</v>
      </c>
      <c r="O1731" s="117">
        <v>2</v>
      </c>
      <c r="P1731" s="111" t="s">
        <v>40</v>
      </c>
      <c r="Q1731" s="108" t="s">
        <v>15648</v>
      </c>
      <c r="R1731" s="117">
        <v>2</v>
      </c>
      <c r="S1731" s="113"/>
      <c r="T1731" s="108" t="s">
        <v>15649</v>
      </c>
      <c r="U1731" s="117">
        <v>2</v>
      </c>
      <c r="V1731" s="113"/>
      <c r="W1731" s="108" t="s">
        <v>47</v>
      </c>
      <c r="X1731" s="114"/>
      <c r="Y1731" s="113"/>
      <c r="Z1731" s="108" t="s">
        <v>47</v>
      </c>
      <c r="AA1731" s="114"/>
      <c r="AB1731" s="113"/>
      <c r="AC1731" s="105" t="s">
        <v>3926</v>
      </c>
      <c r="AD1731" s="115" t="s">
        <v>49</v>
      </c>
    </row>
    <row r="1732" spans="1:30" x14ac:dyDescent="0.2">
      <c r="A1732" s="104" t="s">
        <v>3927</v>
      </c>
      <c r="B1732" s="105" t="s">
        <v>42</v>
      </c>
      <c r="C1732" s="105" t="s">
        <v>132</v>
      </c>
      <c r="D1732" s="106" t="s">
        <v>125</v>
      </c>
      <c r="E1732" s="107"/>
      <c r="F1732" s="108" t="s">
        <v>15650</v>
      </c>
      <c r="G1732" s="118">
        <v>3</v>
      </c>
      <c r="H1732" s="108" t="s">
        <v>15651</v>
      </c>
      <c r="I1732" s="117">
        <v>2</v>
      </c>
      <c r="J1732" s="111" t="s">
        <v>40</v>
      </c>
      <c r="K1732" s="108" t="s">
        <v>15652</v>
      </c>
      <c r="L1732" s="117">
        <v>2</v>
      </c>
      <c r="M1732" s="111" t="s">
        <v>40</v>
      </c>
      <c r="N1732" s="108" t="s">
        <v>15650</v>
      </c>
      <c r="O1732" s="110">
        <v>3</v>
      </c>
      <c r="P1732" s="113"/>
      <c r="Q1732" s="108" t="s">
        <v>15653</v>
      </c>
      <c r="R1732" s="117">
        <v>2</v>
      </c>
      <c r="S1732" s="111" t="s">
        <v>40</v>
      </c>
      <c r="T1732" s="108" t="s">
        <v>15654</v>
      </c>
      <c r="U1732" s="117">
        <v>2</v>
      </c>
      <c r="V1732" s="113"/>
      <c r="W1732" s="108" t="s">
        <v>15655</v>
      </c>
      <c r="X1732" s="117">
        <v>2</v>
      </c>
      <c r="Y1732" s="113"/>
      <c r="Z1732" s="108" t="s">
        <v>47</v>
      </c>
      <c r="AA1732" s="114"/>
      <c r="AB1732" s="113"/>
      <c r="AC1732" s="105" t="s">
        <v>3928</v>
      </c>
      <c r="AD1732" s="115" t="s">
        <v>49</v>
      </c>
    </row>
    <row r="1733" spans="1:30" x14ac:dyDescent="0.2">
      <c r="A1733" s="104" t="s">
        <v>3929</v>
      </c>
      <c r="B1733" s="105" t="s">
        <v>42</v>
      </c>
      <c r="C1733" s="105" t="s">
        <v>132</v>
      </c>
      <c r="D1733" s="106" t="s">
        <v>94</v>
      </c>
      <c r="E1733" s="107"/>
      <c r="F1733" s="108" t="s">
        <v>15656</v>
      </c>
      <c r="G1733" s="120">
        <v>2</v>
      </c>
      <c r="H1733" s="108" t="s">
        <v>15657</v>
      </c>
      <c r="I1733" s="117">
        <v>2</v>
      </c>
      <c r="J1733" s="113"/>
      <c r="K1733" s="108" t="s">
        <v>15658</v>
      </c>
      <c r="L1733" s="117">
        <v>2</v>
      </c>
      <c r="M1733" s="111" t="s">
        <v>40</v>
      </c>
      <c r="N1733" s="108" t="s">
        <v>15656</v>
      </c>
      <c r="O1733" s="117">
        <v>2</v>
      </c>
      <c r="P1733" s="111" t="s">
        <v>40</v>
      </c>
      <c r="Q1733" s="108" t="s">
        <v>15659</v>
      </c>
      <c r="R1733" s="117">
        <v>2</v>
      </c>
      <c r="S1733" s="113"/>
      <c r="T1733" s="108" t="s">
        <v>15660</v>
      </c>
      <c r="U1733" s="117">
        <v>2</v>
      </c>
      <c r="V1733" s="113"/>
      <c r="W1733" s="108" t="s">
        <v>15661</v>
      </c>
      <c r="X1733" s="117">
        <v>2</v>
      </c>
      <c r="Y1733" s="113"/>
      <c r="Z1733" s="108" t="s">
        <v>15662</v>
      </c>
      <c r="AA1733" s="117">
        <v>2</v>
      </c>
      <c r="AB1733" s="111" t="s">
        <v>46</v>
      </c>
      <c r="AC1733" s="105" t="s">
        <v>3930</v>
      </c>
      <c r="AD1733" s="115" t="s">
        <v>49</v>
      </c>
    </row>
    <row r="1734" spans="1:30" x14ac:dyDescent="0.2">
      <c r="A1734" s="104" t="s">
        <v>3931</v>
      </c>
      <c r="B1734" s="105" t="s">
        <v>42</v>
      </c>
      <c r="C1734" s="105" t="s">
        <v>132</v>
      </c>
      <c r="D1734" s="106" t="s">
        <v>105</v>
      </c>
      <c r="E1734" s="107"/>
      <c r="F1734" s="108" t="s">
        <v>15663</v>
      </c>
      <c r="G1734" s="118">
        <v>3</v>
      </c>
      <c r="H1734" s="108" t="s">
        <v>15664</v>
      </c>
      <c r="I1734" s="110">
        <v>3</v>
      </c>
      <c r="J1734" s="111" t="s">
        <v>40</v>
      </c>
      <c r="K1734" s="108" t="s">
        <v>15665</v>
      </c>
      <c r="L1734" s="110">
        <v>3</v>
      </c>
      <c r="M1734" s="111" t="s">
        <v>40</v>
      </c>
      <c r="N1734" s="108" t="s">
        <v>15663</v>
      </c>
      <c r="O1734" s="110">
        <v>3</v>
      </c>
      <c r="P1734" s="111" t="s">
        <v>40</v>
      </c>
      <c r="Q1734" s="108" t="s">
        <v>3932</v>
      </c>
      <c r="R1734" s="110">
        <v>3</v>
      </c>
      <c r="S1734" s="111" t="s">
        <v>40</v>
      </c>
      <c r="T1734" s="108" t="s">
        <v>15666</v>
      </c>
      <c r="U1734" s="110">
        <v>3</v>
      </c>
      <c r="V1734" s="113"/>
      <c r="W1734" s="108" t="s">
        <v>15667</v>
      </c>
      <c r="X1734" s="110">
        <v>3</v>
      </c>
      <c r="Y1734" s="113"/>
      <c r="Z1734" s="108" t="s">
        <v>47</v>
      </c>
      <c r="AA1734" s="114"/>
      <c r="AB1734" s="113"/>
      <c r="AC1734" s="105" t="s">
        <v>3933</v>
      </c>
      <c r="AD1734" s="115" t="s">
        <v>49</v>
      </c>
    </row>
    <row r="1735" spans="1:30" x14ac:dyDescent="0.2">
      <c r="A1735" s="104" t="s">
        <v>3934</v>
      </c>
      <c r="B1735" s="105" t="s">
        <v>42</v>
      </c>
      <c r="C1735" s="105" t="s">
        <v>3433</v>
      </c>
      <c r="D1735" s="106"/>
      <c r="E1735" s="107"/>
      <c r="F1735" s="108" t="s">
        <v>7881</v>
      </c>
      <c r="G1735" s="120">
        <v>2</v>
      </c>
      <c r="H1735" s="108" t="s">
        <v>15668</v>
      </c>
      <c r="I1735" s="117">
        <v>2</v>
      </c>
      <c r="J1735" s="113"/>
      <c r="K1735" s="108" t="s">
        <v>15669</v>
      </c>
      <c r="L1735" s="117">
        <v>2</v>
      </c>
      <c r="M1735" s="113"/>
      <c r="N1735" s="108" t="s">
        <v>7881</v>
      </c>
      <c r="O1735" s="117">
        <v>2</v>
      </c>
      <c r="P1735" s="113"/>
      <c r="Q1735" s="108" t="s">
        <v>15670</v>
      </c>
      <c r="R1735" s="117">
        <v>2</v>
      </c>
      <c r="S1735" s="113"/>
      <c r="T1735" s="108" t="s">
        <v>15671</v>
      </c>
      <c r="U1735" s="117">
        <v>2</v>
      </c>
      <c r="V1735" s="113"/>
      <c r="W1735" s="108" t="s">
        <v>15672</v>
      </c>
      <c r="X1735" s="117">
        <v>2</v>
      </c>
      <c r="Y1735" s="113"/>
      <c r="Z1735" s="108" t="s">
        <v>47</v>
      </c>
      <c r="AA1735" s="114"/>
      <c r="AB1735" s="113"/>
      <c r="AC1735" s="105" t="s">
        <v>3935</v>
      </c>
      <c r="AD1735" s="115" t="s">
        <v>49</v>
      </c>
    </row>
    <row r="1736" spans="1:30" x14ac:dyDescent="0.2">
      <c r="A1736" s="104" t="s">
        <v>3936</v>
      </c>
      <c r="B1736" s="105" t="s">
        <v>42</v>
      </c>
      <c r="C1736" s="105" t="s">
        <v>3433</v>
      </c>
      <c r="D1736" s="106"/>
      <c r="E1736" s="107"/>
      <c r="F1736" s="108" t="s">
        <v>15673</v>
      </c>
      <c r="G1736" s="119">
        <v>1</v>
      </c>
      <c r="H1736" s="108" t="s">
        <v>15674</v>
      </c>
      <c r="I1736" s="116">
        <v>1</v>
      </c>
      <c r="J1736" s="113"/>
      <c r="K1736" s="108" t="s">
        <v>15675</v>
      </c>
      <c r="L1736" s="116">
        <v>1</v>
      </c>
      <c r="M1736" s="113"/>
      <c r="N1736" s="108" t="s">
        <v>15673</v>
      </c>
      <c r="O1736" s="116">
        <v>1</v>
      </c>
      <c r="P1736" s="113"/>
      <c r="Q1736" s="108" t="s">
        <v>15676</v>
      </c>
      <c r="R1736" s="116">
        <v>1</v>
      </c>
      <c r="S1736" s="111" t="s">
        <v>40</v>
      </c>
      <c r="T1736" s="108" t="s">
        <v>3937</v>
      </c>
      <c r="U1736" s="116">
        <v>1</v>
      </c>
      <c r="V1736" s="113"/>
      <c r="W1736" s="108" t="s">
        <v>15677</v>
      </c>
      <c r="X1736" s="116">
        <v>1</v>
      </c>
      <c r="Y1736" s="113"/>
      <c r="Z1736" s="108" t="s">
        <v>15678</v>
      </c>
      <c r="AA1736" s="116">
        <v>1</v>
      </c>
      <c r="AB1736" s="113"/>
      <c r="AC1736" s="105" t="s">
        <v>3938</v>
      </c>
      <c r="AD1736" s="115" t="s">
        <v>49</v>
      </c>
    </row>
    <row r="1737" spans="1:30" x14ac:dyDescent="0.2">
      <c r="A1737" s="104" t="s">
        <v>3939</v>
      </c>
      <c r="B1737" s="105" t="s">
        <v>42</v>
      </c>
      <c r="C1737" s="105" t="s">
        <v>3433</v>
      </c>
      <c r="D1737" s="106"/>
      <c r="E1737" s="107"/>
      <c r="F1737" s="108" t="s">
        <v>47</v>
      </c>
      <c r="G1737" s="113"/>
      <c r="H1737" s="108" t="s">
        <v>47</v>
      </c>
      <c r="I1737" s="114"/>
      <c r="J1737" s="113"/>
      <c r="K1737" s="108" t="s">
        <v>47</v>
      </c>
      <c r="L1737" s="114"/>
      <c r="M1737" s="113"/>
      <c r="N1737" s="108" t="s">
        <v>47</v>
      </c>
      <c r="O1737" s="114"/>
      <c r="P1737" s="113"/>
      <c r="Q1737" s="108" t="s">
        <v>47</v>
      </c>
      <c r="R1737" s="114"/>
      <c r="S1737" s="113"/>
      <c r="T1737" s="108" t="s">
        <v>47</v>
      </c>
      <c r="U1737" s="114"/>
      <c r="V1737" s="113"/>
      <c r="W1737" s="108" t="s">
        <v>47</v>
      </c>
      <c r="X1737" s="114"/>
      <c r="Y1737" s="113"/>
      <c r="Z1737" s="108" t="s">
        <v>47</v>
      </c>
      <c r="AA1737" s="114"/>
      <c r="AB1737" s="113"/>
      <c r="AC1737" s="105" t="s">
        <v>3940</v>
      </c>
      <c r="AD1737" s="115" t="s">
        <v>49</v>
      </c>
    </row>
    <row r="1738" spans="1:30" x14ac:dyDescent="0.2">
      <c r="A1738" s="104" t="s">
        <v>3941</v>
      </c>
      <c r="B1738" s="105" t="s">
        <v>42</v>
      </c>
      <c r="C1738" s="105" t="s">
        <v>3433</v>
      </c>
      <c r="D1738" s="106"/>
      <c r="E1738" s="107"/>
      <c r="F1738" s="108" t="s">
        <v>15679</v>
      </c>
      <c r="G1738" s="120">
        <v>2</v>
      </c>
      <c r="H1738" s="108" t="s">
        <v>15680</v>
      </c>
      <c r="I1738" s="117">
        <v>2</v>
      </c>
      <c r="J1738" s="113"/>
      <c r="K1738" s="108" t="s">
        <v>15681</v>
      </c>
      <c r="L1738" s="117">
        <v>2</v>
      </c>
      <c r="M1738" s="113"/>
      <c r="N1738" s="108" t="s">
        <v>15679</v>
      </c>
      <c r="O1738" s="117">
        <v>2</v>
      </c>
      <c r="P1738" s="113"/>
      <c r="Q1738" s="108" t="s">
        <v>15682</v>
      </c>
      <c r="R1738" s="117">
        <v>2</v>
      </c>
      <c r="S1738" s="113"/>
      <c r="T1738" s="108" t="s">
        <v>15683</v>
      </c>
      <c r="U1738" s="117">
        <v>2</v>
      </c>
      <c r="V1738" s="113"/>
      <c r="W1738" s="108" t="s">
        <v>15684</v>
      </c>
      <c r="X1738" s="117">
        <v>2</v>
      </c>
      <c r="Y1738" s="113"/>
      <c r="Z1738" s="108" t="s">
        <v>47</v>
      </c>
      <c r="AA1738" s="114"/>
      <c r="AB1738" s="113"/>
      <c r="AC1738" s="105" t="s">
        <v>3942</v>
      </c>
      <c r="AD1738" s="115" t="s">
        <v>49</v>
      </c>
    </row>
    <row r="1739" spans="1:30" x14ac:dyDescent="0.2">
      <c r="A1739" s="104" t="s">
        <v>3943</v>
      </c>
      <c r="B1739" s="105" t="s">
        <v>42</v>
      </c>
      <c r="C1739" s="105" t="s">
        <v>3433</v>
      </c>
      <c r="D1739" s="106"/>
      <c r="E1739" s="107"/>
      <c r="F1739" s="108" t="s">
        <v>15685</v>
      </c>
      <c r="G1739" s="120">
        <v>2</v>
      </c>
      <c r="H1739" s="108" t="s">
        <v>15686</v>
      </c>
      <c r="I1739" s="117">
        <v>2</v>
      </c>
      <c r="J1739" s="113"/>
      <c r="K1739" s="108" t="s">
        <v>15687</v>
      </c>
      <c r="L1739" s="117">
        <v>2</v>
      </c>
      <c r="M1739" s="113"/>
      <c r="N1739" s="108" t="s">
        <v>15685</v>
      </c>
      <c r="O1739" s="117">
        <v>2</v>
      </c>
      <c r="P1739" s="113"/>
      <c r="Q1739" s="108" t="s">
        <v>15688</v>
      </c>
      <c r="R1739" s="117">
        <v>2</v>
      </c>
      <c r="S1739" s="113"/>
      <c r="T1739" s="108" t="s">
        <v>15689</v>
      </c>
      <c r="U1739" s="117">
        <v>2</v>
      </c>
      <c r="V1739" s="113"/>
      <c r="W1739" s="108" t="s">
        <v>15690</v>
      </c>
      <c r="X1739" s="117">
        <v>2</v>
      </c>
      <c r="Y1739" s="113"/>
      <c r="Z1739" s="108" t="s">
        <v>47</v>
      </c>
      <c r="AA1739" s="114"/>
      <c r="AB1739" s="113"/>
      <c r="AC1739" s="105" t="s">
        <v>3944</v>
      </c>
      <c r="AD1739" s="115" t="s">
        <v>49</v>
      </c>
    </row>
    <row r="1740" spans="1:30" x14ac:dyDescent="0.2">
      <c r="A1740" s="104" t="s">
        <v>3945</v>
      </c>
      <c r="B1740" s="105" t="s">
        <v>42</v>
      </c>
      <c r="C1740" s="105" t="s">
        <v>132</v>
      </c>
      <c r="D1740" s="106"/>
      <c r="E1740" s="107"/>
      <c r="F1740" s="108" t="s">
        <v>47</v>
      </c>
      <c r="G1740" s="113"/>
      <c r="H1740" s="108" t="s">
        <v>15691</v>
      </c>
      <c r="I1740" s="117">
        <v>2</v>
      </c>
      <c r="J1740" s="111" t="s">
        <v>40</v>
      </c>
      <c r="K1740" s="108" t="s">
        <v>15692</v>
      </c>
      <c r="L1740" s="110">
        <v>3</v>
      </c>
      <c r="M1740" s="113"/>
      <c r="N1740" s="108" t="s">
        <v>47</v>
      </c>
      <c r="O1740" s="114"/>
      <c r="P1740" s="113"/>
      <c r="Q1740" s="108" t="s">
        <v>47</v>
      </c>
      <c r="R1740" s="114"/>
      <c r="S1740" s="113"/>
      <c r="T1740" s="108" t="s">
        <v>47</v>
      </c>
      <c r="U1740" s="114"/>
      <c r="V1740" s="113"/>
      <c r="W1740" s="108" t="s">
        <v>47</v>
      </c>
      <c r="X1740" s="114"/>
      <c r="Y1740" s="113"/>
      <c r="Z1740" s="108" t="s">
        <v>47</v>
      </c>
      <c r="AA1740" s="114"/>
      <c r="AB1740" s="113"/>
      <c r="AC1740" s="105" t="s">
        <v>3946</v>
      </c>
      <c r="AD1740" s="115" t="s">
        <v>49</v>
      </c>
    </row>
    <row r="1741" spans="1:30" x14ac:dyDescent="0.2">
      <c r="A1741" s="104" t="s">
        <v>3947</v>
      </c>
      <c r="B1741" s="105" t="s">
        <v>42</v>
      </c>
      <c r="C1741" s="105" t="s">
        <v>1680</v>
      </c>
      <c r="D1741" s="106"/>
      <c r="E1741" s="107"/>
      <c r="F1741" s="108" t="s">
        <v>15693</v>
      </c>
      <c r="G1741" s="118">
        <v>3</v>
      </c>
      <c r="H1741" s="108" t="s">
        <v>15694</v>
      </c>
      <c r="I1741" s="110">
        <v>3</v>
      </c>
      <c r="J1741" s="113"/>
      <c r="K1741" s="108" t="s">
        <v>15695</v>
      </c>
      <c r="L1741" s="110">
        <v>3</v>
      </c>
      <c r="M1741" s="113"/>
      <c r="N1741" s="108" t="s">
        <v>15693</v>
      </c>
      <c r="O1741" s="110">
        <v>3</v>
      </c>
      <c r="P1741" s="113"/>
      <c r="Q1741" s="108" t="s">
        <v>15696</v>
      </c>
      <c r="R1741" s="110">
        <v>3</v>
      </c>
      <c r="S1741" s="113"/>
      <c r="T1741" s="108" t="s">
        <v>15697</v>
      </c>
      <c r="U1741" s="117">
        <v>2</v>
      </c>
      <c r="V1741" s="113"/>
      <c r="W1741" s="108" t="s">
        <v>15698</v>
      </c>
      <c r="X1741" s="117">
        <v>2</v>
      </c>
      <c r="Y1741" s="113"/>
      <c r="Z1741" s="108" t="s">
        <v>15699</v>
      </c>
      <c r="AA1741" s="117">
        <v>2</v>
      </c>
      <c r="AB1741" s="111" t="s">
        <v>40</v>
      </c>
      <c r="AC1741" s="105" t="s">
        <v>3948</v>
      </c>
      <c r="AD1741" s="115" t="s">
        <v>49</v>
      </c>
    </row>
    <row r="1742" spans="1:30" x14ac:dyDescent="0.2">
      <c r="A1742" s="104" t="s">
        <v>3949</v>
      </c>
      <c r="B1742" s="105" t="s">
        <v>42</v>
      </c>
      <c r="C1742" s="105" t="s">
        <v>3433</v>
      </c>
      <c r="D1742" s="106"/>
      <c r="E1742" s="107"/>
      <c r="F1742" s="108" t="s">
        <v>15700</v>
      </c>
      <c r="G1742" s="109">
        <v>4</v>
      </c>
      <c r="H1742" s="108" t="s">
        <v>15701</v>
      </c>
      <c r="I1742" s="112">
        <v>4</v>
      </c>
      <c r="J1742" s="113"/>
      <c r="K1742" s="108" t="s">
        <v>15702</v>
      </c>
      <c r="L1742" s="112">
        <v>4</v>
      </c>
      <c r="M1742" s="113"/>
      <c r="N1742" s="108" t="s">
        <v>15700</v>
      </c>
      <c r="O1742" s="112">
        <v>4</v>
      </c>
      <c r="P1742" s="113"/>
      <c r="Q1742" s="108" t="s">
        <v>15703</v>
      </c>
      <c r="R1742" s="112">
        <v>4</v>
      </c>
      <c r="S1742" s="113"/>
      <c r="T1742" s="108" t="s">
        <v>15704</v>
      </c>
      <c r="U1742" s="112">
        <v>4</v>
      </c>
      <c r="V1742" s="113"/>
      <c r="W1742" s="108" t="s">
        <v>47</v>
      </c>
      <c r="X1742" s="114"/>
      <c r="Y1742" s="113"/>
      <c r="Z1742" s="108" t="s">
        <v>47</v>
      </c>
      <c r="AA1742" s="114"/>
      <c r="AB1742" s="113"/>
      <c r="AC1742" s="105" t="s">
        <v>3950</v>
      </c>
      <c r="AD1742" s="115" t="s">
        <v>49</v>
      </c>
    </row>
    <row r="1743" spans="1:30" x14ac:dyDescent="0.2">
      <c r="A1743" s="104" t="s">
        <v>3951</v>
      </c>
      <c r="B1743" s="105" t="s">
        <v>42</v>
      </c>
      <c r="C1743" s="105" t="s">
        <v>3433</v>
      </c>
      <c r="D1743" s="106"/>
      <c r="E1743" s="107"/>
      <c r="F1743" s="108" t="s">
        <v>15705</v>
      </c>
      <c r="G1743" s="109">
        <v>4</v>
      </c>
      <c r="H1743" s="108" t="s">
        <v>15706</v>
      </c>
      <c r="I1743" s="112">
        <v>4</v>
      </c>
      <c r="J1743" s="113"/>
      <c r="K1743" s="108" t="s">
        <v>15707</v>
      </c>
      <c r="L1743" s="112">
        <v>4</v>
      </c>
      <c r="M1743" s="113"/>
      <c r="N1743" s="108" t="s">
        <v>15705</v>
      </c>
      <c r="O1743" s="112">
        <v>4</v>
      </c>
      <c r="P1743" s="113"/>
      <c r="Q1743" s="108" t="s">
        <v>15708</v>
      </c>
      <c r="R1743" s="112">
        <v>4</v>
      </c>
      <c r="S1743" s="113"/>
      <c r="T1743" s="108" t="s">
        <v>15709</v>
      </c>
      <c r="U1743" s="112">
        <v>4</v>
      </c>
      <c r="V1743" s="113"/>
      <c r="W1743" s="108" t="s">
        <v>15710</v>
      </c>
      <c r="X1743" s="112">
        <v>4</v>
      </c>
      <c r="Y1743" s="113"/>
      <c r="Z1743" s="108" t="s">
        <v>15711</v>
      </c>
      <c r="AA1743" s="112">
        <v>4</v>
      </c>
      <c r="AB1743" s="113"/>
      <c r="AC1743" s="105" t="s">
        <v>3952</v>
      </c>
      <c r="AD1743" s="115" t="s">
        <v>49</v>
      </c>
    </row>
    <row r="1744" spans="1:30" x14ac:dyDescent="0.2">
      <c r="A1744" s="104" t="s">
        <v>3953</v>
      </c>
      <c r="B1744" s="105" t="s">
        <v>42</v>
      </c>
      <c r="C1744" s="105" t="s">
        <v>122</v>
      </c>
      <c r="D1744" s="106" t="s">
        <v>298</v>
      </c>
      <c r="E1744" s="107"/>
      <c r="F1744" s="108" t="s">
        <v>15712</v>
      </c>
      <c r="G1744" s="109">
        <v>4</v>
      </c>
      <c r="H1744" s="108" t="s">
        <v>15713</v>
      </c>
      <c r="I1744" s="116">
        <v>1</v>
      </c>
      <c r="J1744" s="111" t="s">
        <v>157</v>
      </c>
      <c r="K1744" s="108" t="s">
        <v>15714</v>
      </c>
      <c r="L1744" s="110">
        <v>3</v>
      </c>
      <c r="M1744" s="113"/>
      <c r="N1744" s="108" t="s">
        <v>15712</v>
      </c>
      <c r="O1744" s="112">
        <v>4</v>
      </c>
      <c r="P1744" s="113"/>
      <c r="Q1744" s="108" t="s">
        <v>15715</v>
      </c>
      <c r="R1744" s="112">
        <v>4</v>
      </c>
      <c r="S1744" s="113"/>
      <c r="T1744" s="108" t="s">
        <v>15716</v>
      </c>
      <c r="U1744" s="112">
        <v>4</v>
      </c>
      <c r="V1744" s="113"/>
      <c r="W1744" s="108" t="s">
        <v>15717</v>
      </c>
      <c r="X1744" s="112">
        <v>4</v>
      </c>
      <c r="Y1744" s="113"/>
      <c r="Z1744" s="108" t="s">
        <v>47</v>
      </c>
      <c r="AA1744" s="114"/>
      <c r="AB1744" s="113"/>
      <c r="AC1744" s="105" t="s">
        <v>3954</v>
      </c>
      <c r="AD1744" s="115" t="s">
        <v>49</v>
      </c>
    </row>
    <row r="1745" spans="1:30" x14ac:dyDescent="0.2">
      <c r="A1745" s="104" t="s">
        <v>3955</v>
      </c>
      <c r="B1745" s="105" t="s">
        <v>42</v>
      </c>
      <c r="C1745" s="105" t="s">
        <v>122</v>
      </c>
      <c r="D1745" s="106" t="s">
        <v>105</v>
      </c>
      <c r="E1745" s="107"/>
      <c r="F1745" s="108" t="s">
        <v>3956</v>
      </c>
      <c r="G1745" s="118">
        <v>3</v>
      </c>
      <c r="H1745" s="108" t="s">
        <v>15718</v>
      </c>
      <c r="I1745" s="116">
        <v>1</v>
      </c>
      <c r="J1745" s="111" t="s">
        <v>157</v>
      </c>
      <c r="K1745" s="108" t="s">
        <v>15719</v>
      </c>
      <c r="L1745" s="117">
        <v>2</v>
      </c>
      <c r="M1745" s="113"/>
      <c r="N1745" s="108" t="s">
        <v>3956</v>
      </c>
      <c r="O1745" s="110">
        <v>3</v>
      </c>
      <c r="P1745" s="111" t="s">
        <v>40</v>
      </c>
      <c r="Q1745" s="108" t="s">
        <v>15720</v>
      </c>
      <c r="R1745" s="112">
        <v>4</v>
      </c>
      <c r="S1745" s="113"/>
      <c r="T1745" s="108" t="s">
        <v>15721</v>
      </c>
      <c r="U1745" s="112">
        <v>4</v>
      </c>
      <c r="V1745" s="113"/>
      <c r="W1745" s="108" t="s">
        <v>15722</v>
      </c>
      <c r="X1745" s="112">
        <v>4</v>
      </c>
      <c r="Y1745" s="113"/>
      <c r="Z1745" s="108" t="s">
        <v>15723</v>
      </c>
      <c r="AA1745" s="112">
        <v>4</v>
      </c>
      <c r="AB1745" s="111" t="s">
        <v>46</v>
      </c>
      <c r="AC1745" s="105" t="s">
        <v>3957</v>
      </c>
      <c r="AD1745" s="115" t="s">
        <v>49</v>
      </c>
    </row>
    <row r="1746" spans="1:30" x14ac:dyDescent="0.2">
      <c r="A1746" s="104" t="s">
        <v>3958</v>
      </c>
      <c r="B1746" s="105" t="s">
        <v>42</v>
      </c>
      <c r="C1746" s="105" t="s">
        <v>122</v>
      </c>
      <c r="D1746" s="106" t="s">
        <v>298</v>
      </c>
      <c r="E1746" s="107"/>
      <c r="F1746" s="108" t="s">
        <v>15724</v>
      </c>
      <c r="G1746" s="109">
        <v>4</v>
      </c>
      <c r="H1746" s="108" t="s">
        <v>15725</v>
      </c>
      <c r="I1746" s="116">
        <v>1</v>
      </c>
      <c r="J1746" s="111" t="s">
        <v>157</v>
      </c>
      <c r="K1746" s="108" t="s">
        <v>15726</v>
      </c>
      <c r="L1746" s="110">
        <v>3</v>
      </c>
      <c r="M1746" s="113"/>
      <c r="N1746" s="108" t="s">
        <v>15724</v>
      </c>
      <c r="O1746" s="112">
        <v>4</v>
      </c>
      <c r="P1746" s="113"/>
      <c r="Q1746" s="108" t="s">
        <v>15727</v>
      </c>
      <c r="R1746" s="112">
        <v>4</v>
      </c>
      <c r="S1746" s="113"/>
      <c r="T1746" s="108" t="s">
        <v>15728</v>
      </c>
      <c r="U1746" s="112">
        <v>4</v>
      </c>
      <c r="V1746" s="113"/>
      <c r="W1746" s="108" t="s">
        <v>47</v>
      </c>
      <c r="X1746" s="114"/>
      <c r="Y1746" s="113"/>
      <c r="Z1746" s="108" t="s">
        <v>47</v>
      </c>
      <c r="AA1746" s="114"/>
      <c r="AB1746" s="113"/>
      <c r="AC1746" s="105" t="s">
        <v>3959</v>
      </c>
      <c r="AD1746" s="115" t="s">
        <v>49</v>
      </c>
    </row>
    <row r="1747" spans="1:30" x14ac:dyDescent="0.2">
      <c r="A1747" s="104" t="s">
        <v>3960</v>
      </c>
      <c r="B1747" s="105" t="s">
        <v>42</v>
      </c>
      <c r="C1747" s="105" t="s">
        <v>3433</v>
      </c>
      <c r="D1747" s="106"/>
      <c r="E1747" s="107"/>
      <c r="F1747" s="108" t="s">
        <v>15729</v>
      </c>
      <c r="G1747" s="120">
        <v>2</v>
      </c>
      <c r="H1747" s="108" t="s">
        <v>15730</v>
      </c>
      <c r="I1747" s="117">
        <v>2</v>
      </c>
      <c r="J1747" s="113"/>
      <c r="K1747" s="108" t="s">
        <v>10187</v>
      </c>
      <c r="L1747" s="117">
        <v>2</v>
      </c>
      <c r="M1747" s="113"/>
      <c r="N1747" s="108" t="s">
        <v>15729</v>
      </c>
      <c r="O1747" s="117">
        <v>2</v>
      </c>
      <c r="P1747" s="113"/>
      <c r="Q1747" s="108" t="s">
        <v>15731</v>
      </c>
      <c r="R1747" s="117">
        <v>2</v>
      </c>
      <c r="S1747" s="113"/>
      <c r="T1747" s="108" t="s">
        <v>15732</v>
      </c>
      <c r="U1747" s="110">
        <v>3</v>
      </c>
      <c r="V1747" s="113"/>
      <c r="W1747" s="108" t="s">
        <v>15733</v>
      </c>
      <c r="X1747" s="110">
        <v>3</v>
      </c>
      <c r="Y1747" s="113"/>
      <c r="Z1747" s="108" t="s">
        <v>15734</v>
      </c>
      <c r="AA1747" s="110">
        <v>3</v>
      </c>
      <c r="AB1747" s="113"/>
      <c r="AC1747" s="105" t="s">
        <v>3961</v>
      </c>
      <c r="AD1747" s="115" t="s">
        <v>49</v>
      </c>
    </row>
    <row r="1748" spans="1:30" x14ac:dyDescent="0.2">
      <c r="A1748" s="104" t="s">
        <v>15735</v>
      </c>
      <c r="B1748" s="105" t="s">
        <v>42</v>
      </c>
      <c r="C1748" s="105" t="s">
        <v>132</v>
      </c>
      <c r="D1748" s="106"/>
      <c r="E1748" s="107"/>
      <c r="F1748" s="108" t="s">
        <v>15736</v>
      </c>
      <c r="G1748" s="118">
        <v>3</v>
      </c>
      <c r="H1748" s="108" t="s">
        <v>15737</v>
      </c>
      <c r="I1748" s="117">
        <v>2</v>
      </c>
      <c r="J1748" s="111" t="s">
        <v>40</v>
      </c>
      <c r="K1748" s="108" t="s">
        <v>15738</v>
      </c>
      <c r="L1748" s="110">
        <v>3</v>
      </c>
      <c r="M1748" s="113"/>
      <c r="N1748" s="108" t="s">
        <v>15736</v>
      </c>
      <c r="O1748" s="110">
        <v>3</v>
      </c>
      <c r="P1748" s="113"/>
      <c r="Q1748" s="108" t="s">
        <v>15739</v>
      </c>
      <c r="R1748" s="110">
        <v>3</v>
      </c>
      <c r="S1748" s="113"/>
      <c r="T1748" s="108" t="s">
        <v>15740</v>
      </c>
      <c r="U1748" s="110">
        <v>3</v>
      </c>
      <c r="V1748" s="113"/>
      <c r="W1748" s="108" t="s">
        <v>15741</v>
      </c>
      <c r="X1748" s="112">
        <v>4</v>
      </c>
      <c r="Y1748" s="113"/>
      <c r="Z1748" s="108" t="s">
        <v>15742</v>
      </c>
      <c r="AA1748" s="112">
        <v>4</v>
      </c>
      <c r="AB1748" s="111" t="s">
        <v>46</v>
      </c>
      <c r="AC1748" s="105" t="s">
        <v>3962</v>
      </c>
      <c r="AD1748" s="115" t="s">
        <v>180</v>
      </c>
    </row>
    <row r="1749" spans="1:30" x14ac:dyDescent="0.2">
      <c r="A1749" s="104" t="s">
        <v>3963</v>
      </c>
      <c r="B1749" s="105" t="s">
        <v>381</v>
      </c>
      <c r="C1749" s="105" t="s">
        <v>3964</v>
      </c>
      <c r="D1749" s="106" t="s">
        <v>298</v>
      </c>
      <c r="E1749" s="107"/>
      <c r="F1749" s="108" t="s">
        <v>15743</v>
      </c>
      <c r="G1749" s="119">
        <v>1</v>
      </c>
      <c r="H1749" s="108" t="s">
        <v>15743</v>
      </c>
      <c r="I1749" s="116">
        <v>1</v>
      </c>
      <c r="J1749" s="113"/>
      <c r="K1749" s="108" t="s">
        <v>15743</v>
      </c>
      <c r="L1749" s="116">
        <v>1</v>
      </c>
      <c r="M1749" s="113"/>
      <c r="N1749" s="108" t="s">
        <v>15743</v>
      </c>
      <c r="O1749" s="116">
        <v>1</v>
      </c>
      <c r="P1749" s="113"/>
      <c r="Q1749" s="108" t="s">
        <v>3965</v>
      </c>
      <c r="R1749" s="110">
        <v>3</v>
      </c>
      <c r="S1749" s="111" t="s">
        <v>40</v>
      </c>
      <c r="T1749" s="108" t="s">
        <v>3966</v>
      </c>
      <c r="U1749" s="112">
        <v>4</v>
      </c>
      <c r="V1749" s="113"/>
      <c r="W1749" s="108" t="s">
        <v>3967</v>
      </c>
      <c r="X1749" s="112">
        <v>4</v>
      </c>
      <c r="Y1749" s="113"/>
      <c r="Z1749" s="108" t="s">
        <v>3968</v>
      </c>
      <c r="AA1749" s="112">
        <v>4</v>
      </c>
      <c r="AB1749" s="113"/>
      <c r="AC1749" s="105" t="s">
        <v>3969</v>
      </c>
      <c r="AD1749" s="115" t="s">
        <v>101</v>
      </c>
    </row>
    <row r="1750" spans="1:30" x14ac:dyDescent="0.2">
      <c r="A1750" s="104" t="s">
        <v>3970</v>
      </c>
      <c r="B1750" s="105" t="s">
        <v>381</v>
      </c>
      <c r="C1750" s="105" t="s">
        <v>2887</v>
      </c>
      <c r="D1750" s="106" t="s">
        <v>94</v>
      </c>
      <c r="E1750" s="107"/>
      <c r="F1750" s="108" t="s">
        <v>15744</v>
      </c>
      <c r="G1750" s="119">
        <v>1</v>
      </c>
      <c r="H1750" s="108" t="s">
        <v>3971</v>
      </c>
      <c r="I1750" s="116">
        <v>1</v>
      </c>
      <c r="J1750" s="113"/>
      <c r="K1750" s="108" t="s">
        <v>15745</v>
      </c>
      <c r="L1750" s="116">
        <v>1</v>
      </c>
      <c r="M1750" s="113"/>
      <c r="N1750" s="108" t="s">
        <v>15744</v>
      </c>
      <c r="O1750" s="116">
        <v>1</v>
      </c>
      <c r="P1750" s="113"/>
      <c r="Q1750" s="108" t="s">
        <v>15746</v>
      </c>
      <c r="R1750" s="116">
        <v>1</v>
      </c>
      <c r="S1750" s="113"/>
      <c r="T1750" s="108" t="s">
        <v>15747</v>
      </c>
      <c r="U1750" s="116">
        <v>1</v>
      </c>
      <c r="V1750" s="113"/>
      <c r="W1750" s="108" t="s">
        <v>15748</v>
      </c>
      <c r="X1750" s="116">
        <v>1</v>
      </c>
      <c r="Y1750" s="113"/>
      <c r="Z1750" s="108" t="s">
        <v>15749</v>
      </c>
      <c r="AA1750" s="116">
        <v>1</v>
      </c>
      <c r="AB1750" s="113"/>
      <c r="AC1750" s="105" t="s">
        <v>3972</v>
      </c>
      <c r="AD1750" s="115" t="s">
        <v>101</v>
      </c>
    </row>
    <row r="1751" spans="1:30" x14ac:dyDescent="0.2">
      <c r="A1751" s="104" t="s">
        <v>3973</v>
      </c>
      <c r="B1751" s="105" t="s">
        <v>381</v>
      </c>
      <c r="C1751" s="105" t="s">
        <v>3974</v>
      </c>
      <c r="D1751" s="106"/>
      <c r="E1751" s="107"/>
      <c r="F1751" s="108" t="s">
        <v>47</v>
      </c>
      <c r="G1751" s="113"/>
      <c r="H1751" s="108" t="s">
        <v>47</v>
      </c>
      <c r="I1751" s="114"/>
      <c r="J1751" s="113"/>
      <c r="K1751" s="108" t="s">
        <v>47</v>
      </c>
      <c r="L1751" s="114"/>
      <c r="M1751" s="113"/>
      <c r="N1751" s="108" t="s">
        <v>47</v>
      </c>
      <c r="O1751" s="114"/>
      <c r="P1751" s="113"/>
      <c r="Q1751" s="108" t="s">
        <v>47</v>
      </c>
      <c r="R1751" s="114"/>
      <c r="S1751" s="113"/>
      <c r="T1751" s="108" t="s">
        <v>47</v>
      </c>
      <c r="U1751" s="114"/>
      <c r="V1751" s="113"/>
      <c r="W1751" s="108" t="s">
        <v>47</v>
      </c>
      <c r="X1751" s="114"/>
      <c r="Y1751" s="113"/>
      <c r="Z1751" s="108" t="s">
        <v>47</v>
      </c>
      <c r="AA1751" s="114"/>
      <c r="AB1751" s="113"/>
      <c r="AC1751" s="105"/>
      <c r="AD1751" s="115" t="s">
        <v>101</v>
      </c>
    </row>
    <row r="1752" spans="1:30" x14ac:dyDescent="0.2">
      <c r="A1752" s="104" t="s">
        <v>3975</v>
      </c>
      <c r="B1752" s="105" t="s">
        <v>381</v>
      </c>
      <c r="C1752" s="105" t="s">
        <v>433</v>
      </c>
      <c r="D1752" s="106"/>
      <c r="E1752" s="107"/>
      <c r="F1752" s="108" t="s">
        <v>15750</v>
      </c>
      <c r="G1752" s="109">
        <v>4</v>
      </c>
      <c r="H1752" s="108" t="s">
        <v>15751</v>
      </c>
      <c r="I1752" s="116">
        <v>1</v>
      </c>
      <c r="J1752" s="111" t="s">
        <v>157</v>
      </c>
      <c r="K1752" s="108" t="s">
        <v>15752</v>
      </c>
      <c r="L1752" s="112">
        <v>4</v>
      </c>
      <c r="M1752" s="113"/>
      <c r="N1752" s="108" t="s">
        <v>15750</v>
      </c>
      <c r="O1752" s="112">
        <v>4</v>
      </c>
      <c r="P1752" s="113"/>
      <c r="Q1752" s="108" t="s">
        <v>15753</v>
      </c>
      <c r="R1752" s="110">
        <v>3</v>
      </c>
      <c r="S1752" s="113"/>
      <c r="T1752" s="108" t="s">
        <v>47</v>
      </c>
      <c r="U1752" s="114"/>
      <c r="V1752" s="113"/>
      <c r="W1752" s="108" t="s">
        <v>47</v>
      </c>
      <c r="X1752" s="114"/>
      <c r="Y1752" s="113"/>
      <c r="Z1752" s="108" t="s">
        <v>47</v>
      </c>
      <c r="AA1752" s="114"/>
      <c r="AB1752" s="113"/>
      <c r="AC1752" s="105" t="s">
        <v>3976</v>
      </c>
      <c r="AD1752" s="115" t="s">
        <v>101</v>
      </c>
    </row>
    <row r="1753" spans="1:30" x14ac:dyDescent="0.2">
      <c r="A1753" s="104" t="s">
        <v>3977</v>
      </c>
      <c r="B1753" s="105" t="s">
        <v>381</v>
      </c>
      <c r="C1753" s="105" t="s">
        <v>433</v>
      </c>
      <c r="D1753" s="106"/>
      <c r="E1753" s="107"/>
      <c r="F1753" s="108" t="s">
        <v>15754</v>
      </c>
      <c r="G1753" s="109">
        <v>4</v>
      </c>
      <c r="H1753" s="108" t="s">
        <v>3978</v>
      </c>
      <c r="I1753" s="116">
        <v>1</v>
      </c>
      <c r="J1753" s="111" t="s">
        <v>157</v>
      </c>
      <c r="K1753" s="108" t="s">
        <v>15755</v>
      </c>
      <c r="L1753" s="112">
        <v>4</v>
      </c>
      <c r="M1753" s="113"/>
      <c r="N1753" s="108" t="s">
        <v>15754</v>
      </c>
      <c r="O1753" s="112">
        <v>4</v>
      </c>
      <c r="P1753" s="113"/>
      <c r="Q1753" s="108" t="s">
        <v>15756</v>
      </c>
      <c r="R1753" s="110">
        <v>3</v>
      </c>
      <c r="S1753" s="113"/>
      <c r="T1753" s="108" t="s">
        <v>47</v>
      </c>
      <c r="U1753" s="114"/>
      <c r="V1753" s="113"/>
      <c r="W1753" s="108" t="s">
        <v>47</v>
      </c>
      <c r="X1753" s="114"/>
      <c r="Y1753" s="113"/>
      <c r="Z1753" s="108" t="s">
        <v>47</v>
      </c>
      <c r="AA1753" s="114"/>
      <c r="AB1753" s="113"/>
      <c r="AC1753" s="105" t="s">
        <v>3979</v>
      </c>
      <c r="AD1753" s="115" t="s">
        <v>101</v>
      </c>
    </row>
    <row r="1754" spans="1:30" x14ac:dyDescent="0.2">
      <c r="A1754" s="104" t="s">
        <v>3980</v>
      </c>
      <c r="B1754" s="105" t="s">
        <v>381</v>
      </c>
      <c r="C1754" s="105" t="s">
        <v>3974</v>
      </c>
      <c r="D1754" s="106"/>
      <c r="E1754" s="107"/>
      <c r="F1754" s="108" t="s">
        <v>12009</v>
      </c>
      <c r="G1754" s="109">
        <v>4</v>
      </c>
      <c r="H1754" s="108" t="s">
        <v>3981</v>
      </c>
      <c r="I1754" s="112">
        <v>4</v>
      </c>
      <c r="J1754" s="113"/>
      <c r="K1754" s="108" t="s">
        <v>15757</v>
      </c>
      <c r="L1754" s="112">
        <v>4</v>
      </c>
      <c r="M1754" s="113"/>
      <c r="N1754" s="108" t="s">
        <v>12009</v>
      </c>
      <c r="O1754" s="112">
        <v>4</v>
      </c>
      <c r="P1754" s="113"/>
      <c r="Q1754" s="108" t="s">
        <v>3982</v>
      </c>
      <c r="R1754" s="110">
        <v>3</v>
      </c>
      <c r="S1754" s="113"/>
      <c r="T1754" s="108" t="s">
        <v>47</v>
      </c>
      <c r="U1754" s="114"/>
      <c r="V1754" s="113"/>
      <c r="W1754" s="108" t="s">
        <v>47</v>
      </c>
      <c r="X1754" s="114"/>
      <c r="Y1754" s="113"/>
      <c r="Z1754" s="108" t="s">
        <v>47</v>
      </c>
      <c r="AA1754" s="114"/>
      <c r="AB1754" s="113"/>
      <c r="AC1754" s="105" t="s">
        <v>3983</v>
      </c>
      <c r="AD1754" s="115" t="s">
        <v>101</v>
      </c>
    </row>
    <row r="1755" spans="1:30" x14ac:dyDescent="0.2">
      <c r="A1755" s="104" t="s">
        <v>3984</v>
      </c>
      <c r="B1755" s="105" t="s">
        <v>381</v>
      </c>
      <c r="C1755" s="105" t="s">
        <v>3974</v>
      </c>
      <c r="D1755" s="106"/>
      <c r="E1755" s="107"/>
      <c r="F1755" s="108" t="s">
        <v>3985</v>
      </c>
      <c r="G1755" s="109">
        <v>4</v>
      </c>
      <c r="H1755" s="108" t="s">
        <v>3986</v>
      </c>
      <c r="I1755" s="112">
        <v>4</v>
      </c>
      <c r="J1755" s="113"/>
      <c r="K1755" s="108" t="s">
        <v>15758</v>
      </c>
      <c r="L1755" s="112">
        <v>4</v>
      </c>
      <c r="M1755" s="113"/>
      <c r="N1755" s="108" t="s">
        <v>3985</v>
      </c>
      <c r="O1755" s="112">
        <v>4</v>
      </c>
      <c r="P1755" s="111" t="s">
        <v>46</v>
      </c>
      <c r="Q1755" s="108" t="s">
        <v>3987</v>
      </c>
      <c r="R1755" s="110">
        <v>3</v>
      </c>
      <c r="S1755" s="113"/>
      <c r="T1755" s="108" t="s">
        <v>47</v>
      </c>
      <c r="U1755" s="114"/>
      <c r="V1755" s="113"/>
      <c r="W1755" s="108" t="s">
        <v>47</v>
      </c>
      <c r="X1755" s="114"/>
      <c r="Y1755" s="113"/>
      <c r="Z1755" s="108" t="s">
        <v>47</v>
      </c>
      <c r="AA1755" s="114"/>
      <c r="AB1755" s="113"/>
      <c r="AC1755" s="105" t="s">
        <v>3988</v>
      </c>
      <c r="AD1755" s="115" t="s">
        <v>101</v>
      </c>
    </row>
    <row r="1756" spans="1:30" x14ac:dyDescent="0.2">
      <c r="A1756" s="104" t="s">
        <v>3989</v>
      </c>
      <c r="B1756" s="105" t="s">
        <v>381</v>
      </c>
      <c r="C1756" s="105" t="s">
        <v>3974</v>
      </c>
      <c r="D1756" s="106"/>
      <c r="E1756" s="107"/>
      <c r="F1756" s="108" t="s">
        <v>47</v>
      </c>
      <c r="G1756" s="113"/>
      <c r="H1756" s="108" t="s">
        <v>47</v>
      </c>
      <c r="I1756" s="114"/>
      <c r="J1756" s="113"/>
      <c r="K1756" s="108" t="s">
        <v>47</v>
      </c>
      <c r="L1756" s="114"/>
      <c r="M1756" s="113"/>
      <c r="N1756" s="108" t="s">
        <v>47</v>
      </c>
      <c r="O1756" s="114"/>
      <c r="P1756" s="113"/>
      <c r="Q1756" s="108" t="s">
        <v>47</v>
      </c>
      <c r="R1756" s="114"/>
      <c r="S1756" s="113"/>
      <c r="T1756" s="108" t="s">
        <v>47</v>
      </c>
      <c r="U1756" s="114"/>
      <c r="V1756" s="113"/>
      <c r="W1756" s="108" t="s">
        <v>47</v>
      </c>
      <c r="X1756" s="114"/>
      <c r="Y1756" s="113"/>
      <c r="Z1756" s="108" t="s">
        <v>47</v>
      </c>
      <c r="AA1756" s="114"/>
      <c r="AB1756" s="113"/>
      <c r="AC1756" s="105"/>
      <c r="AD1756" s="115" t="s">
        <v>101</v>
      </c>
    </row>
    <row r="1757" spans="1:30" x14ac:dyDescent="0.2">
      <c r="A1757" s="104" t="s">
        <v>3990</v>
      </c>
      <c r="B1757" s="105" t="s">
        <v>97</v>
      </c>
      <c r="C1757" s="105" t="s">
        <v>1680</v>
      </c>
      <c r="D1757" s="106"/>
      <c r="E1757" s="107"/>
      <c r="F1757" s="108" t="s">
        <v>3991</v>
      </c>
      <c r="G1757" s="120">
        <v>2</v>
      </c>
      <c r="H1757" s="108" t="s">
        <v>3992</v>
      </c>
      <c r="I1757" s="117">
        <v>2</v>
      </c>
      <c r="J1757" s="113"/>
      <c r="K1757" s="108" t="s">
        <v>15759</v>
      </c>
      <c r="L1757" s="117">
        <v>2</v>
      </c>
      <c r="M1757" s="113"/>
      <c r="N1757" s="108" t="s">
        <v>3991</v>
      </c>
      <c r="O1757" s="117">
        <v>2</v>
      </c>
      <c r="P1757" s="113"/>
      <c r="Q1757" s="108" t="s">
        <v>15760</v>
      </c>
      <c r="R1757" s="117">
        <v>2</v>
      </c>
      <c r="S1757" s="113"/>
      <c r="T1757" s="108" t="s">
        <v>3993</v>
      </c>
      <c r="U1757" s="110">
        <v>3</v>
      </c>
      <c r="V1757" s="111" t="s">
        <v>46</v>
      </c>
      <c r="W1757" s="108" t="s">
        <v>15761</v>
      </c>
      <c r="X1757" s="110">
        <v>3</v>
      </c>
      <c r="Y1757" s="111" t="s">
        <v>46</v>
      </c>
      <c r="Z1757" s="108" t="s">
        <v>15762</v>
      </c>
      <c r="AA1757" s="116">
        <v>1</v>
      </c>
      <c r="AB1757" s="111" t="s">
        <v>40</v>
      </c>
      <c r="AC1757" s="105" t="s">
        <v>3994</v>
      </c>
      <c r="AD1757" s="115" t="s">
        <v>101</v>
      </c>
    </row>
    <row r="1758" spans="1:30" x14ac:dyDescent="0.2">
      <c r="A1758" s="104" t="s">
        <v>3995</v>
      </c>
      <c r="B1758" s="105" t="s">
        <v>97</v>
      </c>
      <c r="C1758" s="105" t="s">
        <v>1680</v>
      </c>
      <c r="D1758" s="106"/>
      <c r="E1758" s="107"/>
      <c r="F1758" s="108" t="s">
        <v>15763</v>
      </c>
      <c r="G1758" s="120">
        <v>2</v>
      </c>
      <c r="H1758" s="108" t="s">
        <v>15764</v>
      </c>
      <c r="I1758" s="116">
        <v>1</v>
      </c>
      <c r="J1758" s="111" t="s">
        <v>40</v>
      </c>
      <c r="K1758" s="108" t="s">
        <v>15765</v>
      </c>
      <c r="L1758" s="117">
        <v>2</v>
      </c>
      <c r="M1758" s="111" t="s">
        <v>40</v>
      </c>
      <c r="N1758" s="108" t="s">
        <v>15763</v>
      </c>
      <c r="O1758" s="117">
        <v>2</v>
      </c>
      <c r="P1758" s="113"/>
      <c r="Q1758" s="108" t="s">
        <v>15766</v>
      </c>
      <c r="R1758" s="117">
        <v>2</v>
      </c>
      <c r="S1758" s="113"/>
      <c r="T1758" s="108" t="s">
        <v>15767</v>
      </c>
      <c r="U1758" s="110">
        <v>3</v>
      </c>
      <c r="V1758" s="111" t="s">
        <v>46</v>
      </c>
      <c r="W1758" s="108" t="s">
        <v>3996</v>
      </c>
      <c r="X1758" s="110">
        <v>3</v>
      </c>
      <c r="Y1758" s="113"/>
      <c r="Z1758" s="108" t="s">
        <v>15768</v>
      </c>
      <c r="AA1758" s="116">
        <v>1</v>
      </c>
      <c r="AB1758" s="111" t="s">
        <v>40</v>
      </c>
      <c r="AC1758" s="105" t="s">
        <v>3997</v>
      </c>
      <c r="AD1758" s="115" t="s">
        <v>101</v>
      </c>
    </row>
    <row r="1759" spans="1:30" x14ac:dyDescent="0.2">
      <c r="A1759" s="104" t="s">
        <v>15769</v>
      </c>
      <c r="B1759" s="105" t="s">
        <v>42</v>
      </c>
      <c r="C1759" s="105" t="s">
        <v>2336</v>
      </c>
      <c r="D1759" s="106" t="s">
        <v>125</v>
      </c>
      <c r="E1759" s="107" t="s">
        <v>376</v>
      </c>
      <c r="F1759" s="108" t="s">
        <v>15770</v>
      </c>
      <c r="G1759" s="120">
        <v>2</v>
      </c>
      <c r="H1759" s="108" t="s">
        <v>15771</v>
      </c>
      <c r="I1759" s="112">
        <v>4</v>
      </c>
      <c r="J1759" s="111" t="s">
        <v>44</v>
      </c>
      <c r="K1759" s="108" t="s">
        <v>15772</v>
      </c>
      <c r="L1759" s="110">
        <v>3</v>
      </c>
      <c r="M1759" s="111" t="s">
        <v>55</v>
      </c>
      <c r="N1759" s="108" t="s">
        <v>15770</v>
      </c>
      <c r="O1759" s="117">
        <v>2</v>
      </c>
      <c r="P1759" s="113"/>
      <c r="Q1759" s="108" t="s">
        <v>15773</v>
      </c>
      <c r="R1759" s="112">
        <v>4</v>
      </c>
      <c r="S1759" s="113"/>
      <c r="T1759" s="108" t="s">
        <v>15774</v>
      </c>
      <c r="U1759" s="112">
        <v>4</v>
      </c>
      <c r="V1759" s="113"/>
      <c r="W1759" s="108" t="s">
        <v>15775</v>
      </c>
      <c r="X1759" s="110">
        <v>3</v>
      </c>
      <c r="Y1759" s="113"/>
      <c r="Z1759" s="108" t="s">
        <v>15776</v>
      </c>
      <c r="AA1759" s="110">
        <v>3</v>
      </c>
      <c r="AB1759" s="113"/>
      <c r="AC1759" s="105" t="s">
        <v>3998</v>
      </c>
      <c r="AD1759" s="115" t="s">
        <v>49</v>
      </c>
    </row>
    <row r="1760" spans="1:30" x14ac:dyDescent="0.2">
      <c r="A1760" s="104" t="s">
        <v>3999</v>
      </c>
      <c r="B1760" s="105" t="s">
        <v>212</v>
      </c>
      <c r="C1760" s="105" t="s">
        <v>93</v>
      </c>
      <c r="D1760" s="106"/>
      <c r="E1760" s="107"/>
      <c r="F1760" s="108" t="s">
        <v>47</v>
      </c>
      <c r="G1760" s="113"/>
      <c r="H1760" s="108" t="s">
        <v>15777</v>
      </c>
      <c r="I1760" s="110">
        <v>3</v>
      </c>
      <c r="J1760" s="111" t="s">
        <v>55</v>
      </c>
      <c r="K1760" s="108" t="s">
        <v>47</v>
      </c>
      <c r="L1760" s="114"/>
      <c r="M1760" s="113"/>
      <c r="N1760" s="108" t="s">
        <v>47</v>
      </c>
      <c r="O1760" s="114"/>
      <c r="P1760" s="113"/>
      <c r="Q1760" s="108" t="s">
        <v>47</v>
      </c>
      <c r="R1760" s="114"/>
      <c r="S1760" s="113"/>
      <c r="T1760" s="108" t="s">
        <v>47</v>
      </c>
      <c r="U1760" s="114"/>
      <c r="V1760" s="113"/>
      <c r="W1760" s="108" t="s">
        <v>47</v>
      </c>
      <c r="X1760" s="114"/>
      <c r="Y1760" s="113"/>
      <c r="Z1760" s="108" t="s">
        <v>47</v>
      </c>
      <c r="AA1760" s="114"/>
      <c r="AB1760" s="113"/>
      <c r="AC1760" s="105" t="s">
        <v>4000</v>
      </c>
      <c r="AD1760" s="115" t="s">
        <v>49</v>
      </c>
    </row>
    <row r="1761" spans="1:30" x14ac:dyDescent="0.2">
      <c r="A1761" s="104" t="s">
        <v>4001</v>
      </c>
      <c r="B1761" s="105" t="s">
        <v>212</v>
      </c>
      <c r="C1761" s="105" t="s">
        <v>93</v>
      </c>
      <c r="D1761" s="106"/>
      <c r="E1761" s="107"/>
      <c r="F1761" s="108" t="s">
        <v>47</v>
      </c>
      <c r="G1761" s="113"/>
      <c r="H1761" s="108" t="s">
        <v>15778</v>
      </c>
      <c r="I1761" s="117">
        <v>2</v>
      </c>
      <c r="J1761" s="111" t="s">
        <v>46</v>
      </c>
      <c r="K1761" s="108" t="s">
        <v>47</v>
      </c>
      <c r="L1761" s="114"/>
      <c r="M1761" s="113"/>
      <c r="N1761" s="108" t="s">
        <v>47</v>
      </c>
      <c r="O1761" s="114"/>
      <c r="P1761" s="113"/>
      <c r="Q1761" s="108" t="s">
        <v>47</v>
      </c>
      <c r="R1761" s="114"/>
      <c r="S1761" s="113"/>
      <c r="T1761" s="108" t="s">
        <v>47</v>
      </c>
      <c r="U1761" s="114"/>
      <c r="V1761" s="113"/>
      <c r="W1761" s="108" t="s">
        <v>47</v>
      </c>
      <c r="X1761" s="114"/>
      <c r="Y1761" s="113"/>
      <c r="Z1761" s="108" t="s">
        <v>47</v>
      </c>
      <c r="AA1761" s="114"/>
      <c r="AB1761" s="113"/>
      <c r="AC1761" s="105" t="s">
        <v>4002</v>
      </c>
      <c r="AD1761" s="115" t="s">
        <v>49</v>
      </c>
    </row>
    <row r="1762" spans="1:30" x14ac:dyDescent="0.2">
      <c r="A1762" s="104" t="s">
        <v>4003</v>
      </c>
      <c r="B1762" s="105" t="s">
        <v>381</v>
      </c>
      <c r="C1762" s="105" t="s">
        <v>3514</v>
      </c>
      <c r="D1762" s="106"/>
      <c r="E1762" s="107"/>
      <c r="F1762" s="108" t="s">
        <v>47</v>
      </c>
      <c r="G1762" s="113"/>
      <c r="H1762" s="108" t="s">
        <v>47</v>
      </c>
      <c r="I1762" s="114"/>
      <c r="J1762" s="113"/>
      <c r="K1762" s="108" t="s">
        <v>47</v>
      </c>
      <c r="L1762" s="114"/>
      <c r="M1762" s="113"/>
      <c r="N1762" s="108" t="s">
        <v>47</v>
      </c>
      <c r="O1762" s="114"/>
      <c r="P1762" s="113"/>
      <c r="Q1762" s="108" t="s">
        <v>47</v>
      </c>
      <c r="R1762" s="114"/>
      <c r="S1762" s="113"/>
      <c r="T1762" s="108" t="s">
        <v>47</v>
      </c>
      <c r="U1762" s="114"/>
      <c r="V1762" s="113"/>
      <c r="W1762" s="108" t="s">
        <v>47</v>
      </c>
      <c r="X1762" s="114"/>
      <c r="Y1762" s="113"/>
      <c r="Z1762" s="108" t="s">
        <v>47</v>
      </c>
      <c r="AA1762" s="114"/>
      <c r="AB1762" s="113"/>
      <c r="AC1762" s="105"/>
      <c r="AD1762" s="115" t="s">
        <v>101</v>
      </c>
    </row>
    <row r="1763" spans="1:30" x14ac:dyDescent="0.2">
      <c r="A1763" s="104" t="s">
        <v>15779</v>
      </c>
      <c r="B1763" s="105" t="s">
        <v>42</v>
      </c>
      <c r="C1763" s="105" t="s">
        <v>384</v>
      </c>
      <c r="D1763" s="106"/>
      <c r="E1763" s="107"/>
      <c r="F1763" s="108" t="s">
        <v>47</v>
      </c>
      <c r="G1763" s="113"/>
      <c r="H1763" s="108" t="s">
        <v>47</v>
      </c>
      <c r="I1763" s="114"/>
      <c r="J1763" s="113"/>
      <c r="K1763" s="108" t="s">
        <v>47</v>
      </c>
      <c r="L1763" s="114"/>
      <c r="M1763" s="113"/>
      <c r="N1763" s="108" t="s">
        <v>47</v>
      </c>
      <c r="O1763" s="114"/>
      <c r="P1763" s="113"/>
      <c r="Q1763" s="108" t="s">
        <v>47</v>
      </c>
      <c r="R1763" s="114"/>
      <c r="S1763" s="113"/>
      <c r="T1763" s="108" t="s">
        <v>47</v>
      </c>
      <c r="U1763" s="114"/>
      <c r="V1763" s="113"/>
      <c r="W1763" s="108" t="s">
        <v>47</v>
      </c>
      <c r="X1763" s="114"/>
      <c r="Y1763" s="113"/>
      <c r="Z1763" s="108" t="s">
        <v>47</v>
      </c>
      <c r="AA1763" s="114"/>
      <c r="AB1763" s="113"/>
      <c r="AC1763" s="105" t="s">
        <v>15780</v>
      </c>
      <c r="AD1763" s="115" t="s">
        <v>49</v>
      </c>
    </row>
    <row r="1764" spans="1:30" x14ac:dyDescent="0.2">
      <c r="A1764" s="104" t="s">
        <v>4004</v>
      </c>
      <c r="B1764" s="105" t="s">
        <v>42</v>
      </c>
      <c r="C1764" s="105" t="s">
        <v>384</v>
      </c>
      <c r="D1764" s="106" t="s">
        <v>125</v>
      </c>
      <c r="E1764" s="107"/>
      <c r="F1764" s="108" t="s">
        <v>15781</v>
      </c>
      <c r="G1764" s="119">
        <v>1</v>
      </c>
      <c r="H1764" s="108" t="s">
        <v>15782</v>
      </c>
      <c r="I1764" s="117">
        <v>2</v>
      </c>
      <c r="J1764" s="111" t="s">
        <v>46</v>
      </c>
      <c r="K1764" s="108" t="s">
        <v>15783</v>
      </c>
      <c r="L1764" s="116">
        <v>1</v>
      </c>
      <c r="M1764" s="113"/>
      <c r="N1764" s="108" t="s">
        <v>15781</v>
      </c>
      <c r="O1764" s="116">
        <v>1</v>
      </c>
      <c r="P1764" s="111" t="s">
        <v>40</v>
      </c>
      <c r="Q1764" s="108" t="s">
        <v>15784</v>
      </c>
      <c r="R1764" s="110">
        <v>3</v>
      </c>
      <c r="S1764" s="113"/>
      <c r="T1764" s="108" t="s">
        <v>15785</v>
      </c>
      <c r="U1764" s="117">
        <v>2</v>
      </c>
      <c r="V1764" s="113"/>
      <c r="W1764" s="108" t="s">
        <v>15786</v>
      </c>
      <c r="X1764" s="117">
        <v>2</v>
      </c>
      <c r="Y1764" s="113"/>
      <c r="Z1764" s="108" t="s">
        <v>4005</v>
      </c>
      <c r="AA1764" s="116">
        <v>1</v>
      </c>
      <c r="AB1764" s="111" t="s">
        <v>53</v>
      </c>
      <c r="AC1764" s="105" t="s">
        <v>4006</v>
      </c>
      <c r="AD1764" s="115" t="s">
        <v>49</v>
      </c>
    </row>
    <row r="1765" spans="1:30" x14ac:dyDescent="0.2">
      <c r="A1765" s="104" t="s">
        <v>4007</v>
      </c>
      <c r="B1765" s="105" t="s">
        <v>2816</v>
      </c>
      <c r="C1765" s="105" t="s">
        <v>4008</v>
      </c>
      <c r="D1765" s="106" t="s">
        <v>125</v>
      </c>
      <c r="E1765" s="107"/>
      <c r="F1765" s="108" t="s">
        <v>15787</v>
      </c>
      <c r="G1765" s="118">
        <v>3</v>
      </c>
      <c r="H1765" s="108" t="s">
        <v>4009</v>
      </c>
      <c r="I1765" s="116">
        <v>1</v>
      </c>
      <c r="J1765" s="113"/>
      <c r="K1765" s="108" t="s">
        <v>4010</v>
      </c>
      <c r="L1765" s="117">
        <v>2</v>
      </c>
      <c r="M1765" s="111" t="s">
        <v>40</v>
      </c>
      <c r="N1765" s="108" t="s">
        <v>15787</v>
      </c>
      <c r="O1765" s="110">
        <v>3</v>
      </c>
      <c r="P1765" s="113"/>
      <c r="Q1765" s="108" t="s">
        <v>15788</v>
      </c>
      <c r="R1765" s="116">
        <v>1</v>
      </c>
      <c r="S1765" s="113"/>
      <c r="T1765" s="108" t="s">
        <v>15789</v>
      </c>
      <c r="U1765" s="117">
        <v>2</v>
      </c>
      <c r="V1765" s="111" t="s">
        <v>40</v>
      </c>
      <c r="W1765" s="108" t="s">
        <v>4011</v>
      </c>
      <c r="X1765" s="117">
        <v>2</v>
      </c>
      <c r="Y1765" s="111" t="s">
        <v>40</v>
      </c>
      <c r="Z1765" s="108" t="s">
        <v>4012</v>
      </c>
      <c r="AA1765" s="117">
        <v>2</v>
      </c>
      <c r="AB1765" s="113"/>
      <c r="AC1765" s="105" t="s">
        <v>15790</v>
      </c>
      <c r="AD1765" s="115" t="s">
        <v>424</v>
      </c>
    </row>
    <row r="1766" spans="1:30" x14ac:dyDescent="0.2">
      <c r="A1766" s="104" t="s">
        <v>4013</v>
      </c>
      <c r="B1766" s="105" t="s">
        <v>381</v>
      </c>
      <c r="C1766" s="105" t="s">
        <v>3514</v>
      </c>
      <c r="D1766" s="106"/>
      <c r="E1766" s="107"/>
      <c r="F1766" s="108" t="s">
        <v>47</v>
      </c>
      <c r="G1766" s="113"/>
      <c r="H1766" s="108" t="s">
        <v>47</v>
      </c>
      <c r="I1766" s="114"/>
      <c r="J1766" s="113"/>
      <c r="K1766" s="108" t="s">
        <v>47</v>
      </c>
      <c r="L1766" s="114"/>
      <c r="M1766" s="113"/>
      <c r="N1766" s="108" t="s">
        <v>47</v>
      </c>
      <c r="O1766" s="114"/>
      <c r="P1766" s="113"/>
      <c r="Q1766" s="108" t="s">
        <v>47</v>
      </c>
      <c r="R1766" s="114"/>
      <c r="S1766" s="113"/>
      <c r="T1766" s="108" t="s">
        <v>47</v>
      </c>
      <c r="U1766" s="114"/>
      <c r="V1766" s="113"/>
      <c r="W1766" s="108" t="s">
        <v>47</v>
      </c>
      <c r="X1766" s="114"/>
      <c r="Y1766" s="113"/>
      <c r="Z1766" s="108" t="s">
        <v>47</v>
      </c>
      <c r="AA1766" s="114"/>
      <c r="AB1766" s="113"/>
      <c r="AC1766" s="105"/>
      <c r="AD1766" s="115" t="s">
        <v>101</v>
      </c>
    </row>
    <row r="1767" spans="1:30" x14ac:dyDescent="0.2">
      <c r="A1767" s="104" t="s">
        <v>4014</v>
      </c>
      <c r="B1767" s="105" t="s">
        <v>381</v>
      </c>
      <c r="C1767" s="105" t="s">
        <v>2828</v>
      </c>
      <c r="D1767" s="106"/>
      <c r="E1767" s="107"/>
      <c r="F1767" s="108" t="s">
        <v>47</v>
      </c>
      <c r="G1767" s="113"/>
      <c r="H1767" s="108" t="s">
        <v>47</v>
      </c>
      <c r="I1767" s="114"/>
      <c r="J1767" s="113"/>
      <c r="K1767" s="108" t="s">
        <v>47</v>
      </c>
      <c r="L1767" s="114"/>
      <c r="M1767" s="113"/>
      <c r="N1767" s="108" t="s">
        <v>47</v>
      </c>
      <c r="O1767" s="114"/>
      <c r="P1767" s="113"/>
      <c r="Q1767" s="108" t="s">
        <v>47</v>
      </c>
      <c r="R1767" s="114"/>
      <c r="S1767" s="113"/>
      <c r="T1767" s="108" t="s">
        <v>47</v>
      </c>
      <c r="U1767" s="114"/>
      <c r="V1767" s="113"/>
      <c r="W1767" s="108" t="s">
        <v>47</v>
      </c>
      <c r="X1767" s="114"/>
      <c r="Y1767" s="113"/>
      <c r="Z1767" s="108" t="s">
        <v>47</v>
      </c>
      <c r="AA1767" s="114"/>
      <c r="AB1767" s="113"/>
      <c r="AC1767" s="105"/>
      <c r="AD1767" s="115" t="s">
        <v>101</v>
      </c>
    </row>
    <row r="1768" spans="1:30" x14ac:dyDescent="0.2">
      <c r="A1768" s="104" t="s">
        <v>4015</v>
      </c>
      <c r="B1768" s="105" t="s">
        <v>381</v>
      </c>
      <c r="C1768" s="105" t="s">
        <v>2828</v>
      </c>
      <c r="D1768" s="106" t="s">
        <v>94</v>
      </c>
      <c r="E1768" s="107"/>
      <c r="F1768" s="108" t="s">
        <v>15791</v>
      </c>
      <c r="G1768" s="118">
        <v>3</v>
      </c>
      <c r="H1768" s="108" t="s">
        <v>15792</v>
      </c>
      <c r="I1768" s="116">
        <v>1</v>
      </c>
      <c r="J1768" s="113"/>
      <c r="K1768" s="108" t="s">
        <v>15793</v>
      </c>
      <c r="L1768" s="110">
        <v>3</v>
      </c>
      <c r="M1768" s="111" t="s">
        <v>46</v>
      </c>
      <c r="N1768" s="108" t="s">
        <v>15791</v>
      </c>
      <c r="O1768" s="110">
        <v>3</v>
      </c>
      <c r="P1768" s="113"/>
      <c r="Q1768" s="108" t="s">
        <v>9592</v>
      </c>
      <c r="R1768" s="110">
        <v>3</v>
      </c>
      <c r="S1768" s="111" t="s">
        <v>40</v>
      </c>
      <c r="T1768" s="108" t="s">
        <v>4016</v>
      </c>
      <c r="U1768" s="110">
        <v>3</v>
      </c>
      <c r="V1768" s="113"/>
      <c r="W1768" s="108" t="s">
        <v>15794</v>
      </c>
      <c r="X1768" s="110">
        <v>3</v>
      </c>
      <c r="Y1768" s="113"/>
      <c r="Z1768" s="108" t="s">
        <v>2102</v>
      </c>
      <c r="AA1768" s="117">
        <v>2</v>
      </c>
      <c r="AB1768" s="113"/>
      <c r="AC1768" s="105" t="s">
        <v>4017</v>
      </c>
      <c r="AD1768" s="115" t="s">
        <v>101</v>
      </c>
    </row>
    <row r="1769" spans="1:30" x14ac:dyDescent="0.2">
      <c r="A1769" s="104" t="s">
        <v>4018</v>
      </c>
      <c r="B1769" s="105" t="s">
        <v>381</v>
      </c>
      <c r="C1769" s="105" t="s">
        <v>4019</v>
      </c>
      <c r="D1769" s="106" t="s">
        <v>125</v>
      </c>
      <c r="E1769" s="107"/>
      <c r="F1769" s="108" t="s">
        <v>15795</v>
      </c>
      <c r="G1769" s="109">
        <v>4</v>
      </c>
      <c r="H1769" s="108" t="s">
        <v>4020</v>
      </c>
      <c r="I1769" s="117">
        <v>2</v>
      </c>
      <c r="J1769" s="111" t="s">
        <v>53</v>
      </c>
      <c r="K1769" s="108" t="s">
        <v>15796</v>
      </c>
      <c r="L1769" s="112">
        <v>4</v>
      </c>
      <c r="M1769" s="113"/>
      <c r="N1769" s="108" t="s">
        <v>15795</v>
      </c>
      <c r="O1769" s="112">
        <v>4</v>
      </c>
      <c r="P1769" s="113"/>
      <c r="Q1769" s="108" t="s">
        <v>4021</v>
      </c>
      <c r="R1769" s="110">
        <v>3</v>
      </c>
      <c r="S1769" s="113"/>
      <c r="T1769" s="108" t="s">
        <v>2577</v>
      </c>
      <c r="U1769" s="110">
        <v>3</v>
      </c>
      <c r="V1769" s="111" t="s">
        <v>40</v>
      </c>
      <c r="W1769" s="108" t="s">
        <v>47</v>
      </c>
      <c r="X1769" s="114"/>
      <c r="Y1769" s="113"/>
      <c r="Z1769" s="108" t="s">
        <v>47</v>
      </c>
      <c r="AA1769" s="114"/>
      <c r="AB1769" s="113"/>
      <c r="AC1769" s="105" t="s">
        <v>4022</v>
      </c>
      <c r="AD1769" s="115" t="s">
        <v>101</v>
      </c>
    </row>
    <row r="1770" spans="1:30" x14ac:dyDescent="0.2">
      <c r="A1770" s="104" t="s">
        <v>4023</v>
      </c>
      <c r="B1770" s="105" t="s">
        <v>381</v>
      </c>
      <c r="C1770" s="105" t="s">
        <v>2828</v>
      </c>
      <c r="D1770" s="106" t="s">
        <v>125</v>
      </c>
      <c r="E1770" s="107"/>
      <c r="F1770" s="108" t="s">
        <v>15797</v>
      </c>
      <c r="G1770" s="109">
        <v>4</v>
      </c>
      <c r="H1770" s="108" t="s">
        <v>15798</v>
      </c>
      <c r="I1770" s="110">
        <v>3</v>
      </c>
      <c r="J1770" s="111" t="s">
        <v>40</v>
      </c>
      <c r="K1770" s="108" t="s">
        <v>15799</v>
      </c>
      <c r="L1770" s="112">
        <v>4</v>
      </c>
      <c r="M1770" s="113"/>
      <c r="N1770" s="108" t="s">
        <v>15797</v>
      </c>
      <c r="O1770" s="112">
        <v>4</v>
      </c>
      <c r="P1770" s="113"/>
      <c r="Q1770" s="108" t="s">
        <v>12475</v>
      </c>
      <c r="R1770" s="112">
        <v>4</v>
      </c>
      <c r="S1770" s="113"/>
      <c r="T1770" s="108" t="s">
        <v>15800</v>
      </c>
      <c r="U1770" s="110">
        <v>3</v>
      </c>
      <c r="V1770" s="113"/>
      <c r="W1770" s="108" t="s">
        <v>47</v>
      </c>
      <c r="X1770" s="114"/>
      <c r="Y1770" s="113"/>
      <c r="Z1770" s="108" t="s">
        <v>47</v>
      </c>
      <c r="AA1770" s="114"/>
      <c r="AB1770" s="113"/>
      <c r="AC1770" s="105" t="s">
        <v>4024</v>
      </c>
      <c r="AD1770" s="115" t="s">
        <v>101</v>
      </c>
    </row>
    <row r="1771" spans="1:30" x14ac:dyDescent="0.2">
      <c r="A1771" s="104" t="s">
        <v>4025</v>
      </c>
      <c r="B1771" s="105" t="s">
        <v>97</v>
      </c>
      <c r="C1771" s="105" t="s">
        <v>3369</v>
      </c>
      <c r="D1771" s="106"/>
      <c r="E1771" s="107" t="s">
        <v>99</v>
      </c>
      <c r="F1771" s="108" t="s">
        <v>15801</v>
      </c>
      <c r="G1771" s="118">
        <v>3</v>
      </c>
      <c r="H1771" s="108" t="s">
        <v>4026</v>
      </c>
      <c r="I1771" s="117">
        <v>2</v>
      </c>
      <c r="J1771" s="111" t="s">
        <v>40</v>
      </c>
      <c r="K1771" s="108" t="s">
        <v>15802</v>
      </c>
      <c r="L1771" s="110">
        <v>3</v>
      </c>
      <c r="M1771" s="113"/>
      <c r="N1771" s="108" t="s">
        <v>15801</v>
      </c>
      <c r="O1771" s="110">
        <v>3</v>
      </c>
      <c r="P1771" s="113"/>
      <c r="Q1771" s="108" t="s">
        <v>15803</v>
      </c>
      <c r="R1771" s="110">
        <v>3</v>
      </c>
      <c r="S1771" s="113"/>
      <c r="T1771" s="108" t="s">
        <v>15804</v>
      </c>
      <c r="U1771" s="112">
        <v>4</v>
      </c>
      <c r="V1771" s="113"/>
      <c r="W1771" s="108" t="s">
        <v>47</v>
      </c>
      <c r="X1771" s="114"/>
      <c r="Y1771" s="113"/>
      <c r="Z1771" s="108" t="s">
        <v>47</v>
      </c>
      <c r="AA1771" s="114"/>
      <c r="AB1771" s="113"/>
      <c r="AC1771" s="105" t="s">
        <v>4027</v>
      </c>
      <c r="AD1771" s="115" t="s">
        <v>101</v>
      </c>
    </row>
    <row r="1772" spans="1:30" x14ac:dyDescent="0.2">
      <c r="A1772" s="104" t="s">
        <v>4028</v>
      </c>
      <c r="B1772" s="105" t="s">
        <v>97</v>
      </c>
      <c r="C1772" s="105" t="s">
        <v>3369</v>
      </c>
      <c r="D1772" s="106"/>
      <c r="E1772" s="107" t="s">
        <v>146</v>
      </c>
      <c r="F1772" s="108" t="s">
        <v>15805</v>
      </c>
      <c r="G1772" s="120">
        <v>2</v>
      </c>
      <c r="H1772" s="108" t="s">
        <v>15806</v>
      </c>
      <c r="I1772" s="117">
        <v>2</v>
      </c>
      <c r="J1772" s="113"/>
      <c r="K1772" s="108" t="s">
        <v>15807</v>
      </c>
      <c r="L1772" s="117">
        <v>2</v>
      </c>
      <c r="M1772" s="113"/>
      <c r="N1772" s="108" t="s">
        <v>15805</v>
      </c>
      <c r="O1772" s="117">
        <v>2</v>
      </c>
      <c r="P1772" s="113"/>
      <c r="Q1772" s="108" t="s">
        <v>15808</v>
      </c>
      <c r="R1772" s="117">
        <v>2</v>
      </c>
      <c r="S1772" s="113"/>
      <c r="T1772" s="108" t="s">
        <v>15809</v>
      </c>
      <c r="U1772" s="116">
        <v>1</v>
      </c>
      <c r="V1772" s="111" t="s">
        <v>40</v>
      </c>
      <c r="W1772" s="108" t="s">
        <v>47</v>
      </c>
      <c r="X1772" s="114"/>
      <c r="Y1772" s="113"/>
      <c r="Z1772" s="108" t="s">
        <v>47</v>
      </c>
      <c r="AA1772" s="114"/>
      <c r="AB1772" s="113"/>
      <c r="AC1772" s="105" t="s">
        <v>4029</v>
      </c>
      <c r="AD1772" s="115" t="s">
        <v>101</v>
      </c>
    </row>
    <row r="1773" spans="1:30" x14ac:dyDescent="0.2">
      <c r="A1773" s="104" t="s">
        <v>4030</v>
      </c>
      <c r="B1773" s="105" t="s">
        <v>111</v>
      </c>
      <c r="C1773" s="105" t="s">
        <v>112</v>
      </c>
      <c r="D1773" s="106"/>
      <c r="E1773" s="107"/>
      <c r="F1773" s="108" t="s">
        <v>15810</v>
      </c>
      <c r="G1773" s="120">
        <v>2</v>
      </c>
      <c r="H1773" s="108" t="s">
        <v>15811</v>
      </c>
      <c r="I1773" s="110">
        <v>3</v>
      </c>
      <c r="J1773" s="113"/>
      <c r="K1773" s="108" t="s">
        <v>15812</v>
      </c>
      <c r="L1773" s="110">
        <v>3</v>
      </c>
      <c r="M1773" s="111" t="s">
        <v>46</v>
      </c>
      <c r="N1773" s="108" t="s">
        <v>15810</v>
      </c>
      <c r="O1773" s="117">
        <v>2</v>
      </c>
      <c r="P1773" s="113"/>
      <c r="Q1773" s="108" t="s">
        <v>15813</v>
      </c>
      <c r="R1773" s="117">
        <v>2</v>
      </c>
      <c r="S1773" s="113"/>
      <c r="T1773" s="108" t="s">
        <v>15814</v>
      </c>
      <c r="U1773" s="112">
        <v>4</v>
      </c>
      <c r="V1773" s="113"/>
      <c r="W1773" s="108" t="s">
        <v>15815</v>
      </c>
      <c r="X1773" s="112">
        <v>4</v>
      </c>
      <c r="Y1773" s="113"/>
      <c r="Z1773" s="108" t="s">
        <v>15816</v>
      </c>
      <c r="AA1773" s="112">
        <v>4</v>
      </c>
      <c r="AB1773" s="113"/>
      <c r="AC1773" s="105" t="s">
        <v>4031</v>
      </c>
      <c r="AD1773" s="115" t="s">
        <v>114</v>
      </c>
    </row>
    <row r="1774" spans="1:30" x14ac:dyDescent="0.2">
      <c r="A1774" s="104" t="s">
        <v>4032</v>
      </c>
      <c r="B1774" s="105" t="s">
        <v>4033</v>
      </c>
      <c r="C1774" s="105" t="s">
        <v>332</v>
      </c>
      <c r="D1774" s="106" t="s">
        <v>125</v>
      </c>
      <c r="E1774" s="107"/>
      <c r="F1774" s="108" t="s">
        <v>15817</v>
      </c>
      <c r="G1774" s="118">
        <v>3</v>
      </c>
      <c r="H1774" s="108" t="s">
        <v>15818</v>
      </c>
      <c r="I1774" s="110">
        <v>3</v>
      </c>
      <c r="J1774" s="111" t="s">
        <v>46</v>
      </c>
      <c r="K1774" s="108" t="s">
        <v>15819</v>
      </c>
      <c r="L1774" s="110">
        <v>3</v>
      </c>
      <c r="M1774" s="111" t="s">
        <v>46</v>
      </c>
      <c r="N1774" s="108" t="s">
        <v>15817</v>
      </c>
      <c r="O1774" s="110">
        <v>3</v>
      </c>
      <c r="P1774" s="111" t="s">
        <v>46</v>
      </c>
      <c r="Q1774" s="108" t="s">
        <v>15820</v>
      </c>
      <c r="R1774" s="110">
        <v>3</v>
      </c>
      <c r="S1774" s="113"/>
      <c r="T1774" s="108" t="s">
        <v>15821</v>
      </c>
      <c r="U1774" s="110">
        <v>3</v>
      </c>
      <c r="V1774" s="113"/>
      <c r="W1774" s="108" t="s">
        <v>15822</v>
      </c>
      <c r="X1774" s="110">
        <v>3</v>
      </c>
      <c r="Y1774" s="113"/>
      <c r="Z1774" s="108" t="s">
        <v>15823</v>
      </c>
      <c r="AA1774" s="110">
        <v>3</v>
      </c>
      <c r="AB1774" s="113"/>
      <c r="AC1774" s="105" t="s">
        <v>4034</v>
      </c>
      <c r="AD1774" s="115" t="s">
        <v>49</v>
      </c>
    </row>
    <row r="1775" spans="1:30" x14ac:dyDescent="0.2">
      <c r="A1775" s="104" t="s">
        <v>4035</v>
      </c>
      <c r="B1775" s="105" t="s">
        <v>4033</v>
      </c>
      <c r="C1775" s="105" t="s">
        <v>582</v>
      </c>
      <c r="D1775" s="106" t="s">
        <v>514</v>
      </c>
      <c r="E1775" s="107"/>
      <c r="F1775" s="108" t="s">
        <v>15824</v>
      </c>
      <c r="G1775" s="118">
        <v>3</v>
      </c>
      <c r="H1775" s="108" t="s">
        <v>15825</v>
      </c>
      <c r="I1775" s="117">
        <v>2</v>
      </c>
      <c r="J1775" s="113"/>
      <c r="K1775" s="108" t="s">
        <v>15826</v>
      </c>
      <c r="L1775" s="117">
        <v>2</v>
      </c>
      <c r="M1775" s="113"/>
      <c r="N1775" s="108" t="s">
        <v>15824</v>
      </c>
      <c r="O1775" s="110">
        <v>3</v>
      </c>
      <c r="P1775" s="113"/>
      <c r="Q1775" s="108" t="s">
        <v>15827</v>
      </c>
      <c r="R1775" s="110">
        <v>3</v>
      </c>
      <c r="S1775" s="113"/>
      <c r="T1775" s="108" t="s">
        <v>15828</v>
      </c>
      <c r="U1775" s="117">
        <v>2</v>
      </c>
      <c r="V1775" s="111" t="s">
        <v>46</v>
      </c>
      <c r="W1775" s="108" t="s">
        <v>15829</v>
      </c>
      <c r="X1775" s="116">
        <v>1</v>
      </c>
      <c r="Y1775" s="113"/>
      <c r="Z1775" s="108" t="s">
        <v>15830</v>
      </c>
      <c r="AA1775" s="116">
        <v>1</v>
      </c>
      <c r="AB1775" s="113"/>
      <c r="AC1775" s="105" t="s">
        <v>4036</v>
      </c>
      <c r="AD1775" s="115" t="s">
        <v>49</v>
      </c>
    </row>
    <row r="1776" spans="1:30" x14ac:dyDescent="0.2">
      <c r="A1776" s="104" t="s">
        <v>4037</v>
      </c>
      <c r="B1776" s="105" t="s">
        <v>4033</v>
      </c>
      <c r="C1776" s="105" t="s">
        <v>122</v>
      </c>
      <c r="D1776" s="106" t="s">
        <v>125</v>
      </c>
      <c r="E1776" s="107"/>
      <c r="F1776" s="108" t="s">
        <v>15831</v>
      </c>
      <c r="G1776" s="120">
        <v>2</v>
      </c>
      <c r="H1776" s="108" t="s">
        <v>15832</v>
      </c>
      <c r="I1776" s="117">
        <v>2</v>
      </c>
      <c r="J1776" s="113"/>
      <c r="K1776" s="108" t="s">
        <v>15833</v>
      </c>
      <c r="L1776" s="116">
        <v>1</v>
      </c>
      <c r="M1776" s="111" t="s">
        <v>40</v>
      </c>
      <c r="N1776" s="108" t="s">
        <v>15831</v>
      </c>
      <c r="O1776" s="117">
        <v>2</v>
      </c>
      <c r="P1776" s="113"/>
      <c r="Q1776" s="108" t="s">
        <v>15834</v>
      </c>
      <c r="R1776" s="117">
        <v>2</v>
      </c>
      <c r="S1776" s="113"/>
      <c r="T1776" s="108" t="s">
        <v>15835</v>
      </c>
      <c r="U1776" s="117">
        <v>2</v>
      </c>
      <c r="V1776" s="113"/>
      <c r="W1776" s="108" t="s">
        <v>15836</v>
      </c>
      <c r="X1776" s="112">
        <v>4</v>
      </c>
      <c r="Y1776" s="113"/>
      <c r="Z1776" s="108" t="s">
        <v>15837</v>
      </c>
      <c r="AA1776" s="112">
        <v>4</v>
      </c>
      <c r="AB1776" s="113"/>
      <c r="AC1776" s="105" t="s">
        <v>4038</v>
      </c>
      <c r="AD1776" s="115" t="s">
        <v>49</v>
      </c>
    </row>
    <row r="1777" spans="1:30" x14ac:dyDescent="0.2">
      <c r="A1777" s="104" t="s">
        <v>4039</v>
      </c>
      <c r="B1777" s="105" t="s">
        <v>4033</v>
      </c>
      <c r="C1777" s="105" t="s">
        <v>279</v>
      </c>
      <c r="D1777" s="106" t="s">
        <v>125</v>
      </c>
      <c r="E1777" s="107"/>
      <c r="F1777" s="108" t="s">
        <v>15838</v>
      </c>
      <c r="G1777" s="120">
        <v>2</v>
      </c>
      <c r="H1777" s="108" t="s">
        <v>15839</v>
      </c>
      <c r="I1777" s="117">
        <v>2</v>
      </c>
      <c r="J1777" s="113"/>
      <c r="K1777" s="108" t="s">
        <v>15840</v>
      </c>
      <c r="L1777" s="117">
        <v>2</v>
      </c>
      <c r="M1777" s="113"/>
      <c r="N1777" s="108" t="s">
        <v>15838</v>
      </c>
      <c r="O1777" s="117">
        <v>2</v>
      </c>
      <c r="P1777" s="113"/>
      <c r="Q1777" s="108" t="s">
        <v>15841</v>
      </c>
      <c r="R1777" s="117">
        <v>2</v>
      </c>
      <c r="S1777" s="113"/>
      <c r="T1777" s="108" t="s">
        <v>15842</v>
      </c>
      <c r="U1777" s="110">
        <v>3</v>
      </c>
      <c r="V1777" s="113"/>
      <c r="W1777" s="108" t="s">
        <v>15843</v>
      </c>
      <c r="X1777" s="110">
        <v>3</v>
      </c>
      <c r="Y1777" s="113"/>
      <c r="Z1777" s="108" t="s">
        <v>4040</v>
      </c>
      <c r="AA1777" s="112">
        <v>4</v>
      </c>
      <c r="AB1777" s="111" t="s">
        <v>46</v>
      </c>
      <c r="AC1777" s="105" t="s">
        <v>4041</v>
      </c>
      <c r="AD1777" s="115" t="s">
        <v>49</v>
      </c>
    </row>
    <row r="1778" spans="1:30" x14ac:dyDescent="0.2">
      <c r="A1778" s="104" t="s">
        <v>4042</v>
      </c>
      <c r="B1778" s="105" t="s">
        <v>255</v>
      </c>
      <c r="C1778" s="105" t="s">
        <v>279</v>
      </c>
      <c r="D1778" s="106"/>
      <c r="E1778" s="107"/>
      <c r="F1778" s="108" t="s">
        <v>15844</v>
      </c>
      <c r="G1778" s="118">
        <v>3</v>
      </c>
      <c r="H1778" s="108" t="s">
        <v>15845</v>
      </c>
      <c r="I1778" s="110">
        <v>3</v>
      </c>
      <c r="J1778" s="111" t="s">
        <v>46</v>
      </c>
      <c r="K1778" s="108" t="s">
        <v>15846</v>
      </c>
      <c r="L1778" s="110">
        <v>3</v>
      </c>
      <c r="M1778" s="113"/>
      <c r="N1778" s="108" t="s">
        <v>15844</v>
      </c>
      <c r="O1778" s="110">
        <v>3</v>
      </c>
      <c r="P1778" s="113"/>
      <c r="Q1778" s="108" t="s">
        <v>15847</v>
      </c>
      <c r="R1778" s="110">
        <v>3</v>
      </c>
      <c r="S1778" s="111" t="s">
        <v>46</v>
      </c>
      <c r="T1778" s="108" t="s">
        <v>15848</v>
      </c>
      <c r="U1778" s="110">
        <v>3</v>
      </c>
      <c r="V1778" s="113"/>
      <c r="W1778" s="108" t="s">
        <v>15849</v>
      </c>
      <c r="X1778" s="110">
        <v>3</v>
      </c>
      <c r="Y1778" s="113"/>
      <c r="Z1778" s="108" t="s">
        <v>15850</v>
      </c>
      <c r="AA1778" s="112">
        <v>4</v>
      </c>
      <c r="AB1778" s="111" t="s">
        <v>46</v>
      </c>
      <c r="AC1778" s="105" t="s">
        <v>4043</v>
      </c>
      <c r="AD1778" s="115" t="s">
        <v>180</v>
      </c>
    </row>
    <row r="1779" spans="1:30" x14ac:dyDescent="0.2">
      <c r="A1779" s="104" t="s">
        <v>4044</v>
      </c>
      <c r="B1779" s="105" t="s">
        <v>255</v>
      </c>
      <c r="C1779" s="105" t="s">
        <v>279</v>
      </c>
      <c r="D1779" s="106"/>
      <c r="E1779" s="107"/>
      <c r="F1779" s="108" t="s">
        <v>15851</v>
      </c>
      <c r="G1779" s="118">
        <v>3</v>
      </c>
      <c r="H1779" s="108" t="s">
        <v>15852</v>
      </c>
      <c r="I1779" s="110">
        <v>3</v>
      </c>
      <c r="J1779" s="111" t="s">
        <v>46</v>
      </c>
      <c r="K1779" s="108" t="s">
        <v>15853</v>
      </c>
      <c r="L1779" s="110">
        <v>3</v>
      </c>
      <c r="M1779" s="113"/>
      <c r="N1779" s="108" t="s">
        <v>15851</v>
      </c>
      <c r="O1779" s="110">
        <v>3</v>
      </c>
      <c r="P1779" s="113"/>
      <c r="Q1779" s="108" t="s">
        <v>15854</v>
      </c>
      <c r="R1779" s="110">
        <v>3</v>
      </c>
      <c r="S1779" s="111" t="s">
        <v>46</v>
      </c>
      <c r="T1779" s="108" t="s">
        <v>15855</v>
      </c>
      <c r="U1779" s="110">
        <v>3</v>
      </c>
      <c r="V1779" s="113"/>
      <c r="W1779" s="108" t="s">
        <v>15856</v>
      </c>
      <c r="X1779" s="110">
        <v>3</v>
      </c>
      <c r="Y1779" s="113"/>
      <c r="Z1779" s="108" t="s">
        <v>15857</v>
      </c>
      <c r="AA1779" s="112">
        <v>4</v>
      </c>
      <c r="AB1779" s="111" t="s">
        <v>46</v>
      </c>
      <c r="AC1779" s="105" t="s">
        <v>4045</v>
      </c>
      <c r="AD1779" s="115" t="s">
        <v>180</v>
      </c>
    </row>
    <row r="1780" spans="1:30" x14ac:dyDescent="0.2">
      <c r="A1780" s="104" t="s">
        <v>4046</v>
      </c>
      <c r="B1780" s="105" t="s">
        <v>255</v>
      </c>
      <c r="C1780" s="105" t="s">
        <v>279</v>
      </c>
      <c r="D1780" s="106"/>
      <c r="E1780" s="107"/>
      <c r="F1780" s="108" t="s">
        <v>15858</v>
      </c>
      <c r="G1780" s="118">
        <v>3</v>
      </c>
      <c r="H1780" s="108" t="s">
        <v>15859</v>
      </c>
      <c r="I1780" s="110">
        <v>3</v>
      </c>
      <c r="J1780" s="111" t="s">
        <v>46</v>
      </c>
      <c r="K1780" s="108" t="s">
        <v>15860</v>
      </c>
      <c r="L1780" s="110">
        <v>3</v>
      </c>
      <c r="M1780" s="113"/>
      <c r="N1780" s="108" t="s">
        <v>15858</v>
      </c>
      <c r="O1780" s="110">
        <v>3</v>
      </c>
      <c r="P1780" s="111" t="s">
        <v>46</v>
      </c>
      <c r="Q1780" s="108" t="s">
        <v>15861</v>
      </c>
      <c r="R1780" s="110">
        <v>3</v>
      </c>
      <c r="S1780" s="111" t="s">
        <v>46</v>
      </c>
      <c r="T1780" s="108" t="s">
        <v>4047</v>
      </c>
      <c r="U1780" s="110">
        <v>3</v>
      </c>
      <c r="V1780" s="113"/>
      <c r="W1780" s="108" t="s">
        <v>15862</v>
      </c>
      <c r="X1780" s="110">
        <v>3</v>
      </c>
      <c r="Y1780" s="113"/>
      <c r="Z1780" s="108" t="s">
        <v>15863</v>
      </c>
      <c r="AA1780" s="112">
        <v>4</v>
      </c>
      <c r="AB1780" s="113"/>
      <c r="AC1780" s="105" t="s">
        <v>4048</v>
      </c>
      <c r="AD1780" s="115" t="s">
        <v>180</v>
      </c>
    </row>
    <row r="1781" spans="1:30" x14ac:dyDescent="0.2">
      <c r="A1781" s="104" t="s">
        <v>4049</v>
      </c>
      <c r="B1781" s="105" t="s">
        <v>255</v>
      </c>
      <c r="C1781" s="105" t="s">
        <v>279</v>
      </c>
      <c r="D1781" s="106"/>
      <c r="E1781" s="107"/>
      <c r="F1781" s="108" t="s">
        <v>15864</v>
      </c>
      <c r="G1781" s="120">
        <v>2</v>
      </c>
      <c r="H1781" s="108" t="s">
        <v>15865</v>
      </c>
      <c r="I1781" s="110">
        <v>3</v>
      </c>
      <c r="J1781" s="111" t="s">
        <v>46</v>
      </c>
      <c r="K1781" s="108" t="s">
        <v>15866</v>
      </c>
      <c r="L1781" s="110">
        <v>3</v>
      </c>
      <c r="M1781" s="113"/>
      <c r="N1781" s="108" t="s">
        <v>15864</v>
      </c>
      <c r="O1781" s="117">
        <v>2</v>
      </c>
      <c r="P1781" s="113"/>
      <c r="Q1781" s="108" t="s">
        <v>15867</v>
      </c>
      <c r="R1781" s="117">
        <v>2</v>
      </c>
      <c r="S1781" s="113"/>
      <c r="T1781" s="108" t="s">
        <v>15868</v>
      </c>
      <c r="U1781" s="117">
        <v>2</v>
      </c>
      <c r="V1781" s="113"/>
      <c r="W1781" s="108" t="s">
        <v>15869</v>
      </c>
      <c r="X1781" s="110">
        <v>3</v>
      </c>
      <c r="Y1781" s="113"/>
      <c r="Z1781" s="108" t="s">
        <v>47</v>
      </c>
      <c r="AA1781" s="114"/>
      <c r="AB1781" s="113"/>
      <c r="AC1781" s="105"/>
      <c r="AD1781" s="115" t="s">
        <v>180</v>
      </c>
    </row>
    <row r="1782" spans="1:30" x14ac:dyDescent="0.2">
      <c r="A1782" s="104" t="s">
        <v>4050</v>
      </c>
      <c r="B1782" s="105" t="s">
        <v>255</v>
      </c>
      <c r="C1782" s="105" t="s">
        <v>279</v>
      </c>
      <c r="D1782" s="106"/>
      <c r="E1782" s="107"/>
      <c r="F1782" s="108" t="s">
        <v>15870</v>
      </c>
      <c r="G1782" s="120">
        <v>2</v>
      </c>
      <c r="H1782" s="108" t="s">
        <v>15871</v>
      </c>
      <c r="I1782" s="110">
        <v>3</v>
      </c>
      <c r="J1782" s="111" t="s">
        <v>46</v>
      </c>
      <c r="K1782" s="108" t="s">
        <v>15872</v>
      </c>
      <c r="L1782" s="110">
        <v>3</v>
      </c>
      <c r="M1782" s="113"/>
      <c r="N1782" s="108" t="s">
        <v>15870</v>
      </c>
      <c r="O1782" s="117">
        <v>2</v>
      </c>
      <c r="P1782" s="113"/>
      <c r="Q1782" s="108" t="s">
        <v>15873</v>
      </c>
      <c r="R1782" s="117">
        <v>2</v>
      </c>
      <c r="S1782" s="113"/>
      <c r="T1782" s="108" t="s">
        <v>15874</v>
      </c>
      <c r="U1782" s="117">
        <v>2</v>
      </c>
      <c r="V1782" s="113"/>
      <c r="W1782" s="108" t="s">
        <v>15875</v>
      </c>
      <c r="X1782" s="110">
        <v>3</v>
      </c>
      <c r="Y1782" s="113"/>
      <c r="Z1782" s="108" t="s">
        <v>15876</v>
      </c>
      <c r="AA1782" s="110">
        <v>3</v>
      </c>
      <c r="AB1782" s="111" t="s">
        <v>46</v>
      </c>
      <c r="AC1782" s="105" t="s">
        <v>4051</v>
      </c>
      <c r="AD1782" s="115" t="s">
        <v>180</v>
      </c>
    </row>
    <row r="1783" spans="1:30" x14ac:dyDescent="0.2">
      <c r="A1783" s="104" t="s">
        <v>4052</v>
      </c>
      <c r="B1783" s="105" t="s">
        <v>255</v>
      </c>
      <c r="C1783" s="105" t="s">
        <v>244</v>
      </c>
      <c r="D1783" s="106"/>
      <c r="E1783" s="107"/>
      <c r="F1783" s="108" t="s">
        <v>15877</v>
      </c>
      <c r="G1783" s="118">
        <v>3</v>
      </c>
      <c r="H1783" s="108" t="s">
        <v>15878</v>
      </c>
      <c r="I1783" s="110">
        <v>3</v>
      </c>
      <c r="J1783" s="113"/>
      <c r="K1783" s="108" t="s">
        <v>15879</v>
      </c>
      <c r="L1783" s="117">
        <v>2</v>
      </c>
      <c r="M1783" s="111" t="s">
        <v>40</v>
      </c>
      <c r="N1783" s="108" t="s">
        <v>15877</v>
      </c>
      <c r="O1783" s="110">
        <v>3</v>
      </c>
      <c r="P1783" s="111" t="s">
        <v>46</v>
      </c>
      <c r="Q1783" s="108" t="s">
        <v>15880</v>
      </c>
      <c r="R1783" s="116">
        <v>1</v>
      </c>
      <c r="S1783" s="111" t="s">
        <v>53</v>
      </c>
      <c r="T1783" s="108" t="s">
        <v>15881</v>
      </c>
      <c r="U1783" s="112">
        <v>4</v>
      </c>
      <c r="V1783" s="111" t="s">
        <v>46</v>
      </c>
      <c r="W1783" s="108" t="s">
        <v>15882</v>
      </c>
      <c r="X1783" s="110">
        <v>3</v>
      </c>
      <c r="Y1783" s="113"/>
      <c r="Z1783" s="108" t="s">
        <v>15883</v>
      </c>
      <c r="AA1783" s="110">
        <v>3</v>
      </c>
      <c r="AB1783" s="113"/>
      <c r="AC1783" s="105"/>
      <c r="AD1783" s="115" t="s">
        <v>180</v>
      </c>
    </row>
    <row r="1784" spans="1:30" x14ac:dyDescent="0.2">
      <c r="A1784" s="104" t="s">
        <v>4053</v>
      </c>
      <c r="B1784" s="105" t="s">
        <v>255</v>
      </c>
      <c r="C1784" s="105" t="s">
        <v>244</v>
      </c>
      <c r="D1784" s="106"/>
      <c r="E1784" s="107"/>
      <c r="F1784" s="108" t="s">
        <v>15884</v>
      </c>
      <c r="G1784" s="118">
        <v>3</v>
      </c>
      <c r="H1784" s="108" t="s">
        <v>15885</v>
      </c>
      <c r="I1784" s="110">
        <v>3</v>
      </c>
      <c r="J1784" s="113"/>
      <c r="K1784" s="108" t="s">
        <v>15886</v>
      </c>
      <c r="L1784" s="117">
        <v>2</v>
      </c>
      <c r="M1784" s="111" t="s">
        <v>40</v>
      </c>
      <c r="N1784" s="108" t="s">
        <v>15884</v>
      </c>
      <c r="O1784" s="110">
        <v>3</v>
      </c>
      <c r="P1784" s="111" t="s">
        <v>46</v>
      </c>
      <c r="Q1784" s="108" t="s">
        <v>15887</v>
      </c>
      <c r="R1784" s="116">
        <v>1</v>
      </c>
      <c r="S1784" s="111" t="s">
        <v>53</v>
      </c>
      <c r="T1784" s="108" t="s">
        <v>15888</v>
      </c>
      <c r="U1784" s="110">
        <v>3</v>
      </c>
      <c r="V1784" s="113"/>
      <c r="W1784" s="108" t="s">
        <v>15889</v>
      </c>
      <c r="X1784" s="117">
        <v>2</v>
      </c>
      <c r="Y1784" s="111" t="s">
        <v>40</v>
      </c>
      <c r="Z1784" s="108" t="s">
        <v>47</v>
      </c>
      <c r="AA1784" s="114"/>
      <c r="AB1784" s="113"/>
      <c r="AC1784" s="105"/>
      <c r="AD1784" s="115" t="s">
        <v>180</v>
      </c>
    </row>
    <row r="1785" spans="1:30" x14ac:dyDescent="0.2">
      <c r="A1785" s="104" t="s">
        <v>4054</v>
      </c>
      <c r="B1785" s="105" t="s">
        <v>255</v>
      </c>
      <c r="C1785" s="105" t="s">
        <v>244</v>
      </c>
      <c r="D1785" s="106"/>
      <c r="E1785" s="107"/>
      <c r="F1785" s="108" t="s">
        <v>15890</v>
      </c>
      <c r="G1785" s="118">
        <v>3</v>
      </c>
      <c r="H1785" s="108" t="s">
        <v>15891</v>
      </c>
      <c r="I1785" s="110">
        <v>3</v>
      </c>
      <c r="J1785" s="113"/>
      <c r="K1785" s="108" t="s">
        <v>15892</v>
      </c>
      <c r="L1785" s="117">
        <v>2</v>
      </c>
      <c r="M1785" s="111" t="s">
        <v>40</v>
      </c>
      <c r="N1785" s="108" t="s">
        <v>15890</v>
      </c>
      <c r="O1785" s="110">
        <v>3</v>
      </c>
      <c r="P1785" s="111" t="s">
        <v>46</v>
      </c>
      <c r="Q1785" s="108" t="s">
        <v>15893</v>
      </c>
      <c r="R1785" s="116">
        <v>1</v>
      </c>
      <c r="S1785" s="111" t="s">
        <v>53</v>
      </c>
      <c r="T1785" s="108" t="s">
        <v>15894</v>
      </c>
      <c r="U1785" s="110">
        <v>3</v>
      </c>
      <c r="V1785" s="113"/>
      <c r="W1785" s="108" t="s">
        <v>15895</v>
      </c>
      <c r="X1785" s="117">
        <v>2</v>
      </c>
      <c r="Y1785" s="111" t="s">
        <v>40</v>
      </c>
      <c r="Z1785" s="108" t="s">
        <v>15896</v>
      </c>
      <c r="AA1785" s="110">
        <v>3</v>
      </c>
      <c r="AB1785" s="113"/>
      <c r="AC1785" s="105"/>
      <c r="AD1785" s="115" t="s">
        <v>180</v>
      </c>
    </row>
    <row r="1786" spans="1:30" x14ac:dyDescent="0.2">
      <c r="A1786" s="104" t="s">
        <v>4055</v>
      </c>
      <c r="B1786" s="105" t="s">
        <v>255</v>
      </c>
      <c r="C1786" s="105" t="s">
        <v>244</v>
      </c>
      <c r="D1786" s="106"/>
      <c r="E1786" s="107"/>
      <c r="F1786" s="108" t="s">
        <v>15897</v>
      </c>
      <c r="G1786" s="120">
        <v>2</v>
      </c>
      <c r="H1786" s="108" t="s">
        <v>15898</v>
      </c>
      <c r="I1786" s="110">
        <v>3</v>
      </c>
      <c r="J1786" s="113"/>
      <c r="K1786" s="108" t="s">
        <v>15899</v>
      </c>
      <c r="L1786" s="117">
        <v>2</v>
      </c>
      <c r="M1786" s="111" t="s">
        <v>40</v>
      </c>
      <c r="N1786" s="108" t="s">
        <v>15897</v>
      </c>
      <c r="O1786" s="117">
        <v>2</v>
      </c>
      <c r="P1786" s="113"/>
      <c r="Q1786" s="108" t="s">
        <v>15900</v>
      </c>
      <c r="R1786" s="116">
        <v>1</v>
      </c>
      <c r="S1786" s="111" t="s">
        <v>40</v>
      </c>
      <c r="T1786" s="108" t="s">
        <v>15901</v>
      </c>
      <c r="U1786" s="110">
        <v>3</v>
      </c>
      <c r="V1786" s="113"/>
      <c r="W1786" s="108" t="s">
        <v>15902</v>
      </c>
      <c r="X1786" s="117">
        <v>2</v>
      </c>
      <c r="Y1786" s="113"/>
      <c r="Z1786" s="108" t="s">
        <v>47</v>
      </c>
      <c r="AA1786" s="114"/>
      <c r="AB1786" s="113"/>
      <c r="AC1786" s="105"/>
      <c r="AD1786" s="115" t="s">
        <v>180</v>
      </c>
    </row>
    <row r="1787" spans="1:30" x14ac:dyDescent="0.2">
      <c r="A1787" s="104" t="s">
        <v>4056</v>
      </c>
      <c r="B1787" s="105" t="s">
        <v>255</v>
      </c>
      <c r="C1787" s="105" t="s">
        <v>244</v>
      </c>
      <c r="D1787" s="106"/>
      <c r="E1787" s="107"/>
      <c r="F1787" s="108" t="s">
        <v>15903</v>
      </c>
      <c r="G1787" s="120">
        <v>2</v>
      </c>
      <c r="H1787" s="108" t="s">
        <v>15904</v>
      </c>
      <c r="I1787" s="110">
        <v>3</v>
      </c>
      <c r="J1787" s="113"/>
      <c r="K1787" s="108" t="s">
        <v>15905</v>
      </c>
      <c r="L1787" s="117">
        <v>2</v>
      </c>
      <c r="M1787" s="111" t="s">
        <v>40</v>
      </c>
      <c r="N1787" s="108" t="s">
        <v>15903</v>
      </c>
      <c r="O1787" s="117">
        <v>2</v>
      </c>
      <c r="P1787" s="113"/>
      <c r="Q1787" s="108" t="s">
        <v>15906</v>
      </c>
      <c r="R1787" s="116">
        <v>1</v>
      </c>
      <c r="S1787" s="111" t="s">
        <v>40</v>
      </c>
      <c r="T1787" s="108" t="s">
        <v>15907</v>
      </c>
      <c r="U1787" s="110">
        <v>3</v>
      </c>
      <c r="V1787" s="113"/>
      <c r="W1787" s="108" t="s">
        <v>15908</v>
      </c>
      <c r="X1787" s="117">
        <v>2</v>
      </c>
      <c r="Y1787" s="113"/>
      <c r="Z1787" s="108" t="s">
        <v>15909</v>
      </c>
      <c r="AA1787" s="117">
        <v>2</v>
      </c>
      <c r="AB1787" s="113"/>
      <c r="AC1787" s="105"/>
      <c r="AD1787" s="115" t="s">
        <v>180</v>
      </c>
    </row>
    <row r="1788" spans="1:30" x14ac:dyDescent="0.2">
      <c r="A1788" s="104" t="s">
        <v>4057</v>
      </c>
      <c r="B1788" s="105" t="s">
        <v>255</v>
      </c>
      <c r="C1788" s="105" t="s">
        <v>306</v>
      </c>
      <c r="D1788" s="106"/>
      <c r="E1788" s="107"/>
      <c r="F1788" s="108" t="s">
        <v>15910</v>
      </c>
      <c r="G1788" s="118">
        <v>3</v>
      </c>
      <c r="H1788" s="108" t="s">
        <v>15911</v>
      </c>
      <c r="I1788" s="110">
        <v>3</v>
      </c>
      <c r="J1788" s="111" t="s">
        <v>46</v>
      </c>
      <c r="K1788" s="108" t="s">
        <v>15912</v>
      </c>
      <c r="L1788" s="117">
        <v>2</v>
      </c>
      <c r="M1788" s="111" t="s">
        <v>40</v>
      </c>
      <c r="N1788" s="108" t="s">
        <v>15910</v>
      </c>
      <c r="O1788" s="110">
        <v>3</v>
      </c>
      <c r="P1788" s="113"/>
      <c r="Q1788" s="108" t="s">
        <v>15913</v>
      </c>
      <c r="R1788" s="117">
        <v>2</v>
      </c>
      <c r="S1788" s="111" t="s">
        <v>40</v>
      </c>
      <c r="T1788" s="108" t="s">
        <v>15914</v>
      </c>
      <c r="U1788" s="117">
        <v>2</v>
      </c>
      <c r="V1788" s="113"/>
      <c r="W1788" s="108" t="s">
        <v>15915</v>
      </c>
      <c r="X1788" s="117">
        <v>2</v>
      </c>
      <c r="Y1788" s="113"/>
      <c r="Z1788" s="108" t="s">
        <v>15916</v>
      </c>
      <c r="AA1788" s="110">
        <v>3</v>
      </c>
      <c r="AB1788" s="113"/>
      <c r="AC1788" s="105" t="s">
        <v>4058</v>
      </c>
      <c r="AD1788" s="115" t="s">
        <v>180</v>
      </c>
    </row>
    <row r="1789" spans="1:30" x14ac:dyDescent="0.2">
      <c r="A1789" s="104" t="s">
        <v>4059</v>
      </c>
      <c r="B1789" s="105" t="s">
        <v>255</v>
      </c>
      <c r="C1789" s="105" t="s">
        <v>306</v>
      </c>
      <c r="D1789" s="106"/>
      <c r="E1789" s="107"/>
      <c r="F1789" s="108" t="s">
        <v>15917</v>
      </c>
      <c r="G1789" s="118">
        <v>3</v>
      </c>
      <c r="H1789" s="108" t="s">
        <v>15918</v>
      </c>
      <c r="I1789" s="117">
        <v>2</v>
      </c>
      <c r="J1789" s="113"/>
      <c r="K1789" s="108" t="s">
        <v>15919</v>
      </c>
      <c r="L1789" s="117">
        <v>2</v>
      </c>
      <c r="M1789" s="111" t="s">
        <v>40</v>
      </c>
      <c r="N1789" s="108" t="s">
        <v>15917</v>
      </c>
      <c r="O1789" s="110">
        <v>3</v>
      </c>
      <c r="P1789" s="113"/>
      <c r="Q1789" s="108" t="s">
        <v>15920</v>
      </c>
      <c r="R1789" s="117">
        <v>2</v>
      </c>
      <c r="S1789" s="111" t="s">
        <v>40</v>
      </c>
      <c r="T1789" s="108" t="s">
        <v>15921</v>
      </c>
      <c r="U1789" s="117">
        <v>2</v>
      </c>
      <c r="V1789" s="113"/>
      <c r="W1789" s="108" t="s">
        <v>15922</v>
      </c>
      <c r="X1789" s="117">
        <v>2</v>
      </c>
      <c r="Y1789" s="113"/>
      <c r="Z1789" s="108" t="s">
        <v>47</v>
      </c>
      <c r="AA1789" s="114"/>
      <c r="AB1789" s="113"/>
      <c r="AC1789" s="105" t="s">
        <v>4060</v>
      </c>
      <c r="AD1789" s="115" t="s">
        <v>180</v>
      </c>
    </row>
    <row r="1790" spans="1:30" x14ac:dyDescent="0.2">
      <c r="A1790" s="104" t="s">
        <v>4061</v>
      </c>
      <c r="B1790" s="105" t="s">
        <v>255</v>
      </c>
      <c r="C1790" s="105" t="s">
        <v>306</v>
      </c>
      <c r="D1790" s="106"/>
      <c r="E1790" s="107"/>
      <c r="F1790" s="108" t="s">
        <v>15923</v>
      </c>
      <c r="G1790" s="120">
        <v>2</v>
      </c>
      <c r="H1790" s="108" t="s">
        <v>15924</v>
      </c>
      <c r="I1790" s="117">
        <v>2</v>
      </c>
      <c r="J1790" s="113"/>
      <c r="K1790" s="108" t="s">
        <v>15925</v>
      </c>
      <c r="L1790" s="117">
        <v>2</v>
      </c>
      <c r="M1790" s="111" t="s">
        <v>40</v>
      </c>
      <c r="N1790" s="108" t="s">
        <v>15923</v>
      </c>
      <c r="O1790" s="117">
        <v>2</v>
      </c>
      <c r="P1790" s="111" t="s">
        <v>40</v>
      </c>
      <c r="Q1790" s="108" t="s">
        <v>4062</v>
      </c>
      <c r="R1790" s="117">
        <v>2</v>
      </c>
      <c r="S1790" s="111" t="s">
        <v>40</v>
      </c>
      <c r="T1790" s="108" t="s">
        <v>15926</v>
      </c>
      <c r="U1790" s="117">
        <v>2</v>
      </c>
      <c r="V1790" s="111" t="s">
        <v>46</v>
      </c>
      <c r="W1790" s="108" t="s">
        <v>15927</v>
      </c>
      <c r="X1790" s="116">
        <v>1</v>
      </c>
      <c r="Y1790" s="111" t="s">
        <v>40</v>
      </c>
      <c r="Z1790" s="108" t="s">
        <v>47</v>
      </c>
      <c r="AA1790" s="114"/>
      <c r="AB1790" s="113"/>
      <c r="AC1790" s="105" t="s">
        <v>4063</v>
      </c>
      <c r="AD1790" s="115" t="s">
        <v>180</v>
      </c>
    </row>
    <row r="1791" spans="1:30" x14ac:dyDescent="0.2">
      <c r="A1791" s="104" t="s">
        <v>4064</v>
      </c>
      <c r="B1791" s="105" t="s">
        <v>255</v>
      </c>
      <c r="C1791" s="105" t="s">
        <v>306</v>
      </c>
      <c r="D1791" s="106"/>
      <c r="E1791" s="107"/>
      <c r="F1791" s="108" t="s">
        <v>15924</v>
      </c>
      <c r="G1791" s="120">
        <v>2</v>
      </c>
      <c r="H1791" s="108" t="s">
        <v>15928</v>
      </c>
      <c r="I1791" s="117">
        <v>2</v>
      </c>
      <c r="J1791" s="113"/>
      <c r="K1791" s="108" t="s">
        <v>8119</v>
      </c>
      <c r="L1791" s="117">
        <v>2</v>
      </c>
      <c r="M1791" s="111" t="s">
        <v>40</v>
      </c>
      <c r="N1791" s="108" t="s">
        <v>15924</v>
      </c>
      <c r="O1791" s="117">
        <v>2</v>
      </c>
      <c r="P1791" s="111" t="s">
        <v>40</v>
      </c>
      <c r="Q1791" s="108" t="s">
        <v>4065</v>
      </c>
      <c r="R1791" s="117">
        <v>2</v>
      </c>
      <c r="S1791" s="111" t="s">
        <v>40</v>
      </c>
      <c r="T1791" s="108" t="s">
        <v>15465</v>
      </c>
      <c r="U1791" s="116">
        <v>1</v>
      </c>
      <c r="V1791" s="113"/>
      <c r="W1791" s="108" t="s">
        <v>15929</v>
      </c>
      <c r="X1791" s="116">
        <v>1</v>
      </c>
      <c r="Y1791" s="113"/>
      <c r="Z1791" s="108" t="s">
        <v>47</v>
      </c>
      <c r="AA1791" s="114"/>
      <c r="AB1791" s="113"/>
      <c r="AC1791" s="105" t="s">
        <v>4066</v>
      </c>
      <c r="AD1791" s="115" t="s">
        <v>180</v>
      </c>
    </row>
    <row r="1792" spans="1:30" x14ac:dyDescent="0.2">
      <c r="A1792" s="104" t="s">
        <v>4067</v>
      </c>
      <c r="B1792" s="105" t="s">
        <v>255</v>
      </c>
      <c r="C1792" s="105" t="s">
        <v>306</v>
      </c>
      <c r="D1792" s="106"/>
      <c r="E1792" s="107"/>
      <c r="F1792" s="108" t="s">
        <v>15588</v>
      </c>
      <c r="G1792" s="120">
        <v>2</v>
      </c>
      <c r="H1792" s="108" t="s">
        <v>15930</v>
      </c>
      <c r="I1792" s="117">
        <v>2</v>
      </c>
      <c r="J1792" s="113"/>
      <c r="K1792" s="108" t="s">
        <v>15931</v>
      </c>
      <c r="L1792" s="117">
        <v>2</v>
      </c>
      <c r="M1792" s="111" t="s">
        <v>40</v>
      </c>
      <c r="N1792" s="108" t="s">
        <v>15588</v>
      </c>
      <c r="O1792" s="117">
        <v>2</v>
      </c>
      <c r="P1792" s="113"/>
      <c r="Q1792" s="108" t="s">
        <v>15932</v>
      </c>
      <c r="R1792" s="117">
        <v>2</v>
      </c>
      <c r="S1792" s="111" t="s">
        <v>40</v>
      </c>
      <c r="T1792" s="108" t="s">
        <v>15933</v>
      </c>
      <c r="U1792" s="116">
        <v>1</v>
      </c>
      <c r="V1792" s="113"/>
      <c r="W1792" s="108" t="s">
        <v>15934</v>
      </c>
      <c r="X1792" s="116">
        <v>1</v>
      </c>
      <c r="Y1792" s="113"/>
      <c r="Z1792" s="108" t="s">
        <v>15935</v>
      </c>
      <c r="AA1792" s="117">
        <v>2</v>
      </c>
      <c r="AB1792" s="113"/>
      <c r="AC1792" s="105" t="s">
        <v>4068</v>
      </c>
      <c r="AD1792" s="115" t="s">
        <v>180</v>
      </c>
    </row>
    <row r="1793" spans="1:30" x14ac:dyDescent="0.2">
      <c r="A1793" s="104" t="s">
        <v>4069</v>
      </c>
      <c r="B1793" s="105" t="s">
        <v>255</v>
      </c>
      <c r="C1793" s="105" t="s">
        <v>332</v>
      </c>
      <c r="D1793" s="106"/>
      <c r="E1793" s="107"/>
      <c r="F1793" s="108" t="s">
        <v>15936</v>
      </c>
      <c r="G1793" s="120">
        <v>2</v>
      </c>
      <c r="H1793" s="108" t="s">
        <v>15937</v>
      </c>
      <c r="I1793" s="117">
        <v>2</v>
      </c>
      <c r="J1793" s="111" t="s">
        <v>40</v>
      </c>
      <c r="K1793" s="108" t="s">
        <v>15938</v>
      </c>
      <c r="L1793" s="117">
        <v>2</v>
      </c>
      <c r="M1793" s="111" t="s">
        <v>40</v>
      </c>
      <c r="N1793" s="108" t="s">
        <v>15936</v>
      </c>
      <c r="O1793" s="117">
        <v>2</v>
      </c>
      <c r="P1793" s="113"/>
      <c r="Q1793" s="108" t="s">
        <v>15939</v>
      </c>
      <c r="R1793" s="110">
        <v>3</v>
      </c>
      <c r="S1793" s="113"/>
      <c r="T1793" s="108" t="s">
        <v>15940</v>
      </c>
      <c r="U1793" s="117">
        <v>2</v>
      </c>
      <c r="V1793" s="113"/>
      <c r="W1793" s="108" t="s">
        <v>15941</v>
      </c>
      <c r="X1793" s="110">
        <v>3</v>
      </c>
      <c r="Y1793" s="113"/>
      <c r="Z1793" s="108" t="s">
        <v>15942</v>
      </c>
      <c r="AA1793" s="110">
        <v>3</v>
      </c>
      <c r="AB1793" s="111" t="s">
        <v>40</v>
      </c>
      <c r="AC1793" s="105" t="s">
        <v>4070</v>
      </c>
      <c r="AD1793" s="115" t="s">
        <v>180</v>
      </c>
    </row>
    <row r="1794" spans="1:30" x14ac:dyDescent="0.2">
      <c r="A1794" s="104" t="s">
        <v>4071</v>
      </c>
      <c r="B1794" s="105" t="s">
        <v>255</v>
      </c>
      <c r="C1794" s="105" t="s">
        <v>332</v>
      </c>
      <c r="D1794" s="106"/>
      <c r="E1794" s="107"/>
      <c r="F1794" s="108" t="s">
        <v>15943</v>
      </c>
      <c r="G1794" s="120">
        <v>2</v>
      </c>
      <c r="H1794" s="108" t="s">
        <v>15944</v>
      </c>
      <c r="I1794" s="117">
        <v>2</v>
      </c>
      <c r="J1794" s="111" t="s">
        <v>40</v>
      </c>
      <c r="K1794" s="108" t="s">
        <v>15945</v>
      </c>
      <c r="L1794" s="117">
        <v>2</v>
      </c>
      <c r="M1794" s="113"/>
      <c r="N1794" s="108" t="s">
        <v>15943</v>
      </c>
      <c r="O1794" s="117">
        <v>2</v>
      </c>
      <c r="P1794" s="113"/>
      <c r="Q1794" s="108" t="s">
        <v>15946</v>
      </c>
      <c r="R1794" s="110">
        <v>3</v>
      </c>
      <c r="S1794" s="113"/>
      <c r="T1794" s="108" t="s">
        <v>15947</v>
      </c>
      <c r="U1794" s="117">
        <v>2</v>
      </c>
      <c r="V1794" s="113"/>
      <c r="W1794" s="108" t="s">
        <v>15948</v>
      </c>
      <c r="X1794" s="110">
        <v>3</v>
      </c>
      <c r="Y1794" s="113"/>
      <c r="Z1794" s="108" t="s">
        <v>47</v>
      </c>
      <c r="AA1794" s="114"/>
      <c r="AB1794" s="113"/>
      <c r="AC1794" s="105" t="s">
        <v>4072</v>
      </c>
      <c r="AD1794" s="115" t="s">
        <v>180</v>
      </c>
    </row>
    <row r="1795" spans="1:30" x14ac:dyDescent="0.2">
      <c r="A1795" s="104" t="s">
        <v>4073</v>
      </c>
      <c r="B1795" s="105" t="s">
        <v>255</v>
      </c>
      <c r="C1795" s="105" t="s">
        <v>332</v>
      </c>
      <c r="D1795" s="106"/>
      <c r="E1795" s="107"/>
      <c r="F1795" s="108" t="s">
        <v>15949</v>
      </c>
      <c r="G1795" s="120">
        <v>2</v>
      </c>
      <c r="H1795" s="108" t="s">
        <v>15950</v>
      </c>
      <c r="I1795" s="117">
        <v>2</v>
      </c>
      <c r="J1795" s="111" t="s">
        <v>40</v>
      </c>
      <c r="K1795" s="108" t="s">
        <v>15951</v>
      </c>
      <c r="L1795" s="117">
        <v>2</v>
      </c>
      <c r="M1795" s="113"/>
      <c r="N1795" s="108" t="s">
        <v>15949</v>
      </c>
      <c r="O1795" s="117">
        <v>2</v>
      </c>
      <c r="P1795" s="113"/>
      <c r="Q1795" s="108" t="s">
        <v>15952</v>
      </c>
      <c r="R1795" s="110">
        <v>3</v>
      </c>
      <c r="S1795" s="113"/>
      <c r="T1795" s="108" t="s">
        <v>15953</v>
      </c>
      <c r="U1795" s="117">
        <v>2</v>
      </c>
      <c r="V1795" s="113"/>
      <c r="W1795" s="108" t="s">
        <v>15954</v>
      </c>
      <c r="X1795" s="110">
        <v>3</v>
      </c>
      <c r="Y1795" s="113"/>
      <c r="Z1795" s="108" t="s">
        <v>15955</v>
      </c>
      <c r="AA1795" s="110">
        <v>3</v>
      </c>
      <c r="AB1795" s="111" t="s">
        <v>40</v>
      </c>
      <c r="AC1795" s="105" t="s">
        <v>4074</v>
      </c>
      <c r="AD1795" s="115" t="s">
        <v>180</v>
      </c>
    </row>
    <row r="1796" spans="1:30" x14ac:dyDescent="0.2">
      <c r="A1796" s="104" t="s">
        <v>4075</v>
      </c>
      <c r="B1796" s="105" t="s">
        <v>255</v>
      </c>
      <c r="C1796" s="105" t="s">
        <v>332</v>
      </c>
      <c r="D1796" s="106"/>
      <c r="E1796" s="107"/>
      <c r="F1796" s="108" t="s">
        <v>15956</v>
      </c>
      <c r="G1796" s="120">
        <v>2</v>
      </c>
      <c r="H1796" s="108" t="s">
        <v>15957</v>
      </c>
      <c r="I1796" s="117">
        <v>2</v>
      </c>
      <c r="J1796" s="111" t="s">
        <v>40</v>
      </c>
      <c r="K1796" s="108" t="s">
        <v>15958</v>
      </c>
      <c r="L1796" s="117">
        <v>2</v>
      </c>
      <c r="M1796" s="113"/>
      <c r="N1796" s="108" t="s">
        <v>15956</v>
      </c>
      <c r="O1796" s="117">
        <v>2</v>
      </c>
      <c r="P1796" s="113"/>
      <c r="Q1796" s="108" t="s">
        <v>15959</v>
      </c>
      <c r="R1796" s="110">
        <v>3</v>
      </c>
      <c r="S1796" s="113"/>
      <c r="T1796" s="108" t="s">
        <v>15960</v>
      </c>
      <c r="U1796" s="117">
        <v>2</v>
      </c>
      <c r="V1796" s="113"/>
      <c r="W1796" s="108" t="s">
        <v>15961</v>
      </c>
      <c r="X1796" s="117">
        <v>2</v>
      </c>
      <c r="Y1796" s="113"/>
      <c r="Z1796" s="108" t="s">
        <v>47</v>
      </c>
      <c r="AA1796" s="114"/>
      <c r="AB1796" s="113"/>
      <c r="AC1796" s="105" t="s">
        <v>4076</v>
      </c>
      <c r="AD1796" s="115" t="s">
        <v>180</v>
      </c>
    </row>
    <row r="1797" spans="1:30" x14ac:dyDescent="0.2">
      <c r="A1797" s="104" t="s">
        <v>4077</v>
      </c>
      <c r="B1797" s="105" t="s">
        <v>255</v>
      </c>
      <c r="C1797" s="105" t="s">
        <v>332</v>
      </c>
      <c r="D1797" s="106"/>
      <c r="E1797" s="107"/>
      <c r="F1797" s="108" t="s">
        <v>15962</v>
      </c>
      <c r="G1797" s="120">
        <v>2</v>
      </c>
      <c r="H1797" s="108" t="s">
        <v>15963</v>
      </c>
      <c r="I1797" s="117">
        <v>2</v>
      </c>
      <c r="J1797" s="111" t="s">
        <v>40</v>
      </c>
      <c r="K1797" s="108" t="s">
        <v>15964</v>
      </c>
      <c r="L1797" s="117">
        <v>2</v>
      </c>
      <c r="M1797" s="113"/>
      <c r="N1797" s="108" t="s">
        <v>15962</v>
      </c>
      <c r="O1797" s="117">
        <v>2</v>
      </c>
      <c r="P1797" s="113"/>
      <c r="Q1797" s="108" t="s">
        <v>15965</v>
      </c>
      <c r="R1797" s="110">
        <v>3</v>
      </c>
      <c r="S1797" s="113"/>
      <c r="T1797" s="108" t="s">
        <v>15966</v>
      </c>
      <c r="U1797" s="117">
        <v>2</v>
      </c>
      <c r="V1797" s="113"/>
      <c r="W1797" s="108" t="s">
        <v>15967</v>
      </c>
      <c r="X1797" s="117">
        <v>2</v>
      </c>
      <c r="Y1797" s="113"/>
      <c r="Z1797" s="108" t="s">
        <v>15968</v>
      </c>
      <c r="AA1797" s="117">
        <v>2</v>
      </c>
      <c r="AB1797" s="111" t="s">
        <v>53</v>
      </c>
      <c r="AC1797" s="105" t="s">
        <v>4078</v>
      </c>
      <c r="AD1797" s="115" t="s">
        <v>180</v>
      </c>
    </row>
    <row r="1798" spans="1:30" x14ac:dyDescent="0.2">
      <c r="A1798" s="104" t="s">
        <v>4079</v>
      </c>
      <c r="B1798" s="105" t="s">
        <v>255</v>
      </c>
      <c r="C1798" s="105" t="s">
        <v>98</v>
      </c>
      <c r="D1798" s="106"/>
      <c r="E1798" s="107"/>
      <c r="F1798" s="108" t="s">
        <v>15969</v>
      </c>
      <c r="G1798" s="119">
        <v>1</v>
      </c>
      <c r="H1798" s="108" t="s">
        <v>15970</v>
      </c>
      <c r="I1798" s="117">
        <v>2</v>
      </c>
      <c r="J1798" s="111" t="s">
        <v>46</v>
      </c>
      <c r="K1798" s="108" t="s">
        <v>4080</v>
      </c>
      <c r="L1798" s="116">
        <v>1</v>
      </c>
      <c r="M1798" s="113"/>
      <c r="N1798" s="108" t="s">
        <v>15969</v>
      </c>
      <c r="O1798" s="116">
        <v>1</v>
      </c>
      <c r="P1798" s="113"/>
      <c r="Q1798" s="108" t="s">
        <v>15971</v>
      </c>
      <c r="R1798" s="116">
        <v>1</v>
      </c>
      <c r="S1798" s="111" t="s">
        <v>53</v>
      </c>
      <c r="T1798" s="108" t="s">
        <v>15972</v>
      </c>
      <c r="U1798" s="112">
        <v>4</v>
      </c>
      <c r="V1798" s="111" t="s">
        <v>46</v>
      </c>
      <c r="W1798" s="108" t="s">
        <v>15973</v>
      </c>
      <c r="X1798" s="110">
        <v>3</v>
      </c>
      <c r="Y1798" s="113"/>
      <c r="Z1798" s="108" t="s">
        <v>15974</v>
      </c>
      <c r="AA1798" s="110">
        <v>3</v>
      </c>
      <c r="AB1798" s="111" t="s">
        <v>40</v>
      </c>
      <c r="AC1798" s="105" t="s">
        <v>4081</v>
      </c>
      <c r="AD1798" s="115" t="s">
        <v>180</v>
      </c>
    </row>
    <row r="1799" spans="1:30" x14ac:dyDescent="0.2">
      <c r="A1799" s="104" t="s">
        <v>4082</v>
      </c>
      <c r="B1799" s="105" t="s">
        <v>255</v>
      </c>
      <c r="C1799" s="105" t="s">
        <v>98</v>
      </c>
      <c r="D1799" s="106"/>
      <c r="E1799" s="107"/>
      <c r="F1799" s="108" t="s">
        <v>15975</v>
      </c>
      <c r="G1799" s="119">
        <v>1</v>
      </c>
      <c r="H1799" s="108" t="s">
        <v>15976</v>
      </c>
      <c r="I1799" s="117">
        <v>2</v>
      </c>
      <c r="J1799" s="111" t="s">
        <v>46</v>
      </c>
      <c r="K1799" s="108" t="s">
        <v>15977</v>
      </c>
      <c r="L1799" s="116">
        <v>1</v>
      </c>
      <c r="M1799" s="113"/>
      <c r="N1799" s="108" t="s">
        <v>15975</v>
      </c>
      <c r="O1799" s="116">
        <v>1</v>
      </c>
      <c r="P1799" s="113"/>
      <c r="Q1799" s="108" t="s">
        <v>15978</v>
      </c>
      <c r="R1799" s="116">
        <v>1</v>
      </c>
      <c r="S1799" s="111" t="s">
        <v>53</v>
      </c>
      <c r="T1799" s="108" t="s">
        <v>15979</v>
      </c>
      <c r="U1799" s="110">
        <v>3</v>
      </c>
      <c r="V1799" s="113"/>
      <c r="W1799" s="108" t="s">
        <v>15980</v>
      </c>
      <c r="X1799" s="110">
        <v>3</v>
      </c>
      <c r="Y1799" s="113"/>
      <c r="Z1799" s="108" t="s">
        <v>47</v>
      </c>
      <c r="AA1799" s="114"/>
      <c r="AB1799" s="113"/>
      <c r="AC1799" s="105" t="s">
        <v>4083</v>
      </c>
      <c r="AD1799" s="115" t="s">
        <v>180</v>
      </c>
    </row>
    <row r="1800" spans="1:30" x14ac:dyDescent="0.2">
      <c r="A1800" s="104" t="s">
        <v>4084</v>
      </c>
      <c r="B1800" s="105" t="s">
        <v>255</v>
      </c>
      <c r="C1800" s="105" t="s">
        <v>98</v>
      </c>
      <c r="D1800" s="106"/>
      <c r="E1800" s="107"/>
      <c r="F1800" s="108" t="s">
        <v>15981</v>
      </c>
      <c r="G1800" s="119">
        <v>1</v>
      </c>
      <c r="H1800" s="108" t="s">
        <v>15982</v>
      </c>
      <c r="I1800" s="117">
        <v>2</v>
      </c>
      <c r="J1800" s="111" t="s">
        <v>46</v>
      </c>
      <c r="K1800" s="108" t="s">
        <v>4085</v>
      </c>
      <c r="L1800" s="116">
        <v>1</v>
      </c>
      <c r="M1800" s="113"/>
      <c r="N1800" s="108" t="s">
        <v>15981</v>
      </c>
      <c r="O1800" s="116">
        <v>1</v>
      </c>
      <c r="P1800" s="113"/>
      <c r="Q1800" s="108" t="s">
        <v>15983</v>
      </c>
      <c r="R1800" s="116">
        <v>1</v>
      </c>
      <c r="S1800" s="111" t="s">
        <v>53</v>
      </c>
      <c r="T1800" s="108" t="s">
        <v>15984</v>
      </c>
      <c r="U1800" s="110">
        <v>3</v>
      </c>
      <c r="V1800" s="113"/>
      <c r="W1800" s="108" t="s">
        <v>15985</v>
      </c>
      <c r="X1800" s="110">
        <v>3</v>
      </c>
      <c r="Y1800" s="113"/>
      <c r="Z1800" s="108" t="s">
        <v>15986</v>
      </c>
      <c r="AA1800" s="110">
        <v>3</v>
      </c>
      <c r="AB1800" s="111" t="s">
        <v>40</v>
      </c>
      <c r="AC1800" s="105" t="s">
        <v>4086</v>
      </c>
      <c r="AD1800" s="115" t="s">
        <v>180</v>
      </c>
    </row>
    <row r="1801" spans="1:30" x14ac:dyDescent="0.2">
      <c r="A1801" s="104" t="s">
        <v>4087</v>
      </c>
      <c r="B1801" s="105" t="s">
        <v>255</v>
      </c>
      <c r="C1801" s="105" t="s">
        <v>98</v>
      </c>
      <c r="D1801" s="106"/>
      <c r="E1801" s="107"/>
      <c r="F1801" s="108" t="s">
        <v>15987</v>
      </c>
      <c r="G1801" s="119">
        <v>1</v>
      </c>
      <c r="H1801" s="108" t="s">
        <v>15988</v>
      </c>
      <c r="I1801" s="116">
        <v>1</v>
      </c>
      <c r="J1801" s="113"/>
      <c r="K1801" s="108" t="s">
        <v>15989</v>
      </c>
      <c r="L1801" s="116">
        <v>1</v>
      </c>
      <c r="M1801" s="113"/>
      <c r="N1801" s="108" t="s">
        <v>15987</v>
      </c>
      <c r="O1801" s="116">
        <v>1</v>
      </c>
      <c r="P1801" s="113"/>
      <c r="Q1801" s="108" t="s">
        <v>15990</v>
      </c>
      <c r="R1801" s="116">
        <v>1</v>
      </c>
      <c r="S1801" s="111" t="s">
        <v>40</v>
      </c>
      <c r="T1801" s="108" t="s">
        <v>15991</v>
      </c>
      <c r="U1801" s="110">
        <v>3</v>
      </c>
      <c r="V1801" s="113"/>
      <c r="W1801" s="108" t="s">
        <v>15992</v>
      </c>
      <c r="X1801" s="110">
        <v>3</v>
      </c>
      <c r="Y1801" s="113"/>
      <c r="Z1801" s="108" t="s">
        <v>47</v>
      </c>
      <c r="AA1801" s="114"/>
      <c r="AB1801" s="113"/>
      <c r="AC1801" s="105" t="s">
        <v>4088</v>
      </c>
      <c r="AD1801" s="115" t="s">
        <v>180</v>
      </c>
    </row>
    <row r="1802" spans="1:30" x14ac:dyDescent="0.2">
      <c r="A1802" s="104" t="s">
        <v>4089</v>
      </c>
      <c r="B1802" s="105" t="s">
        <v>255</v>
      </c>
      <c r="C1802" s="105" t="s">
        <v>98</v>
      </c>
      <c r="D1802" s="106"/>
      <c r="E1802" s="107"/>
      <c r="F1802" s="108" t="s">
        <v>15993</v>
      </c>
      <c r="G1802" s="119">
        <v>1</v>
      </c>
      <c r="H1802" s="108" t="s">
        <v>15994</v>
      </c>
      <c r="I1802" s="116">
        <v>1</v>
      </c>
      <c r="J1802" s="113"/>
      <c r="K1802" s="108" t="s">
        <v>15995</v>
      </c>
      <c r="L1802" s="116">
        <v>1</v>
      </c>
      <c r="M1802" s="113"/>
      <c r="N1802" s="108" t="s">
        <v>15993</v>
      </c>
      <c r="O1802" s="116">
        <v>1</v>
      </c>
      <c r="P1802" s="113"/>
      <c r="Q1802" s="108" t="s">
        <v>15996</v>
      </c>
      <c r="R1802" s="116">
        <v>1</v>
      </c>
      <c r="S1802" s="111" t="s">
        <v>40</v>
      </c>
      <c r="T1802" s="108" t="s">
        <v>15997</v>
      </c>
      <c r="U1802" s="110">
        <v>3</v>
      </c>
      <c r="V1802" s="113"/>
      <c r="W1802" s="108" t="s">
        <v>15998</v>
      </c>
      <c r="X1802" s="110">
        <v>3</v>
      </c>
      <c r="Y1802" s="113"/>
      <c r="Z1802" s="108" t="s">
        <v>15999</v>
      </c>
      <c r="AA1802" s="110">
        <v>3</v>
      </c>
      <c r="AB1802" s="111" t="s">
        <v>40</v>
      </c>
      <c r="AC1802" s="105" t="s">
        <v>4090</v>
      </c>
      <c r="AD1802" s="115" t="s">
        <v>180</v>
      </c>
    </row>
    <row r="1803" spans="1:30" x14ac:dyDescent="0.2">
      <c r="A1803" s="104" t="s">
        <v>4091</v>
      </c>
      <c r="B1803" s="105" t="s">
        <v>255</v>
      </c>
      <c r="C1803" s="105" t="s">
        <v>384</v>
      </c>
      <c r="D1803" s="106"/>
      <c r="E1803" s="107"/>
      <c r="F1803" s="108" t="s">
        <v>16000</v>
      </c>
      <c r="G1803" s="120">
        <v>2</v>
      </c>
      <c r="H1803" s="108" t="s">
        <v>16001</v>
      </c>
      <c r="I1803" s="117">
        <v>2</v>
      </c>
      <c r="J1803" s="111" t="s">
        <v>46</v>
      </c>
      <c r="K1803" s="108" t="s">
        <v>16002</v>
      </c>
      <c r="L1803" s="116">
        <v>1</v>
      </c>
      <c r="M1803" s="111" t="s">
        <v>40</v>
      </c>
      <c r="N1803" s="108" t="s">
        <v>16000</v>
      </c>
      <c r="O1803" s="117">
        <v>2</v>
      </c>
      <c r="P1803" s="111" t="s">
        <v>40</v>
      </c>
      <c r="Q1803" s="108" t="s">
        <v>16003</v>
      </c>
      <c r="R1803" s="110">
        <v>3</v>
      </c>
      <c r="S1803" s="113"/>
      <c r="T1803" s="108" t="s">
        <v>16004</v>
      </c>
      <c r="U1803" s="117">
        <v>2</v>
      </c>
      <c r="V1803" s="113"/>
      <c r="W1803" s="108" t="s">
        <v>16005</v>
      </c>
      <c r="X1803" s="116">
        <v>1</v>
      </c>
      <c r="Y1803" s="113"/>
      <c r="Z1803" s="108" t="s">
        <v>16006</v>
      </c>
      <c r="AA1803" s="117">
        <v>2</v>
      </c>
      <c r="AB1803" s="111" t="s">
        <v>40</v>
      </c>
      <c r="AC1803" s="105" t="s">
        <v>4092</v>
      </c>
      <c r="AD1803" s="115" t="s">
        <v>180</v>
      </c>
    </row>
    <row r="1804" spans="1:30" x14ac:dyDescent="0.2">
      <c r="A1804" s="104" t="s">
        <v>4093</v>
      </c>
      <c r="B1804" s="105" t="s">
        <v>255</v>
      </c>
      <c r="C1804" s="105" t="s">
        <v>384</v>
      </c>
      <c r="D1804" s="106"/>
      <c r="E1804" s="107"/>
      <c r="F1804" s="108" t="s">
        <v>16007</v>
      </c>
      <c r="G1804" s="120">
        <v>2</v>
      </c>
      <c r="H1804" s="108" t="s">
        <v>16008</v>
      </c>
      <c r="I1804" s="117">
        <v>2</v>
      </c>
      <c r="J1804" s="111" t="s">
        <v>46</v>
      </c>
      <c r="K1804" s="108" t="s">
        <v>16009</v>
      </c>
      <c r="L1804" s="116">
        <v>1</v>
      </c>
      <c r="M1804" s="111" t="s">
        <v>40</v>
      </c>
      <c r="N1804" s="108" t="s">
        <v>16007</v>
      </c>
      <c r="O1804" s="117">
        <v>2</v>
      </c>
      <c r="P1804" s="111" t="s">
        <v>40</v>
      </c>
      <c r="Q1804" s="108" t="s">
        <v>16010</v>
      </c>
      <c r="R1804" s="110">
        <v>3</v>
      </c>
      <c r="S1804" s="113"/>
      <c r="T1804" s="108" t="s">
        <v>16011</v>
      </c>
      <c r="U1804" s="117">
        <v>2</v>
      </c>
      <c r="V1804" s="113"/>
      <c r="W1804" s="108" t="s">
        <v>16012</v>
      </c>
      <c r="X1804" s="116">
        <v>1</v>
      </c>
      <c r="Y1804" s="113"/>
      <c r="Z1804" s="108" t="s">
        <v>47</v>
      </c>
      <c r="AA1804" s="114"/>
      <c r="AB1804" s="113"/>
      <c r="AC1804" s="105" t="s">
        <v>4094</v>
      </c>
      <c r="AD1804" s="115" t="s">
        <v>180</v>
      </c>
    </row>
    <row r="1805" spans="1:30" x14ac:dyDescent="0.2">
      <c r="A1805" s="104" t="s">
        <v>4095</v>
      </c>
      <c r="B1805" s="105" t="s">
        <v>255</v>
      </c>
      <c r="C1805" s="105" t="s">
        <v>384</v>
      </c>
      <c r="D1805" s="106"/>
      <c r="E1805" s="107"/>
      <c r="F1805" s="108" t="s">
        <v>16013</v>
      </c>
      <c r="G1805" s="120">
        <v>2</v>
      </c>
      <c r="H1805" s="108" t="s">
        <v>16014</v>
      </c>
      <c r="I1805" s="117">
        <v>2</v>
      </c>
      <c r="J1805" s="111" t="s">
        <v>46</v>
      </c>
      <c r="K1805" s="108" t="s">
        <v>16015</v>
      </c>
      <c r="L1805" s="116">
        <v>1</v>
      </c>
      <c r="M1805" s="111" t="s">
        <v>40</v>
      </c>
      <c r="N1805" s="108" t="s">
        <v>16013</v>
      </c>
      <c r="O1805" s="117">
        <v>2</v>
      </c>
      <c r="P1805" s="111" t="s">
        <v>40</v>
      </c>
      <c r="Q1805" s="108" t="s">
        <v>16016</v>
      </c>
      <c r="R1805" s="110">
        <v>3</v>
      </c>
      <c r="S1805" s="113"/>
      <c r="T1805" s="108" t="s">
        <v>16017</v>
      </c>
      <c r="U1805" s="117">
        <v>2</v>
      </c>
      <c r="V1805" s="113"/>
      <c r="W1805" s="108" t="s">
        <v>16018</v>
      </c>
      <c r="X1805" s="116">
        <v>1</v>
      </c>
      <c r="Y1805" s="113"/>
      <c r="Z1805" s="108" t="s">
        <v>16019</v>
      </c>
      <c r="AA1805" s="117">
        <v>2</v>
      </c>
      <c r="AB1805" s="111" t="s">
        <v>40</v>
      </c>
      <c r="AC1805" s="105" t="s">
        <v>4096</v>
      </c>
      <c r="AD1805" s="115" t="s">
        <v>180</v>
      </c>
    </row>
    <row r="1806" spans="1:30" x14ac:dyDescent="0.2">
      <c r="A1806" s="104" t="s">
        <v>4097</v>
      </c>
      <c r="B1806" s="105" t="s">
        <v>255</v>
      </c>
      <c r="C1806" s="105" t="s">
        <v>384</v>
      </c>
      <c r="D1806" s="106"/>
      <c r="E1806" s="107"/>
      <c r="F1806" s="108" t="s">
        <v>16020</v>
      </c>
      <c r="G1806" s="120">
        <v>2</v>
      </c>
      <c r="H1806" s="108" t="s">
        <v>16021</v>
      </c>
      <c r="I1806" s="117">
        <v>2</v>
      </c>
      <c r="J1806" s="111" t="s">
        <v>46</v>
      </c>
      <c r="K1806" s="108" t="s">
        <v>16022</v>
      </c>
      <c r="L1806" s="116">
        <v>1</v>
      </c>
      <c r="M1806" s="111" t="s">
        <v>40</v>
      </c>
      <c r="N1806" s="108" t="s">
        <v>16020</v>
      </c>
      <c r="O1806" s="117">
        <v>2</v>
      </c>
      <c r="P1806" s="111" t="s">
        <v>40</v>
      </c>
      <c r="Q1806" s="108" t="s">
        <v>16023</v>
      </c>
      <c r="R1806" s="110">
        <v>3</v>
      </c>
      <c r="S1806" s="113"/>
      <c r="T1806" s="108" t="s">
        <v>16024</v>
      </c>
      <c r="U1806" s="117">
        <v>2</v>
      </c>
      <c r="V1806" s="113"/>
      <c r="W1806" s="108" t="s">
        <v>16025</v>
      </c>
      <c r="X1806" s="116">
        <v>1</v>
      </c>
      <c r="Y1806" s="113"/>
      <c r="Z1806" s="108" t="s">
        <v>16026</v>
      </c>
      <c r="AA1806" s="117">
        <v>2</v>
      </c>
      <c r="AB1806" s="111" t="s">
        <v>40</v>
      </c>
      <c r="AC1806" s="105" t="s">
        <v>4098</v>
      </c>
      <c r="AD1806" s="115" t="s">
        <v>180</v>
      </c>
    </row>
    <row r="1807" spans="1:30" x14ac:dyDescent="0.2">
      <c r="A1807" s="104" t="s">
        <v>4099</v>
      </c>
      <c r="B1807" s="105" t="s">
        <v>255</v>
      </c>
      <c r="C1807" s="105" t="s">
        <v>384</v>
      </c>
      <c r="D1807" s="106"/>
      <c r="E1807" s="107"/>
      <c r="F1807" s="108" t="s">
        <v>16027</v>
      </c>
      <c r="G1807" s="120">
        <v>2</v>
      </c>
      <c r="H1807" s="108" t="s">
        <v>16028</v>
      </c>
      <c r="I1807" s="117">
        <v>2</v>
      </c>
      <c r="J1807" s="111" t="s">
        <v>46</v>
      </c>
      <c r="K1807" s="108" t="s">
        <v>16029</v>
      </c>
      <c r="L1807" s="116">
        <v>1</v>
      </c>
      <c r="M1807" s="111" t="s">
        <v>40</v>
      </c>
      <c r="N1807" s="108" t="s">
        <v>16027</v>
      </c>
      <c r="O1807" s="117">
        <v>2</v>
      </c>
      <c r="P1807" s="111" t="s">
        <v>40</v>
      </c>
      <c r="Q1807" s="108" t="s">
        <v>16030</v>
      </c>
      <c r="R1807" s="110">
        <v>3</v>
      </c>
      <c r="S1807" s="113"/>
      <c r="T1807" s="108" t="s">
        <v>16031</v>
      </c>
      <c r="U1807" s="117">
        <v>2</v>
      </c>
      <c r="V1807" s="113"/>
      <c r="W1807" s="108" t="s">
        <v>16032</v>
      </c>
      <c r="X1807" s="116">
        <v>1</v>
      </c>
      <c r="Y1807" s="113"/>
      <c r="Z1807" s="108" t="s">
        <v>47</v>
      </c>
      <c r="AA1807" s="114"/>
      <c r="AB1807" s="113"/>
      <c r="AC1807" s="105" t="s">
        <v>4100</v>
      </c>
      <c r="AD1807" s="115" t="s">
        <v>180</v>
      </c>
    </row>
    <row r="1808" spans="1:30" x14ac:dyDescent="0.2">
      <c r="A1808" s="104" t="s">
        <v>4101</v>
      </c>
      <c r="B1808" s="105" t="s">
        <v>255</v>
      </c>
      <c r="C1808" s="105" t="s">
        <v>384</v>
      </c>
      <c r="D1808" s="106"/>
      <c r="E1808" s="107"/>
      <c r="F1808" s="108" t="s">
        <v>16033</v>
      </c>
      <c r="G1808" s="120">
        <v>2</v>
      </c>
      <c r="H1808" s="108" t="s">
        <v>16034</v>
      </c>
      <c r="I1808" s="117">
        <v>2</v>
      </c>
      <c r="J1808" s="111" t="s">
        <v>46</v>
      </c>
      <c r="K1808" s="108" t="s">
        <v>16035</v>
      </c>
      <c r="L1808" s="116">
        <v>1</v>
      </c>
      <c r="M1808" s="111" t="s">
        <v>40</v>
      </c>
      <c r="N1808" s="108" t="s">
        <v>16033</v>
      </c>
      <c r="O1808" s="117">
        <v>2</v>
      </c>
      <c r="P1808" s="111" t="s">
        <v>40</v>
      </c>
      <c r="Q1808" s="108" t="s">
        <v>16036</v>
      </c>
      <c r="R1808" s="110">
        <v>3</v>
      </c>
      <c r="S1808" s="111" t="s">
        <v>46</v>
      </c>
      <c r="T1808" s="108" t="s">
        <v>16037</v>
      </c>
      <c r="U1808" s="117">
        <v>2</v>
      </c>
      <c r="V1808" s="113"/>
      <c r="W1808" s="108" t="s">
        <v>16038</v>
      </c>
      <c r="X1808" s="116">
        <v>1</v>
      </c>
      <c r="Y1808" s="113"/>
      <c r="Z1808" s="108" t="s">
        <v>16039</v>
      </c>
      <c r="AA1808" s="117">
        <v>2</v>
      </c>
      <c r="AB1808" s="113"/>
      <c r="AC1808" s="105" t="s">
        <v>4102</v>
      </c>
      <c r="AD1808" s="115" t="s">
        <v>180</v>
      </c>
    </row>
    <row r="1809" spans="1:30" x14ac:dyDescent="0.2">
      <c r="A1809" s="104" t="s">
        <v>4103</v>
      </c>
      <c r="B1809" s="105" t="s">
        <v>255</v>
      </c>
      <c r="C1809" s="105" t="s">
        <v>2716</v>
      </c>
      <c r="D1809" s="106"/>
      <c r="E1809" s="107"/>
      <c r="F1809" s="108" t="s">
        <v>16040</v>
      </c>
      <c r="G1809" s="118">
        <v>3</v>
      </c>
      <c r="H1809" s="108" t="s">
        <v>16041</v>
      </c>
      <c r="I1809" s="116">
        <v>1</v>
      </c>
      <c r="J1809" s="111" t="s">
        <v>40</v>
      </c>
      <c r="K1809" s="108" t="s">
        <v>16042</v>
      </c>
      <c r="L1809" s="117">
        <v>2</v>
      </c>
      <c r="M1809" s="113"/>
      <c r="N1809" s="108" t="s">
        <v>16040</v>
      </c>
      <c r="O1809" s="110">
        <v>3</v>
      </c>
      <c r="P1809" s="113"/>
      <c r="Q1809" s="108" t="s">
        <v>16043</v>
      </c>
      <c r="R1809" s="112">
        <v>4</v>
      </c>
      <c r="S1809" s="113"/>
      <c r="T1809" s="108" t="s">
        <v>16044</v>
      </c>
      <c r="U1809" s="110">
        <v>3</v>
      </c>
      <c r="V1809" s="111" t="s">
        <v>40</v>
      </c>
      <c r="W1809" s="108" t="s">
        <v>16045</v>
      </c>
      <c r="X1809" s="110">
        <v>3</v>
      </c>
      <c r="Y1809" s="113"/>
      <c r="Z1809" s="108" t="s">
        <v>16046</v>
      </c>
      <c r="AA1809" s="117">
        <v>2</v>
      </c>
      <c r="AB1809" s="111" t="s">
        <v>40</v>
      </c>
      <c r="AC1809" s="105" t="s">
        <v>4104</v>
      </c>
      <c r="AD1809" s="115" t="s">
        <v>180</v>
      </c>
    </row>
    <row r="1810" spans="1:30" x14ac:dyDescent="0.2">
      <c r="A1810" s="104" t="s">
        <v>4105</v>
      </c>
      <c r="B1810" s="105" t="s">
        <v>255</v>
      </c>
      <c r="C1810" s="105" t="s">
        <v>2716</v>
      </c>
      <c r="D1810" s="106"/>
      <c r="E1810" s="107"/>
      <c r="F1810" s="108" t="s">
        <v>16047</v>
      </c>
      <c r="G1810" s="118">
        <v>3</v>
      </c>
      <c r="H1810" s="108" t="s">
        <v>16048</v>
      </c>
      <c r="I1810" s="116">
        <v>1</v>
      </c>
      <c r="J1810" s="111" t="s">
        <v>40</v>
      </c>
      <c r="K1810" s="108" t="s">
        <v>16049</v>
      </c>
      <c r="L1810" s="117">
        <v>2</v>
      </c>
      <c r="M1810" s="113"/>
      <c r="N1810" s="108" t="s">
        <v>16047</v>
      </c>
      <c r="O1810" s="110">
        <v>3</v>
      </c>
      <c r="P1810" s="113"/>
      <c r="Q1810" s="108" t="s">
        <v>16050</v>
      </c>
      <c r="R1810" s="112">
        <v>4</v>
      </c>
      <c r="S1810" s="113"/>
      <c r="T1810" s="108" t="s">
        <v>16051</v>
      </c>
      <c r="U1810" s="110">
        <v>3</v>
      </c>
      <c r="V1810" s="113"/>
      <c r="W1810" s="108" t="s">
        <v>16052</v>
      </c>
      <c r="X1810" s="110">
        <v>3</v>
      </c>
      <c r="Y1810" s="113"/>
      <c r="Z1810" s="108" t="s">
        <v>47</v>
      </c>
      <c r="AA1810" s="114"/>
      <c r="AB1810" s="113"/>
      <c r="AC1810" s="105" t="s">
        <v>4106</v>
      </c>
      <c r="AD1810" s="115" t="s">
        <v>180</v>
      </c>
    </row>
    <row r="1811" spans="1:30" x14ac:dyDescent="0.2">
      <c r="A1811" s="104" t="s">
        <v>4107</v>
      </c>
      <c r="B1811" s="105" t="s">
        <v>255</v>
      </c>
      <c r="C1811" s="105" t="s">
        <v>2716</v>
      </c>
      <c r="D1811" s="106"/>
      <c r="E1811" s="107"/>
      <c r="F1811" s="108" t="s">
        <v>16053</v>
      </c>
      <c r="G1811" s="120">
        <v>2</v>
      </c>
      <c r="H1811" s="108" t="s">
        <v>16054</v>
      </c>
      <c r="I1811" s="116">
        <v>1</v>
      </c>
      <c r="J1811" s="111" t="s">
        <v>40</v>
      </c>
      <c r="K1811" s="108" t="s">
        <v>16055</v>
      </c>
      <c r="L1811" s="117">
        <v>2</v>
      </c>
      <c r="M1811" s="113"/>
      <c r="N1811" s="108" t="s">
        <v>16053</v>
      </c>
      <c r="O1811" s="117">
        <v>2</v>
      </c>
      <c r="P1811" s="111" t="s">
        <v>40</v>
      </c>
      <c r="Q1811" s="108" t="s">
        <v>16056</v>
      </c>
      <c r="R1811" s="112">
        <v>4</v>
      </c>
      <c r="S1811" s="113"/>
      <c r="T1811" s="108" t="s">
        <v>16057</v>
      </c>
      <c r="U1811" s="110">
        <v>3</v>
      </c>
      <c r="V1811" s="113"/>
      <c r="W1811" s="108" t="s">
        <v>16058</v>
      </c>
      <c r="X1811" s="110">
        <v>3</v>
      </c>
      <c r="Y1811" s="113"/>
      <c r="Z1811" s="108" t="s">
        <v>16059</v>
      </c>
      <c r="AA1811" s="117">
        <v>2</v>
      </c>
      <c r="AB1811" s="111" t="s">
        <v>40</v>
      </c>
      <c r="AC1811" s="105" t="s">
        <v>4108</v>
      </c>
      <c r="AD1811" s="115" t="s">
        <v>180</v>
      </c>
    </row>
    <row r="1812" spans="1:30" x14ac:dyDescent="0.2">
      <c r="A1812" s="104" t="s">
        <v>4109</v>
      </c>
      <c r="B1812" s="105" t="s">
        <v>255</v>
      </c>
      <c r="C1812" s="105" t="s">
        <v>2716</v>
      </c>
      <c r="D1812" s="106"/>
      <c r="E1812" s="107"/>
      <c r="F1812" s="108" t="s">
        <v>16060</v>
      </c>
      <c r="G1812" s="120">
        <v>2</v>
      </c>
      <c r="H1812" s="108" t="s">
        <v>16061</v>
      </c>
      <c r="I1812" s="116">
        <v>1</v>
      </c>
      <c r="J1812" s="111" t="s">
        <v>40</v>
      </c>
      <c r="K1812" s="108" t="s">
        <v>16062</v>
      </c>
      <c r="L1812" s="117">
        <v>2</v>
      </c>
      <c r="M1812" s="113"/>
      <c r="N1812" s="108" t="s">
        <v>16060</v>
      </c>
      <c r="O1812" s="117">
        <v>2</v>
      </c>
      <c r="P1812" s="111" t="s">
        <v>40</v>
      </c>
      <c r="Q1812" s="108" t="s">
        <v>16063</v>
      </c>
      <c r="R1812" s="112">
        <v>4</v>
      </c>
      <c r="S1812" s="113"/>
      <c r="T1812" s="108" t="s">
        <v>16064</v>
      </c>
      <c r="U1812" s="110">
        <v>3</v>
      </c>
      <c r="V1812" s="113"/>
      <c r="W1812" s="108" t="s">
        <v>16065</v>
      </c>
      <c r="X1812" s="117">
        <v>2</v>
      </c>
      <c r="Y1812" s="113"/>
      <c r="Z1812" s="108" t="s">
        <v>16066</v>
      </c>
      <c r="AA1812" s="117">
        <v>2</v>
      </c>
      <c r="AB1812" s="111" t="s">
        <v>40</v>
      </c>
      <c r="AC1812" s="105" t="s">
        <v>4110</v>
      </c>
      <c r="AD1812" s="115" t="s">
        <v>180</v>
      </c>
    </row>
    <row r="1813" spans="1:30" x14ac:dyDescent="0.2">
      <c r="A1813" s="104" t="s">
        <v>4111</v>
      </c>
      <c r="B1813" s="105" t="s">
        <v>255</v>
      </c>
      <c r="C1813" s="105" t="s">
        <v>2716</v>
      </c>
      <c r="D1813" s="106"/>
      <c r="E1813" s="107"/>
      <c r="F1813" s="108" t="s">
        <v>16067</v>
      </c>
      <c r="G1813" s="120">
        <v>2</v>
      </c>
      <c r="H1813" s="108" t="s">
        <v>16068</v>
      </c>
      <c r="I1813" s="116">
        <v>1</v>
      </c>
      <c r="J1813" s="111" t="s">
        <v>40</v>
      </c>
      <c r="K1813" s="108" t="s">
        <v>16069</v>
      </c>
      <c r="L1813" s="117">
        <v>2</v>
      </c>
      <c r="M1813" s="113"/>
      <c r="N1813" s="108" t="s">
        <v>16067</v>
      </c>
      <c r="O1813" s="117">
        <v>2</v>
      </c>
      <c r="P1813" s="111" t="s">
        <v>40</v>
      </c>
      <c r="Q1813" s="108" t="s">
        <v>16070</v>
      </c>
      <c r="R1813" s="112">
        <v>4</v>
      </c>
      <c r="S1813" s="113"/>
      <c r="T1813" s="108" t="s">
        <v>16071</v>
      </c>
      <c r="U1813" s="110">
        <v>3</v>
      </c>
      <c r="V1813" s="113"/>
      <c r="W1813" s="108" t="s">
        <v>16072</v>
      </c>
      <c r="X1813" s="117">
        <v>2</v>
      </c>
      <c r="Y1813" s="113"/>
      <c r="Z1813" s="108" t="s">
        <v>47</v>
      </c>
      <c r="AA1813" s="114"/>
      <c r="AB1813" s="113"/>
      <c r="AC1813" s="105" t="s">
        <v>4112</v>
      </c>
      <c r="AD1813" s="115" t="s">
        <v>180</v>
      </c>
    </row>
    <row r="1814" spans="1:30" x14ac:dyDescent="0.2">
      <c r="A1814" s="104" t="s">
        <v>4113</v>
      </c>
      <c r="B1814" s="105" t="s">
        <v>255</v>
      </c>
      <c r="C1814" s="105" t="s">
        <v>2716</v>
      </c>
      <c r="D1814" s="106"/>
      <c r="E1814" s="107"/>
      <c r="F1814" s="108" t="s">
        <v>16073</v>
      </c>
      <c r="G1814" s="120">
        <v>2</v>
      </c>
      <c r="H1814" s="108" t="s">
        <v>16074</v>
      </c>
      <c r="I1814" s="116">
        <v>1</v>
      </c>
      <c r="J1814" s="111" t="s">
        <v>40</v>
      </c>
      <c r="K1814" s="108" t="s">
        <v>16075</v>
      </c>
      <c r="L1814" s="116">
        <v>1</v>
      </c>
      <c r="M1814" s="111" t="s">
        <v>40</v>
      </c>
      <c r="N1814" s="108" t="s">
        <v>16073</v>
      </c>
      <c r="O1814" s="117">
        <v>2</v>
      </c>
      <c r="P1814" s="111" t="s">
        <v>40</v>
      </c>
      <c r="Q1814" s="108" t="s">
        <v>16076</v>
      </c>
      <c r="R1814" s="110">
        <v>3</v>
      </c>
      <c r="S1814" s="111" t="s">
        <v>40</v>
      </c>
      <c r="T1814" s="108" t="s">
        <v>16077</v>
      </c>
      <c r="U1814" s="110">
        <v>3</v>
      </c>
      <c r="V1814" s="113"/>
      <c r="W1814" s="108" t="s">
        <v>16078</v>
      </c>
      <c r="X1814" s="117">
        <v>2</v>
      </c>
      <c r="Y1814" s="113"/>
      <c r="Z1814" s="108" t="s">
        <v>16079</v>
      </c>
      <c r="AA1814" s="117">
        <v>2</v>
      </c>
      <c r="AB1814" s="111" t="s">
        <v>40</v>
      </c>
      <c r="AC1814" s="105" t="s">
        <v>4114</v>
      </c>
      <c r="AD1814" s="115" t="s">
        <v>180</v>
      </c>
    </row>
    <row r="1815" spans="1:30" x14ac:dyDescent="0.2">
      <c r="A1815" s="104" t="s">
        <v>4115</v>
      </c>
      <c r="B1815" s="105" t="s">
        <v>255</v>
      </c>
      <c r="C1815" s="105" t="s">
        <v>582</v>
      </c>
      <c r="D1815" s="106"/>
      <c r="E1815" s="107"/>
      <c r="F1815" s="108" t="s">
        <v>16080</v>
      </c>
      <c r="G1815" s="118">
        <v>3</v>
      </c>
      <c r="H1815" s="108" t="s">
        <v>16081</v>
      </c>
      <c r="I1815" s="116">
        <v>1</v>
      </c>
      <c r="J1815" s="111" t="s">
        <v>157</v>
      </c>
      <c r="K1815" s="108" t="s">
        <v>16082</v>
      </c>
      <c r="L1815" s="110">
        <v>3</v>
      </c>
      <c r="M1815" s="113"/>
      <c r="N1815" s="108" t="s">
        <v>16080</v>
      </c>
      <c r="O1815" s="110">
        <v>3</v>
      </c>
      <c r="P1815" s="113"/>
      <c r="Q1815" s="108" t="s">
        <v>16083</v>
      </c>
      <c r="R1815" s="110">
        <v>3</v>
      </c>
      <c r="S1815" s="113"/>
      <c r="T1815" s="108" t="s">
        <v>16084</v>
      </c>
      <c r="U1815" s="110">
        <v>3</v>
      </c>
      <c r="V1815" s="113"/>
      <c r="W1815" s="108" t="s">
        <v>16085</v>
      </c>
      <c r="X1815" s="110">
        <v>3</v>
      </c>
      <c r="Y1815" s="113"/>
      <c r="Z1815" s="108" t="s">
        <v>16086</v>
      </c>
      <c r="AA1815" s="112">
        <v>4</v>
      </c>
      <c r="AB1815" s="113"/>
      <c r="AC1815" s="105" t="s">
        <v>4116</v>
      </c>
      <c r="AD1815" s="115" t="s">
        <v>180</v>
      </c>
    </row>
    <row r="1816" spans="1:30" x14ac:dyDescent="0.2">
      <c r="A1816" s="104" t="s">
        <v>4117</v>
      </c>
      <c r="B1816" s="105" t="s">
        <v>255</v>
      </c>
      <c r="C1816" s="105" t="s">
        <v>582</v>
      </c>
      <c r="D1816" s="106"/>
      <c r="E1816" s="107"/>
      <c r="F1816" s="108" t="s">
        <v>16087</v>
      </c>
      <c r="G1816" s="118">
        <v>3</v>
      </c>
      <c r="H1816" s="108" t="s">
        <v>16088</v>
      </c>
      <c r="I1816" s="116">
        <v>1</v>
      </c>
      <c r="J1816" s="111" t="s">
        <v>157</v>
      </c>
      <c r="K1816" s="108" t="s">
        <v>16089</v>
      </c>
      <c r="L1816" s="110">
        <v>3</v>
      </c>
      <c r="M1816" s="113"/>
      <c r="N1816" s="108" t="s">
        <v>16087</v>
      </c>
      <c r="O1816" s="110">
        <v>3</v>
      </c>
      <c r="P1816" s="113"/>
      <c r="Q1816" s="108" t="s">
        <v>16090</v>
      </c>
      <c r="R1816" s="110">
        <v>3</v>
      </c>
      <c r="S1816" s="113"/>
      <c r="T1816" s="108" t="s">
        <v>16091</v>
      </c>
      <c r="U1816" s="110">
        <v>3</v>
      </c>
      <c r="V1816" s="113"/>
      <c r="W1816" s="108" t="s">
        <v>16092</v>
      </c>
      <c r="X1816" s="110">
        <v>3</v>
      </c>
      <c r="Y1816" s="113"/>
      <c r="Z1816" s="108" t="s">
        <v>47</v>
      </c>
      <c r="AA1816" s="114"/>
      <c r="AB1816" s="113"/>
      <c r="AC1816" s="105" t="s">
        <v>4118</v>
      </c>
      <c r="AD1816" s="115" t="s">
        <v>180</v>
      </c>
    </row>
    <row r="1817" spans="1:30" x14ac:dyDescent="0.2">
      <c r="A1817" s="104" t="s">
        <v>4119</v>
      </c>
      <c r="B1817" s="105" t="s">
        <v>255</v>
      </c>
      <c r="C1817" s="105" t="s">
        <v>582</v>
      </c>
      <c r="D1817" s="106"/>
      <c r="E1817" s="107"/>
      <c r="F1817" s="108" t="s">
        <v>16093</v>
      </c>
      <c r="G1817" s="120">
        <v>2</v>
      </c>
      <c r="H1817" s="108" t="s">
        <v>16094</v>
      </c>
      <c r="I1817" s="116">
        <v>1</v>
      </c>
      <c r="J1817" s="111" t="s">
        <v>157</v>
      </c>
      <c r="K1817" s="108" t="s">
        <v>16095</v>
      </c>
      <c r="L1817" s="117">
        <v>2</v>
      </c>
      <c r="M1817" s="111" t="s">
        <v>40</v>
      </c>
      <c r="N1817" s="108" t="s">
        <v>16093</v>
      </c>
      <c r="O1817" s="117">
        <v>2</v>
      </c>
      <c r="P1817" s="111" t="s">
        <v>40</v>
      </c>
      <c r="Q1817" s="108" t="s">
        <v>16096</v>
      </c>
      <c r="R1817" s="110">
        <v>3</v>
      </c>
      <c r="S1817" s="113"/>
      <c r="T1817" s="108" t="s">
        <v>16097</v>
      </c>
      <c r="U1817" s="110">
        <v>3</v>
      </c>
      <c r="V1817" s="113"/>
      <c r="W1817" s="108" t="s">
        <v>16098</v>
      </c>
      <c r="X1817" s="110">
        <v>3</v>
      </c>
      <c r="Y1817" s="113"/>
      <c r="Z1817" s="108" t="s">
        <v>16099</v>
      </c>
      <c r="AA1817" s="112">
        <v>4</v>
      </c>
      <c r="AB1817" s="113"/>
      <c r="AC1817" s="105" t="s">
        <v>4120</v>
      </c>
      <c r="AD1817" s="115" t="s">
        <v>180</v>
      </c>
    </row>
    <row r="1818" spans="1:30" x14ac:dyDescent="0.2">
      <c r="A1818" s="104" t="s">
        <v>4121</v>
      </c>
      <c r="B1818" s="105" t="s">
        <v>255</v>
      </c>
      <c r="C1818" s="105" t="s">
        <v>582</v>
      </c>
      <c r="D1818" s="106"/>
      <c r="E1818" s="107"/>
      <c r="F1818" s="108" t="s">
        <v>16100</v>
      </c>
      <c r="G1818" s="120">
        <v>2</v>
      </c>
      <c r="H1818" s="108" t="s">
        <v>16101</v>
      </c>
      <c r="I1818" s="116">
        <v>1</v>
      </c>
      <c r="J1818" s="111" t="s">
        <v>157</v>
      </c>
      <c r="K1818" s="108" t="s">
        <v>16102</v>
      </c>
      <c r="L1818" s="117">
        <v>2</v>
      </c>
      <c r="M1818" s="111" t="s">
        <v>40</v>
      </c>
      <c r="N1818" s="108" t="s">
        <v>16100</v>
      </c>
      <c r="O1818" s="117">
        <v>2</v>
      </c>
      <c r="P1818" s="111" t="s">
        <v>40</v>
      </c>
      <c r="Q1818" s="108" t="s">
        <v>16103</v>
      </c>
      <c r="R1818" s="110">
        <v>3</v>
      </c>
      <c r="S1818" s="113"/>
      <c r="T1818" s="108" t="s">
        <v>16104</v>
      </c>
      <c r="U1818" s="110">
        <v>3</v>
      </c>
      <c r="V1818" s="113"/>
      <c r="W1818" s="108" t="s">
        <v>16105</v>
      </c>
      <c r="X1818" s="110">
        <v>3</v>
      </c>
      <c r="Y1818" s="113"/>
      <c r="Z1818" s="108" t="s">
        <v>16106</v>
      </c>
      <c r="AA1818" s="112">
        <v>4</v>
      </c>
      <c r="AB1818" s="113"/>
      <c r="AC1818" s="105" t="s">
        <v>4122</v>
      </c>
      <c r="AD1818" s="115" t="s">
        <v>180</v>
      </c>
    </row>
    <row r="1819" spans="1:30" x14ac:dyDescent="0.2">
      <c r="A1819" s="104" t="s">
        <v>4123</v>
      </c>
      <c r="B1819" s="105" t="s">
        <v>255</v>
      </c>
      <c r="C1819" s="105" t="s">
        <v>582</v>
      </c>
      <c r="D1819" s="106"/>
      <c r="E1819" s="107"/>
      <c r="F1819" s="108" t="s">
        <v>16107</v>
      </c>
      <c r="G1819" s="118">
        <v>3</v>
      </c>
      <c r="H1819" s="108" t="s">
        <v>16108</v>
      </c>
      <c r="I1819" s="117">
        <v>2</v>
      </c>
      <c r="J1819" s="111" t="s">
        <v>46</v>
      </c>
      <c r="K1819" s="108" t="s">
        <v>16109</v>
      </c>
      <c r="L1819" s="116">
        <v>1</v>
      </c>
      <c r="M1819" s="111" t="s">
        <v>40</v>
      </c>
      <c r="N1819" s="108" t="s">
        <v>16107</v>
      </c>
      <c r="O1819" s="110">
        <v>3</v>
      </c>
      <c r="P1819" s="111" t="s">
        <v>46</v>
      </c>
      <c r="Q1819" s="108" t="s">
        <v>16110</v>
      </c>
      <c r="R1819" s="110">
        <v>3</v>
      </c>
      <c r="S1819" s="113"/>
      <c r="T1819" s="108" t="s">
        <v>16111</v>
      </c>
      <c r="U1819" s="117">
        <v>2</v>
      </c>
      <c r="V1819" s="113"/>
      <c r="W1819" s="108" t="s">
        <v>16112</v>
      </c>
      <c r="X1819" s="117">
        <v>2</v>
      </c>
      <c r="Y1819" s="113"/>
      <c r="Z1819" s="108" t="s">
        <v>16113</v>
      </c>
      <c r="AA1819" s="110">
        <v>3</v>
      </c>
      <c r="AB1819" s="113"/>
      <c r="AC1819" s="105" t="s">
        <v>4124</v>
      </c>
      <c r="AD1819" s="115" t="s">
        <v>180</v>
      </c>
    </row>
    <row r="1820" spans="1:30" x14ac:dyDescent="0.2">
      <c r="A1820" s="104" t="s">
        <v>4125</v>
      </c>
      <c r="B1820" s="105" t="s">
        <v>255</v>
      </c>
      <c r="C1820" s="105" t="s">
        <v>582</v>
      </c>
      <c r="D1820" s="106"/>
      <c r="E1820" s="107"/>
      <c r="F1820" s="108" t="s">
        <v>16114</v>
      </c>
      <c r="G1820" s="120">
        <v>2</v>
      </c>
      <c r="H1820" s="108" t="s">
        <v>16115</v>
      </c>
      <c r="I1820" s="117">
        <v>2</v>
      </c>
      <c r="J1820" s="111" t="s">
        <v>46</v>
      </c>
      <c r="K1820" s="108" t="s">
        <v>16116</v>
      </c>
      <c r="L1820" s="116">
        <v>1</v>
      </c>
      <c r="M1820" s="111" t="s">
        <v>40</v>
      </c>
      <c r="N1820" s="108" t="s">
        <v>16114</v>
      </c>
      <c r="O1820" s="117">
        <v>2</v>
      </c>
      <c r="P1820" s="113"/>
      <c r="Q1820" s="108" t="s">
        <v>16117</v>
      </c>
      <c r="R1820" s="110">
        <v>3</v>
      </c>
      <c r="S1820" s="111" t="s">
        <v>46</v>
      </c>
      <c r="T1820" s="108" t="s">
        <v>16118</v>
      </c>
      <c r="U1820" s="117">
        <v>2</v>
      </c>
      <c r="V1820" s="113"/>
      <c r="W1820" s="108" t="s">
        <v>16119</v>
      </c>
      <c r="X1820" s="117">
        <v>2</v>
      </c>
      <c r="Y1820" s="113"/>
      <c r="Z1820" s="108" t="s">
        <v>47</v>
      </c>
      <c r="AA1820" s="114"/>
      <c r="AB1820" s="113"/>
      <c r="AC1820" s="105" t="s">
        <v>4126</v>
      </c>
      <c r="AD1820" s="115" t="s">
        <v>180</v>
      </c>
    </row>
    <row r="1821" spans="1:30" x14ac:dyDescent="0.2">
      <c r="A1821" s="104" t="s">
        <v>4127</v>
      </c>
      <c r="B1821" s="105" t="s">
        <v>255</v>
      </c>
      <c r="C1821" s="105" t="s">
        <v>582</v>
      </c>
      <c r="D1821" s="106"/>
      <c r="E1821" s="107"/>
      <c r="F1821" s="108" t="s">
        <v>16120</v>
      </c>
      <c r="G1821" s="120">
        <v>2</v>
      </c>
      <c r="H1821" s="108" t="s">
        <v>16121</v>
      </c>
      <c r="I1821" s="117">
        <v>2</v>
      </c>
      <c r="J1821" s="111" t="s">
        <v>46</v>
      </c>
      <c r="K1821" s="108" t="s">
        <v>16122</v>
      </c>
      <c r="L1821" s="116">
        <v>1</v>
      </c>
      <c r="M1821" s="111" t="s">
        <v>40</v>
      </c>
      <c r="N1821" s="108" t="s">
        <v>16120</v>
      </c>
      <c r="O1821" s="117">
        <v>2</v>
      </c>
      <c r="P1821" s="113"/>
      <c r="Q1821" s="108" t="s">
        <v>16123</v>
      </c>
      <c r="R1821" s="110">
        <v>3</v>
      </c>
      <c r="S1821" s="111" t="s">
        <v>46</v>
      </c>
      <c r="T1821" s="108" t="s">
        <v>16124</v>
      </c>
      <c r="U1821" s="117">
        <v>2</v>
      </c>
      <c r="V1821" s="113"/>
      <c r="W1821" s="108" t="s">
        <v>16125</v>
      </c>
      <c r="X1821" s="117">
        <v>2</v>
      </c>
      <c r="Y1821" s="113"/>
      <c r="Z1821" s="108" t="s">
        <v>16126</v>
      </c>
      <c r="AA1821" s="110">
        <v>3</v>
      </c>
      <c r="AB1821" s="113"/>
      <c r="AC1821" s="105" t="s">
        <v>4128</v>
      </c>
      <c r="AD1821" s="115" t="s">
        <v>180</v>
      </c>
    </row>
    <row r="1822" spans="1:30" x14ac:dyDescent="0.2">
      <c r="A1822" s="104" t="s">
        <v>4129</v>
      </c>
      <c r="B1822" s="105" t="s">
        <v>255</v>
      </c>
      <c r="C1822" s="105" t="s">
        <v>582</v>
      </c>
      <c r="D1822" s="106"/>
      <c r="E1822" s="107"/>
      <c r="F1822" s="108" t="s">
        <v>16127</v>
      </c>
      <c r="G1822" s="120">
        <v>2</v>
      </c>
      <c r="H1822" s="108" t="s">
        <v>16128</v>
      </c>
      <c r="I1822" s="117">
        <v>2</v>
      </c>
      <c r="J1822" s="111" t="s">
        <v>46</v>
      </c>
      <c r="K1822" s="108" t="s">
        <v>16129</v>
      </c>
      <c r="L1822" s="116">
        <v>1</v>
      </c>
      <c r="M1822" s="113"/>
      <c r="N1822" s="108" t="s">
        <v>16127</v>
      </c>
      <c r="O1822" s="117">
        <v>2</v>
      </c>
      <c r="P1822" s="113"/>
      <c r="Q1822" s="108" t="s">
        <v>16130</v>
      </c>
      <c r="R1822" s="110">
        <v>3</v>
      </c>
      <c r="S1822" s="111" t="s">
        <v>46</v>
      </c>
      <c r="T1822" s="108" t="s">
        <v>16131</v>
      </c>
      <c r="U1822" s="116">
        <v>1</v>
      </c>
      <c r="V1822" s="113"/>
      <c r="W1822" s="108" t="s">
        <v>16132</v>
      </c>
      <c r="X1822" s="116">
        <v>1</v>
      </c>
      <c r="Y1822" s="113"/>
      <c r="Z1822" s="108" t="s">
        <v>47</v>
      </c>
      <c r="AA1822" s="114"/>
      <c r="AB1822" s="113"/>
      <c r="AC1822" s="105" t="s">
        <v>4130</v>
      </c>
      <c r="AD1822" s="115" t="s">
        <v>180</v>
      </c>
    </row>
    <row r="1823" spans="1:30" x14ac:dyDescent="0.2">
      <c r="A1823" s="104" t="s">
        <v>4131</v>
      </c>
      <c r="B1823" s="105" t="s">
        <v>255</v>
      </c>
      <c r="C1823" s="105" t="s">
        <v>582</v>
      </c>
      <c r="D1823" s="106"/>
      <c r="E1823" s="107"/>
      <c r="F1823" s="108" t="s">
        <v>16133</v>
      </c>
      <c r="G1823" s="120">
        <v>2</v>
      </c>
      <c r="H1823" s="108" t="s">
        <v>16134</v>
      </c>
      <c r="I1823" s="117">
        <v>2</v>
      </c>
      <c r="J1823" s="111" t="s">
        <v>46</v>
      </c>
      <c r="K1823" s="108" t="s">
        <v>16135</v>
      </c>
      <c r="L1823" s="116">
        <v>1</v>
      </c>
      <c r="M1823" s="113"/>
      <c r="N1823" s="108" t="s">
        <v>16133</v>
      </c>
      <c r="O1823" s="117">
        <v>2</v>
      </c>
      <c r="P1823" s="113"/>
      <c r="Q1823" s="108" t="s">
        <v>16136</v>
      </c>
      <c r="R1823" s="110">
        <v>3</v>
      </c>
      <c r="S1823" s="111" t="s">
        <v>46</v>
      </c>
      <c r="T1823" s="108" t="s">
        <v>9300</v>
      </c>
      <c r="U1823" s="116">
        <v>1</v>
      </c>
      <c r="V1823" s="113"/>
      <c r="W1823" s="108" t="s">
        <v>16137</v>
      </c>
      <c r="X1823" s="116">
        <v>1</v>
      </c>
      <c r="Y1823" s="113"/>
      <c r="Z1823" s="108" t="s">
        <v>16138</v>
      </c>
      <c r="AA1823" s="117">
        <v>2</v>
      </c>
      <c r="AB1823" s="113"/>
      <c r="AC1823" s="105" t="s">
        <v>4132</v>
      </c>
      <c r="AD1823" s="115" t="s">
        <v>180</v>
      </c>
    </row>
    <row r="1824" spans="1:30" x14ac:dyDescent="0.2">
      <c r="A1824" s="104" t="s">
        <v>4133</v>
      </c>
      <c r="B1824" s="105" t="s">
        <v>255</v>
      </c>
      <c r="C1824" s="105" t="s">
        <v>132</v>
      </c>
      <c r="D1824" s="106"/>
      <c r="E1824" s="107"/>
      <c r="F1824" s="108" t="s">
        <v>16139</v>
      </c>
      <c r="G1824" s="109">
        <v>4</v>
      </c>
      <c r="H1824" s="108" t="s">
        <v>16140</v>
      </c>
      <c r="I1824" s="110">
        <v>3</v>
      </c>
      <c r="J1824" s="113"/>
      <c r="K1824" s="108" t="s">
        <v>16141</v>
      </c>
      <c r="L1824" s="110">
        <v>3</v>
      </c>
      <c r="M1824" s="113"/>
      <c r="N1824" s="108" t="s">
        <v>16139</v>
      </c>
      <c r="O1824" s="112">
        <v>4</v>
      </c>
      <c r="P1824" s="113"/>
      <c r="Q1824" s="108" t="s">
        <v>16142</v>
      </c>
      <c r="R1824" s="112">
        <v>4</v>
      </c>
      <c r="S1824" s="113"/>
      <c r="T1824" s="108" t="s">
        <v>16143</v>
      </c>
      <c r="U1824" s="110">
        <v>3</v>
      </c>
      <c r="V1824" s="113"/>
      <c r="W1824" s="108" t="s">
        <v>16144</v>
      </c>
      <c r="X1824" s="112">
        <v>4</v>
      </c>
      <c r="Y1824" s="113"/>
      <c r="Z1824" s="108" t="s">
        <v>16145</v>
      </c>
      <c r="AA1824" s="112">
        <v>4</v>
      </c>
      <c r="AB1824" s="113"/>
      <c r="AC1824" s="105" t="s">
        <v>4134</v>
      </c>
      <c r="AD1824" s="115" t="s">
        <v>180</v>
      </c>
    </row>
    <row r="1825" spans="1:30" x14ac:dyDescent="0.2">
      <c r="A1825" s="104" t="s">
        <v>4135</v>
      </c>
      <c r="B1825" s="105" t="s">
        <v>255</v>
      </c>
      <c r="C1825" s="105" t="s">
        <v>132</v>
      </c>
      <c r="D1825" s="106"/>
      <c r="E1825" s="107"/>
      <c r="F1825" s="108" t="s">
        <v>16146</v>
      </c>
      <c r="G1825" s="109">
        <v>4</v>
      </c>
      <c r="H1825" s="108" t="s">
        <v>16147</v>
      </c>
      <c r="I1825" s="110">
        <v>3</v>
      </c>
      <c r="J1825" s="113"/>
      <c r="K1825" s="108" t="s">
        <v>16148</v>
      </c>
      <c r="L1825" s="110">
        <v>3</v>
      </c>
      <c r="M1825" s="113"/>
      <c r="N1825" s="108" t="s">
        <v>16146</v>
      </c>
      <c r="O1825" s="112">
        <v>4</v>
      </c>
      <c r="P1825" s="113"/>
      <c r="Q1825" s="108" t="s">
        <v>4136</v>
      </c>
      <c r="R1825" s="112">
        <v>4</v>
      </c>
      <c r="S1825" s="113"/>
      <c r="T1825" s="108" t="s">
        <v>16149</v>
      </c>
      <c r="U1825" s="110">
        <v>3</v>
      </c>
      <c r="V1825" s="113"/>
      <c r="W1825" s="108" t="s">
        <v>16150</v>
      </c>
      <c r="X1825" s="112">
        <v>4</v>
      </c>
      <c r="Y1825" s="113"/>
      <c r="Z1825" s="108" t="s">
        <v>47</v>
      </c>
      <c r="AA1825" s="114"/>
      <c r="AB1825" s="113"/>
      <c r="AC1825" s="105" t="s">
        <v>4137</v>
      </c>
      <c r="AD1825" s="115" t="s">
        <v>180</v>
      </c>
    </row>
    <row r="1826" spans="1:30" x14ac:dyDescent="0.2">
      <c r="A1826" s="104" t="s">
        <v>4138</v>
      </c>
      <c r="B1826" s="105" t="s">
        <v>255</v>
      </c>
      <c r="C1826" s="105" t="s">
        <v>132</v>
      </c>
      <c r="D1826" s="106"/>
      <c r="E1826" s="107"/>
      <c r="F1826" s="108" t="s">
        <v>16151</v>
      </c>
      <c r="G1826" s="109">
        <v>4</v>
      </c>
      <c r="H1826" s="108" t="s">
        <v>16152</v>
      </c>
      <c r="I1826" s="110">
        <v>3</v>
      </c>
      <c r="J1826" s="113"/>
      <c r="K1826" s="108" t="s">
        <v>16153</v>
      </c>
      <c r="L1826" s="110">
        <v>3</v>
      </c>
      <c r="M1826" s="113"/>
      <c r="N1826" s="108" t="s">
        <v>16151</v>
      </c>
      <c r="O1826" s="112">
        <v>4</v>
      </c>
      <c r="P1826" s="113"/>
      <c r="Q1826" s="108" t="s">
        <v>16154</v>
      </c>
      <c r="R1826" s="112">
        <v>4</v>
      </c>
      <c r="S1826" s="113"/>
      <c r="T1826" s="108" t="s">
        <v>16155</v>
      </c>
      <c r="U1826" s="110">
        <v>3</v>
      </c>
      <c r="V1826" s="113"/>
      <c r="W1826" s="108" t="s">
        <v>16156</v>
      </c>
      <c r="X1826" s="112">
        <v>4</v>
      </c>
      <c r="Y1826" s="113"/>
      <c r="Z1826" s="108" t="s">
        <v>4139</v>
      </c>
      <c r="AA1826" s="112">
        <v>4</v>
      </c>
      <c r="AB1826" s="113"/>
      <c r="AC1826" s="105" t="s">
        <v>4140</v>
      </c>
      <c r="AD1826" s="115" t="s">
        <v>180</v>
      </c>
    </row>
    <row r="1827" spans="1:30" x14ac:dyDescent="0.2">
      <c r="A1827" s="104" t="s">
        <v>4141</v>
      </c>
      <c r="B1827" s="105" t="s">
        <v>255</v>
      </c>
      <c r="C1827" s="105" t="s">
        <v>132</v>
      </c>
      <c r="D1827" s="106"/>
      <c r="E1827" s="107"/>
      <c r="F1827" s="108" t="s">
        <v>16157</v>
      </c>
      <c r="G1827" s="109">
        <v>4</v>
      </c>
      <c r="H1827" s="108" t="s">
        <v>16158</v>
      </c>
      <c r="I1827" s="110">
        <v>3</v>
      </c>
      <c r="J1827" s="113"/>
      <c r="K1827" s="108" t="s">
        <v>16159</v>
      </c>
      <c r="L1827" s="110">
        <v>3</v>
      </c>
      <c r="M1827" s="113"/>
      <c r="N1827" s="108" t="s">
        <v>16157</v>
      </c>
      <c r="O1827" s="112">
        <v>4</v>
      </c>
      <c r="P1827" s="113"/>
      <c r="Q1827" s="108" t="s">
        <v>16160</v>
      </c>
      <c r="R1827" s="112">
        <v>4</v>
      </c>
      <c r="S1827" s="113"/>
      <c r="T1827" s="108" t="s">
        <v>16161</v>
      </c>
      <c r="U1827" s="110">
        <v>3</v>
      </c>
      <c r="V1827" s="113"/>
      <c r="W1827" s="108" t="s">
        <v>16162</v>
      </c>
      <c r="X1827" s="112">
        <v>4</v>
      </c>
      <c r="Y1827" s="113"/>
      <c r="Z1827" s="108" t="s">
        <v>4142</v>
      </c>
      <c r="AA1827" s="112">
        <v>4</v>
      </c>
      <c r="AB1827" s="111" t="s">
        <v>46</v>
      </c>
      <c r="AC1827" s="105" t="s">
        <v>4143</v>
      </c>
      <c r="AD1827" s="115" t="s">
        <v>180</v>
      </c>
    </row>
    <row r="1828" spans="1:30" x14ac:dyDescent="0.2">
      <c r="A1828" s="104" t="s">
        <v>4144</v>
      </c>
      <c r="B1828" s="105" t="s">
        <v>255</v>
      </c>
      <c r="C1828" s="105" t="s">
        <v>132</v>
      </c>
      <c r="D1828" s="106"/>
      <c r="E1828" s="107"/>
      <c r="F1828" s="108" t="s">
        <v>16163</v>
      </c>
      <c r="G1828" s="118">
        <v>3</v>
      </c>
      <c r="H1828" s="108" t="s">
        <v>16164</v>
      </c>
      <c r="I1828" s="117">
        <v>2</v>
      </c>
      <c r="J1828" s="111" t="s">
        <v>40</v>
      </c>
      <c r="K1828" s="108" t="s">
        <v>16165</v>
      </c>
      <c r="L1828" s="110">
        <v>3</v>
      </c>
      <c r="M1828" s="113"/>
      <c r="N1828" s="108" t="s">
        <v>16163</v>
      </c>
      <c r="O1828" s="110">
        <v>3</v>
      </c>
      <c r="P1828" s="113"/>
      <c r="Q1828" s="108" t="s">
        <v>16166</v>
      </c>
      <c r="R1828" s="110">
        <v>3</v>
      </c>
      <c r="S1828" s="113"/>
      <c r="T1828" s="108" t="s">
        <v>16167</v>
      </c>
      <c r="U1828" s="110">
        <v>3</v>
      </c>
      <c r="V1828" s="113"/>
      <c r="W1828" s="108" t="s">
        <v>16168</v>
      </c>
      <c r="X1828" s="112">
        <v>4</v>
      </c>
      <c r="Y1828" s="113"/>
      <c r="Z1828" s="108" t="s">
        <v>16169</v>
      </c>
      <c r="AA1828" s="112">
        <v>4</v>
      </c>
      <c r="AB1828" s="111" t="s">
        <v>46</v>
      </c>
      <c r="AC1828" s="105" t="s">
        <v>4145</v>
      </c>
      <c r="AD1828" s="115" t="s">
        <v>180</v>
      </c>
    </row>
    <row r="1829" spans="1:30" x14ac:dyDescent="0.2">
      <c r="A1829" s="104" t="s">
        <v>4146</v>
      </c>
      <c r="B1829" s="105" t="s">
        <v>255</v>
      </c>
      <c r="C1829" s="105" t="s">
        <v>132</v>
      </c>
      <c r="D1829" s="106"/>
      <c r="E1829" s="107"/>
      <c r="F1829" s="108" t="s">
        <v>16170</v>
      </c>
      <c r="G1829" s="118">
        <v>3</v>
      </c>
      <c r="H1829" s="108" t="s">
        <v>16171</v>
      </c>
      <c r="I1829" s="117">
        <v>2</v>
      </c>
      <c r="J1829" s="111" t="s">
        <v>40</v>
      </c>
      <c r="K1829" s="108" t="s">
        <v>16172</v>
      </c>
      <c r="L1829" s="110">
        <v>3</v>
      </c>
      <c r="M1829" s="113"/>
      <c r="N1829" s="108" t="s">
        <v>16170</v>
      </c>
      <c r="O1829" s="110">
        <v>3</v>
      </c>
      <c r="P1829" s="113"/>
      <c r="Q1829" s="108" t="s">
        <v>16173</v>
      </c>
      <c r="R1829" s="110">
        <v>3</v>
      </c>
      <c r="S1829" s="113"/>
      <c r="T1829" s="108" t="s">
        <v>16174</v>
      </c>
      <c r="U1829" s="110">
        <v>3</v>
      </c>
      <c r="V1829" s="113"/>
      <c r="W1829" s="108" t="s">
        <v>16175</v>
      </c>
      <c r="X1829" s="110">
        <v>3</v>
      </c>
      <c r="Y1829" s="113"/>
      <c r="Z1829" s="108" t="s">
        <v>16176</v>
      </c>
      <c r="AA1829" s="110">
        <v>3</v>
      </c>
      <c r="AB1829" s="113"/>
      <c r="AC1829" s="105" t="s">
        <v>4147</v>
      </c>
      <c r="AD1829" s="115" t="s">
        <v>180</v>
      </c>
    </row>
    <row r="1830" spans="1:30" x14ac:dyDescent="0.2">
      <c r="A1830" s="104" t="s">
        <v>4148</v>
      </c>
      <c r="B1830" s="105" t="s">
        <v>42</v>
      </c>
      <c r="C1830" s="105" t="s">
        <v>244</v>
      </c>
      <c r="D1830" s="106" t="s">
        <v>94</v>
      </c>
      <c r="E1830" s="107"/>
      <c r="F1830" s="108" t="s">
        <v>16177</v>
      </c>
      <c r="G1830" s="120">
        <v>2</v>
      </c>
      <c r="H1830" s="108" t="s">
        <v>16178</v>
      </c>
      <c r="I1830" s="110">
        <v>3</v>
      </c>
      <c r="J1830" s="113"/>
      <c r="K1830" s="108" t="s">
        <v>16179</v>
      </c>
      <c r="L1830" s="110">
        <v>3</v>
      </c>
      <c r="M1830" s="113"/>
      <c r="N1830" s="108" t="s">
        <v>16177</v>
      </c>
      <c r="O1830" s="117">
        <v>2</v>
      </c>
      <c r="P1830" s="113"/>
      <c r="Q1830" s="108" t="s">
        <v>16180</v>
      </c>
      <c r="R1830" s="117">
        <v>2</v>
      </c>
      <c r="S1830" s="113"/>
      <c r="T1830" s="108" t="s">
        <v>16181</v>
      </c>
      <c r="U1830" s="117">
        <v>2</v>
      </c>
      <c r="V1830" s="113"/>
      <c r="W1830" s="108" t="s">
        <v>16182</v>
      </c>
      <c r="X1830" s="117">
        <v>2</v>
      </c>
      <c r="Y1830" s="111" t="s">
        <v>46</v>
      </c>
      <c r="Z1830" s="108" t="s">
        <v>16183</v>
      </c>
      <c r="AA1830" s="117">
        <v>2</v>
      </c>
      <c r="AB1830" s="113"/>
      <c r="AC1830" s="105" t="s">
        <v>4149</v>
      </c>
      <c r="AD1830" s="115" t="s">
        <v>49</v>
      </c>
    </row>
    <row r="1831" spans="1:30" x14ac:dyDescent="0.2">
      <c r="A1831" s="104" t="s">
        <v>4150</v>
      </c>
      <c r="B1831" s="105" t="s">
        <v>42</v>
      </c>
      <c r="C1831" s="105" t="s">
        <v>3692</v>
      </c>
      <c r="D1831" s="106" t="s">
        <v>125</v>
      </c>
      <c r="E1831" s="107"/>
      <c r="F1831" s="108" t="s">
        <v>16184</v>
      </c>
      <c r="G1831" s="118">
        <v>3</v>
      </c>
      <c r="H1831" s="108" t="s">
        <v>16185</v>
      </c>
      <c r="I1831" s="116">
        <v>1</v>
      </c>
      <c r="J1831" s="111" t="s">
        <v>53</v>
      </c>
      <c r="K1831" s="108" t="s">
        <v>16186</v>
      </c>
      <c r="L1831" s="110">
        <v>3</v>
      </c>
      <c r="M1831" s="113"/>
      <c r="N1831" s="108" t="s">
        <v>16184</v>
      </c>
      <c r="O1831" s="110">
        <v>3</v>
      </c>
      <c r="P1831" s="111" t="s">
        <v>40</v>
      </c>
      <c r="Q1831" s="108" t="s">
        <v>16187</v>
      </c>
      <c r="R1831" s="112">
        <v>4</v>
      </c>
      <c r="S1831" s="113"/>
      <c r="T1831" s="108" t="s">
        <v>16188</v>
      </c>
      <c r="U1831" s="112">
        <v>4</v>
      </c>
      <c r="V1831" s="113"/>
      <c r="W1831" s="108" t="s">
        <v>4151</v>
      </c>
      <c r="X1831" s="110">
        <v>3</v>
      </c>
      <c r="Y1831" s="111" t="s">
        <v>46</v>
      </c>
      <c r="Z1831" s="108" t="s">
        <v>16189</v>
      </c>
      <c r="AA1831" s="117">
        <v>2</v>
      </c>
      <c r="AB1831" s="113"/>
      <c r="AC1831" s="105" t="s">
        <v>4152</v>
      </c>
      <c r="AD1831" s="115" t="s">
        <v>49</v>
      </c>
    </row>
    <row r="1832" spans="1:30" x14ac:dyDescent="0.2">
      <c r="A1832" s="104" t="s">
        <v>4153</v>
      </c>
      <c r="B1832" s="105" t="s">
        <v>42</v>
      </c>
      <c r="C1832" s="105" t="s">
        <v>51</v>
      </c>
      <c r="D1832" s="106"/>
      <c r="E1832" s="107" t="s">
        <v>99</v>
      </c>
      <c r="F1832" s="108" t="s">
        <v>16190</v>
      </c>
      <c r="G1832" s="118">
        <v>3</v>
      </c>
      <c r="H1832" s="108" t="s">
        <v>16191</v>
      </c>
      <c r="I1832" s="112">
        <v>4</v>
      </c>
      <c r="J1832" s="111" t="s">
        <v>55</v>
      </c>
      <c r="K1832" s="108" t="s">
        <v>16192</v>
      </c>
      <c r="L1832" s="110">
        <v>3</v>
      </c>
      <c r="M1832" s="111" t="s">
        <v>55</v>
      </c>
      <c r="N1832" s="108" t="s">
        <v>16190</v>
      </c>
      <c r="O1832" s="110">
        <v>3</v>
      </c>
      <c r="P1832" s="111" t="s">
        <v>46</v>
      </c>
      <c r="Q1832" s="108" t="s">
        <v>4154</v>
      </c>
      <c r="R1832" s="117">
        <v>2</v>
      </c>
      <c r="S1832" s="111" t="s">
        <v>40</v>
      </c>
      <c r="T1832" s="108" t="s">
        <v>16193</v>
      </c>
      <c r="U1832" s="112">
        <v>4</v>
      </c>
      <c r="V1832" s="113"/>
      <c r="W1832" s="108" t="s">
        <v>16194</v>
      </c>
      <c r="X1832" s="112">
        <v>4</v>
      </c>
      <c r="Y1832" s="113"/>
      <c r="Z1832" s="108" t="s">
        <v>16195</v>
      </c>
      <c r="AA1832" s="112">
        <v>4</v>
      </c>
      <c r="AB1832" s="113"/>
      <c r="AC1832" s="105" t="s">
        <v>4155</v>
      </c>
      <c r="AD1832" s="115" t="s">
        <v>49</v>
      </c>
    </row>
    <row r="1833" spans="1:30" x14ac:dyDescent="0.2">
      <c r="A1833" s="104" t="s">
        <v>4156</v>
      </c>
      <c r="B1833" s="105" t="s">
        <v>42</v>
      </c>
      <c r="C1833" s="105" t="s">
        <v>332</v>
      </c>
      <c r="D1833" s="106" t="s">
        <v>125</v>
      </c>
      <c r="E1833" s="107"/>
      <c r="F1833" s="108" t="s">
        <v>16196</v>
      </c>
      <c r="G1833" s="109">
        <v>4</v>
      </c>
      <c r="H1833" s="108" t="s">
        <v>16197</v>
      </c>
      <c r="I1833" s="112">
        <v>4</v>
      </c>
      <c r="J1833" s="111" t="s">
        <v>46</v>
      </c>
      <c r="K1833" s="108" t="s">
        <v>16198</v>
      </c>
      <c r="L1833" s="112">
        <v>4</v>
      </c>
      <c r="M1833" s="111" t="s">
        <v>46</v>
      </c>
      <c r="N1833" s="108" t="s">
        <v>16196</v>
      </c>
      <c r="O1833" s="112">
        <v>4</v>
      </c>
      <c r="P1833" s="111" t="s">
        <v>46</v>
      </c>
      <c r="Q1833" s="108" t="s">
        <v>16199</v>
      </c>
      <c r="R1833" s="112">
        <v>4</v>
      </c>
      <c r="S1833" s="111" t="s">
        <v>46</v>
      </c>
      <c r="T1833" s="108" t="s">
        <v>16200</v>
      </c>
      <c r="U1833" s="110">
        <v>3</v>
      </c>
      <c r="V1833" s="113"/>
      <c r="W1833" s="108" t="s">
        <v>16201</v>
      </c>
      <c r="X1833" s="110">
        <v>3</v>
      </c>
      <c r="Y1833" s="113"/>
      <c r="Z1833" s="108" t="s">
        <v>16202</v>
      </c>
      <c r="AA1833" s="110">
        <v>3</v>
      </c>
      <c r="AB1833" s="113"/>
      <c r="AC1833" s="105" t="s">
        <v>4157</v>
      </c>
      <c r="AD1833" s="115" t="s">
        <v>49</v>
      </c>
    </row>
    <row r="1834" spans="1:30" x14ac:dyDescent="0.2">
      <c r="A1834" s="104" t="s">
        <v>4158</v>
      </c>
      <c r="B1834" s="105" t="s">
        <v>42</v>
      </c>
      <c r="C1834" s="105" t="s">
        <v>332</v>
      </c>
      <c r="D1834" s="106" t="s">
        <v>125</v>
      </c>
      <c r="E1834" s="107"/>
      <c r="F1834" s="108" t="s">
        <v>16203</v>
      </c>
      <c r="G1834" s="109">
        <v>4</v>
      </c>
      <c r="H1834" s="108" t="s">
        <v>16204</v>
      </c>
      <c r="I1834" s="112">
        <v>4</v>
      </c>
      <c r="J1834" s="111" t="s">
        <v>46</v>
      </c>
      <c r="K1834" s="108" t="s">
        <v>16205</v>
      </c>
      <c r="L1834" s="112">
        <v>4</v>
      </c>
      <c r="M1834" s="111" t="s">
        <v>46</v>
      </c>
      <c r="N1834" s="108" t="s">
        <v>16203</v>
      </c>
      <c r="O1834" s="112">
        <v>4</v>
      </c>
      <c r="P1834" s="111" t="s">
        <v>46</v>
      </c>
      <c r="Q1834" s="108" t="s">
        <v>16206</v>
      </c>
      <c r="R1834" s="112">
        <v>4</v>
      </c>
      <c r="S1834" s="111" t="s">
        <v>46</v>
      </c>
      <c r="T1834" s="108" t="s">
        <v>16207</v>
      </c>
      <c r="U1834" s="110">
        <v>3</v>
      </c>
      <c r="V1834" s="113"/>
      <c r="W1834" s="108" t="s">
        <v>16208</v>
      </c>
      <c r="X1834" s="110">
        <v>3</v>
      </c>
      <c r="Y1834" s="113"/>
      <c r="Z1834" s="108" t="s">
        <v>16209</v>
      </c>
      <c r="AA1834" s="110">
        <v>3</v>
      </c>
      <c r="AB1834" s="113"/>
      <c r="AC1834" s="105" t="s">
        <v>4159</v>
      </c>
      <c r="AD1834" s="115" t="s">
        <v>49</v>
      </c>
    </row>
    <row r="1835" spans="1:30" x14ac:dyDescent="0.2">
      <c r="A1835" s="104" t="s">
        <v>4160</v>
      </c>
      <c r="B1835" s="105" t="s">
        <v>42</v>
      </c>
      <c r="C1835" s="105" t="s">
        <v>3841</v>
      </c>
      <c r="D1835" s="106"/>
      <c r="E1835" s="107"/>
      <c r="F1835" s="108" t="s">
        <v>8856</v>
      </c>
      <c r="G1835" s="118">
        <v>3</v>
      </c>
      <c r="H1835" s="108" t="s">
        <v>715</v>
      </c>
      <c r="I1835" s="112">
        <v>4</v>
      </c>
      <c r="J1835" s="111" t="s">
        <v>46</v>
      </c>
      <c r="K1835" s="108" t="s">
        <v>8856</v>
      </c>
      <c r="L1835" s="110">
        <v>3</v>
      </c>
      <c r="M1835" s="113"/>
      <c r="N1835" s="108" t="s">
        <v>8856</v>
      </c>
      <c r="O1835" s="110">
        <v>3</v>
      </c>
      <c r="P1835" s="113"/>
      <c r="Q1835" s="108" t="s">
        <v>8856</v>
      </c>
      <c r="R1835" s="110">
        <v>3</v>
      </c>
      <c r="S1835" s="113"/>
      <c r="T1835" s="108" t="s">
        <v>4161</v>
      </c>
      <c r="U1835" s="112">
        <v>4</v>
      </c>
      <c r="V1835" s="113"/>
      <c r="W1835" s="108" t="s">
        <v>16210</v>
      </c>
      <c r="X1835" s="112">
        <v>4</v>
      </c>
      <c r="Y1835" s="113"/>
      <c r="Z1835" s="108" t="s">
        <v>2678</v>
      </c>
      <c r="AA1835" s="110">
        <v>3</v>
      </c>
      <c r="AB1835" s="111" t="s">
        <v>46</v>
      </c>
      <c r="AC1835" s="105" t="s">
        <v>4162</v>
      </c>
      <c r="AD1835" s="115" t="s">
        <v>49</v>
      </c>
    </row>
    <row r="1836" spans="1:30" x14ac:dyDescent="0.2">
      <c r="A1836" s="104" t="s">
        <v>4163</v>
      </c>
      <c r="B1836" s="105" t="s">
        <v>42</v>
      </c>
      <c r="C1836" s="105" t="s">
        <v>51</v>
      </c>
      <c r="D1836" s="106"/>
      <c r="E1836" s="107"/>
      <c r="F1836" s="108" t="s">
        <v>16211</v>
      </c>
      <c r="G1836" s="118">
        <v>3</v>
      </c>
      <c r="H1836" s="108" t="s">
        <v>16212</v>
      </c>
      <c r="I1836" s="117">
        <v>2</v>
      </c>
      <c r="J1836" s="113"/>
      <c r="K1836" s="108" t="s">
        <v>16213</v>
      </c>
      <c r="L1836" s="117">
        <v>2</v>
      </c>
      <c r="M1836" s="111" t="s">
        <v>40</v>
      </c>
      <c r="N1836" s="108" t="s">
        <v>16211</v>
      </c>
      <c r="O1836" s="110">
        <v>3</v>
      </c>
      <c r="P1836" s="113"/>
      <c r="Q1836" s="108" t="s">
        <v>16214</v>
      </c>
      <c r="R1836" s="110">
        <v>3</v>
      </c>
      <c r="S1836" s="113"/>
      <c r="T1836" s="108" t="s">
        <v>16215</v>
      </c>
      <c r="U1836" s="110">
        <v>3</v>
      </c>
      <c r="V1836" s="113"/>
      <c r="W1836" s="108" t="s">
        <v>16216</v>
      </c>
      <c r="X1836" s="110">
        <v>3</v>
      </c>
      <c r="Y1836" s="113"/>
      <c r="Z1836" s="108" t="s">
        <v>4164</v>
      </c>
      <c r="AA1836" s="112">
        <v>4</v>
      </c>
      <c r="AB1836" s="113"/>
      <c r="AC1836" s="105" t="s">
        <v>4165</v>
      </c>
      <c r="AD1836" s="115" t="s">
        <v>49</v>
      </c>
    </row>
    <row r="1837" spans="1:30" x14ac:dyDescent="0.2">
      <c r="A1837" s="104" t="s">
        <v>4166</v>
      </c>
      <c r="B1837" s="105" t="s">
        <v>42</v>
      </c>
      <c r="C1837" s="105" t="s">
        <v>3692</v>
      </c>
      <c r="D1837" s="106" t="s">
        <v>125</v>
      </c>
      <c r="E1837" s="107"/>
      <c r="F1837" s="108" t="s">
        <v>16217</v>
      </c>
      <c r="G1837" s="118">
        <v>3</v>
      </c>
      <c r="H1837" s="108" t="s">
        <v>16218</v>
      </c>
      <c r="I1837" s="116">
        <v>1</v>
      </c>
      <c r="J1837" s="111" t="s">
        <v>53</v>
      </c>
      <c r="K1837" s="108" t="s">
        <v>16219</v>
      </c>
      <c r="L1837" s="110">
        <v>3</v>
      </c>
      <c r="M1837" s="111" t="s">
        <v>40</v>
      </c>
      <c r="N1837" s="108" t="s">
        <v>16217</v>
      </c>
      <c r="O1837" s="110">
        <v>3</v>
      </c>
      <c r="P1837" s="111" t="s">
        <v>40</v>
      </c>
      <c r="Q1837" s="108" t="s">
        <v>16220</v>
      </c>
      <c r="R1837" s="112">
        <v>4</v>
      </c>
      <c r="S1837" s="113"/>
      <c r="T1837" s="108" t="s">
        <v>16221</v>
      </c>
      <c r="U1837" s="112">
        <v>4</v>
      </c>
      <c r="V1837" s="113"/>
      <c r="W1837" s="108" t="s">
        <v>4167</v>
      </c>
      <c r="X1837" s="112">
        <v>4</v>
      </c>
      <c r="Y1837" s="111" t="s">
        <v>46</v>
      </c>
      <c r="Z1837" s="108" t="s">
        <v>16222</v>
      </c>
      <c r="AA1837" s="110">
        <v>3</v>
      </c>
      <c r="AB1837" s="113"/>
      <c r="AC1837" s="105" t="s">
        <v>4168</v>
      </c>
      <c r="AD1837" s="115" t="s">
        <v>49</v>
      </c>
    </row>
    <row r="1838" spans="1:30" x14ac:dyDescent="0.2">
      <c r="A1838" s="104" t="s">
        <v>4169</v>
      </c>
      <c r="B1838" s="105" t="s">
        <v>42</v>
      </c>
      <c r="C1838" s="105" t="s">
        <v>4170</v>
      </c>
      <c r="D1838" s="106"/>
      <c r="E1838" s="107"/>
      <c r="F1838" s="108" t="s">
        <v>47</v>
      </c>
      <c r="G1838" s="113"/>
      <c r="H1838" s="108" t="s">
        <v>47</v>
      </c>
      <c r="I1838" s="114"/>
      <c r="J1838" s="113"/>
      <c r="K1838" s="108" t="s">
        <v>47</v>
      </c>
      <c r="L1838" s="114"/>
      <c r="M1838" s="113"/>
      <c r="N1838" s="108" t="s">
        <v>47</v>
      </c>
      <c r="O1838" s="114"/>
      <c r="P1838" s="113"/>
      <c r="Q1838" s="108" t="s">
        <v>47</v>
      </c>
      <c r="R1838" s="114"/>
      <c r="S1838" s="113"/>
      <c r="T1838" s="108" t="s">
        <v>47</v>
      </c>
      <c r="U1838" s="114"/>
      <c r="V1838" s="113"/>
      <c r="W1838" s="108" t="s">
        <v>47</v>
      </c>
      <c r="X1838" s="114"/>
      <c r="Y1838" s="113"/>
      <c r="Z1838" s="108" t="s">
        <v>47</v>
      </c>
      <c r="AA1838" s="114"/>
      <c r="AB1838" s="113"/>
      <c r="AC1838" s="105" t="s">
        <v>4171</v>
      </c>
      <c r="AD1838" s="115" t="s">
        <v>101</v>
      </c>
    </row>
    <row r="1839" spans="1:30" x14ac:dyDescent="0.2">
      <c r="A1839" s="104" t="s">
        <v>4172</v>
      </c>
      <c r="B1839" s="105" t="s">
        <v>42</v>
      </c>
      <c r="C1839" s="105" t="s">
        <v>4170</v>
      </c>
      <c r="D1839" s="106"/>
      <c r="E1839" s="107"/>
      <c r="F1839" s="108" t="s">
        <v>47</v>
      </c>
      <c r="G1839" s="113"/>
      <c r="H1839" s="108" t="s">
        <v>47</v>
      </c>
      <c r="I1839" s="114"/>
      <c r="J1839" s="113"/>
      <c r="K1839" s="108" t="s">
        <v>47</v>
      </c>
      <c r="L1839" s="114"/>
      <c r="M1839" s="113"/>
      <c r="N1839" s="108" t="s">
        <v>47</v>
      </c>
      <c r="O1839" s="114"/>
      <c r="P1839" s="113"/>
      <c r="Q1839" s="108" t="s">
        <v>47</v>
      </c>
      <c r="R1839" s="114"/>
      <c r="S1839" s="113"/>
      <c r="T1839" s="108" t="s">
        <v>47</v>
      </c>
      <c r="U1839" s="114"/>
      <c r="V1839" s="113"/>
      <c r="W1839" s="108" t="s">
        <v>47</v>
      </c>
      <c r="X1839" s="114"/>
      <c r="Y1839" s="113"/>
      <c r="Z1839" s="108" t="s">
        <v>47</v>
      </c>
      <c r="AA1839" s="114"/>
      <c r="AB1839" s="113"/>
      <c r="AC1839" s="105" t="s">
        <v>4173</v>
      </c>
      <c r="AD1839" s="115" t="s">
        <v>101</v>
      </c>
    </row>
    <row r="1840" spans="1:30" x14ac:dyDescent="0.2">
      <c r="A1840" s="104" t="s">
        <v>4174</v>
      </c>
      <c r="B1840" s="105" t="s">
        <v>97</v>
      </c>
      <c r="C1840" s="105" t="s">
        <v>2821</v>
      </c>
      <c r="D1840" s="106"/>
      <c r="E1840" s="107"/>
      <c r="F1840" s="108" t="s">
        <v>47</v>
      </c>
      <c r="G1840" s="113"/>
      <c r="H1840" s="108" t="s">
        <v>47</v>
      </c>
      <c r="I1840" s="114"/>
      <c r="J1840" s="113"/>
      <c r="K1840" s="108" t="s">
        <v>47</v>
      </c>
      <c r="L1840" s="114"/>
      <c r="M1840" s="113"/>
      <c r="N1840" s="108" t="s">
        <v>47</v>
      </c>
      <c r="O1840" s="114"/>
      <c r="P1840" s="113"/>
      <c r="Q1840" s="108" t="s">
        <v>47</v>
      </c>
      <c r="R1840" s="114"/>
      <c r="S1840" s="113"/>
      <c r="T1840" s="108" t="s">
        <v>47</v>
      </c>
      <c r="U1840" s="114"/>
      <c r="V1840" s="113"/>
      <c r="W1840" s="108" t="s">
        <v>47</v>
      </c>
      <c r="X1840" s="114"/>
      <c r="Y1840" s="113"/>
      <c r="Z1840" s="108" t="s">
        <v>47</v>
      </c>
      <c r="AA1840" s="114"/>
      <c r="AB1840" s="113"/>
      <c r="AC1840" s="105" t="s">
        <v>4175</v>
      </c>
      <c r="AD1840" s="115" t="s">
        <v>101</v>
      </c>
    </row>
    <row r="1841" spans="1:30" x14ac:dyDescent="0.2">
      <c r="A1841" s="104" t="s">
        <v>4176</v>
      </c>
      <c r="B1841" s="105" t="s">
        <v>111</v>
      </c>
      <c r="C1841" s="105" t="s">
        <v>112</v>
      </c>
      <c r="D1841" s="106"/>
      <c r="E1841" s="107"/>
      <c r="F1841" s="108" t="s">
        <v>16223</v>
      </c>
      <c r="G1841" s="120">
        <v>2</v>
      </c>
      <c r="H1841" s="108" t="s">
        <v>16224</v>
      </c>
      <c r="I1841" s="117">
        <v>2</v>
      </c>
      <c r="J1841" s="113"/>
      <c r="K1841" s="108" t="s">
        <v>16225</v>
      </c>
      <c r="L1841" s="116">
        <v>1</v>
      </c>
      <c r="M1841" s="113"/>
      <c r="N1841" s="108" t="s">
        <v>16223</v>
      </c>
      <c r="O1841" s="117">
        <v>2</v>
      </c>
      <c r="P1841" s="113"/>
      <c r="Q1841" s="108" t="s">
        <v>16226</v>
      </c>
      <c r="R1841" s="110">
        <v>3</v>
      </c>
      <c r="S1841" s="113"/>
      <c r="T1841" s="108" t="s">
        <v>16227</v>
      </c>
      <c r="U1841" s="110">
        <v>3</v>
      </c>
      <c r="V1841" s="113"/>
      <c r="W1841" s="108" t="s">
        <v>16228</v>
      </c>
      <c r="X1841" s="110">
        <v>3</v>
      </c>
      <c r="Y1841" s="113"/>
      <c r="Z1841" s="108" t="s">
        <v>16229</v>
      </c>
      <c r="AA1841" s="117">
        <v>2</v>
      </c>
      <c r="AB1841" s="113"/>
      <c r="AC1841" s="105" t="s">
        <v>4177</v>
      </c>
      <c r="AD1841" s="115" t="s">
        <v>114</v>
      </c>
    </row>
    <row r="1842" spans="1:30" x14ac:dyDescent="0.2">
      <c r="A1842" s="104" t="s">
        <v>4178</v>
      </c>
      <c r="B1842" s="105" t="s">
        <v>111</v>
      </c>
      <c r="C1842" s="105" t="s">
        <v>2716</v>
      </c>
      <c r="D1842" s="106" t="s">
        <v>94</v>
      </c>
      <c r="E1842" s="107"/>
      <c r="F1842" s="108" t="s">
        <v>16230</v>
      </c>
      <c r="G1842" s="120">
        <v>2</v>
      </c>
      <c r="H1842" s="108" t="s">
        <v>16231</v>
      </c>
      <c r="I1842" s="117">
        <v>2</v>
      </c>
      <c r="J1842" s="111" t="s">
        <v>46</v>
      </c>
      <c r="K1842" s="108" t="s">
        <v>16232</v>
      </c>
      <c r="L1842" s="117">
        <v>2</v>
      </c>
      <c r="M1842" s="113"/>
      <c r="N1842" s="108" t="s">
        <v>16230</v>
      </c>
      <c r="O1842" s="117">
        <v>2</v>
      </c>
      <c r="P1842" s="113"/>
      <c r="Q1842" s="108" t="s">
        <v>16233</v>
      </c>
      <c r="R1842" s="117">
        <v>2</v>
      </c>
      <c r="S1842" s="111" t="s">
        <v>40</v>
      </c>
      <c r="T1842" s="108" t="s">
        <v>16234</v>
      </c>
      <c r="U1842" s="117">
        <v>2</v>
      </c>
      <c r="V1842" s="113"/>
      <c r="W1842" s="108" t="s">
        <v>16235</v>
      </c>
      <c r="X1842" s="117">
        <v>2</v>
      </c>
      <c r="Y1842" s="111" t="s">
        <v>46</v>
      </c>
      <c r="Z1842" s="108" t="s">
        <v>47</v>
      </c>
      <c r="AA1842" s="114"/>
      <c r="AB1842" s="113"/>
      <c r="AC1842" s="105" t="s">
        <v>4179</v>
      </c>
      <c r="AD1842" s="115" t="s">
        <v>101</v>
      </c>
    </row>
    <row r="1843" spans="1:30" x14ac:dyDescent="0.2">
      <c r="A1843" s="104" t="s">
        <v>4180</v>
      </c>
      <c r="B1843" s="105" t="s">
        <v>103</v>
      </c>
      <c r="C1843" s="105" t="s">
        <v>3692</v>
      </c>
      <c r="D1843" s="106" t="s">
        <v>105</v>
      </c>
      <c r="E1843" s="107"/>
      <c r="F1843" s="108" t="s">
        <v>16236</v>
      </c>
      <c r="G1843" s="118">
        <v>3</v>
      </c>
      <c r="H1843" s="108" t="s">
        <v>16237</v>
      </c>
      <c r="I1843" s="112">
        <v>4</v>
      </c>
      <c r="J1843" s="111" t="s">
        <v>55</v>
      </c>
      <c r="K1843" s="108" t="s">
        <v>16238</v>
      </c>
      <c r="L1843" s="110">
        <v>3</v>
      </c>
      <c r="M1843" s="111" t="s">
        <v>46</v>
      </c>
      <c r="N1843" s="108" t="s">
        <v>16236</v>
      </c>
      <c r="O1843" s="110">
        <v>3</v>
      </c>
      <c r="P1843" s="111" t="s">
        <v>46</v>
      </c>
      <c r="Q1843" s="108" t="s">
        <v>16239</v>
      </c>
      <c r="R1843" s="110">
        <v>3</v>
      </c>
      <c r="S1843" s="111" t="s">
        <v>40</v>
      </c>
      <c r="T1843" s="108" t="s">
        <v>16240</v>
      </c>
      <c r="U1843" s="112">
        <v>4</v>
      </c>
      <c r="V1843" s="113"/>
      <c r="W1843" s="108" t="s">
        <v>16241</v>
      </c>
      <c r="X1843" s="112">
        <v>4</v>
      </c>
      <c r="Y1843" s="113"/>
      <c r="Z1843" s="108" t="s">
        <v>16242</v>
      </c>
      <c r="AA1843" s="112">
        <v>4</v>
      </c>
      <c r="AB1843" s="113"/>
      <c r="AC1843" s="105" t="s">
        <v>4181</v>
      </c>
      <c r="AD1843" s="115" t="s">
        <v>49</v>
      </c>
    </row>
    <row r="1844" spans="1:30" x14ac:dyDescent="0.2">
      <c r="A1844" s="104" t="s">
        <v>4182</v>
      </c>
      <c r="B1844" s="105" t="s">
        <v>103</v>
      </c>
      <c r="C1844" s="105" t="s">
        <v>160</v>
      </c>
      <c r="D1844" s="106"/>
      <c r="E1844" s="107"/>
      <c r="F1844" s="108" t="s">
        <v>11965</v>
      </c>
      <c r="G1844" s="119">
        <v>1</v>
      </c>
      <c r="H1844" s="108" t="s">
        <v>16243</v>
      </c>
      <c r="I1844" s="116">
        <v>1</v>
      </c>
      <c r="J1844" s="113"/>
      <c r="K1844" s="108" t="s">
        <v>4183</v>
      </c>
      <c r="L1844" s="116">
        <v>1</v>
      </c>
      <c r="M1844" s="113"/>
      <c r="N1844" s="108" t="s">
        <v>11965</v>
      </c>
      <c r="O1844" s="116">
        <v>1</v>
      </c>
      <c r="P1844" s="113"/>
      <c r="Q1844" s="108" t="s">
        <v>16244</v>
      </c>
      <c r="R1844" s="116">
        <v>1</v>
      </c>
      <c r="S1844" s="113"/>
      <c r="T1844" s="108" t="s">
        <v>47</v>
      </c>
      <c r="U1844" s="114"/>
      <c r="V1844" s="113"/>
      <c r="W1844" s="108" t="s">
        <v>47</v>
      </c>
      <c r="X1844" s="114"/>
      <c r="Y1844" s="113"/>
      <c r="Z1844" s="108" t="s">
        <v>47</v>
      </c>
      <c r="AA1844" s="114"/>
      <c r="AB1844" s="113"/>
      <c r="AC1844" s="105" t="s">
        <v>4184</v>
      </c>
      <c r="AD1844" s="115" t="s">
        <v>49</v>
      </c>
    </row>
    <row r="1845" spans="1:30" x14ac:dyDescent="0.2">
      <c r="A1845" s="104" t="s">
        <v>4185</v>
      </c>
      <c r="B1845" s="105" t="s">
        <v>103</v>
      </c>
      <c r="C1845" s="105" t="s">
        <v>160</v>
      </c>
      <c r="D1845" s="106"/>
      <c r="E1845" s="107"/>
      <c r="F1845" s="108" t="s">
        <v>11950</v>
      </c>
      <c r="G1845" s="119">
        <v>1</v>
      </c>
      <c r="H1845" s="108" t="s">
        <v>16245</v>
      </c>
      <c r="I1845" s="116">
        <v>1</v>
      </c>
      <c r="J1845" s="113"/>
      <c r="K1845" s="108" t="s">
        <v>4186</v>
      </c>
      <c r="L1845" s="116">
        <v>1</v>
      </c>
      <c r="M1845" s="113"/>
      <c r="N1845" s="108" t="s">
        <v>11950</v>
      </c>
      <c r="O1845" s="116">
        <v>1</v>
      </c>
      <c r="P1845" s="113"/>
      <c r="Q1845" s="108" t="s">
        <v>47</v>
      </c>
      <c r="R1845" s="114"/>
      <c r="S1845" s="113"/>
      <c r="T1845" s="108" t="s">
        <v>47</v>
      </c>
      <c r="U1845" s="114"/>
      <c r="V1845" s="113"/>
      <c r="W1845" s="108" t="s">
        <v>47</v>
      </c>
      <c r="X1845" s="114"/>
      <c r="Y1845" s="113"/>
      <c r="Z1845" s="108" t="s">
        <v>47</v>
      </c>
      <c r="AA1845" s="114"/>
      <c r="AB1845" s="113"/>
      <c r="AC1845" s="105" t="s">
        <v>4187</v>
      </c>
      <c r="AD1845" s="115" t="s">
        <v>49</v>
      </c>
    </row>
    <row r="1846" spans="1:30" x14ac:dyDescent="0.2">
      <c r="A1846" s="104" t="s">
        <v>4188</v>
      </c>
      <c r="B1846" s="105" t="s">
        <v>103</v>
      </c>
      <c r="C1846" s="105" t="s">
        <v>160</v>
      </c>
      <c r="D1846" s="106"/>
      <c r="E1846" s="107"/>
      <c r="F1846" s="108" t="s">
        <v>16246</v>
      </c>
      <c r="G1846" s="119">
        <v>1</v>
      </c>
      <c r="H1846" s="108" t="s">
        <v>16247</v>
      </c>
      <c r="I1846" s="116">
        <v>1</v>
      </c>
      <c r="J1846" s="113"/>
      <c r="K1846" s="108" t="s">
        <v>16248</v>
      </c>
      <c r="L1846" s="116">
        <v>1</v>
      </c>
      <c r="M1846" s="113"/>
      <c r="N1846" s="108" t="s">
        <v>16246</v>
      </c>
      <c r="O1846" s="116">
        <v>1</v>
      </c>
      <c r="P1846" s="113"/>
      <c r="Q1846" s="108" t="s">
        <v>16249</v>
      </c>
      <c r="R1846" s="116">
        <v>1</v>
      </c>
      <c r="S1846" s="113"/>
      <c r="T1846" s="108" t="s">
        <v>16250</v>
      </c>
      <c r="U1846" s="116">
        <v>1</v>
      </c>
      <c r="V1846" s="113"/>
      <c r="W1846" s="108" t="s">
        <v>16251</v>
      </c>
      <c r="X1846" s="116">
        <v>1</v>
      </c>
      <c r="Y1846" s="113"/>
      <c r="Z1846" s="108" t="s">
        <v>4189</v>
      </c>
      <c r="AA1846" s="116">
        <v>1</v>
      </c>
      <c r="AB1846" s="113"/>
      <c r="AC1846" s="105" t="s">
        <v>4190</v>
      </c>
      <c r="AD1846" s="115" t="s">
        <v>49</v>
      </c>
    </row>
    <row r="1847" spans="1:30" x14ac:dyDescent="0.2">
      <c r="A1847" s="104" t="s">
        <v>4191</v>
      </c>
      <c r="B1847" s="105" t="s">
        <v>103</v>
      </c>
      <c r="C1847" s="105" t="s">
        <v>160</v>
      </c>
      <c r="D1847" s="106"/>
      <c r="E1847" s="107"/>
      <c r="F1847" s="108" t="s">
        <v>16252</v>
      </c>
      <c r="G1847" s="119">
        <v>1</v>
      </c>
      <c r="H1847" s="108" t="s">
        <v>16253</v>
      </c>
      <c r="I1847" s="116">
        <v>1</v>
      </c>
      <c r="J1847" s="113"/>
      <c r="K1847" s="108" t="s">
        <v>16254</v>
      </c>
      <c r="L1847" s="116">
        <v>1</v>
      </c>
      <c r="M1847" s="113"/>
      <c r="N1847" s="108" t="s">
        <v>16252</v>
      </c>
      <c r="O1847" s="116">
        <v>1</v>
      </c>
      <c r="P1847" s="113"/>
      <c r="Q1847" s="108" t="s">
        <v>16255</v>
      </c>
      <c r="R1847" s="116">
        <v>1</v>
      </c>
      <c r="S1847" s="113"/>
      <c r="T1847" s="108" t="s">
        <v>16256</v>
      </c>
      <c r="U1847" s="116">
        <v>1</v>
      </c>
      <c r="V1847" s="113"/>
      <c r="W1847" s="108" t="s">
        <v>47</v>
      </c>
      <c r="X1847" s="114"/>
      <c r="Y1847" s="113"/>
      <c r="Z1847" s="108" t="s">
        <v>47</v>
      </c>
      <c r="AA1847" s="114"/>
      <c r="AB1847" s="113"/>
      <c r="AC1847" s="105" t="s">
        <v>4192</v>
      </c>
      <c r="AD1847" s="115" t="s">
        <v>49</v>
      </c>
    </row>
    <row r="1848" spans="1:30" x14ac:dyDescent="0.2">
      <c r="A1848" s="104" t="s">
        <v>16257</v>
      </c>
      <c r="B1848" s="105" t="s">
        <v>103</v>
      </c>
      <c r="C1848" s="105" t="s">
        <v>1644</v>
      </c>
      <c r="D1848" s="106"/>
      <c r="E1848" s="107"/>
      <c r="F1848" s="108" t="s">
        <v>16258</v>
      </c>
      <c r="G1848" s="120">
        <v>2</v>
      </c>
      <c r="H1848" s="108" t="s">
        <v>16259</v>
      </c>
      <c r="I1848" s="116">
        <v>1</v>
      </c>
      <c r="J1848" s="113"/>
      <c r="K1848" s="108" t="s">
        <v>16260</v>
      </c>
      <c r="L1848" s="116">
        <v>1</v>
      </c>
      <c r="M1848" s="111" t="s">
        <v>40</v>
      </c>
      <c r="N1848" s="108" t="s">
        <v>16258</v>
      </c>
      <c r="O1848" s="117">
        <v>2</v>
      </c>
      <c r="P1848" s="113"/>
      <c r="Q1848" s="108" t="s">
        <v>16261</v>
      </c>
      <c r="R1848" s="117">
        <v>2</v>
      </c>
      <c r="S1848" s="111" t="s">
        <v>40</v>
      </c>
      <c r="T1848" s="108" t="s">
        <v>16262</v>
      </c>
      <c r="U1848" s="110">
        <v>3</v>
      </c>
      <c r="V1848" s="113"/>
      <c r="W1848" s="108" t="s">
        <v>16263</v>
      </c>
      <c r="X1848" s="110">
        <v>3</v>
      </c>
      <c r="Y1848" s="113"/>
      <c r="Z1848" s="108" t="s">
        <v>16264</v>
      </c>
      <c r="AA1848" s="112">
        <v>4</v>
      </c>
      <c r="AB1848" s="113"/>
      <c r="AC1848" s="105" t="s">
        <v>4193</v>
      </c>
      <c r="AD1848" s="115" t="s">
        <v>49</v>
      </c>
    </row>
    <row r="1849" spans="1:30" x14ac:dyDescent="0.2">
      <c r="A1849" s="104" t="s">
        <v>16265</v>
      </c>
      <c r="B1849" s="105" t="s">
        <v>103</v>
      </c>
      <c r="C1849" s="105" t="s">
        <v>1644</v>
      </c>
      <c r="D1849" s="106"/>
      <c r="E1849" s="107"/>
      <c r="F1849" s="108" t="s">
        <v>16266</v>
      </c>
      <c r="G1849" s="120">
        <v>2</v>
      </c>
      <c r="H1849" s="108" t="s">
        <v>16267</v>
      </c>
      <c r="I1849" s="116">
        <v>1</v>
      </c>
      <c r="J1849" s="113"/>
      <c r="K1849" s="108" t="s">
        <v>16268</v>
      </c>
      <c r="L1849" s="116">
        <v>1</v>
      </c>
      <c r="M1849" s="111" t="s">
        <v>40</v>
      </c>
      <c r="N1849" s="108" t="s">
        <v>16266</v>
      </c>
      <c r="O1849" s="117">
        <v>2</v>
      </c>
      <c r="P1849" s="113"/>
      <c r="Q1849" s="108" t="s">
        <v>16269</v>
      </c>
      <c r="R1849" s="117">
        <v>2</v>
      </c>
      <c r="S1849" s="111" t="s">
        <v>40</v>
      </c>
      <c r="T1849" s="108" t="s">
        <v>16270</v>
      </c>
      <c r="U1849" s="110">
        <v>3</v>
      </c>
      <c r="V1849" s="113"/>
      <c r="W1849" s="108" t="s">
        <v>16271</v>
      </c>
      <c r="X1849" s="112">
        <v>4</v>
      </c>
      <c r="Y1849" s="113"/>
      <c r="Z1849" s="108" t="s">
        <v>16272</v>
      </c>
      <c r="AA1849" s="112">
        <v>4</v>
      </c>
      <c r="AB1849" s="113"/>
      <c r="AC1849" s="105" t="s">
        <v>4194</v>
      </c>
      <c r="AD1849" s="115" t="s">
        <v>49</v>
      </c>
    </row>
    <row r="1850" spans="1:30" x14ac:dyDescent="0.2">
      <c r="A1850" s="104" t="s">
        <v>4195</v>
      </c>
      <c r="B1850" s="105" t="s">
        <v>103</v>
      </c>
      <c r="C1850" s="105" t="s">
        <v>495</v>
      </c>
      <c r="D1850" s="106" t="s">
        <v>125</v>
      </c>
      <c r="E1850" s="107" t="s">
        <v>99</v>
      </c>
      <c r="F1850" s="108" t="s">
        <v>16273</v>
      </c>
      <c r="G1850" s="119">
        <v>1</v>
      </c>
      <c r="H1850" s="108" t="s">
        <v>16274</v>
      </c>
      <c r="I1850" s="117">
        <v>2</v>
      </c>
      <c r="J1850" s="111" t="s">
        <v>46</v>
      </c>
      <c r="K1850" s="108" t="s">
        <v>16275</v>
      </c>
      <c r="L1850" s="116">
        <v>1</v>
      </c>
      <c r="M1850" s="113"/>
      <c r="N1850" s="108" t="s">
        <v>16273</v>
      </c>
      <c r="O1850" s="116">
        <v>1</v>
      </c>
      <c r="P1850" s="113"/>
      <c r="Q1850" s="108" t="s">
        <v>16276</v>
      </c>
      <c r="R1850" s="117">
        <v>2</v>
      </c>
      <c r="S1850" s="113"/>
      <c r="T1850" s="108" t="s">
        <v>16277</v>
      </c>
      <c r="U1850" s="110">
        <v>3</v>
      </c>
      <c r="V1850" s="113"/>
      <c r="W1850" s="108" t="s">
        <v>16278</v>
      </c>
      <c r="X1850" s="110">
        <v>3</v>
      </c>
      <c r="Y1850" s="113"/>
      <c r="Z1850" s="108" t="s">
        <v>16279</v>
      </c>
      <c r="AA1850" s="110">
        <v>3</v>
      </c>
      <c r="AB1850" s="113"/>
      <c r="AC1850" s="105" t="s">
        <v>4196</v>
      </c>
      <c r="AD1850" s="115" t="s">
        <v>49</v>
      </c>
    </row>
    <row r="1851" spans="1:30" x14ac:dyDescent="0.2">
      <c r="A1851" s="104" t="s">
        <v>4197</v>
      </c>
      <c r="B1851" s="105" t="s">
        <v>103</v>
      </c>
      <c r="C1851" s="105" t="s">
        <v>495</v>
      </c>
      <c r="D1851" s="106" t="s">
        <v>105</v>
      </c>
      <c r="E1851" s="107" t="s">
        <v>99</v>
      </c>
      <c r="F1851" s="108" t="s">
        <v>16280</v>
      </c>
      <c r="G1851" s="120">
        <v>2</v>
      </c>
      <c r="H1851" s="108" t="s">
        <v>16281</v>
      </c>
      <c r="I1851" s="117">
        <v>2</v>
      </c>
      <c r="J1851" s="111" t="s">
        <v>46</v>
      </c>
      <c r="K1851" s="108" t="s">
        <v>16282</v>
      </c>
      <c r="L1851" s="116">
        <v>1</v>
      </c>
      <c r="M1851" s="113"/>
      <c r="N1851" s="108" t="s">
        <v>16280</v>
      </c>
      <c r="O1851" s="117">
        <v>2</v>
      </c>
      <c r="P1851" s="113"/>
      <c r="Q1851" s="108" t="s">
        <v>16283</v>
      </c>
      <c r="R1851" s="117">
        <v>2</v>
      </c>
      <c r="S1851" s="113"/>
      <c r="T1851" s="108" t="s">
        <v>16284</v>
      </c>
      <c r="U1851" s="110">
        <v>3</v>
      </c>
      <c r="V1851" s="113"/>
      <c r="W1851" s="108" t="s">
        <v>47</v>
      </c>
      <c r="X1851" s="114"/>
      <c r="Y1851" s="113"/>
      <c r="Z1851" s="108" t="s">
        <v>47</v>
      </c>
      <c r="AA1851" s="114"/>
      <c r="AB1851" s="113"/>
      <c r="AC1851" s="105" t="s">
        <v>4198</v>
      </c>
      <c r="AD1851" s="115" t="s">
        <v>49</v>
      </c>
    </row>
    <row r="1852" spans="1:30" x14ac:dyDescent="0.2">
      <c r="A1852" s="104" t="s">
        <v>16285</v>
      </c>
      <c r="B1852" s="105" t="s">
        <v>103</v>
      </c>
      <c r="C1852" s="105" t="s">
        <v>132</v>
      </c>
      <c r="D1852" s="106" t="s">
        <v>125</v>
      </c>
      <c r="E1852" s="107" t="s">
        <v>99</v>
      </c>
      <c r="F1852" s="108" t="s">
        <v>16286</v>
      </c>
      <c r="G1852" s="119">
        <v>1</v>
      </c>
      <c r="H1852" s="108" t="s">
        <v>16287</v>
      </c>
      <c r="I1852" s="116">
        <v>1</v>
      </c>
      <c r="J1852" s="111" t="s">
        <v>53</v>
      </c>
      <c r="K1852" s="108" t="s">
        <v>16288</v>
      </c>
      <c r="L1852" s="116">
        <v>1</v>
      </c>
      <c r="M1852" s="111" t="s">
        <v>40</v>
      </c>
      <c r="N1852" s="108" t="s">
        <v>16286</v>
      </c>
      <c r="O1852" s="116">
        <v>1</v>
      </c>
      <c r="P1852" s="111" t="s">
        <v>40</v>
      </c>
      <c r="Q1852" s="108" t="s">
        <v>16289</v>
      </c>
      <c r="R1852" s="116">
        <v>1</v>
      </c>
      <c r="S1852" s="111" t="s">
        <v>40</v>
      </c>
      <c r="T1852" s="108" t="s">
        <v>16290</v>
      </c>
      <c r="U1852" s="116">
        <v>1</v>
      </c>
      <c r="V1852" s="111" t="s">
        <v>40</v>
      </c>
      <c r="W1852" s="108" t="s">
        <v>16291</v>
      </c>
      <c r="X1852" s="117">
        <v>2</v>
      </c>
      <c r="Y1852" s="113"/>
      <c r="Z1852" s="108" t="s">
        <v>47</v>
      </c>
      <c r="AA1852" s="114"/>
      <c r="AB1852" s="113"/>
      <c r="AC1852" s="105" t="s">
        <v>4199</v>
      </c>
      <c r="AD1852" s="115" t="s">
        <v>49</v>
      </c>
    </row>
    <row r="1853" spans="1:30" x14ac:dyDescent="0.2">
      <c r="A1853" s="104" t="s">
        <v>16292</v>
      </c>
      <c r="B1853" s="105" t="s">
        <v>103</v>
      </c>
      <c r="C1853" s="105" t="s">
        <v>132</v>
      </c>
      <c r="D1853" s="106"/>
      <c r="E1853" s="107" t="s">
        <v>99</v>
      </c>
      <c r="F1853" s="108" t="s">
        <v>47</v>
      </c>
      <c r="G1853" s="113"/>
      <c r="H1853" s="108" t="s">
        <v>16293</v>
      </c>
      <c r="I1853" s="116">
        <v>1</v>
      </c>
      <c r="J1853" s="111" t="s">
        <v>53</v>
      </c>
      <c r="K1853" s="108" t="s">
        <v>16294</v>
      </c>
      <c r="L1853" s="116">
        <v>1</v>
      </c>
      <c r="M1853" s="111" t="s">
        <v>40</v>
      </c>
      <c r="N1853" s="108" t="s">
        <v>47</v>
      </c>
      <c r="O1853" s="114"/>
      <c r="P1853" s="113"/>
      <c r="Q1853" s="108" t="s">
        <v>47</v>
      </c>
      <c r="R1853" s="114"/>
      <c r="S1853" s="113"/>
      <c r="T1853" s="108" t="s">
        <v>47</v>
      </c>
      <c r="U1853" s="114"/>
      <c r="V1853" s="113"/>
      <c r="W1853" s="108" t="s">
        <v>47</v>
      </c>
      <c r="X1853" s="114"/>
      <c r="Y1853" s="113"/>
      <c r="Z1853" s="108" t="s">
        <v>47</v>
      </c>
      <c r="AA1853" s="114"/>
      <c r="AB1853" s="113"/>
      <c r="AC1853" s="105" t="s">
        <v>4200</v>
      </c>
      <c r="AD1853" s="115" t="s">
        <v>49</v>
      </c>
    </row>
    <row r="1854" spans="1:30" x14ac:dyDescent="0.2">
      <c r="A1854" s="104" t="s">
        <v>4201</v>
      </c>
      <c r="B1854" s="105" t="s">
        <v>103</v>
      </c>
      <c r="C1854" s="105" t="s">
        <v>132</v>
      </c>
      <c r="D1854" s="106" t="s">
        <v>125</v>
      </c>
      <c r="E1854" s="107" t="s">
        <v>146</v>
      </c>
      <c r="F1854" s="108" t="s">
        <v>16295</v>
      </c>
      <c r="G1854" s="118">
        <v>3</v>
      </c>
      <c r="H1854" s="108" t="s">
        <v>16296</v>
      </c>
      <c r="I1854" s="110">
        <v>3</v>
      </c>
      <c r="J1854" s="111" t="s">
        <v>40</v>
      </c>
      <c r="K1854" s="108" t="s">
        <v>16297</v>
      </c>
      <c r="L1854" s="110">
        <v>3</v>
      </c>
      <c r="M1854" s="111" t="s">
        <v>40</v>
      </c>
      <c r="N1854" s="108" t="s">
        <v>16295</v>
      </c>
      <c r="O1854" s="110">
        <v>3</v>
      </c>
      <c r="P1854" s="113"/>
      <c r="Q1854" s="108" t="s">
        <v>16298</v>
      </c>
      <c r="R1854" s="110">
        <v>3</v>
      </c>
      <c r="S1854" s="113"/>
      <c r="T1854" s="108" t="s">
        <v>16299</v>
      </c>
      <c r="U1854" s="110">
        <v>3</v>
      </c>
      <c r="V1854" s="113"/>
      <c r="W1854" s="108" t="s">
        <v>16300</v>
      </c>
      <c r="X1854" s="110">
        <v>3</v>
      </c>
      <c r="Y1854" s="113"/>
      <c r="Z1854" s="108" t="s">
        <v>47</v>
      </c>
      <c r="AA1854" s="114"/>
      <c r="AB1854" s="113"/>
      <c r="AC1854" s="105" t="s">
        <v>4202</v>
      </c>
      <c r="AD1854" s="115" t="s">
        <v>49</v>
      </c>
    </row>
    <row r="1855" spans="1:30" x14ac:dyDescent="0.2">
      <c r="A1855" s="104" t="s">
        <v>4203</v>
      </c>
      <c r="B1855" s="105" t="s">
        <v>103</v>
      </c>
      <c r="C1855" s="105" t="s">
        <v>132</v>
      </c>
      <c r="D1855" s="106" t="s">
        <v>125</v>
      </c>
      <c r="E1855" s="107" t="s">
        <v>146</v>
      </c>
      <c r="F1855" s="108" t="s">
        <v>16301</v>
      </c>
      <c r="G1855" s="118">
        <v>3</v>
      </c>
      <c r="H1855" s="108" t="s">
        <v>16302</v>
      </c>
      <c r="I1855" s="117">
        <v>2</v>
      </c>
      <c r="J1855" s="111" t="s">
        <v>53</v>
      </c>
      <c r="K1855" s="108" t="s">
        <v>16303</v>
      </c>
      <c r="L1855" s="110">
        <v>3</v>
      </c>
      <c r="M1855" s="113"/>
      <c r="N1855" s="108" t="s">
        <v>16301</v>
      </c>
      <c r="O1855" s="110">
        <v>3</v>
      </c>
      <c r="P1855" s="113"/>
      <c r="Q1855" s="108" t="s">
        <v>16304</v>
      </c>
      <c r="R1855" s="110">
        <v>3</v>
      </c>
      <c r="S1855" s="111" t="s">
        <v>46</v>
      </c>
      <c r="T1855" s="108" t="s">
        <v>16305</v>
      </c>
      <c r="U1855" s="117">
        <v>2</v>
      </c>
      <c r="V1855" s="113"/>
      <c r="W1855" s="108" t="s">
        <v>16306</v>
      </c>
      <c r="X1855" s="117">
        <v>2</v>
      </c>
      <c r="Y1855" s="113"/>
      <c r="Z1855" s="108" t="s">
        <v>47</v>
      </c>
      <c r="AA1855" s="114"/>
      <c r="AB1855" s="113"/>
      <c r="AC1855" s="105" t="s">
        <v>4204</v>
      </c>
      <c r="AD1855" s="115" t="s">
        <v>49</v>
      </c>
    </row>
    <row r="1856" spans="1:30" x14ac:dyDescent="0.2">
      <c r="A1856" s="104" t="s">
        <v>4205</v>
      </c>
      <c r="B1856" s="105" t="s">
        <v>103</v>
      </c>
      <c r="C1856" s="105" t="s">
        <v>132</v>
      </c>
      <c r="D1856" s="106"/>
      <c r="E1856" s="107" t="s">
        <v>146</v>
      </c>
      <c r="F1856" s="108" t="s">
        <v>47</v>
      </c>
      <c r="G1856" s="113"/>
      <c r="H1856" s="108" t="s">
        <v>16307</v>
      </c>
      <c r="I1856" s="117">
        <v>2</v>
      </c>
      <c r="J1856" s="111" t="s">
        <v>40</v>
      </c>
      <c r="K1856" s="108" t="s">
        <v>16308</v>
      </c>
      <c r="L1856" s="110">
        <v>3</v>
      </c>
      <c r="M1856" s="113"/>
      <c r="N1856" s="108" t="s">
        <v>47</v>
      </c>
      <c r="O1856" s="114"/>
      <c r="P1856" s="113"/>
      <c r="Q1856" s="108" t="s">
        <v>47</v>
      </c>
      <c r="R1856" s="114"/>
      <c r="S1856" s="113"/>
      <c r="T1856" s="108" t="s">
        <v>47</v>
      </c>
      <c r="U1856" s="114"/>
      <c r="V1856" s="113"/>
      <c r="W1856" s="108" t="s">
        <v>47</v>
      </c>
      <c r="X1856" s="114"/>
      <c r="Y1856" s="113"/>
      <c r="Z1856" s="108" t="s">
        <v>47</v>
      </c>
      <c r="AA1856" s="114"/>
      <c r="AB1856" s="113"/>
      <c r="AC1856" s="105" t="s">
        <v>4206</v>
      </c>
      <c r="AD1856" s="115" t="s">
        <v>49</v>
      </c>
    </row>
    <row r="1857" spans="1:30" x14ac:dyDescent="0.2">
      <c r="A1857" s="104" t="s">
        <v>4207</v>
      </c>
      <c r="B1857" s="105" t="s">
        <v>103</v>
      </c>
      <c r="C1857" s="105" t="s">
        <v>508</v>
      </c>
      <c r="D1857" s="106"/>
      <c r="E1857" s="107" t="s">
        <v>99</v>
      </c>
      <c r="F1857" s="108" t="s">
        <v>16309</v>
      </c>
      <c r="G1857" s="120">
        <v>2</v>
      </c>
      <c r="H1857" s="108" t="s">
        <v>4208</v>
      </c>
      <c r="I1857" s="117">
        <v>2</v>
      </c>
      <c r="J1857" s="113"/>
      <c r="K1857" s="108" t="s">
        <v>16310</v>
      </c>
      <c r="L1857" s="117">
        <v>2</v>
      </c>
      <c r="M1857" s="113"/>
      <c r="N1857" s="108" t="s">
        <v>16309</v>
      </c>
      <c r="O1857" s="117">
        <v>2</v>
      </c>
      <c r="P1857" s="113"/>
      <c r="Q1857" s="108" t="s">
        <v>47</v>
      </c>
      <c r="R1857" s="114"/>
      <c r="S1857" s="113"/>
      <c r="T1857" s="108" t="s">
        <v>47</v>
      </c>
      <c r="U1857" s="114"/>
      <c r="V1857" s="113"/>
      <c r="W1857" s="108" t="s">
        <v>47</v>
      </c>
      <c r="X1857" s="114"/>
      <c r="Y1857" s="113"/>
      <c r="Z1857" s="108" t="s">
        <v>47</v>
      </c>
      <c r="AA1857" s="114"/>
      <c r="AB1857" s="113"/>
      <c r="AC1857" s="105" t="s">
        <v>4209</v>
      </c>
      <c r="AD1857" s="115" t="s">
        <v>49</v>
      </c>
    </row>
    <row r="1858" spans="1:30" x14ac:dyDescent="0.2">
      <c r="A1858" s="104" t="s">
        <v>4210</v>
      </c>
      <c r="B1858" s="105" t="s">
        <v>103</v>
      </c>
      <c r="C1858" s="105" t="s">
        <v>508</v>
      </c>
      <c r="D1858" s="106"/>
      <c r="E1858" s="107" t="s">
        <v>99</v>
      </c>
      <c r="F1858" s="108" t="s">
        <v>16311</v>
      </c>
      <c r="G1858" s="120">
        <v>2</v>
      </c>
      <c r="H1858" s="108" t="s">
        <v>16312</v>
      </c>
      <c r="I1858" s="117">
        <v>2</v>
      </c>
      <c r="J1858" s="113"/>
      <c r="K1858" s="108" t="s">
        <v>16313</v>
      </c>
      <c r="L1858" s="117">
        <v>2</v>
      </c>
      <c r="M1858" s="113"/>
      <c r="N1858" s="108" t="s">
        <v>16311</v>
      </c>
      <c r="O1858" s="117">
        <v>2</v>
      </c>
      <c r="P1858" s="113"/>
      <c r="Q1858" s="108" t="s">
        <v>16314</v>
      </c>
      <c r="R1858" s="117">
        <v>2</v>
      </c>
      <c r="S1858" s="113"/>
      <c r="T1858" s="108" t="s">
        <v>47</v>
      </c>
      <c r="U1858" s="114"/>
      <c r="V1858" s="113"/>
      <c r="W1858" s="108" t="s">
        <v>47</v>
      </c>
      <c r="X1858" s="114"/>
      <c r="Y1858" s="113"/>
      <c r="Z1858" s="108" t="s">
        <v>47</v>
      </c>
      <c r="AA1858" s="114"/>
      <c r="AB1858" s="113"/>
      <c r="AC1858" s="105" t="s">
        <v>4211</v>
      </c>
      <c r="AD1858" s="115" t="s">
        <v>49</v>
      </c>
    </row>
    <row r="1859" spans="1:30" x14ac:dyDescent="0.2">
      <c r="A1859" s="104" t="s">
        <v>4212</v>
      </c>
      <c r="B1859" s="105" t="s">
        <v>103</v>
      </c>
      <c r="C1859" s="105" t="s">
        <v>508</v>
      </c>
      <c r="D1859" s="106" t="s">
        <v>105</v>
      </c>
      <c r="E1859" s="107" t="s">
        <v>99</v>
      </c>
      <c r="F1859" s="108" t="s">
        <v>16315</v>
      </c>
      <c r="G1859" s="120">
        <v>2</v>
      </c>
      <c r="H1859" s="108" t="s">
        <v>16316</v>
      </c>
      <c r="I1859" s="117">
        <v>2</v>
      </c>
      <c r="J1859" s="113"/>
      <c r="K1859" s="108" t="s">
        <v>16317</v>
      </c>
      <c r="L1859" s="117">
        <v>2</v>
      </c>
      <c r="M1859" s="113"/>
      <c r="N1859" s="108" t="s">
        <v>16315</v>
      </c>
      <c r="O1859" s="117">
        <v>2</v>
      </c>
      <c r="P1859" s="111" t="s">
        <v>40</v>
      </c>
      <c r="Q1859" s="108" t="s">
        <v>16318</v>
      </c>
      <c r="R1859" s="117">
        <v>2</v>
      </c>
      <c r="S1859" s="113"/>
      <c r="T1859" s="108" t="s">
        <v>16319</v>
      </c>
      <c r="U1859" s="110">
        <v>3</v>
      </c>
      <c r="V1859" s="113"/>
      <c r="W1859" s="108" t="s">
        <v>16320</v>
      </c>
      <c r="X1859" s="110">
        <v>3</v>
      </c>
      <c r="Y1859" s="113"/>
      <c r="Z1859" s="108" t="s">
        <v>16321</v>
      </c>
      <c r="AA1859" s="112">
        <v>4</v>
      </c>
      <c r="AB1859" s="111" t="s">
        <v>46</v>
      </c>
      <c r="AC1859" s="105" t="s">
        <v>4213</v>
      </c>
      <c r="AD1859" s="115" t="s">
        <v>49</v>
      </c>
    </row>
    <row r="1860" spans="1:30" x14ac:dyDescent="0.2">
      <c r="A1860" s="104" t="s">
        <v>4214</v>
      </c>
      <c r="B1860" s="105" t="s">
        <v>103</v>
      </c>
      <c r="C1860" s="105" t="s">
        <v>508</v>
      </c>
      <c r="D1860" s="106" t="s">
        <v>105</v>
      </c>
      <c r="E1860" s="107" t="s">
        <v>99</v>
      </c>
      <c r="F1860" s="108" t="s">
        <v>16322</v>
      </c>
      <c r="G1860" s="118">
        <v>3</v>
      </c>
      <c r="H1860" s="108" t="s">
        <v>16323</v>
      </c>
      <c r="I1860" s="117">
        <v>2</v>
      </c>
      <c r="J1860" s="113"/>
      <c r="K1860" s="108" t="s">
        <v>16324</v>
      </c>
      <c r="L1860" s="117">
        <v>2</v>
      </c>
      <c r="M1860" s="113"/>
      <c r="N1860" s="108" t="s">
        <v>16322</v>
      </c>
      <c r="O1860" s="110">
        <v>3</v>
      </c>
      <c r="P1860" s="113"/>
      <c r="Q1860" s="108" t="s">
        <v>16325</v>
      </c>
      <c r="R1860" s="117">
        <v>2</v>
      </c>
      <c r="S1860" s="113"/>
      <c r="T1860" s="108" t="s">
        <v>16326</v>
      </c>
      <c r="U1860" s="110">
        <v>3</v>
      </c>
      <c r="V1860" s="113"/>
      <c r="W1860" s="108" t="s">
        <v>47</v>
      </c>
      <c r="X1860" s="114"/>
      <c r="Y1860" s="113"/>
      <c r="Z1860" s="108" t="s">
        <v>47</v>
      </c>
      <c r="AA1860" s="114"/>
      <c r="AB1860" s="113"/>
      <c r="AC1860" s="105" t="s">
        <v>4215</v>
      </c>
      <c r="AD1860" s="115" t="s">
        <v>49</v>
      </c>
    </row>
    <row r="1861" spans="1:30" x14ac:dyDescent="0.2">
      <c r="A1861" s="104" t="s">
        <v>4216</v>
      </c>
      <c r="B1861" s="105" t="s">
        <v>103</v>
      </c>
      <c r="C1861" s="105" t="s">
        <v>4217</v>
      </c>
      <c r="D1861" s="106" t="s">
        <v>105</v>
      </c>
      <c r="E1861" s="107"/>
      <c r="F1861" s="108" t="s">
        <v>16327</v>
      </c>
      <c r="G1861" s="109">
        <v>4</v>
      </c>
      <c r="H1861" s="108" t="s">
        <v>16328</v>
      </c>
      <c r="I1861" s="116">
        <v>1</v>
      </c>
      <c r="J1861" s="111" t="s">
        <v>157</v>
      </c>
      <c r="K1861" s="108" t="s">
        <v>16329</v>
      </c>
      <c r="L1861" s="112">
        <v>4</v>
      </c>
      <c r="M1861" s="113"/>
      <c r="N1861" s="108" t="s">
        <v>16327</v>
      </c>
      <c r="O1861" s="112">
        <v>4</v>
      </c>
      <c r="P1861" s="113"/>
      <c r="Q1861" s="108" t="s">
        <v>16330</v>
      </c>
      <c r="R1861" s="112">
        <v>4</v>
      </c>
      <c r="S1861" s="113"/>
      <c r="T1861" s="108" t="s">
        <v>14425</v>
      </c>
      <c r="U1861" s="112">
        <v>4</v>
      </c>
      <c r="V1861" s="113"/>
      <c r="W1861" s="108" t="s">
        <v>16331</v>
      </c>
      <c r="X1861" s="112">
        <v>4</v>
      </c>
      <c r="Y1861" s="113"/>
      <c r="Z1861" s="108" t="s">
        <v>16332</v>
      </c>
      <c r="AA1861" s="112">
        <v>4</v>
      </c>
      <c r="AB1861" s="113"/>
      <c r="AC1861" s="105" t="s">
        <v>4218</v>
      </c>
      <c r="AD1861" s="115" t="s">
        <v>49</v>
      </c>
    </row>
    <row r="1862" spans="1:30" x14ac:dyDescent="0.2">
      <c r="A1862" s="104" t="s">
        <v>4219</v>
      </c>
      <c r="B1862" s="105" t="s">
        <v>103</v>
      </c>
      <c r="C1862" s="105" t="s">
        <v>4217</v>
      </c>
      <c r="D1862" s="106" t="s">
        <v>298</v>
      </c>
      <c r="E1862" s="107"/>
      <c r="F1862" s="108" t="s">
        <v>16333</v>
      </c>
      <c r="G1862" s="109">
        <v>4</v>
      </c>
      <c r="H1862" s="108" t="s">
        <v>16334</v>
      </c>
      <c r="I1862" s="116">
        <v>1</v>
      </c>
      <c r="J1862" s="111" t="s">
        <v>157</v>
      </c>
      <c r="K1862" s="108" t="s">
        <v>16335</v>
      </c>
      <c r="L1862" s="112">
        <v>4</v>
      </c>
      <c r="M1862" s="113"/>
      <c r="N1862" s="108" t="s">
        <v>16333</v>
      </c>
      <c r="O1862" s="112">
        <v>4</v>
      </c>
      <c r="P1862" s="113"/>
      <c r="Q1862" s="108" t="s">
        <v>16336</v>
      </c>
      <c r="R1862" s="112">
        <v>4</v>
      </c>
      <c r="S1862" s="113"/>
      <c r="T1862" s="108" t="s">
        <v>16337</v>
      </c>
      <c r="U1862" s="112">
        <v>4</v>
      </c>
      <c r="V1862" s="113"/>
      <c r="W1862" s="108" t="s">
        <v>47</v>
      </c>
      <c r="X1862" s="114"/>
      <c r="Y1862" s="113"/>
      <c r="Z1862" s="108" t="s">
        <v>47</v>
      </c>
      <c r="AA1862" s="114"/>
      <c r="AB1862" s="113"/>
      <c r="AC1862" s="105" t="s">
        <v>4220</v>
      </c>
      <c r="AD1862" s="115" t="s">
        <v>49</v>
      </c>
    </row>
    <row r="1863" spans="1:30" x14ac:dyDescent="0.2">
      <c r="A1863" s="104" t="s">
        <v>4221</v>
      </c>
      <c r="B1863" s="105" t="s">
        <v>103</v>
      </c>
      <c r="C1863" s="105" t="s">
        <v>160</v>
      </c>
      <c r="D1863" s="106"/>
      <c r="E1863" s="107"/>
      <c r="F1863" s="108" t="s">
        <v>16338</v>
      </c>
      <c r="G1863" s="120">
        <v>2</v>
      </c>
      <c r="H1863" s="108" t="s">
        <v>16339</v>
      </c>
      <c r="I1863" s="117">
        <v>2</v>
      </c>
      <c r="J1863" s="113"/>
      <c r="K1863" s="108" t="s">
        <v>16340</v>
      </c>
      <c r="L1863" s="117">
        <v>2</v>
      </c>
      <c r="M1863" s="113"/>
      <c r="N1863" s="108" t="s">
        <v>16338</v>
      </c>
      <c r="O1863" s="117">
        <v>2</v>
      </c>
      <c r="P1863" s="113"/>
      <c r="Q1863" s="108" t="s">
        <v>16341</v>
      </c>
      <c r="R1863" s="117">
        <v>2</v>
      </c>
      <c r="S1863" s="113"/>
      <c r="T1863" s="108" t="s">
        <v>16342</v>
      </c>
      <c r="U1863" s="116">
        <v>1</v>
      </c>
      <c r="V1863" s="113"/>
      <c r="W1863" s="108" t="s">
        <v>16343</v>
      </c>
      <c r="X1863" s="117">
        <v>2</v>
      </c>
      <c r="Y1863" s="113"/>
      <c r="Z1863" s="108" t="s">
        <v>47</v>
      </c>
      <c r="AA1863" s="114"/>
      <c r="AB1863" s="113"/>
      <c r="AC1863" s="105" t="s">
        <v>4222</v>
      </c>
      <c r="AD1863" s="115" t="s">
        <v>49</v>
      </c>
    </row>
    <row r="1864" spans="1:30" x14ac:dyDescent="0.2">
      <c r="A1864" s="104" t="s">
        <v>4223</v>
      </c>
      <c r="B1864" s="105" t="s">
        <v>103</v>
      </c>
      <c r="C1864" s="105" t="s">
        <v>664</v>
      </c>
      <c r="D1864" s="106" t="s">
        <v>105</v>
      </c>
      <c r="E1864" s="107" t="s">
        <v>182</v>
      </c>
      <c r="F1864" s="108" t="s">
        <v>16344</v>
      </c>
      <c r="G1864" s="120">
        <v>2</v>
      </c>
      <c r="H1864" s="108" t="s">
        <v>4224</v>
      </c>
      <c r="I1864" s="117">
        <v>2</v>
      </c>
      <c r="J1864" s="111" t="s">
        <v>53</v>
      </c>
      <c r="K1864" s="108" t="s">
        <v>16345</v>
      </c>
      <c r="L1864" s="110">
        <v>3</v>
      </c>
      <c r="M1864" s="113"/>
      <c r="N1864" s="108" t="s">
        <v>16344</v>
      </c>
      <c r="O1864" s="117">
        <v>2</v>
      </c>
      <c r="P1864" s="113"/>
      <c r="Q1864" s="108" t="s">
        <v>16346</v>
      </c>
      <c r="R1864" s="117">
        <v>2</v>
      </c>
      <c r="S1864" s="111" t="s">
        <v>40</v>
      </c>
      <c r="T1864" s="108" t="s">
        <v>16347</v>
      </c>
      <c r="U1864" s="110">
        <v>3</v>
      </c>
      <c r="V1864" s="113"/>
      <c r="W1864" s="108" t="s">
        <v>16348</v>
      </c>
      <c r="X1864" s="110">
        <v>3</v>
      </c>
      <c r="Y1864" s="113"/>
      <c r="Z1864" s="108" t="s">
        <v>16349</v>
      </c>
      <c r="AA1864" s="110">
        <v>3</v>
      </c>
      <c r="AB1864" s="113"/>
      <c r="AC1864" s="105" t="s">
        <v>4225</v>
      </c>
      <c r="AD1864" s="115" t="s">
        <v>49</v>
      </c>
    </row>
    <row r="1865" spans="1:30" x14ac:dyDescent="0.2">
      <c r="A1865" s="104" t="s">
        <v>4226</v>
      </c>
      <c r="B1865" s="105" t="s">
        <v>103</v>
      </c>
      <c r="C1865" s="105" t="s">
        <v>664</v>
      </c>
      <c r="D1865" s="106" t="s">
        <v>105</v>
      </c>
      <c r="E1865" s="107" t="s">
        <v>182</v>
      </c>
      <c r="F1865" s="108" t="s">
        <v>16350</v>
      </c>
      <c r="G1865" s="120">
        <v>2</v>
      </c>
      <c r="H1865" s="108" t="s">
        <v>4227</v>
      </c>
      <c r="I1865" s="117">
        <v>2</v>
      </c>
      <c r="J1865" s="111" t="s">
        <v>53</v>
      </c>
      <c r="K1865" s="108" t="s">
        <v>16351</v>
      </c>
      <c r="L1865" s="110">
        <v>3</v>
      </c>
      <c r="M1865" s="113"/>
      <c r="N1865" s="108" t="s">
        <v>16350</v>
      </c>
      <c r="O1865" s="117">
        <v>2</v>
      </c>
      <c r="P1865" s="113"/>
      <c r="Q1865" s="108" t="s">
        <v>16352</v>
      </c>
      <c r="R1865" s="117">
        <v>2</v>
      </c>
      <c r="S1865" s="111" t="s">
        <v>40</v>
      </c>
      <c r="T1865" s="108" t="s">
        <v>4228</v>
      </c>
      <c r="U1865" s="110">
        <v>3</v>
      </c>
      <c r="V1865" s="113"/>
      <c r="W1865" s="108" t="s">
        <v>16353</v>
      </c>
      <c r="X1865" s="110">
        <v>3</v>
      </c>
      <c r="Y1865" s="113"/>
      <c r="Z1865" s="108" t="s">
        <v>47</v>
      </c>
      <c r="AA1865" s="114"/>
      <c r="AB1865" s="113"/>
      <c r="AC1865" s="105" t="s">
        <v>4229</v>
      </c>
      <c r="AD1865" s="115" t="s">
        <v>49</v>
      </c>
    </row>
    <row r="1866" spans="1:30" x14ac:dyDescent="0.2">
      <c r="A1866" s="104" t="s">
        <v>4230</v>
      </c>
      <c r="B1866" s="105" t="s">
        <v>103</v>
      </c>
      <c r="C1866" s="105" t="s">
        <v>664</v>
      </c>
      <c r="D1866" s="106" t="s">
        <v>105</v>
      </c>
      <c r="E1866" s="107" t="s">
        <v>182</v>
      </c>
      <c r="F1866" s="108" t="s">
        <v>16354</v>
      </c>
      <c r="G1866" s="120">
        <v>2</v>
      </c>
      <c r="H1866" s="108" t="s">
        <v>16355</v>
      </c>
      <c r="I1866" s="110">
        <v>3</v>
      </c>
      <c r="J1866" s="111" t="s">
        <v>40</v>
      </c>
      <c r="K1866" s="108" t="s">
        <v>16356</v>
      </c>
      <c r="L1866" s="110">
        <v>3</v>
      </c>
      <c r="M1866" s="111" t="s">
        <v>40</v>
      </c>
      <c r="N1866" s="108" t="s">
        <v>16354</v>
      </c>
      <c r="O1866" s="117">
        <v>2</v>
      </c>
      <c r="P1866" s="111" t="s">
        <v>40</v>
      </c>
      <c r="Q1866" s="108" t="s">
        <v>16357</v>
      </c>
      <c r="R1866" s="117">
        <v>2</v>
      </c>
      <c r="S1866" s="111" t="s">
        <v>40</v>
      </c>
      <c r="T1866" s="108" t="s">
        <v>16358</v>
      </c>
      <c r="U1866" s="112">
        <v>4</v>
      </c>
      <c r="V1866" s="113"/>
      <c r="W1866" s="108" t="s">
        <v>47</v>
      </c>
      <c r="X1866" s="114"/>
      <c r="Y1866" s="113"/>
      <c r="Z1866" s="108" t="s">
        <v>47</v>
      </c>
      <c r="AA1866" s="114"/>
      <c r="AB1866" s="113"/>
      <c r="AC1866" s="105" t="s">
        <v>4231</v>
      </c>
      <c r="AD1866" s="115" t="s">
        <v>49</v>
      </c>
    </row>
    <row r="1867" spans="1:30" x14ac:dyDescent="0.2">
      <c r="A1867" s="104" t="s">
        <v>4232</v>
      </c>
      <c r="B1867" s="105" t="s">
        <v>103</v>
      </c>
      <c r="C1867" s="105" t="s">
        <v>664</v>
      </c>
      <c r="D1867" s="106" t="s">
        <v>105</v>
      </c>
      <c r="E1867" s="107" t="s">
        <v>182</v>
      </c>
      <c r="F1867" s="108" t="s">
        <v>16359</v>
      </c>
      <c r="G1867" s="120">
        <v>2</v>
      </c>
      <c r="H1867" s="108" t="s">
        <v>16360</v>
      </c>
      <c r="I1867" s="117">
        <v>2</v>
      </c>
      <c r="J1867" s="111" t="s">
        <v>53</v>
      </c>
      <c r="K1867" s="108" t="s">
        <v>16361</v>
      </c>
      <c r="L1867" s="110">
        <v>3</v>
      </c>
      <c r="M1867" s="113"/>
      <c r="N1867" s="108" t="s">
        <v>16359</v>
      </c>
      <c r="O1867" s="117">
        <v>2</v>
      </c>
      <c r="P1867" s="113"/>
      <c r="Q1867" s="108" t="s">
        <v>16362</v>
      </c>
      <c r="R1867" s="117">
        <v>2</v>
      </c>
      <c r="S1867" s="111" t="s">
        <v>40</v>
      </c>
      <c r="T1867" s="108" t="s">
        <v>16363</v>
      </c>
      <c r="U1867" s="110">
        <v>3</v>
      </c>
      <c r="V1867" s="113"/>
      <c r="W1867" s="108" t="s">
        <v>47</v>
      </c>
      <c r="X1867" s="114"/>
      <c r="Y1867" s="113"/>
      <c r="Z1867" s="108" t="s">
        <v>47</v>
      </c>
      <c r="AA1867" s="114"/>
      <c r="AB1867" s="113"/>
      <c r="AC1867" s="105" t="s">
        <v>4233</v>
      </c>
      <c r="AD1867" s="115" t="s">
        <v>49</v>
      </c>
    </row>
    <row r="1868" spans="1:30" x14ac:dyDescent="0.2">
      <c r="A1868" s="104" t="s">
        <v>4234</v>
      </c>
      <c r="B1868" s="105" t="s">
        <v>103</v>
      </c>
      <c r="C1868" s="105" t="s">
        <v>4235</v>
      </c>
      <c r="D1868" s="106" t="s">
        <v>94</v>
      </c>
      <c r="E1868" s="107" t="s">
        <v>182</v>
      </c>
      <c r="F1868" s="108" t="s">
        <v>16364</v>
      </c>
      <c r="G1868" s="119">
        <v>1</v>
      </c>
      <c r="H1868" s="108" t="s">
        <v>16365</v>
      </c>
      <c r="I1868" s="117">
        <v>2</v>
      </c>
      <c r="J1868" s="111" t="s">
        <v>40</v>
      </c>
      <c r="K1868" s="108" t="s">
        <v>16366</v>
      </c>
      <c r="L1868" s="116">
        <v>1</v>
      </c>
      <c r="M1868" s="113"/>
      <c r="N1868" s="108" t="s">
        <v>16364</v>
      </c>
      <c r="O1868" s="116">
        <v>1</v>
      </c>
      <c r="P1868" s="113"/>
      <c r="Q1868" s="108" t="s">
        <v>4236</v>
      </c>
      <c r="R1868" s="117">
        <v>2</v>
      </c>
      <c r="S1868" s="113"/>
      <c r="T1868" s="108" t="s">
        <v>16367</v>
      </c>
      <c r="U1868" s="117">
        <v>2</v>
      </c>
      <c r="V1868" s="113"/>
      <c r="W1868" s="108" t="s">
        <v>16368</v>
      </c>
      <c r="X1868" s="116">
        <v>1</v>
      </c>
      <c r="Y1868" s="113"/>
      <c r="Z1868" s="108" t="s">
        <v>16369</v>
      </c>
      <c r="AA1868" s="116">
        <v>1</v>
      </c>
      <c r="AB1868" s="111" t="s">
        <v>40</v>
      </c>
      <c r="AC1868" s="105" t="s">
        <v>4237</v>
      </c>
      <c r="AD1868" s="115" t="s">
        <v>107</v>
      </c>
    </row>
    <row r="1869" spans="1:30" x14ac:dyDescent="0.2">
      <c r="A1869" s="104" t="s">
        <v>4238</v>
      </c>
      <c r="B1869" s="105" t="s">
        <v>103</v>
      </c>
      <c r="C1869" s="105" t="s">
        <v>4235</v>
      </c>
      <c r="D1869" s="106" t="s">
        <v>94</v>
      </c>
      <c r="E1869" s="107" t="s">
        <v>182</v>
      </c>
      <c r="F1869" s="108" t="s">
        <v>16370</v>
      </c>
      <c r="G1869" s="119">
        <v>1</v>
      </c>
      <c r="H1869" s="108" t="s">
        <v>16371</v>
      </c>
      <c r="I1869" s="117">
        <v>2</v>
      </c>
      <c r="J1869" s="111" t="s">
        <v>40</v>
      </c>
      <c r="K1869" s="108" t="s">
        <v>16372</v>
      </c>
      <c r="L1869" s="116">
        <v>1</v>
      </c>
      <c r="M1869" s="113"/>
      <c r="N1869" s="108" t="s">
        <v>16370</v>
      </c>
      <c r="O1869" s="116">
        <v>1</v>
      </c>
      <c r="P1869" s="113"/>
      <c r="Q1869" s="108" t="s">
        <v>16373</v>
      </c>
      <c r="R1869" s="117">
        <v>2</v>
      </c>
      <c r="S1869" s="113"/>
      <c r="T1869" s="108" t="s">
        <v>4239</v>
      </c>
      <c r="U1869" s="117">
        <v>2</v>
      </c>
      <c r="V1869" s="113"/>
      <c r="W1869" s="108" t="s">
        <v>16374</v>
      </c>
      <c r="X1869" s="116">
        <v>1</v>
      </c>
      <c r="Y1869" s="113"/>
      <c r="Z1869" s="108" t="s">
        <v>16375</v>
      </c>
      <c r="AA1869" s="116">
        <v>1</v>
      </c>
      <c r="AB1869" s="113"/>
      <c r="AC1869" s="105" t="s">
        <v>4240</v>
      </c>
      <c r="AD1869" s="115" t="s">
        <v>107</v>
      </c>
    </row>
    <row r="1870" spans="1:30" x14ac:dyDescent="0.2">
      <c r="A1870" s="104" t="s">
        <v>4241</v>
      </c>
      <c r="B1870" s="105" t="s">
        <v>103</v>
      </c>
      <c r="C1870" s="105" t="s">
        <v>4235</v>
      </c>
      <c r="D1870" s="106" t="s">
        <v>94</v>
      </c>
      <c r="E1870" s="107" t="s">
        <v>182</v>
      </c>
      <c r="F1870" s="108" t="s">
        <v>16376</v>
      </c>
      <c r="G1870" s="119">
        <v>1</v>
      </c>
      <c r="H1870" s="108" t="s">
        <v>16377</v>
      </c>
      <c r="I1870" s="117">
        <v>2</v>
      </c>
      <c r="J1870" s="111" t="s">
        <v>40</v>
      </c>
      <c r="K1870" s="108" t="s">
        <v>16378</v>
      </c>
      <c r="L1870" s="116">
        <v>1</v>
      </c>
      <c r="M1870" s="113"/>
      <c r="N1870" s="108" t="s">
        <v>16376</v>
      </c>
      <c r="O1870" s="116">
        <v>1</v>
      </c>
      <c r="P1870" s="113"/>
      <c r="Q1870" s="108" t="s">
        <v>16379</v>
      </c>
      <c r="R1870" s="117">
        <v>2</v>
      </c>
      <c r="S1870" s="113"/>
      <c r="T1870" s="108" t="s">
        <v>4242</v>
      </c>
      <c r="U1870" s="117">
        <v>2</v>
      </c>
      <c r="V1870" s="113"/>
      <c r="W1870" s="108" t="s">
        <v>47</v>
      </c>
      <c r="X1870" s="114"/>
      <c r="Y1870" s="113"/>
      <c r="Z1870" s="108" t="s">
        <v>47</v>
      </c>
      <c r="AA1870" s="114"/>
      <c r="AB1870" s="113"/>
      <c r="AC1870" s="105" t="s">
        <v>4243</v>
      </c>
      <c r="AD1870" s="115" t="s">
        <v>107</v>
      </c>
    </row>
    <row r="1871" spans="1:30" x14ac:dyDescent="0.2">
      <c r="A1871" s="104" t="s">
        <v>16380</v>
      </c>
      <c r="B1871" s="105" t="s">
        <v>103</v>
      </c>
      <c r="C1871" s="105" t="s">
        <v>4235</v>
      </c>
      <c r="D1871" s="106"/>
      <c r="E1871" s="107"/>
      <c r="F1871" s="108" t="s">
        <v>47</v>
      </c>
      <c r="G1871" s="113"/>
      <c r="H1871" s="108" t="s">
        <v>47</v>
      </c>
      <c r="I1871" s="114"/>
      <c r="J1871" s="113"/>
      <c r="K1871" s="108" t="s">
        <v>47</v>
      </c>
      <c r="L1871" s="114"/>
      <c r="M1871" s="113"/>
      <c r="N1871" s="108" t="s">
        <v>47</v>
      </c>
      <c r="O1871" s="114"/>
      <c r="P1871" s="113"/>
      <c r="Q1871" s="108" t="s">
        <v>47</v>
      </c>
      <c r="R1871" s="114"/>
      <c r="S1871" s="113"/>
      <c r="T1871" s="108" t="s">
        <v>47</v>
      </c>
      <c r="U1871" s="114"/>
      <c r="V1871" s="113"/>
      <c r="W1871" s="108" t="s">
        <v>47</v>
      </c>
      <c r="X1871" s="114"/>
      <c r="Y1871" s="113"/>
      <c r="Z1871" s="108" t="s">
        <v>47</v>
      </c>
      <c r="AA1871" s="114"/>
      <c r="AB1871" s="113"/>
      <c r="AC1871" s="105" t="s">
        <v>16381</v>
      </c>
      <c r="AD1871" s="115" t="s">
        <v>107</v>
      </c>
    </row>
    <row r="1872" spans="1:30" x14ac:dyDescent="0.2">
      <c r="A1872" s="104" t="s">
        <v>16382</v>
      </c>
      <c r="B1872" s="105" t="s">
        <v>103</v>
      </c>
      <c r="C1872" s="105" t="s">
        <v>1644</v>
      </c>
      <c r="D1872" s="106"/>
      <c r="E1872" s="107"/>
      <c r="F1872" s="108" t="s">
        <v>16383</v>
      </c>
      <c r="G1872" s="119">
        <v>1</v>
      </c>
      <c r="H1872" s="108" t="s">
        <v>16384</v>
      </c>
      <c r="I1872" s="117">
        <v>2</v>
      </c>
      <c r="J1872" s="111" t="s">
        <v>46</v>
      </c>
      <c r="K1872" s="108" t="s">
        <v>16385</v>
      </c>
      <c r="L1872" s="116">
        <v>1</v>
      </c>
      <c r="M1872" s="113"/>
      <c r="N1872" s="108" t="s">
        <v>16383</v>
      </c>
      <c r="O1872" s="116">
        <v>1</v>
      </c>
      <c r="P1872" s="113"/>
      <c r="Q1872" s="108" t="s">
        <v>16386</v>
      </c>
      <c r="R1872" s="117">
        <v>2</v>
      </c>
      <c r="S1872" s="113"/>
      <c r="T1872" s="108" t="s">
        <v>16387</v>
      </c>
      <c r="U1872" s="110">
        <v>3</v>
      </c>
      <c r="V1872" s="113"/>
      <c r="W1872" s="108" t="s">
        <v>16388</v>
      </c>
      <c r="X1872" s="110">
        <v>3</v>
      </c>
      <c r="Y1872" s="113"/>
      <c r="Z1872" s="108" t="s">
        <v>47</v>
      </c>
      <c r="AA1872" s="114"/>
      <c r="AB1872" s="113"/>
      <c r="AC1872" s="105" t="s">
        <v>4244</v>
      </c>
      <c r="AD1872" s="115" t="s">
        <v>49</v>
      </c>
    </row>
    <row r="1873" spans="1:30" x14ac:dyDescent="0.2">
      <c r="A1873" s="104" t="s">
        <v>16389</v>
      </c>
      <c r="B1873" s="105" t="s">
        <v>103</v>
      </c>
      <c r="C1873" s="105" t="s">
        <v>1644</v>
      </c>
      <c r="D1873" s="106"/>
      <c r="E1873" s="107"/>
      <c r="F1873" s="108" t="s">
        <v>16390</v>
      </c>
      <c r="G1873" s="119">
        <v>1</v>
      </c>
      <c r="H1873" s="108" t="s">
        <v>16391</v>
      </c>
      <c r="I1873" s="117">
        <v>2</v>
      </c>
      <c r="J1873" s="111" t="s">
        <v>46</v>
      </c>
      <c r="K1873" s="108" t="s">
        <v>16392</v>
      </c>
      <c r="L1873" s="116">
        <v>1</v>
      </c>
      <c r="M1873" s="113"/>
      <c r="N1873" s="108" t="s">
        <v>16390</v>
      </c>
      <c r="O1873" s="116">
        <v>1</v>
      </c>
      <c r="P1873" s="113"/>
      <c r="Q1873" s="108" t="s">
        <v>16393</v>
      </c>
      <c r="R1873" s="117">
        <v>2</v>
      </c>
      <c r="S1873" s="113"/>
      <c r="T1873" s="108" t="s">
        <v>16394</v>
      </c>
      <c r="U1873" s="110">
        <v>3</v>
      </c>
      <c r="V1873" s="113"/>
      <c r="W1873" s="108" t="s">
        <v>16395</v>
      </c>
      <c r="X1873" s="110">
        <v>3</v>
      </c>
      <c r="Y1873" s="113"/>
      <c r="Z1873" s="108" t="s">
        <v>47</v>
      </c>
      <c r="AA1873" s="114"/>
      <c r="AB1873" s="113"/>
      <c r="AC1873" s="105" t="s">
        <v>4245</v>
      </c>
      <c r="AD1873" s="115" t="s">
        <v>49</v>
      </c>
    </row>
    <row r="1874" spans="1:30" x14ac:dyDescent="0.2">
      <c r="A1874" s="104" t="s">
        <v>4246</v>
      </c>
      <c r="B1874" s="105" t="s">
        <v>103</v>
      </c>
      <c r="C1874" s="105" t="s">
        <v>582</v>
      </c>
      <c r="D1874" s="106" t="s">
        <v>298</v>
      </c>
      <c r="E1874" s="107"/>
      <c r="F1874" s="108" t="s">
        <v>16396</v>
      </c>
      <c r="G1874" s="120">
        <v>2</v>
      </c>
      <c r="H1874" s="108" t="s">
        <v>16397</v>
      </c>
      <c r="I1874" s="116">
        <v>1</v>
      </c>
      <c r="J1874" s="111" t="s">
        <v>40</v>
      </c>
      <c r="K1874" s="108" t="s">
        <v>16398</v>
      </c>
      <c r="L1874" s="116">
        <v>1</v>
      </c>
      <c r="M1874" s="113"/>
      <c r="N1874" s="108" t="s">
        <v>16396</v>
      </c>
      <c r="O1874" s="117">
        <v>2</v>
      </c>
      <c r="P1874" s="111" t="s">
        <v>40</v>
      </c>
      <c r="Q1874" s="108" t="s">
        <v>16399</v>
      </c>
      <c r="R1874" s="117">
        <v>2</v>
      </c>
      <c r="S1874" s="111" t="s">
        <v>40</v>
      </c>
      <c r="T1874" s="108" t="s">
        <v>16400</v>
      </c>
      <c r="U1874" s="112">
        <v>4</v>
      </c>
      <c r="V1874" s="113"/>
      <c r="W1874" s="108" t="s">
        <v>16401</v>
      </c>
      <c r="X1874" s="112">
        <v>4</v>
      </c>
      <c r="Y1874" s="113"/>
      <c r="Z1874" s="108" t="s">
        <v>16402</v>
      </c>
      <c r="AA1874" s="112">
        <v>4</v>
      </c>
      <c r="AB1874" s="113"/>
      <c r="AC1874" s="105" t="s">
        <v>4247</v>
      </c>
      <c r="AD1874" s="115" t="s">
        <v>49</v>
      </c>
    </row>
    <row r="1875" spans="1:30" x14ac:dyDescent="0.2">
      <c r="A1875" s="104" t="s">
        <v>4248</v>
      </c>
      <c r="B1875" s="105" t="s">
        <v>103</v>
      </c>
      <c r="C1875" s="105" t="s">
        <v>3433</v>
      </c>
      <c r="D1875" s="106"/>
      <c r="E1875" s="107"/>
      <c r="F1875" s="108" t="s">
        <v>16403</v>
      </c>
      <c r="G1875" s="119">
        <v>1</v>
      </c>
      <c r="H1875" s="108" t="s">
        <v>16404</v>
      </c>
      <c r="I1875" s="116">
        <v>1</v>
      </c>
      <c r="J1875" s="113"/>
      <c r="K1875" s="108" t="s">
        <v>4249</v>
      </c>
      <c r="L1875" s="116">
        <v>1</v>
      </c>
      <c r="M1875" s="113"/>
      <c r="N1875" s="108" t="s">
        <v>16403</v>
      </c>
      <c r="O1875" s="116">
        <v>1</v>
      </c>
      <c r="P1875" s="113"/>
      <c r="Q1875" s="108" t="s">
        <v>16405</v>
      </c>
      <c r="R1875" s="116">
        <v>1</v>
      </c>
      <c r="S1875" s="113"/>
      <c r="T1875" s="108" t="s">
        <v>47</v>
      </c>
      <c r="U1875" s="114"/>
      <c r="V1875" s="113"/>
      <c r="W1875" s="108" t="s">
        <v>47</v>
      </c>
      <c r="X1875" s="114"/>
      <c r="Y1875" s="113"/>
      <c r="Z1875" s="108" t="s">
        <v>47</v>
      </c>
      <c r="AA1875" s="114"/>
      <c r="AB1875" s="113"/>
      <c r="AC1875" s="105" t="s">
        <v>4250</v>
      </c>
      <c r="AD1875" s="115" t="s">
        <v>107</v>
      </c>
    </row>
    <row r="1876" spans="1:30" x14ac:dyDescent="0.2">
      <c r="A1876" s="104" t="s">
        <v>4251</v>
      </c>
      <c r="B1876" s="105" t="s">
        <v>103</v>
      </c>
      <c r="C1876" s="105" t="s">
        <v>3433</v>
      </c>
      <c r="D1876" s="106"/>
      <c r="E1876" s="107"/>
      <c r="F1876" s="108" t="s">
        <v>16406</v>
      </c>
      <c r="G1876" s="119">
        <v>1</v>
      </c>
      <c r="H1876" s="108" t="s">
        <v>16407</v>
      </c>
      <c r="I1876" s="116">
        <v>1</v>
      </c>
      <c r="J1876" s="113"/>
      <c r="K1876" s="108" t="s">
        <v>4252</v>
      </c>
      <c r="L1876" s="116">
        <v>1</v>
      </c>
      <c r="M1876" s="113"/>
      <c r="N1876" s="108" t="s">
        <v>16406</v>
      </c>
      <c r="O1876" s="116">
        <v>1</v>
      </c>
      <c r="P1876" s="113"/>
      <c r="Q1876" s="108" t="s">
        <v>16408</v>
      </c>
      <c r="R1876" s="116">
        <v>1</v>
      </c>
      <c r="S1876" s="113"/>
      <c r="T1876" s="108" t="s">
        <v>16409</v>
      </c>
      <c r="U1876" s="116">
        <v>1</v>
      </c>
      <c r="V1876" s="113"/>
      <c r="W1876" s="108" t="s">
        <v>16410</v>
      </c>
      <c r="X1876" s="116">
        <v>1</v>
      </c>
      <c r="Y1876" s="113"/>
      <c r="Z1876" s="108" t="s">
        <v>16411</v>
      </c>
      <c r="AA1876" s="116">
        <v>1</v>
      </c>
      <c r="AB1876" s="113"/>
      <c r="AC1876" s="105" t="s">
        <v>4253</v>
      </c>
      <c r="AD1876" s="115" t="s">
        <v>107</v>
      </c>
    </row>
    <row r="1877" spans="1:30" x14ac:dyDescent="0.2">
      <c r="A1877" s="104" t="s">
        <v>4254</v>
      </c>
      <c r="B1877" s="105" t="s">
        <v>103</v>
      </c>
      <c r="C1877" s="105" t="s">
        <v>3433</v>
      </c>
      <c r="D1877" s="106"/>
      <c r="E1877" s="107"/>
      <c r="F1877" s="108" t="s">
        <v>47</v>
      </c>
      <c r="G1877" s="113"/>
      <c r="H1877" s="108" t="s">
        <v>47</v>
      </c>
      <c r="I1877" s="114"/>
      <c r="J1877" s="113"/>
      <c r="K1877" s="108" t="s">
        <v>47</v>
      </c>
      <c r="L1877" s="114"/>
      <c r="M1877" s="113"/>
      <c r="N1877" s="108" t="s">
        <v>47</v>
      </c>
      <c r="O1877" s="114"/>
      <c r="P1877" s="113"/>
      <c r="Q1877" s="108" t="s">
        <v>47</v>
      </c>
      <c r="R1877" s="114"/>
      <c r="S1877" s="113"/>
      <c r="T1877" s="108" t="s">
        <v>47</v>
      </c>
      <c r="U1877" s="114"/>
      <c r="V1877" s="113"/>
      <c r="W1877" s="108" t="s">
        <v>47</v>
      </c>
      <c r="X1877" s="114"/>
      <c r="Y1877" s="113"/>
      <c r="Z1877" s="108" t="s">
        <v>47</v>
      </c>
      <c r="AA1877" s="114"/>
      <c r="AB1877" s="113"/>
      <c r="AC1877" s="105" t="s">
        <v>4255</v>
      </c>
      <c r="AD1877" s="115" t="s">
        <v>107</v>
      </c>
    </row>
    <row r="1878" spans="1:30" x14ac:dyDescent="0.2">
      <c r="A1878" s="104" t="s">
        <v>4256</v>
      </c>
      <c r="B1878" s="105" t="s">
        <v>103</v>
      </c>
      <c r="C1878" s="105" t="s">
        <v>3369</v>
      </c>
      <c r="D1878" s="106"/>
      <c r="E1878" s="107"/>
      <c r="F1878" s="108" t="s">
        <v>16412</v>
      </c>
      <c r="G1878" s="119">
        <v>1</v>
      </c>
      <c r="H1878" s="108" t="s">
        <v>16413</v>
      </c>
      <c r="I1878" s="116">
        <v>1</v>
      </c>
      <c r="J1878" s="113"/>
      <c r="K1878" s="108" t="s">
        <v>16414</v>
      </c>
      <c r="L1878" s="117">
        <v>2</v>
      </c>
      <c r="M1878" s="111" t="s">
        <v>46</v>
      </c>
      <c r="N1878" s="108" t="s">
        <v>16412</v>
      </c>
      <c r="O1878" s="116">
        <v>1</v>
      </c>
      <c r="P1878" s="113"/>
      <c r="Q1878" s="108" t="s">
        <v>16415</v>
      </c>
      <c r="R1878" s="116">
        <v>1</v>
      </c>
      <c r="S1878" s="113"/>
      <c r="T1878" s="108" t="s">
        <v>47</v>
      </c>
      <c r="U1878" s="114"/>
      <c r="V1878" s="113"/>
      <c r="W1878" s="108" t="s">
        <v>47</v>
      </c>
      <c r="X1878" s="114"/>
      <c r="Y1878" s="113"/>
      <c r="Z1878" s="108" t="s">
        <v>47</v>
      </c>
      <c r="AA1878" s="114"/>
      <c r="AB1878" s="113"/>
      <c r="AC1878" s="105" t="s">
        <v>4257</v>
      </c>
      <c r="AD1878" s="115" t="s">
        <v>49</v>
      </c>
    </row>
    <row r="1879" spans="1:30" x14ac:dyDescent="0.2">
      <c r="A1879" s="104" t="s">
        <v>4258</v>
      </c>
      <c r="B1879" s="105" t="s">
        <v>103</v>
      </c>
      <c r="C1879" s="105" t="s">
        <v>3369</v>
      </c>
      <c r="D1879" s="106"/>
      <c r="E1879" s="107"/>
      <c r="F1879" s="108" t="s">
        <v>16416</v>
      </c>
      <c r="G1879" s="120">
        <v>2</v>
      </c>
      <c r="H1879" s="108" t="s">
        <v>16417</v>
      </c>
      <c r="I1879" s="117">
        <v>2</v>
      </c>
      <c r="J1879" s="111" t="s">
        <v>46</v>
      </c>
      <c r="K1879" s="108" t="s">
        <v>16418</v>
      </c>
      <c r="L1879" s="117">
        <v>2</v>
      </c>
      <c r="M1879" s="113"/>
      <c r="N1879" s="108" t="s">
        <v>16416</v>
      </c>
      <c r="O1879" s="117">
        <v>2</v>
      </c>
      <c r="P1879" s="111" t="s">
        <v>46</v>
      </c>
      <c r="Q1879" s="108" t="s">
        <v>16419</v>
      </c>
      <c r="R1879" s="116">
        <v>1</v>
      </c>
      <c r="S1879" s="113"/>
      <c r="T1879" s="108" t="s">
        <v>47</v>
      </c>
      <c r="U1879" s="114"/>
      <c r="V1879" s="113"/>
      <c r="W1879" s="108" t="s">
        <v>47</v>
      </c>
      <c r="X1879" s="114"/>
      <c r="Y1879" s="113"/>
      <c r="Z1879" s="108" t="s">
        <v>47</v>
      </c>
      <c r="AA1879" s="114"/>
      <c r="AB1879" s="113"/>
      <c r="AC1879" s="105" t="s">
        <v>4259</v>
      </c>
      <c r="AD1879" s="115" t="s">
        <v>49</v>
      </c>
    </row>
    <row r="1880" spans="1:30" x14ac:dyDescent="0.2">
      <c r="A1880" s="104" t="s">
        <v>4260</v>
      </c>
      <c r="B1880" s="105" t="s">
        <v>103</v>
      </c>
      <c r="C1880" s="105" t="s">
        <v>3369</v>
      </c>
      <c r="D1880" s="106"/>
      <c r="E1880" s="107"/>
      <c r="F1880" s="108" t="s">
        <v>16420</v>
      </c>
      <c r="G1880" s="120">
        <v>2</v>
      </c>
      <c r="H1880" s="108" t="s">
        <v>16421</v>
      </c>
      <c r="I1880" s="117">
        <v>2</v>
      </c>
      <c r="J1880" s="111" t="s">
        <v>46</v>
      </c>
      <c r="K1880" s="108" t="s">
        <v>16422</v>
      </c>
      <c r="L1880" s="117">
        <v>2</v>
      </c>
      <c r="M1880" s="113"/>
      <c r="N1880" s="108" t="s">
        <v>16420</v>
      </c>
      <c r="O1880" s="117">
        <v>2</v>
      </c>
      <c r="P1880" s="111" t="s">
        <v>46</v>
      </c>
      <c r="Q1880" s="108" t="s">
        <v>16419</v>
      </c>
      <c r="R1880" s="116">
        <v>1</v>
      </c>
      <c r="S1880" s="113"/>
      <c r="T1880" s="108" t="s">
        <v>47</v>
      </c>
      <c r="U1880" s="114"/>
      <c r="V1880" s="113"/>
      <c r="W1880" s="108" t="s">
        <v>47</v>
      </c>
      <c r="X1880" s="114"/>
      <c r="Y1880" s="113"/>
      <c r="Z1880" s="108" t="s">
        <v>47</v>
      </c>
      <c r="AA1880" s="114"/>
      <c r="AB1880" s="113"/>
      <c r="AC1880" s="105" t="s">
        <v>4261</v>
      </c>
      <c r="AD1880" s="115" t="s">
        <v>49</v>
      </c>
    </row>
    <row r="1881" spans="1:30" x14ac:dyDescent="0.2">
      <c r="A1881" s="104" t="s">
        <v>16423</v>
      </c>
      <c r="B1881" s="105" t="s">
        <v>103</v>
      </c>
      <c r="C1881" s="105" t="s">
        <v>3369</v>
      </c>
      <c r="D1881" s="106"/>
      <c r="E1881" s="107"/>
      <c r="F1881" s="108" t="s">
        <v>47</v>
      </c>
      <c r="G1881" s="113"/>
      <c r="H1881" s="108" t="s">
        <v>16424</v>
      </c>
      <c r="I1881" s="117">
        <v>2</v>
      </c>
      <c r="J1881" s="111" t="s">
        <v>46</v>
      </c>
      <c r="K1881" s="108" t="s">
        <v>16425</v>
      </c>
      <c r="L1881" s="116">
        <v>1</v>
      </c>
      <c r="M1881" s="113"/>
      <c r="N1881" s="108" t="s">
        <v>47</v>
      </c>
      <c r="O1881" s="114"/>
      <c r="P1881" s="113"/>
      <c r="Q1881" s="108" t="s">
        <v>47</v>
      </c>
      <c r="R1881" s="114"/>
      <c r="S1881" s="113"/>
      <c r="T1881" s="108" t="s">
        <v>47</v>
      </c>
      <c r="U1881" s="114"/>
      <c r="V1881" s="113"/>
      <c r="W1881" s="108" t="s">
        <v>47</v>
      </c>
      <c r="X1881" s="114"/>
      <c r="Y1881" s="113"/>
      <c r="Z1881" s="108" t="s">
        <v>47</v>
      </c>
      <c r="AA1881" s="114"/>
      <c r="AB1881" s="113"/>
      <c r="AC1881" s="105" t="s">
        <v>16426</v>
      </c>
      <c r="AD1881" s="115" t="s">
        <v>49</v>
      </c>
    </row>
    <row r="1882" spans="1:30" x14ac:dyDescent="0.2">
      <c r="A1882" s="104" t="s">
        <v>16427</v>
      </c>
      <c r="B1882" s="105" t="s">
        <v>103</v>
      </c>
      <c r="C1882" s="105" t="s">
        <v>3369</v>
      </c>
      <c r="D1882" s="106"/>
      <c r="E1882" s="107"/>
      <c r="F1882" s="108" t="s">
        <v>47</v>
      </c>
      <c r="G1882" s="113"/>
      <c r="H1882" s="108" t="s">
        <v>16428</v>
      </c>
      <c r="I1882" s="117">
        <v>2</v>
      </c>
      <c r="J1882" s="113"/>
      <c r="K1882" s="108" t="s">
        <v>47</v>
      </c>
      <c r="L1882" s="114"/>
      <c r="M1882" s="113"/>
      <c r="N1882" s="108" t="s">
        <v>47</v>
      </c>
      <c r="O1882" s="114"/>
      <c r="P1882" s="113"/>
      <c r="Q1882" s="108" t="s">
        <v>47</v>
      </c>
      <c r="R1882" s="114"/>
      <c r="S1882" s="113"/>
      <c r="T1882" s="108" t="s">
        <v>47</v>
      </c>
      <c r="U1882" s="114"/>
      <c r="V1882" s="113"/>
      <c r="W1882" s="108" t="s">
        <v>47</v>
      </c>
      <c r="X1882" s="114"/>
      <c r="Y1882" s="113"/>
      <c r="Z1882" s="108" t="s">
        <v>47</v>
      </c>
      <c r="AA1882" s="114"/>
      <c r="AB1882" s="113"/>
      <c r="AC1882" s="105" t="s">
        <v>16429</v>
      </c>
      <c r="AD1882" s="115" t="s">
        <v>49</v>
      </c>
    </row>
    <row r="1883" spans="1:30" x14ac:dyDescent="0.2">
      <c r="A1883" s="104" t="s">
        <v>4262</v>
      </c>
      <c r="B1883" s="105" t="s">
        <v>103</v>
      </c>
      <c r="C1883" s="105" t="s">
        <v>160</v>
      </c>
      <c r="D1883" s="106"/>
      <c r="E1883" s="107"/>
      <c r="F1883" s="108" t="s">
        <v>16430</v>
      </c>
      <c r="G1883" s="120">
        <v>2</v>
      </c>
      <c r="H1883" s="108" t="s">
        <v>16431</v>
      </c>
      <c r="I1883" s="117">
        <v>2</v>
      </c>
      <c r="J1883" s="113"/>
      <c r="K1883" s="108" t="s">
        <v>4263</v>
      </c>
      <c r="L1883" s="117">
        <v>2</v>
      </c>
      <c r="M1883" s="113"/>
      <c r="N1883" s="108" t="s">
        <v>16430</v>
      </c>
      <c r="O1883" s="117">
        <v>2</v>
      </c>
      <c r="P1883" s="113"/>
      <c r="Q1883" s="108" t="s">
        <v>16432</v>
      </c>
      <c r="R1883" s="117">
        <v>2</v>
      </c>
      <c r="S1883" s="113"/>
      <c r="T1883" s="108" t="s">
        <v>16433</v>
      </c>
      <c r="U1883" s="117">
        <v>2</v>
      </c>
      <c r="V1883" s="113"/>
      <c r="W1883" s="108" t="s">
        <v>16434</v>
      </c>
      <c r="X1883" s="117">
        <v>2</v>
      </c>
      <c r="Y1883" s="113"/>
      <c r="Z1883" s="108" t="s">
        <v>16435</v>
      </c>
      <c r="AA1883" s="117">
        <v>2</v>
      </c>
      <c r="AB1883" s="111" t="s">
        <v>46</v>
      </c>
      <c r="AC1883" s="105" t="s">
        <v>4264</v>
      </c>
      <c r="AD1883" s="115" t="s">
        <v>107</v>
      </c>
    </row>
    <row r="1884" spans="1:30" x14ac:dyDescent="0.2">
      <c r="A1884" s="104" t="s">
        <v>4265</v>
      </c>
      <c r="B1884" s="105" t="s">
        <v>103</v>
      </c>
      <c r="C1884" s="105" t="s">
        <v>160</v>
      </c>
      <c r="D1884" s="106"/>
      <c r="E1884" s="107"/>
      <c r="F1884" s="108" t="s">
        <v>16436</v>
      </c>
      <c r="G1884" s="120">
        <v>2</v>
      </c>
      <c r="H1884" s="108" t="s">
        <v>16437</v>
      </c>
      <c r="I1884" s="117">
        <v>2</v>
      </c>
      <c r="J1884" s="113"/>
      <c r="K1884" s="108" t="s">
        <v>16438</v>
      </c>
      <c r="L1884" s="117">
        <v>2</v>
      </c>
      <c r="M1884" s="113"/>
      <c r="N1884" s="108" t="s">
        <v>16436</v>
      </c>
      <c r="O1884" s="117">
        <v>2</v>
      </c>
      <c r="P1884" s="113"/>
      <c r="Q1884" s="108" t="s">
        <v>16439</v>
      </c>
      <c r="R1884" s="117">
        <v>2</v>
      </c>
      <c r="S1884" s="113"/>
      <c r="T1884" s="108" t="s">
        <v>16440</v>
      </c>
      <c r="U1884" s="117">
        <v>2</v>
      </c>
      <c r="V1884" s="113"/>
      <c r="W1884" s="108" t="s">
        <v>47</v>
      </c>
      <c r="X1884" s="114"/>
      <c r="Y1884" s="113"/>
      <c r="Z1884" s="108" t="s">
        <v>47</v>
      </c>
      <c r="AA1884" s="114"/>
      <c r="AB1884" s="113"/>
      <c r="AC1884" s="105" t="s">
        <v>4266</v>
      </c>
      <c r="AD1884" s="115" t="s">
        <v>107</v>
      </c>
    </row>
    <row r="1885" spans="1:30" x14ac:dyDescent="0.2">
      <c r="A1885" s="104" t="s">
        <v>4267</v>
      </c>
      <c r="B1885" s="105" t="s">
        <v>103</v>
      </c>
      <c r="C1885" s="105" t="s">
        <v>160</v>
      </c>
      <c r="D1885" s="106"/>
      <c r="E1885" s="107"/>
      <c r="F1885" s="108" t="s">
        <v>16441</v>
      </c>
      <c r="G1885" s="119">
        <v>1</v>
      </c>
      <c r="H1885" s="108" t="s">
        <v>16442</v>
      </c>
      <c r="I1885" s="116">
        <v>1</v>
      </c>
      <c r="J1885" s="113"/>
      <c r="K1885" s="108" t="s">
        <v>4268</v>
      </c>
      <c r="L1885" s="116">
        <v>1</v>
      </c>
      <c r="M1885" s="113"/>
      <c r="N1885" s="108" t="s">
        <v>16441</v>
      </c>
      <c r="O1885" s="116">
        <v>1</v>
      </c>
      <c r="P1885" s="111" t="s">
        <v>40</v>
      </c>
      <c r="Q1885" s="108" t="s">
        <v>16443</v>
      </c>
      <c r="R1885" s="116">
        <v>1</v>
      </c>
      <c r="S1885" s="113"/>
      <c r="T1885" s="108" t="s">
        <v>47</v>
      </c>
      <c r="U1885" s="114"/>
      <c r="V1885" s="113"/>
      <c r="W1885" s="108" t="s">
        <v>47</v>
      </c>
      <c r="X1885" s="114"/>
      <c r="Y1885" s="113"/>
      <c r="Z1885" s="108" t="s">
        <v>47</v>
      </c>
      <c r="AA1885" s="114"/>
      <c r="AB1885" s="113"/>
      <c r="AC1885" s="105" t="s">
        <v>4269</v>
      </c>
      <c r="AD1885" s="115" t="s">
        <v>107</v>
      </c>
    </row>
    <row r="1886" spans="1:30" x14ac:dyDescent="0.2">
      <c r="A1886" s="104" t="s">
        <v>4270</v>
      </c>
      <c r="B1886" s="105" t="s">
        <v>103</v>
      </c>
      <c r="C1886" s="105" t="s">
        <v>160</v>
      </c>
      <c r="D1886" s="106"/>
      <c r="E1886" s="107"/>
      <c r="F1886" s="108" t="s">
        <v>16444</v>
      </c>
      <c r="G1886" s="120">
        <v>2</v>
      </c>
      <c r="H1886" s="108" t="s">
        <v>16445</v>
      </c>
      <c r="I1886" s="116">
        <v>1</v>
      </c>
      <c r="J1886" s="111" t="s">
        <v>40</v>
      </c>
      <c r="K1886" s="108" t="s">
        <v>16446</v>
      </c>
      <c r="L1886" s="117">
        <v>2</v>
      </c>
      <c r="M1886" s="113"/>
      <c r="N1886" s="108" t="s">
        <v>16444</v>
      </c>
      <c r="O1886" s="117">
        <v>2</v>
      </c>
      <c r="P1886" s="113"/>
      <c r="Q1886" s="108" t="s">
        <v>16447</v>
      </c>
      <c r="R1886" s="117">
        <v>2</v>
      </c>
      <c r="S1886" s="113"/>
      <c r="T1886" s="108" t="s">
        <v>47</v>
      </c>
      <c r="U1886" s="114"/>
      <c r="V1886" s="113"/>
      <c r="W1886" s="108" t="s">
        <v>47</v>
      </c>
      <c r="X1886" s="114"/>
      <c r="Y1886" s="113"/>
      <c r="Z1886" s="108" t="s">
        <v>47</v>
      </c>
      <c r="AA1886" s="114"/>
      <c r="AB1886" s="113"/>
      <c r="AC1886" s="105" t="s">
        <v>4271</v>
      </c>
      <c r="AD1886" s="115" t="s">
        <v>107</v>
      </c>
    </row>
    <row r="1887" spans="1:30" x14ac:dyDescent="0.2">
      <c r="A1887" s="104" t="s">
        <v>4272</v>
      </c>
      <c r="B1887" s="105" t="s">
        <v>103</v>
      </c>
      <c r="C1887" s="105" t="s">
        <v>160</v>
      </c>
      <c r="D1887" s="106"/>
      <c r="E1887" s="107"/>
      <c r="F1887" s="108" t="s">
        <v>16448</v>
      </c>
      <c r="G1887" s="120">
        <v>2</v>
      </c>
      <c r="H1887" s="108" t="s">
        <v>16449</v>
      </c>
      <c r="I1887" s="117">
        <v>2</v>
      </c>
      <c r="J1887" s="113"/>
      <c r="K1887" s="108" t="s">
        <v>16450</v>
      </c>
      <c r="L1887" s="117">
        <v>2</v>
      </c>
      <c r="M1887" s="113"/>
      <c r="N1887" s="108" t="s">
        <v>16448</v>
      </c>
      <c r="O1887" s="117">
        <v>2</v>
      </c>
      <c r="P1887" s="113"/>
      <c r="Q1887" s="108" t="s">
        <v>16451</v>
      </c>
      <c r="R1887" s="117">
        <v>2</v>
      </c>
      <c r="S1887" s="113"/>
      <c r="T1887" s="108" t="s">
        <v>47</v>
      </c>
      <c r="U1887" s="114"/>
      <c r="V1887" s="113"/>
      <c r="W1887" s="108" t="s">
        <v>47</v>
      </c>
      <c r="X1887" s="114"/>
      <c r="Y1887" s="113"/>
      <c r="Z1887" s="108" t="s">
        <v>47</v>
      </c>
      <c r="AA1887" s="114"/>
      <c r="AB1887" s="113"/>
      <c r="AC1887" s="105" t="s">
        <v>4273</v>
      </c>
      <c r="AD1887" s="115" t="s">
        <v>107</v>
      </c>
    </row>
    <row r="1888" spans="1:30" x14ac:dyDescent="0.2">
      <c r="A1888" s="104" t="s">
        <v>4274</v>
      </c>
      <c r="B1888" s="105" t="s">
        <v>103</v>
      </c>
      <c r="C1888" s="105" t="s">
        <v>160</v>
      </c>
      <c r="D1888" s="106"/>
      <c r="E1888" s="107"/>
      <c r="F1888" s="108" t="s">
        <v>16452</v>
      </c>
      <c r="G1888" s="119">
        <v>1</v>
      </c>
      <c r="H1888" s="108" t="s">
        <v>16247</v>
      </c>
      <c r="I1888" s="116">
        <v>1</v>
      </c>
      <c r="J1888" s="111" t="s">
        <v>40</v>
      </c>
      <c r="K1888" s="108" t="s">
        <v>4275</v>
      </c>
      <c r="L1888" s="116">
        <v>1</v>
      </c>
      <c r="M1888" s="113"/>
      <c r="N1888" s="108" t="s">
        <v>16452</v>
      </c>
      <c r="O1888" s="116">
        <v>1</v>
      </c>
      <c r="P1888" s="113"/>
      <c r="Q1888" s="108" t="s">
        <v>16453</v>
      </c>
      <c r="R1888" s="116">
        <v>1</v>
      </c>
      <c r="S1888" s="113"/>
      <c r="T1888" s="108" t="s">
        <v>47</v>
      </c>
      <c r="U1888" s="114"/>
      <c r="V1888" s="113"/>
      <c r="W1888" s="108" t="s">
        <v>47</v>
      </c>
      <c r="X1888" s="114"/>
      <c r="Y1888" s="113"/>
      <c r="Z1888" s="108" t="s">
        <v>47</v>
      </c>
      <c r="AA1888" s="114"/>
      <c r="AB1888" s="113"/>
      <c r="AC1888" s="105" t="s">
        <v>4276</v>
      </c>
      <c r="AD1888" s="115" t="s">
        <v>107</v>
      </c>
    </row>
    <row r="1889" spans="1:30" x14ac:dyDescent="0.2">
      <c r="A1889" s="104" t="s">
        <v>4277</v>
      </c>
      <c r="B1889" s="105" t="s">
        <v>103</v>
      </c>
      <c r="C1889" s="105" t="s">
        <v>160</v>
      </c>
      <c r="D1889" s="106"/>
      <c r="E1889" s="107"/>
      <c r="F1889" s="108" t="s">
        <v>16454</v>
      </c>
      <c r="G1889" s="119">
        <v>1</v>
      </c>
      <c r="H1889" s="108" t="s">
        <v>16455</v>
      </c>
      <c r="I1889" s="116">
        <v>1</v>
      </c>
      <c r="J1889" s="113"/>
      <c r="K1889" s="108" t="s">
        <v>16456</v>
      </c>
      <c r="L1889" s="116">
        <v>1</v>
      </c>
      <c r="M1889" s="113"/>
      <c r="N1889" s="108" t="s">
        <v>16454</v>
      </c>
      <c r="O1889" s="116">
        <v>1</v>
      </c>
      <c r="P1889" s="113"/>
      <c r="Q1889" s="108" t="s">
        <v>16457</v>
      </c>
      <c r="R1889" s="116">
        <v>1</v>
      </c>
      <c r="S1889" s="113"/>
      <c r="T1889" s="108" t="s">
        <v>16458</v>
      </c>
      <c r="U1889" s="116">
        <v>1</v>
      </c>
      <c r="V1889" s="113"/>
      <c r="W1889" s="108" t="s">
        <v>16459</v>
      </c>
      <c r="X1889" s="116">
        <v>1</v>
      </c>
      <c r="Y1889" s="113"/>
      <c r="Z1889" s="108" t="s">
        <v>47</v>
      </c>
      <c r="AA1889" s="114"/>
      <c r="AB1889" s="113"/>
      <c r="AC1889" s="105" t="s">
        <v>4278</v>
      </c>
      <c r="AD1889" s="115" t="s">
        <v>107</v>
      </c>
    </row>
    <row r="1890" spans="1:30" x14ac:dyDescent="0.2">
      <c r="A1890" s="104" t="s">
        <v>4279</v>
      </c>
      <c r="B1890" s="105" t="s">
        <v>103</v>
      </c>
      <c r="C1890" s="105" t="s">
        <v>160</v>
      </c>
      <c r="D1890" s="106"/>
      <c r="E1890" s="107"/>
      <c r="F1890" s="108" t="s">
        <v>16460</v>
      </c>
      <c r="G1890" s="120">
        <v>2</v>
      </c>
      <c r="H1890" s="108" t="s">
        <v>16461</v>
      </c>
      <c r="I1890" s="117">
        <v>2</v>
      </c>
      <c r="J1890" s="113"/>
      <c r="K1890" s="108" t="s">
        <v>16462</v>
      </c>
      <c r="L1890" s="117">
        <v>2</v>
      </c>
      <c r="M1890" s="113"/>
      <c r="N1890" s="108" t="s">
        <v>16460</v>
      </c>
      <c r="O1890" s="117">
        <v>2</v>
      </c>
      <c r="P1890" s="113"/>
      <c r="Q1890" s="108" t="s">
        <v>47</v>
      </c>
      <c r="R1890" s="114"/>
      <c r="S1890" s="113"/>
      <c r="T1890" s="108" t="s">
        <v>47</v>
      </c>
      <c r="U1890" s="114"/>
      <c r="V1890" s="113"/>
      <c r="W1890" s="108" t="s">
        <v>47</v>
      </c>
      <c r="X1890" s="114"/>
      <c r="Y1890" s="113"/>
      <c r="Z1890" s="108" t="s">
        <v>47</v>
      </c>
      <c r="AA1890" s="114"/>
      <c r="AB1890" s="113"/>
      <c r="AC1890" s="105" t="s">
        <v>4280</v>
      </c>
      <c r="AD1890" s="115" t="s">
        <v>49</v>
      </c>
    </row>
    <row r="1891" spans="1:30" x14ac:dyDescent="0.2">
      <c r="A1891" s="104" t="s">
        <v>4281</v>
      </c>
      <c r="B1891" s="105" t="s">
        <v>103</v>
      </c>
      <c r="C1891" s="105" t="s">
        <v>160</v>
      </c>
      <c r="D1891" s="106"/>
      <c r="E1891" s="107"/>
      <c r="F1891" s="108" t="s">
        <v>16463</v>
      </c>
      <c r="G1891" s="120">
        <v>2</v>
      </c>
      <c r="H1891" s="108" t="s">
        <v>16464</v>
      </c>
      <c r="I1891" s="117">
        <v>2</v>
      </c>
      <c r="J1891" s="113"/>
      <c r="K1891" s="108" t="s">
        <v>16465</v>
      </c>
      <c r="L1891" s="117">
        <v>2</v>
      </c>
      <c r="M1891" s="111" t="s">
        <v>46</v>
      </c>
      <c r="N1891" s="108" t="s">
        <v>16463</v>
      </c>
      <c r="O1891" s="117">
        <v>2</v>
      </c>
      <c r="P1891" s="113"/>
      <c r="Q1891" s="108" t="s">
        <v>16466</v>
      </c>
      <c r="R1891" s="116">
        <v>1</v>
      </c>
      <c r="S1891" s="113"/>
      <c r="T1891" s="108" t="s">
        <v>47</v>
      </c>
      <c r="U1891" s="114"/>
      <c r="V1891" s="113"/>
      <c r="W1891" s="108" t="s">
        <v>47</v>
      </c>
      <c r="X1891" s="114"/>
      <c r="Y1891" s="113"/>
      <c r="Z1891" s="108" t="s">
        <v>47</v>
      </c>
      <c r="AA1891" s="114"/>
      <c r="AB1891" s="113"/>
      <c r="AC1891" s="105" t="s">
        <v>4282</v>
      </c>
      <c r="AD1891" s="115" t="s">
        <v>49</v>
      </c>
    </row>
    <row r="1892" spans="1:30" x14ac:dyDescent="0.2">
      <c r="A1892" s="104" t="s">
        <v>4283</v>
      </c>
      <c r="B1892" s="105" t="s">
        <v>103</v>
      </c>
      <c r="C1892" s="105" t="s">
        <v>160</v>
      </c>
      <c r="D1892" s="106"/>
      <c r="E1892" s="107"/>
      <c r="F1892" s="108" t="s">
        <v>16467</v>
      </c>
      <c r="G1892" s="120">
        <v>2</v>
      </c>
      <c r="H1892" s="108" t="s">
        <v>16468</v>
      </c>
      <c r="I1892" s="117">
        <v>2</v>
      </c>
      <c r="J1892" s="113"/>
      <c r="K1892" s="108" t="s">
        <v>16469</v>
      </c>
      <c r="L1892" s="117">
        <v>2</v>
      </c>
      <c r="M1892" s="111" t="s">
        <v>46</v>
      </c>
      <c r="N1892" s="108" t="s">
        <v>16467</v>
      </c>
      <c r="O1892" s="117">
        <v>2</v>
      </c>
      <c r="P1892" s="113"/>
      <c r="Q1892" s="108" t="s">
        <v>47</v>
      </c>
      <c r="R1892" s="114"/>
      <c r="S1892" s="113"/>
      <c r="T1892" s="108" t="s">
        <v>47</v>
      </c>
      <c r="U1892" s="114"/>
      <c r="V1892" s="113"/>
      <c r="W1892" s="108" t="s">
        <v>47</v>
      </c>
      <c r="X1892" s="114"/>
      <c r="Y1892" s="113"/>
      <c r="Z1892" s="108" t="s">
        <v>47</v>
      </c>
      <c r="AA1892" s="114"/>
      <c r="AB1892" s="113"/>
      <c r="AC1892" s="105" t="s">
        <v>4284</v>
      </c>
      <c r="AD1892" s="115" t="s">
        <v>49</v>
      </c>
    </row>
    <row r="1893" spans="1:30" x14ac:dyDescent="0.2">
      <c r="A1893" s="104" t="s">
        <v>4285</v>
      </c>
      <c r="B1893" s="105" t="s">
        <v>103</v>
      </c>
      <c r="C1893" s="105" t="s">
        <v>160</v>
      </c>
      <c r="D1893" s="106"/>
      <c r="E1893" s="107"/>
      <c r="F1893" s="108" t="s">
        <v>16470</v>
      </c>
      <c r="G1893" s="120">
        <v>2</v>
      </c>
      <c r="H1893" s="108" t="s">
        <v>16471</v>
      </c>
      <c r="I1893" s="110">
        <v>3</v>
      </c>
      <c r="J1893" s="111" t="s">
        <v>46</v>
      </c>
      <c r="K1893" s="108" t="s">
        <v>16472</v>
      </c>
      <c r="L1893" s="117">
        <v>2</v>
      </c>
      <c r="M1893" s="113"/>
      <c r="N1893" s="108" t="s">
        <v>16470</v>
      </c>
      <c r="O1893" s="117">
        <v>2</v>
      </c>
      <c r="P1893" s="113"/>
      <c r="Q1893" s="108" t="s">
        <v>16473</v>
      </c>
      <c r="R1893" s="116">
        <v>1</v>
      </c>
      <c r="S1893" s="113"/>
      <c r="T1893" s="108" t="s">
        <v>16474</v>
      </c>
      <c r="U1893" s="116">
        <v>1</v>
      </c>
      <c r="V1893" s="113"/>
      <c r="W1893" s="108" t="s">
        <v>16475</v>
      </c>
      <c r="X1893" s="117">
        <v>2</v>
      </c>
      <c r="Y1893" s="113"/>
      <c r="Z1893" s="108" t="s">
        <v>16476</v>
      </c>
      <c r="AA1893" s="117">
        <v>2</v>
      </c>
      <c r="AB1893" s="113"/>
      <c r="AC1893" s="105" t="s">
        <v>4286</v>
      </c>
      <c r="AD1893" s="115" t="s">
        <v>49</v>
      </c>
    </row>
    <row r="1894" spans="1:30" x14ac:dyDescent="0.2">
      <c r="A1894" s="104" t="s">
        <v>4287</v>
      </c>
      <c r="B1894" s="105" t="s">
        <v>103</v>
      </c>
      <c r="C1894" s="105" t="s">
        <v>160</v>
      </c>
      <c r="D1894" s="106"/>
      <c r="E1894" s="107"/>
      <c r="F1894" s="108" t="s">
        <v>16477</v>
      </c>
      <c r="G1894" s="120">
        <v>2</v>
      </c>
      <c r="H1894" s="108" t="s">
        <v>16471</v>
      </c>
      <c r="I1894" s="110">
        <v>3</v>
      </c>
      <c r="J1894" s="111" t="s">
        <v>46</v>
      </c>
      <c r="K1894" s="108" t="s">
        <v>16478</v>
      </c>
      <c r="L1894" s="117">
        <v>2</v>
      </c>
      <c r="M1894" s="113"/>
      <c r="N1894" s="108" t="s">
        <v>16477</v>
      </c>
      <c r="O1894" s="117">
        <v>2</v>
      </c>
      <c r="P1894" s="113"/>
      <c r="Q1894" s="108" t="s">
        <v>16479</v>
      </c>
      <c r="R1894" s="116">
        <v>1</v>
      </c>
      <c r="S1894" s="113"/>
      <c r="T1894" s="108" t="s">
        <v>16480</v>
      </c>
      <c r="U1894" s="116">
        <v>1</v>
      </c>
      <c r="V1894" s="113"/>
      <c r="W1894" s="108" t="s">
        <v>16481</v>
      </c>
      <c r="X1894" s="117">
        <v>2</v>
      </c>
      <c r="Y1894" s="113"/>
      <c r="Z1894" s="108" t="s">
        <v>16482</v>
      </c>
      <c r="AA1894" s="117">
        <v>2</v>
      </c>
      <c r="AB1894" s="113"/>
      <c r="AC1894" s="105" t="s">
        <v>4288</v>
      </c>
      <c r="AD1894" s="115" t="s">
        <v>49</v>
      </c>
    </row>
    <row r="1895" spans="1:30" x14ac:dyDescent="0.2">
      <c r="A1895" s="104" t="s">
        <v>4289</v>
      </c>
      <c r="B1895" s="105" t="s">
        <v>103</v>
      </c>
      <c r="C1895" s="105" t="s">
        <v>160</v>
      </c>
      <c r="D1895" s="106"/>
      <c r="E1895" s="107"/>
      <c r="F1895" s="108" t="s">
        <v>47</v>
      </c>
      <c r="G1895" s="113"/>
      <c r="H1895" s="108" t="s">
        <v>16483</v>
      </c>
      <c r="I1895" s="117">
        <v>2</v>
      </c>
      <c r="J1895" s="113"/>
      <c r="K1895" s="108" t="s">
        <v>16484</v>
      </c>
      <c r="L1895" s="117">
        <v>2</v>
      </c>
      <c r="M1895" s="113"/>
      <c r="N1895" s="108" t="s">
        <v>47</v>
      </c>
      <c r="O1895" s="114"/>
      <c r="P1895" s="113"/>
      <c r="Q1895" s="108" t="s">
        <v>47</v>
      </c>
      <c r="R1895" s="114"/>
      <c r="S1895" s="113"/>
      <c r="T1895" s="108" t="s">
        <v>47</v>
      </c>
      <c r="U1895" s="114"/>
      <c r="V1895" s="113"/>
      <c r="W1895" s="108" t="s">
        <v>47</v>
      </c>
      <c r="X1895" s="114"/>
      <c r="Y1895" s="113"/>
      <c r="Z1895" s="108" t="s">
        <v>47</v>
      </c>
      <c r="AA1895" s="114"/>
      <c r="AB1895" s="113"/>
      <c r="AC1895" s="105" t="s">
        <v>4290</v>
      </c>
      <c r="AD1895" s="115" t="s">
        <v>49</v>
      </c>
    </row>
    <row r="1896" spans="1:30" x14ac:dyDescent="0.2">
      <c r="A1896" s="104" t="s">
        <v>4291</v>
      </c>
      <c r="B1896" s="105" t="s">
        <v>97</v>
      </c>
      <c r="C1896" s="105"/>
      <c r="D1896" s="106"/>
      <c r="E1896" s="107"/>
      <c r="F1896" s="108" t="s">
        <v>47</v>
      </c>
      <c r="G1896" s="113"/>
      <c r="H1896" s="108" t="s">
        <v>47</v>
      </c>
      <c r="I1896" s="114"/>
      <c r="J1896" s="113"/>
      <c r="K1896" s="108" t="s">
        <v>47</v>
      </c>
      <c r="L1896" s="114"/>
      <c r="M1896" s="113"/>
      <c r="N1896" s="108" t="s">
        <v>47</v>
      </c>
      <c r="O1896" s="114"/>
      <c r="P1896" s="113"/>
      <c r="Q1896" s="108" t="s">
        <v>47</v>
      </c>
      <c r="R1896" s="114"/>
      <c r="S1896" s="113"/>
      <c r="T1896" s="108" t="s">
        <v>47</v>
      </c>
      <c r="U1896" s="114"/>
      <c r="V1896" s="113"/>
      <c r="W1896" s="108" t="s">
        <v>47</v>
      </c>
      <c r="X1896" s="114"/>
      <c r="Y1896" s="113"/>
      <c r="Z1896" s="108" t="s">
        <v>47</v>
      </c>
      <c r="AA1896" s="114"/>
      <c r="AB1896" s="113"/>
      <c r="AC1896" s="105" t="s">
        <v>4292</v>
      </c>
      <c r="AD1896" s="115" t="s">
        <v>101</v>
      </c>
    </row>
    <row r="1897" spans="1:30" x14ac:dyDescent="0.2">
      <c r="A1897" s="104" t="s">
        <v>4293</v>
      </c>
      <c r="B1897" s="105" t="s">
        <v>111</v>
      </c>
      <c r="C1897" s="105" t="s">
        <v>112</v>
      </c>
      <c r="D1897" s="106"/>
      <c r="E1897" s="107"/>
      <c r="F1897" s="108" t="s">
        <v>16485</v>
      </c>
      <c r="G1897" s="120">
        <v>2</v>
      </c>
      <c r="H1897" s="108" t="s">
        <v>16486</v>
      </c>
      <c r="I1897" s="112">
        <v>4</v>
      </c>
      <c r="J1897" s="111" t="s">
        <v>44</v>
      </c>
      <c r="K1897" s="108" t="s">
        <v>16487</v>
      </c>
      <c r="L1897" s="117">
        <v>2</v>
      </c>
      <c r="M1897" s="111" t="s">
        <v>46</v>
      </c>
      <c r="N1897" s="108" t="s">
        <v>16485</v>
      </c>
      <c r="O1897" s="117">
        <v>2</v>
      </c>
      <c r="P1897" s="113"/>
      <c r="Q1897" s="108" t="s">
        <v>16488</v>
      </c>
      <c r="R1897" s="110">
        <v>3</v>
      </c>
      <c r="S1897" s="111" t="s">
        <v>46</v>
      </c>
      <c r="T1897" s="108" t="s">
        <v>16489</v>
      </c>
      <c r="U1897" s="110">
        <v>3</v>
      </c>
      <c r="V1897" s="113"/>
      <c r="W1897" s="108" t="s">
        <v>16490</v>
      </c>
      <c r="X1897" s="110">
        <v>3</v>
      </c>
      <c r="Y1897" s="113"/>
      <c r="Z1897" s="108" t="s">
        <v>16491</v>
      </c>
      <c r="AA1897" s="117">
        <v>2</v>
      </c>
      <c r="AB1897" s="111" t="s">
        <v>40</v>
      </c>
      <c r="AC1897" s="105" t="s">
        <v>4294</v>
      </c>
      <c r="AD1897" s="115" t="s">
        <v>114</v>
      </c>
    </row>
    <row r="1898" spans="1:30" x14ac:dyDescent="0.2">
      <c r="A1898" s="104" t="s">
        <v>4295</v>
      </c>
      <c r="B1898" s="105" t="s">
        <v>42</v>
      </c>
      <c r="C1898" s="105" t="s">
        <v>244</v>
      </c>
      <c r="D1898" s="106"/>
      <c r="E1898" s="107"/>
      <c r="F1898" s="108" t="s">
        <v>16492</v>
      </c>
      <c r="G1898" s="118">
        <v>3</v>
      </c>
      <c r="H1898" s="108" t="s">
        <v>16493</v>
      </c>
      <c r="I1898" s="110">
        <v>3</v>
      </c>
      <c r="J1898" s="113"/>
      <c r="K1898" s="108" t="s">
        <v>4296</v>
      </c>
      <c r="L1898" s="117">
        <v>2</v>
      </c>
      <c r="M1898" s="111" t="s">
        <v>40</v>
      </c>
      <c r="N1898" s="108" t="s">
        <v>16492</v>
      </c>
      <c r="O1898" s="110">
        <v>3</v>
      </c>
      <c r="P1898" s="111" t="s">
        <v>46</v>
      </c>
      <c r="Q1898" s="108" t="s">
        <v>16494</v>
      </c>
      <c r="R1898" s="116">
        <v>1</v>
      </c>
      <c r="S1898" s="111" t="s">
        <v>53</v>
      </c>
      <c r="T1898" s="108" t="s">
        <v>16495</v>
      </c>
      <c r="U1898" s="110">
        <v>3</v>
      </c>
      <c r="V1898" s="113"/>
      <c r="W1898" s="108" t="s">
        <v>16496</v>
      </c>
      <c r="X1898" s="117">
        <v>2</v>
      </c>
      <c r="Y1898" s="111" t="s">
        <v>40</v>
      </c>
      <c r="Z1898" s="108" t="s">
        <v>16497</v>
      </c>
      <c r="AA1898" s="110">
        <v>3</v>
      </c>
      <c r="AB1898" s="113"/>
      <c r="AC1898" s="105" t="s">
        <v>4297</v>
      </c>
      <c r="AD1898" s="115" t="s">
        <v>180</v>
      </c>
    </row>
    <row r="1899" spans="1:30" x14ac:dyDescent="0.2">
      <c r="A1899" s="104" t="s">
        <v>4298</v>
      </c>
      <c r="B1899" s="105" t="s">
        <v>42</v>
      </c>
      <c r="C1899" s="105" t="s">
        <v>279</v>
      </c>
      <c r="D1899" s="106"/>
      <c r="E1899" s="107"/>
      <c r="F1899" s="108" t="s">
        <v>16498</v>
      </c>
      <c r="G1899" s="118">
        <v>3</v>
      </c>
      <c r="H1899" s="108" t="s">
        <v>16499</v>
      </c>
      <c r="I1899" s="110">
        <v>3</v>
      </c>
      <c r="J1899" s="111" t="s">
        <v>55</v>
      </c>
      <c r="K1899" s="108" t="s">
        <v>16500</v>
      </c>
      <c r="L1899" s="117">
        <v>2</v>
      </c>
      <c r="M1899" s="111" t="s">
        <v>40</v>
      </c>
      <c r="N1899" s="108" t="s">
        <v>16498</v>
      </c>
      <c r="O1899" s="110">
        <v>3</v>
      </c>
      <c r="P1899" s="111" t="s">
        <v>46</v>
      </c>
      <c r="Q1899" s="108" t="s">
        <v>16501</v>
      </c>
      <c r="R1899" s="110">
        <v>3</v>
      </c>
      <c r="S1899" s="113"/>
      <c r="T1899" s="108" t="s">
        <v>16502</v>
      </c>
      <c r="U1899" s="112">
        <v>4</v>
      </c>
      <c r="V1899" s="113"/>
      <c r="W1899" s="108" t="s">
        <v>16503</v>
      </c>
      <c r="X1899" s="112">
        <v>4</v>
      </c>
      <c r="Y1899" s="113"/>
      <c r="Z1899" s="108" t="s">
        <v>16504</v>
      </c>
      <c r="AA1899" s="112">
        <v>4</v>
      </c>
      <c r="AB1899" s="113"/>
      <c r="AC1899" s="105" t="s">
        <v>4299</v>
      </c>
      <c r="AD1899" s="115" t="s">
        <v>180</v>
      </c>
    </row>
    <row r="1900" spans="1:30" x14ac:dyDescent="0.2">
      <c r="A1900" s="104" t="s">
        <v>4300</v>
      </c>
      <c r="B1900" s="105" t="s">
        <v>42</v>
      </c>
      <c r="C1900" s="105" t="s">
        <v>306</v>
      </c>
      <c r="D1900" s="106"/>
      <c r="E1900" s="107"/>
      <c r="F1900" s="108" t="s">
        <v>16505</v>
      </c>
      <c r="G1900" s="120">
        <v>2</v>
      </c>
      <c r="H1900" s="108" t="s">
        <v>8121</v>
      </c>
      <c r="I1900" s="117">
        <v>2</v>
      </c>
      <c r="J1900" s="113"/>
      <c r="K1900" s="108" t="s">
        <v>16506</v>
      </c>
      <c r="L1900" s="117">
        <v>2</v>
      </c>
      <c r="M1900" s="111" t="s">
        <v>40</v>
      </c>
      <c r="N1900" s="108" t="s">
        <v>16505</v>
      </c>
      <c r="O1900" s="117">
        <v>2</v>
      </c>
      <c r="P1900" s="111" t="s">
        <v>40</v>
      </c>
      <c r="Q1900" s="108" t="s">
        <v>16507</v>
      </c>
      <c r="R1900" s="117">
        <v>2</v>
      </c>
      <c r="S1900" s="111" t="s">
        <v>40</v>
      </c>
      <c r="T1900" s="108" t="s">
        <v>16508</v>
      </c>
      <c r="U1900" s="117">
        <v>2</v>
      </c>
      <c r="V1900" s="113"/>
      <c r="W1900" s="108" t="s">
        <v>16509</v>
      </c>
      <c r="X1900" s="116">
        <v>1</v>
      </c>
      <c r="Y1900" s="111" t="s">
        <v>40</v>
      </c>
      <c r="Z1900" s="108" t="s">
        <v>16510</v>
      </c>
      <c r="AA1900" s="110">
        <v>3</v>
      </c>
      <c r="AB1900" s="111" t="s">
        <v>40</v>
      </c>
      <c r="AC1900" s="105" t="s">
        <v>4301</v>
      </c>
      <c r="AD1900" s="115" t="s">
        <v>180</v>
      </c>
    </row>
    <row r="1901" spans="1:30" x14ac:dyDescent="0.2">
      <c r="A1901" s="104" t="s">
        <v>4302</v>
      </c>
      <c r="B1901" s="105" t="s">
        <v>42</v>
      </c>
      <c r="C1901" s="105" t="s">
        <v>582</v>
      </c>
      <c r="D1901" s="106"/>
      <c r="E1901" s="107"/>
      <c r="F1901" s="108" t="s">
        <v>16511</v>
      </c>
      <c r="G1901" s="120">
        <v>2</v>
      </c>
      <c r="H1901" s="108" t="s">
        <v>16512</v>
      </c>
      <c r="I1901" s="117">
        <v>2</v>
      </c>
      <c r="J1901" s="111" t="s">
        <v>46</v>
      </c>
      <c r="K1901" s="108" t="s">
        <v>16513</v>
      </c>
      <c r="L1901" s="116">
        <v>1</v>
      </c>
      <c r="M1901" s="111" t="s">
        <v>40</v>
      </c>
      <c r="N1901" s="108" t="s">
        <v>16511</v>
      </c>
      <c r="O1901" s="117">
        <v>2</v>
      </c>
      <c r="P1901" s="113"/>
      <c r="Q1901" s="108" t="s">
        <v>16514</v>
      </c>
      <c r="R1901" s="110">
        <v>3</v>
      </c>
      <c r="S1901" s="111" t="s">
        <v>46</v>
      </c>
      <c r="T1901" s="108" t="s">
        <v>16515</v>
      </c>
      <c r="U1901" s="117">
        <v>2</v>
      </c>
      <c r="V1901" s="113"/>
      <c r="W1901" s="108" t="s">
        <v>16516</v>
      </c>
      <c r="X1901" s="117">
        <v>2</v>
      </c>
      <c r="Y1901" s="113"/>
      <c r="Z1901" s="108" t="s">
        <v>16517</v>
      </c>
      <c r="AA1901" s="110">
        <v>3</v>
      </c>
      <c r="AB1901" s="113"/>
      <c r="AC1901" s="105" t="s">
        <v>4303</v>
      </c>
      <c r="AD1901" s="115" t="s">
        <v>180</v>
      </c>
    </row>
    <row r="1902" spans="1:30" x14ac:dyDescent="0.2">
      <c r="A1902" s="104" t="s">
        <v>4304</v>
      </c>
      <c r="B1902" s="105" t="s">
        <v>42</v>
      </c>
      <c r="C1902" s="105" t="s">
        <v>98</v>
      </c>
      <c r="D1902" s="106"/>
      <c r="E1902" s="107"/>
      <c r="F1902" s="108" t="s">
        <v>16518</v>
      </c>
      <c r="G1902" s="119">
        <v>1</v>
      </c>
      <c r="H1902" s="108" t="s">
        <v>16519</v>
      </c>
      <c r="I1902" s="117">
        <v>2</v>
      </c>
      <c r="J1902" s="111" t="s">
        <v>46</v>
      </c>
      <c r="K1902" s="108" t="s">
        <v>16520</v>
      </c>
      <c r="L1902" s="116">
        <v>1</v>
      </c>
      <c r="M1902" s="113"/>
      <c r="N1902" s="108" t="s">
        <v>16518</v>
      </c>
      <c r="O1902" s="116">
        <v>1</v>
      </c>
      <c r="P1902" s="113"/>
      <c r="Q1902" s="108" t="s">
        <v>16521</v>
      </c>
      <c r="R1902" s="116">
        <v>1</v>
      </c>
      <c r="S1902" s="111" t="s">
        <v>53</v>
      </c>
      <c r="T1902" s="108" t="s">
        <v>16522</v>
      </c>
      <c r="U1902" s="110">
        <v>3</v>
      </c>
      <c r="V1902" s="113"/>
      <c r="W1902" s="108" t="s">
        <v>16523</v>
      </c>
      <c r="X1902" s="110">
        <v>3</v>
      </c>
      <c r="Y1902" s="113"/>
      <c r="Z1902" s="108" t="s">
        <v>16524</v>
      </c>
      <c r="AA1902" s="110">
        <v>3</v>
      </c>
      <c r="AB1902" s="113"/>
      <c r="AC1902" s="105"/>
      <c r="AD1902" s="115" t="s">
        <v>180</v>
      </c>
    </row>
    <row r="1903" spans="1:30" x14ac:dyDescent="0.2">
      <c r="A1903" s="104" t="s">
        <v>4305</v>
      </c>
      <c r="B1903" s="105" t="s">
        <v>42</v>
      </c>
      <c r="C1903" s="105" t="s">
        <v>2716</v>
      </c>
      <c r="D1903" s="106"/>
      <c r="E1903" s="107"/>
      <c r="F1903" s="108" t="s">
        <v>16525</v>
      </c>
      <c r="G1903" s="118">
        <v>3</v>
      </c>
      <c r="H1903" s="108" t="s">
        <v>16526</v>
      </c>
      <c r="I1903" s="116">
        <v>1</v>
      </c>
      <c r="J1903" s="111" t="s">
        <v>40</v>
      </c>
      <c r="K1903" s="108" t="s">
        <v>16527</v>
      </c>
      <c r="L1903" s="117">
        <v>2</v>
      </c>
      <c r="M1903" s="113"/>
      <c r="N1903" s="108" t="s">
        <v>16525</v>
      </c>
      <c r="O1903" s="110">
        <v>3</v>
      </c>
      <c r="P1903" s="113"/>
      <c r="Q1903" s="108" t="s">
        <v>16528</v>
      </c>
      <c r="R1903" s="112">
        <v>4</v>
      </c>
      <c r="S1903" s="113"/>
      <c r="T1903" s="108" t="s">
        <v>16529</v>
      </c>
      <c r="U1903" s="110">
        <v>3</v>
      </c>
      <c r="V1903" s="113"/>
      <c r="W1903" s="108" t="s">
        <v>16530</v>
      </c>
      <c r="X1903" s="110">
        <v>3</v>
      </c>
      <c r="Y1903" s="113"/>
      <c r="Z1903" s="108" t="s">
        <v>16531</v>
      </c>
      <c r="AA1903" s="117">
        <v>2</v>
      </c>
      <c r="AB1903" s="111" t="s">
        <v>40</v>
      </c>
      <c r="AC1903" s="105" t="s">
        <v>4306</v>
      </c>
      <c r="AD1903" s="115" t="s">
        <v>180</v>
      </c>
    </row>
    <row r="1904" spans="1:30" x14ac:dyDescent="0.2">
      <c r="A1904" s="104" t="s">
        <v>4307</v>
      </c>
      <c r="B1904" s="105" t="s">
        <v>42</v>
      </c>
      <c r="C1904" s="105" t="s">
        <v>384</v>
      </c>
      <c r="D1904" s="106"/>
      <c r="E1904" s="107"/>
      <c r="F1904" s="108" t="s">
        <v>16532</v>
      </c>
      <c r="G1904" s="120">
        <v>2</v>
      </c>
      <c r="H1904" s="108" t="s">
        <v>16533</v>
      </c>
      <c r="I1904" s="117">
        <v>2</v>
      </c>
      <c r="J1904" s="111" t="s">
        <v>46</v>
      </c>
      <c r="K1904" s="108" t="s">
        <v>16534</v>
      </c>
      <c r="L1904" s="116">
        <v>1</v>
      </c>
      <c r="M1904" s="111" t="s">
        <v>40</v>
      </c>
      <c r="N1904" s="108" t="s">
        <v>16532</v>
      </c>
      <c r="O1904" s="117">
        <v>2</v>
      </c>
      <c r="P1904" s="111" t="s">
        <v>40</v>
      </c>
      <c r="Q1904" s="108" t="s">
        <v>16535</v>
      </c>
      <c r="R1904" s="110">
        <v>3</v>
      </c>
      <c r="S1904" s="113"/>
      <c r="T1904" s="108" t="s">
        <v>16536</v>
      </c>
      <c r="U1904" s="117">
        <v>2</v>
      </c>
      <c r="V1904" s="113"/>
      <c r="W1904" s="108" t="s">
        <v>16537</v>
      </c>
      <c r="X1904" s="116">
        <v>1</v>
      </c>
      <c r="Y1904" s="113"/>
      <c r="Z1904" s="108" t="s">
        <v>16538</v>
      </c>
      <c r="AA1904" s="117">
        <v>2</v>
      </c>
      <c r="AB1904" s="113"/>
      <c r="AC1904" s="105"/>
      <c r="AD1904" s="115" t="s">
        <v>180</v>
      </c>
    </row>
    <row r="1905" spans="1:30" x14ac:dyDescent="0.2">
      <c r="A1905" s="104" t="s">
        <v>4308</v>
      </c>
      <c r="B1905" s="105" t="s">
        <v>42</v>
      </c>
      <c r="C1905" s="105" t="s">
        <v>132</v>
      </c>
      <c r="D1905" s="106"/>
      <c r="E1905" s="107"/>
      <c r="F1905" s="108" t="s">
        <v>16539</v>
      </c>
      <c r="G1905" s="118">
        <v>3</v>
      </c>
      <c r="H1905" s="108" t="s">
        <v>16540</v>
      </c>
      <c r="I1905" s="110">
        <v>3</v>
      </c>
      <c r="J1905" s="113"/>
      <c r="K1905" s="108" t="s">
        <v>16541</v>
      </c>
      <c r="L1905" s="110">
        <v>3</v>
      </c>
      <c r="M1905" s="113"/>
      <c r="N1905" s="108" t="s">
        <v>16539</v>
      </c>
      <c r="O1905" s="110">
        <v>3</v>
      </c>
      <c r="P1905" s="111" t="s">
        <v>40</v>
      </c>
      <c r="Q1905" s="108" t="s">
        <v>16542</v>
      </c>
      <c r="R1905" s="112">
        <v>4</v>
      </c>
      <c r="S1905" s="113"/>
      <c r="T1905" s="108" t="s">
        <v>16543</v>
      </c>
      <c r="U1905" s="110">
        <v>3</v>
      </c>
      <c r="V1905" s="113"/>
      <c r="W1905" s="108" t="s">
        <v>16544</v>
      </c>
      <c r="X1905" s="112">
        <v>4</v>
      </c>
      <c r="Y1905" s="113"/>
      <c r="Z1905" s="108" t="s">
        <v>4309</v>
      </c>
      <c r="AA1905" s="112">
        <v>4</v>
      </c>
      <c r="AB1905" s="111" t="s">
        <v>46</v>
      </c>
      <c r="AC1905" s="105" t="s">
        <v>4310</v>
      </c>
      <c r="AD1905" s="115" t="s">
        <v>180</v>
      </c>
    </row>
    <row r="1906" spans="1:30" x14ac:dyDescent="0.2">
      <c r="A1906" s="104" t="s">
        <v>4311</v>
      </c>
      <c r="B1906" s="105" t="s">
        <v>4312</v>
      </c>
      <c r="C1906" s="105" t="s">
        <v>1787</v>
      </c>
      <c r="D1906" s="106"/>
      <c r="E1906" s="107"/>
      <c r="F1906" s="108" t="s">
        <v>47</v>
      </c>
      <c r="G1906" s="113"/>
      <c r="H1906" s="108" t="s">
        <v>47</v>
      </c>
      <c r="I1906" s="114"/>
      <c r="J1906" s="113"/>
      <c r="K1906" s="108" t="s">
        <v>47</v>
      </c>
      <c r="L1906" s="114"/>
      <c r="M1906" s="113"/>
      <c r="N1906" s="108" t="s">
        <v>47</v>
      </c>
      <c r="O1906" s="114"/>
      <c r="P1906" s="113"/>
      <c r="Q1906" s="108" t="s">
        <v>47</v>
      </c>
      <c r="R1906" s="114"/>
      <c r="S1906" s="113"/>
      <c r="T1906" s="108" t="s">
        <v>47</v>
      </c>
      <c r="U1906" s="114"/>
      <c r="V1906" s="113"/>
      <c r="W1906" s="108" t="s">
        <v>47</v>
      </c>
      <c r="X1906" s="114"/>
      <c r="Y1906" s="113"/>
      <c r="Z1906" s="108" t="s">
        <v>47</v>
      </c>
      <c r="AA1906" s="114"/>
      <c r="AB1906" s="113"/>
      <c r="AC1906" s="105" t="s">
        <v>4313</v>
      </c>
      <c r="AD1906" s="115" t="s">
        <v>4314</v>
      </c>
    </row>
    <row r="1907" spans="1:30" x14ac:dyDescent="0.2">
      <c r="A1907" s="104" t="s">
        <v>4315</v>
      </c>
      <c r="B1907" s="105" t="s">
        <v>4312</v>
      </c>
      <c r="C1907" s="105" t="s">
        <v>1787</v>
      </c>
      <c r="D1907" s="106"/>
      <c r="E1907" s="107"/>
      <c r="F1907" s="108" t="s">
        <v>47</v>
      </c>
      <c r="G1907" s="113"/>
      <c r="H1907" s="108" t="s">
        <v>47</v>
      </c>
      <c r="I1907" s="114"/>
      <c r="J1907" s="113"/>
      <c r="K1907" s="108" t="s">
        <v>47</v>
      </c>
      <c r="L1907" s="114"/>
      <c r="M1907" s="113"/>
      <c r="N1907" s="108" t="s">
        <v>47</v>
      </c>
      <c r="O1907" s="114"/>
      <c r="P1907" s="113"/>
      <c r="Q1907" s="108" t="s">
        <v>47</v>
      </c>
      <c r="R1907" s="114"/>
      <c r="S1907" s="113"/>
      <c r="T1907" s="108" t="s">
        <v>47</v>
      </c>
      <c r="U1907" s="114"/>
      <c r="V1907" s="113"/>
      <c r="W1907" s="108" t="s">
        <v>47</v>
      </c>
      <c r="X1907" s="114"/>
      <c r="Y1907" s="113"/>
      <c r="Z1907" s="108" t="s">
        <v>47</v>
      </c>
      <c r="AA1907" s="114"/>
      <c r="AB1907" s="113"/>
      <c r="AC1907" s="105" t="s">
        <v>4316</v>
      </c>
      <c r="AD1907" s="115" t="s">
        <v>4314</v>
      </c>
    </row>
    <row r="1908" spans="1:30" x14ac:dyDescent="0.2">
      <c r="A1908" s="104" t="s">
        <v>4317</v>
      </c>
      <c r="B1908" s="105" t="s">
        <v>4312</v>
      </c>
      <c r="C1908" s="105" t="s">
        <v>1787</v>
      </c>
      <c r="D1908" s="106"/>
      <c r="E1908" s="107"/>
      <c r="F1908" s="108" t="s">
        <v>47</v>
      </c>
      <c r="G1908" s="113"/>
      <c r="H1908" s="108" t="s">
        <v>47</v>
      </c>
      <c r="I1908" s="114"/>
      <c r="J1908" s="113"/>
      <c r="K1908" s="108" t="s">
        <v>47</v>
      </c>
      <c r="L1908" s="114"/>
      <c r="M1908" s="113"/>
      <c r="N1908" s="108" t="s">
        <v>47</v>
      </c>
      <c r="O1908" s="114"/>
      <c r="P1908" s="113"/>
      <c r="Q1908" s="108" t="s">
        <v>47</v>
      </c>
      <c r="R1908" s="114"/>
      <c r="S1908" s="113"/>
      <c r="T1908" s="108" t="s">
        <v>47</v>
      </c>
      <c r="U1908" s="114"/>
      <c r="V1908" s="113"/>
      <c r="W1908" s="108" t="s">
        <v>47</v>
      </c>
      <c r="X1908" s="114"/>
      <c r="Y1908" s="113"/>
      <c r="Z1908" s="108" t="s">
        <v>47</v>
      </c>
      <c r="AA1908" s="114"/>
      <c r="AB1908" s="113"/>
      <c r="AC1908" s="105" t="s">
        <v>4318</v>
      </c>
      <c r="AD1908" s="115" t="s">
        <v>4314</v>
      </c>
    </row>
    <row r="1909" spans="1:30" x14ac:dyDescent="0.2">
      <c r="A1909" s="104" t="s">
        <v>4319</v>
      </c>
      <c r="B1909" s="105" t="s">
        <v>4312</v>
      </c>
      <c r="C1909" s="105" t="s">
        <v>1787</v>
      </c>
      <c r="D1909" s="106"/>
      <c r="E1909" s="107"/>
      <c r="F1909" s="108" t="s">
        <v>47</v>
      </c>
      <c r="G1909" s="113"/>
      <c r="H1909" s="108" t="s">
        <v>47</v>
      </c>
      <c r="I1909" s="114"/>
      <c r="J1909" s="113"/>
      <c r="K1909" s="108" t="s">
        <v>47</v>
      </c>
      <c r="L1909" s="114"/>
      <c r="M1909" s="113"/>
      <c r="N1909" s="108" t="s">
        <v>47</v>
      </c>
      <c r="O1909" s="114"/>
      <c r="P1909" s="113"/>
      <c r="Q1909" s="108" t="s">
        <v>47</v>
      </c>
      <c r="R1909" s="114"/>
      <c r="S1909" s="113"/>
      <c r="T1909" s="108" t="s">
        <v>47</v>
      </c>
      <c r="U1909" s="114"/>
      <c r="V1909" s="113"/>
      <c r="W1909" s="108" t="s">
        <v>47</v>
      </c>
      <c r="X1909" s="114"/>
      <c r="Y1909" s="113"/>
      <c r="Z1909" s="108" t="s">
        <v>47</v>
      </c>
      <c r="AA1909" s="114"/>
      <c r="AB1909" s="113"/>
      <c r="AC1909" s="105" t="s">
        <v>4320</v>
      </c>
      <c r="AD1909" s="115" t="s">
        <v>4314</v>
      </c>
    </row>
    <row r="1910" spans="1:30" x14ac:dyDescent="0.2">
      <c r="A1910" s="104" t="s">
        <v>4321</v>
      </c>
      <c r="B1910" s="105" t="s">
        <v>4312</v>
      </c>
      <c r="C1910" s="105" t="s">
        <v>1787</v>
      </c>
      <c r="D1910" s="106"/>
      <c r="E1910" s="107"/>
      <c r="F1910" s="108" t="s">
        <v>47</v>
      </c>
      <c r="G1910" s="113"/>
      <c r="H1910" s="108" t="s">
        <v>47</v>
      </c>
      <c r="I1910" s="114"/>
      <c r="J1910" s="113"/>
      <c r="K1910" s="108" t="s">
        <v>47</v>
      </c>
      <c r="L1910" s="114"/>
      <c r="M1910" s="113"/>
      <c r="N1910" s="108" t="s">
        <v>47</v>
      </c>
      <c r="O1910" s="114"/>
      <c r="P1910" s="113"/>
      <c r="Q1910" s="108" t="s">
        <v>47</v>
      </c>
      <c r="R1910" s="114"/>
      <c r="S1910" s="113"/>
      <c r="T1910" s="108" t="s">
        <v>47</v>
      </c>
      <c r="U1910" s="114"/>
      <c r="V1910" s="113"/>
      <c r="W1910" s="108" t="s">
        <v>47</v>
      </c>
      <c r="X1910" s="114"/>
      <c r="Y1910" s="113"/>
      <c r="Z1910" s="108" t="s">
        <v>47</v>
      </c>
      <c r="AA1910" s="114"/>
      <c r="AB1910" s="113"/>
      <c r="AC1910" s="105" t="s">
        <v>4322</v>
      </c>
      <c r="AD1910" s="115" t="s">
        <v>4314</v>
      </c>
    </row>
    <row r="1911" spans="1:30" x14ac:dyDescent="0.2">
      <c r="A1911" s="104" t="s">
        <v>4323</v>
      </c>
      <c r="B1911" s="105" t="s">
        <v>4312</v>
      </c>
      <c r="C1911" s="105" t="s">
        <v>1787</v>
      </c>
      <c r="D1911" s="106"/>
      <c r="E1911" s="107"/>
      <c r="F1911" s="108" t="s">
        <v>47</v>
      </c>
      <c r="G1911" s="113"/>
      <c r="H1911" s="108" t="s">
        <v>47</v>
      </c>
      <c r="I1911" s="114"/>
      <c r="J1911" s="113"/>
      <c r="K1911" s="108" t="s">
        <v>47</v>
      </c>
      <c r="L1911" s="114"/>
      <c r="M1911" s="113"/>
      <c r="N1911" s="108" t="s">
        <v>47</v>
      </c>
      <c r="O1911" s="114"/>
      <c r="P1911" s="113"/>
      <c r="Q1911" s="108" t="s">
        <v>47</v>
      </c>
      <c r="R1911" s="114"/>
      <c r="S1911" s="113"/>
      <c r="T1911" s="108" t="s">
        <v>47</v>
      </c>
      <c r="U1911" s="114"/>
      <c r="V1911" s="113"/>
      <c r="W1911" s="108" t="s">
        <v>47</v>
      </c>
      <c r="X1911" s="114"/>
      <c r="Y1911" s="113"/>
      <c r="Z1911" s="108" t="s">
        <v>47</v>
      </c>
      <c r="AA1911" s="114"/>
      <c r="AB1911" s="113"/>
      <c r="AC1911" s="105" t="s">
        <v>4324</v>
      </c>
      <c r="AD1911" s="115" t="s">
        <v>4314</v>
      </c>
    </row>
    <row r="1912" spans="1:30" x14ac:dyDescent="0.2">
      <c r="A1912" s="104" t="s">
        <v>4325</v>
      </c>
      <c r="B1912" s="105" t="s">
        <v>4312</v>
      </c>
      <c r="C1912" s="105" t="s">
        <v>1787</v>
      </c>
      <c r="D1912" s="106"/>
      <c r="E1912" s="107"/>
      <c r="F1912" s="108" t="s">
        <v>47</v>
      </c>
      <c r="G1912" s="113"/>
      <c r="H1912" s="108" t="s">
        <v>47</v>
      </c>
      <c r="I1912" s="114"/>
      <c r="J1912" s="113"/>
      <c r="K1912" s="108" t="s">
        <v>47</v>
      </c>
      <c r="L1912" s="114"/>
      <c r="M1912" s="113"/>
      <c r="N1912" s="108" t="s">
        <v>47</v>
      </c>
      <c r="O1912" s="114"/>
      <c r="P1912" s="113"/>
      <c r="Q1912" s="108" t="s">
        <v>47</v>
      </c>
      <c r="R1912" s="114"/>
      <c r="S1912" s="113"/>
      <c r="T1912" s="108" t="s">
        <v>47</v>
      </c>
      <c r="U1912" s="114"/>
      <c r="V1912" s="113"/>
      <c r="W1912" s="108" t="s">
        <v>47</v>
      </c>
      <c r="X1912" s="114"/>
      <c r="Y1912" s="113"/>
      <c r="Z1912" s="108" t="s">
        <v>47</v>
      </c>
      <c r="AA1912" s="114"/>
      <c r="AB1912" s="113"/>
      <c r="AC1912" s="105" t="s">
        <v>4326</v>
      </c>
      <c r="AD1912" s="115" t="s">
        <v>4314</v>
      </c>
    </row>
    <row r="1913" spans="1:30" x14ac:dyDescent="0.2">
      <c r="A1913" s="104" t="s">
        <v>4327</v>
      </c>
      <c r="B1913" s="105" t="s">
        <v>4312</v>
      </c>
      <c r="C1913" s="105" t="s">
        <v>1787</v>
      </c>
      <c r="D1913" s="106"/>
      <c r="E1913" s="107"/>
      <c r="F1913" s="108" t="s">
        <v>47</v>
      </c>
      <c r="G1913" s="113"/>
      <c r="H1913" s="108" t="s">
        <v>47</v>
      </c>
      <c r="I1913" s="114"/>
      <c r="J1913" s="113"/>
      <c r="K1913" s="108" t="s">
        <v>47</v>
      </c>
      <c r="L1913" s="114"/>
      <c r="M1913" s="113"/>
      <c r="N1913" s="108" t="s">
        <v>47</v>
      </c>
      <c r="O1913" s="114"/>
      <c r="P1913" s="113"/>
      <c r="Q1913" s="108" t="s">
        <v>47</v>
      </c>
      <c r="R1913" s="114"/>
      <c r="S1913" s="113"/>
      <c r="T1913" s="108" t="s">
        <v>47</v>
      </c>
      <c r="U1913" s="114"/>
      <c r="V1913" s="113"/>
      <c r="W1913" s="108" t="s">
        <v>47</v>
      </c>
      <c r="X1913" s="114"/>
      <c r="Y1913" s="113"/>
      <c r="Z1913" s="108" t="s">
        <v>47</v>
      </c>
      <c r="AA1913" s="114"/>
      <c r="AB1913" s="113"/>
      <c r="AC1913" s="105" t="s">
        <v>4328</v>
      </c>
      <c r="AD1913" s="115" t="s">
        <v>4314</v>
      </c>
    </row>
    <row r="1914" spans="1:30" x14ac:dyDescent="0.2">
      <c r="A1914" s="104" t="s">
        <v>4329</v>
      </c>
      <c r="B1914" s="105" t="s">
        <v>4312</v>
      </c>
      <c r="C1914" s="105" t="s">
        <v>1787</v>
      </c>
      <c r="D1914" s="106"/>
      <c r="E1914" s="107"/>
      <c r="F1914" s="108" t="s">
        <v>47</v>
      </c>
      <c r="G1914" s="113"/>
      <c r="H1914" s="108" t="s">
        <v>47</v>
      </c>
      <c r="I1914" s="114"/>
      <c r="J1914" s="113"/>
      <c r="K1914" s="108" t="s">
        <v>47</v>
      </c>
      <c r="L1914" s="114"/>
      <c r="M1914" s="113"/>
      <c r="N1914" s="108" t="s">
        <v>47</v>
      </c>
      <c r="O1914" s="114"/>
      <c r="P1914" s="113"/>
      <c r="Q1914" s="108" t="s">
        <v>47</v>
      </c>
      <c r="R1914" s="114"/>
      <c r="S1914" s="113"/>
      <c r="T1914" s="108" t="s">
        <v>47</v>
      </c>
      <c r="U1914" s="114"/>
      <c r="V1914" s="113"/>
      <c r="W1914" s="108" t="s">
        <v>47</v>
      </c>
      <c r="X1914" s="114"/>
      <c r="Y1914" s="113"/>
      <c r="Z1914" s="108" t="s">
        <v>47</v>
      </c>
      <c r="AA1914" s="114"/>
      <c r="AB1914" s="113"/>
      <c r="AC1914" s="105" t="s">
        <v>4330</v>
      </c>
      <c r="AD1914" s="115" t="s">
        <v>4314</v>
      </c>
    </row>
    <row r="1915" spans="1:30" x14ac:dyDescent="0.2">
      <c r="A1915" s="104" t="s">
        <v>4331</v>
      </c>
      <c r="B1915" s="105" t="s">
        <v>42</v>
      </c>
      <c r="C1915" s="105" t="s">
        <v>279</v>
      </c>
      <c r="D1915" s="106" t="s">
        <v>125</v>
      </c>
      <c r="E1915" s="107"/>
      <c r="F1915" s="108" t="s">
        <v>16545</v>
      </c>
      <c r="G1915" s="118">
        <v>3</v>
      </c>
      <c r="H1915" s="108" t="s">
        <v>16546</v>
      </c>
      <c r="I1915" s="112">
        <v>4</v>
      </c>
      <c r="J1915" s="111" t="s">
        <v>44</v>
      </c>
      <c r="K1915" s="108" t="s">
        <v>16547</v>
      </c>
      <c r="L1915" s="110">
        <v>3</v>
      </c>
      <c r="M1915" s="111" t="s">
        <v>46</v>
      </c>
      <c r="N1915" s="108" t="s">
        <v>16545</v>
      </c>
      <c r="O1915" s="110">
        <v>3</v>
      </c>
      <c r="P1915" s="111" t="s">
        <v>46</v>
      </c>
      <c r="Q1915" s="108" t="s">
        <v>16548</v>
      </c>
      <c r="R1915" s="112">
        <v>4</v>
      </c>
      <c r="S1915" s="111" t="s">
        <v>55</v>
      </c>
      <c r="T1915" s="108" t="s">
        <v>16549</v>
      </c>
      <c r="U1915" s="112">
        <v>4</v>
      </c>
      <c r="V1915" s="113"/>
      <c r="W1915" s="108" t="s">
        <v>16550</v>
      </c>
      <c r="X1915" s="112">
        <v>4</v>
      </c>
      <c r="Y1915" s="113"/>
      <c r="Z1915" s="108" t="s">
        <v>16551</v>
      </c>
      <c r="AA1915" s="112">
        <v>4</v>
      </c>
      <c r="AB1915" s="111" t="s">
        <v>46</v>
      </c>
      <c r="AC1915" s="105" t="s">
        <v>4332</v>
      </c>
      <c r="AD1915" s="115" t="s">
        <v>49</v>
      </c>
    </row>
    <row r="1916" spans="1:30" x14ac:dyDescent="0.2">
      <c r="A1916" s="104" t="s">
        <v>4333</v>
      </c>
      <c r="B1916" s="105" t="s">
        <v>42</v>
      </c>
      <c r="C1916" s="105" t="s">
        <v>51</v>
      </c>
      <c r="D1916" s="106"/>
      <c r="E1916" s="107"/>
      <c r="F1916" s="108" t="s">
        <v>16552</v>
      </c>
      <c r="G1916" s="120">
        <v>2</v>
      </c>
      <c r="H1916" s="108" t="s">
        <v>16553</v>
      </c>
      <c r="I1916" s="117">
        <v>2</v>
      </c>
      <c r="J1916" s="111" t="s">
        <v>40</v>
      </c>
      <c r="K1916" s="108" t="s">
        <v>16554</v>
      </c>
      <c r="L1916" s="110">
        <v>3</v>
      </c>
      <c r="M1916" s="111" t="s">
        <v>46</v>
      </c>
      <c r="N1916" s="108" t="s">
        <v>16552</v>
      </c>
      <c r="O1916" s="117">
        <v>2</v>
      </c>
      <c r="P1916" s="113"/>
      <c r="Q1916" s="108" t="s">
        <v>16555</v>
      </c>
      <c r="R1916" s="117">
        <v>2</v>
      </c>
      <c r="S1916" s="111" t="s">
        <v>40</v>
      </c>
      <c r="T1916" s="108" t="s">
        <v>47</v>
      </c>
      <c r="U1916" s="114"/>
      <c r="V1916" s="113"/>
      <c r="W1916" s="108" t="s">
        <v>47</v>
      </c>
      <c r="X1916" s="114"/>
      <c r="Y1916" s="113"/>
      <c r="Z1916" s="108" t="s">
        <v>47</v>
      </c>
      <c r="AA1916" s="114"/>
      <c r="AB1916" s="113"/>
      <c r="AC1916" s="105" t="s">
        <v>4334</v>
      </c>
      <c r="AD1916" s="115" t="s">
        <v>49</v>
      </c>
    </row>
    <row r="1917" spans="1:30" x14ac:dyDescent="0.2">
      <c r="A1917" s="104" t="s">
        <v>16556</v>
      </c>
      <c r="B1917" s="105" t="s">
        <v>42</v>
      </c>
      <c r="C1917" s="105" t="s">
        <v>51</v>
      </c>
      <c r="D1917" s="106"/>
      <c r="E1917" s="107"/>
      <c r="F1917" s="108" t="s">
        <v>47</v>
      </c>
      <c r="G1917" s="113"/>
      <c r="H1917" s="108" t="s">
        <v>16557</v>
      </c>
      <c r="I1917" s="117">
        <v>2</v>
      </c>
      <c r="J1917" s="111" t="s">
        <v>40</v>
      </c>
      <c r="K1917" s="108" t="s">
        <v>16558</v>
      </c>
      <c r="L1917" s="110">
        <v>3</v>
      </c>
      <c r="M1917" s="113"/>
      <c r="N1917" s="108" t="s">
        <v>47</v>
      </c>
      <c r="O1917" s="114"/>
      <c r="P1917" s="113"/>
      <c r="Q1917" s="108" t="s">
        <v>47</v>
      </c>
      <c r="R1917" s="114"/>
      <c r="S1917" s="113"/>
      <c r="T1917" s="108" t="s">
        <v>47</v>
      </c>
      <c r="U1917" s="114"/>
      <c r="V1917" s="113"/>
      <c r="W1917" s="108" t="s">
        <v>47</v>
      </c>
      <c r="X1917" s="114"/>
      <c r="Y1917" s="113"/>
      <c r="Z1917" s="108" t="s">
        <v>47</v>
      </c>
      <c r="AA1917" s="114"/>
      <c r="AB1917" s="113"/>
      <c r="AC1917" s="105" t="s">
        <v>4335</v>
      </c>
      <c r="AD1917" s="115" t="s">
        <v>49</v>
      </c>
    </row>
    <row r="1918" spans="1:30" x14ac:dyDescent="0.2">
      <c r="A1918" s="104" t="s">
        <v>4336</v>
      </c>
      <c r="B1918" s="105" t="s">
        <v>4337</v>
      </c>
      <c r="C1918" s="105" t="s">
        <v>1241</v>
      </c>
      <c r="D1918" s="106" t="s">
        <v>94</v>
      </c>
      <c r="E1918" s="107"/>
      <c r="F1918" s="108" t="s">
        <v>16559</v>
      </c>
      <c r="G1918" s="118">
        <v>3</v>
      </c>
      <c r="H1918" s="108" t="s">
        <v>16560</v>
      </c>
      <c r="I1918" s="116">
        <v>1</v>
      </c>
      <c r="J1918" s="111" t="s">
        <v>53</v>
      </c>
      <c r="K1918" s="108" t="s">
        <v>16561</v>
      </c>
      <c r="L1918" s="116">
        <v>1</v>
      </c>
      <c r="M1918" s="111" t="s">
        <v>53</v>
      </c>
      <c r="N1918" s="108" t="s">
        <v>16559</v>
      </c>
      <c r="O1918" s="110">
        <v>3</v>
      </c>
      <c r="P1918" s="111" t="s">
        <v>40</v>
      </c>
      <c r="Q1918" s="108" t="s">
        <v>16562</v>
      </c>
      <c r="R1918" s="110">
        <v>3</v>
      </c>
      <c r="S1918" s="111" t="s">
        <v>40</v>
      </c>
      <c r="T1918" s="108" t="s">
        <v>16563</v>
      </c>
      <c r="U1918" s="110">
        <v>3</v>
      </c>
      <c r="V1918" s="113"/>
      <c r="W1918" s="108" t="s">
        <v>16564</v>
      </c>
      <c r="X1918" s="117">
        <v>2</v>
      </c>
      <c r="Y1918" s="113"/>
      <c r="Z1918" s="108" t="s">
        <v>16565</v>
      </c>
      <c r="AA1918" s="117">
        <v>2</v>
      </c>
      <c r="AB1918" s="111" t="s">
        <v>46</v>
      </c>
      <c r="AC1918" s="105" t="s">
        <v>4338</v>
      </c>
      <c r="AD1918" s="115" t="s">
        <v>101</v>
      </c>
    </row>
    <row r="1919" spans="1:30" x14ac:dyDescent="0.2">
      <c r="A1919" s="104" t="s">
        <v>4339</v>
      </c>
      <c r="B1919" s="105" t="s">
        <v>42</v>
      </c>
      <c r="C1919" s="105" t="s">
        <v>160</v>
      </c>
      <c r="D1919" s="106"/>
      <c r="E1919" s="107"/>
      <c r="F1919" s="108" t="s">
        <v>16566</v>
      </c>
      <c r="G1919" s="118">
        <v>3</v>
      </c>
      <c r="H1919" s="108" t="s">
        <v>16567</v>
      </c>
      <c r="I1919" s="110">
        <v>3</v>
      </c>
      <c r="J1919" s="113"/>
      <c r="K1919" s="108" t="s">
        <v>16568</v>
      </c>
      <c r="L1919" s="110">
        <v>3</v>
      </c>
      <c r="M1919" s="113"/>
      <c r="N1919" s="108" t="s">
        <v>16566</v>
      </c>
      <c r="O1919" s="110">
        <v>3</v>
      </c>
      <c r="P1919" s="113"/>
      <c r="Q1919" s="108" t="s">
        <v>16569</v>
      </c>
      <c r="R1919" s="110">
        <v>3</v>
      </c>
      <c r="S1919" s="113"/>
      <c r="T1919" s="108" t="s">
        <v>16570</v>
      </c>
      <c r="U1919" s="110">
        <v>3</v>
      </c>
      <c r="V1919" s="113"/>
      <c r="W1919" s="108" t="s">
        <v>16571</v>
      </c>
      <c r="X1919" s="110">
        <v>3</v>
      </c>
      <c r="Y1919" s="113"/>
      <c r="Z1919" s="108" t="s">
        <v>16572</v>
      </c>
      <c r="AA1919" s="112">
        <v>4</v>
      </c>
      <c r="AB1919" s="113"/>
      <c r="AC1919" s="105" t="s">
        <v>4340</v>
      </c>
      <c r="AD1919" s="115" t="s">
        <v>49</v>
      </c>
    </row>
    <row r="1920" spans="1:30" x14ac:dyDescent="0.2">
      <c r="A1920" s="104" t="s">
        <v>4341</v>
      </c>
      <c r="B1920" s="105" t="s">
        <v>42</v>
      </c>
      <c r="C1920" s="105" t="s">
        <v>160</v>
      </c>
      <c r="D1920" s="106"/>
      <c r="E1920" s="107"/>
      <c r="F1920" s="108" t="s">
        <v>16573</v>
      </c>
      <c r="G1920" s="118">
        <v>3</v>
      </c>
      <c r="H1920" s="108" t="s">
        <v>16574</v>
      </c>
      <c r="I1920" s="110">
        <v>3</v>
      </c>
      <c r="J1920" s="113"/>
      <c r="K1920" s="108" t="s">
        <v>16575</v>
      </c>
      <c r="L1920" s="110">
        <v>3</v>
      </c>
      <c r="M1920" s="113"/>
      <c r="N1920" s="108" t="s">
        <v>16573</v>
      </c>
      <c r="O1920" s="110">
        <v>3</v>
      </c>
      <c r="P1920" s="113"/>
      <c r="Q1920" s="108" t="s">
        <v>16576</v>
      </c>
      <c r="R1920" s="110">
        <v>3</v>
      </c>
      <c r="S1920" s="113"/>
      <c r="T1920" s="108" t="s">
        <v>16577</v>
      </c>
      <c r="U1920" s="110">
        <v>3</v>
      </c>
      <c r="V1920" s="113"/>
      <c r="W1920" s="108" t="s">
        <v>16578</v>
      </c>
      <c r="X1920" s="110">
        <v>3</v>
      </c>
      <c r="Y1920" s="113"/>
      <c r="Z1920" s="108" t="s">
        <v>16579</v>
      </c>
      <c r="AA1920" s="112">
        <v>4</v>
      </c>
      <c r="AB1920" s="113"/>
      <c r="AC1920" s="105" t="s">
        <v>4342</v>
      </c>
      <c r="AD1920" s="115" t="s">
        <v>49</v>
      </c>
    </row>
    <row r="1921" spans="1:30" x14ac:dyDescent="0.2">
      <c r="A1921" s="104" t="s">
        <v>4343</v>
      </c>
      <c r="B1921" s="105" t="s">
        <v>42</v>
      </c>
      <c r="C1921" s="105" t="s">
        <v>582</v>
      </c>
      <c r="D1921" s="106" t="s">
        <v>125</v>
      </c>
      <c r="E1921" s="107"/>
      <c r="F1921" s="108" t="s">
        <v>16580</v>
      </c>
      <c r="G1921" s="120">
        <v>2</v>
      </c>
      <c r="H1921" s="108" t="s">
        <v>16581</v>
      </c>
      <c r="I1921" s="116">
        <v>1</v>
      </c>
      <c r="J1921" s="111" t="s">
        <v>53</v>
      </c>
      <c r="K1921" s="108" t="s">
        <v>16582</v>
      </c>
      <c r="L1921" s="116">
        <v>1</v>
      </c>
      <c r="M1921" s="111" t="s">
        <v>40</v>
      </c>
      <c r="N1921" s="108" t="s">
        <v>16580</v>
      </c>
      <c r="O1921" s="117">
        <v>2</v>
      </c>
      <c r="P1921" s="113"/>
      <c r="Q1921" s="108" t="s">
        <v>16583</v>
      </c>
      <c r="R1921" s="117">
        <v>2</v>
      </c>
      <c r="S1921" s="113"/>
      <c r="T1921" s="108" t="s">
        <v>16584</v>
      </c>
      <c r="U1921" s="110">
        <v>3</v>
      </c>
      <c r="V1921" s="113"/>
      <c r="W1921" s="108" t="s">
        <v>16585</v>
      </c>
      <c r="X1921" s="110">
        <v>3</v>
      </c>
      <c r="Y1921" s="113"/>
      <c r="Z1921" s="108" t="s">
        <v>16586</v>
      </c>
      <c r="AA1921" s="110">
        <v>3</v>
      </c>
      <c r="AB1921" s="113"/>
      <c r="AC1921" s="105" t="s">
        <v>4344</v>
      </c>
      <c r="AD1921" s="115" t="s">
        <v>49</v>
      </c>
    </row>
    <row r="1922" spans="1:30" x14ac:dyDescent="0.2">
      <c r="A1922" s="104" t="s">
        <v>4345</v>
      </c>
      <c r="B1922" s="105" t="s">
        <v>371</v>
      </c>
      <c r="C1922" s="105" t="s">
        <v>244</v>
      </c>
      <c r="D1922" s="106" t="s">
        <v>125</v>
      </c>
      <c r="E1922" s="107"/>
      <c r="F1922" s="108" t="s">
        <v>16587</v>
      </c>
      <c r="G1922" s="118">
        <v>3</v>
      </c>
      <c r="H1922" s="108" t="s">
        <v>16588</v>
      </c>
      <c r="I1922" s="110">
        <v>3</v>
      </c>
      <c r="J1922" s="113"/>
      <c r="K1922" s="108" t="s">
        <v>16589</v>
      </c>
      <c r="L1922" s="110">
        <v>3</v>
      </c>
      <c r="M1922" s="113"/>
      <c r="N1922" s="108" t="s">
        <v>16587</v>
      </c>
      <c r="O1922" s="110">
        <v>3</v>
      </c>
      <c r="P1922" s="113"/>
      <c r="Q1922" s="108" t="s">
        <v>16590</v>
      </c>
      <c r="R1922" s="110">
        <v>3</v>
      </c>
      <c r="S1922" s="113"/>
      <c r="T1922" s="108" t="s">
        <v>16591</v>
      </c>
      <c r="U1922" s="112">
        <v>4</v>
      </c>
      <c r="V1922" s="113"/>
      <c r="W1922" s="108" t="s">
        <v>16592</v>
      </c>
      <c r="X1922" s="110">
        <v>3</v>
      </c>
      <c r="Y1922" s="113"/>
      <c r="Z1922" s="108" t="s">
        <v>16593</v>
      </c>
      <c r="AA1922" s="110">
        <v>3</v>
      </c>
      <c r="AB1922" s="113"/>
      <c r="AC1922" s="105" t="s">
        <v>4346</v>
      </c>
      <c r="AD1922" s="115" t="s">
        <v>49</v>
      </c>
    </row>
    <row r="1923" spans="1:30" x14ac:dyDescent="0.2">
      <c r="A1923" s="104" t="s">
        <v>4347</v>
      </c>
      <c r="B1923" s="105" t="s">
        <v>371</v>
      </c>
      <c r="C1923" s="105" t="s">
        <v>332</v>
      </c>
      <c r="D1923" s="106" t="s">
        <v>125</v>
      </c>
      <c r="E1923" s="107"/>
      <c r="F1923" s="108" t="s">
        <v>16594</v>
      </c>
      <c r="G1923" s="119">
        <v>1</v>
      </c>
      <c r="H1923" s="108" t="s">
        <v>16595</v>
      </c>
      <c r="I1923" s="112">
        <v>4</v>
      </c>
      <c r="J1923" s="111" t="s">
        <v>44</v>
      </c>
      <c r="K1923" s="108" t="s">
        <v>16596</v>
      </c>
      <c r="L1923" s="116">
        <v>1</v>
      </c>
      <c r="M1923" s="113"/>
      <c r="N1923" s="108" t="s">
        <v>16594</v>
      </c>
      <c r="O1923" s="116">
        <v>1</v>
      </c>
      <c r="P1923" s="113"/>
      <c r="Q1923" s="108" t="s">
        <v>16597</v>
      </c>
      <c r="R1923" s="117">
        <v>2</v>
      </c>
      <c r="S1923" s="111" t="s">
        <v>40</v>
      </c>
      <c r="T1923" s="108" t="s">
        <v>16598</v>
      </c>
      <c r="U1923" s="112">
        <v>4</v>
      </c>
      <c r="V1923" s="113"/>
      <c r="W1923" s="108" t="s">
        <v>16599</v>
      </c>
      <c r="X1923" s="117">
        <v>2</v>
      </c>
      <c r="Y1923" s="113"/>
      <c r="Z1923" s="108" t="s">
        <v>16600</v>
      </c>
      <c r="AA1923" s="112">
        <v>4</v>
      </c>
      <c r="AB1923" s="113"/>
      <c r="AC1923" s="105" t="s">
        <v>4348</v>
      </c>
      <c r="AD1923" s="115" t="s">
        <v>49</v>
      </c>
    </row>
    <row r="1924" spans="1:30" x14ac:dyDescent="0.2">
      <c r="A1924" s="104" t="s">
        <v>4349</v>
      </c>
      <c r="B1924" s="105" t="s">
        <v>111</v>
      </c>
      <c r="C1924" s="105" t="s">
        <v>112</v>
      </c>
      <c r="D1924" s="106"/>
      <c r="E1924" s="107" t="s">
        <v>146</v>
      </c>
      <c r="F1924" s="108" t="s">
        <v>16601</v>
      </c>
      <c r="G1924" s="120">
        <v>2</v>
      </c>
      <c r="H1924" s="108" t="s">
        <v>16602</v>
      </c>
      <c r="I1924" s="110">
        <v>3</v>
      </c>
      <c r="J1924" s="111" t="s">
        <v>40</v>
      </c>
      <c r="K1924" s="108" t="s">
        <v>16603</v>
      </c>
      <c r="L1924" s="112">
        <v>4</v>
      </c>
      <c r="M1924" s="111" t="s">
        <v>46</v>
      </c>
      <c r="N1924" s="108" t="s">
        <v>16601</v>
      </c>
      <c r="O1924" s="117">
        <v>2</v>
      </c>
      <c r="P1924" s="113"/>
      <c r="Q1924" s="108" t="s">
        <v>16604</v>
      </c>
      <c r="R1924" s="116">
        <v>1</v>
      </c>
      <c r="S1924" s="111" t="s">
        <v>40</v>
      </c>
      <c r="T1924" s="108" t="s">
        <v>16605</v>
      </c>
      <c r="U1924" s="112">
        <v>4</v>
      </c>
      <c r="V1924" s="113"/>
      <c r="W1924" s="108" t="s">
        <v>16606</v>
      </c>
      <c r="X1924" s="110">
        <v>3</v>
      </c>
      <c r="Y1924" s="113"/>
      <c r="Z1924" s="108" t="s">
        <v>16607</v>
      </c>
      <c r="AA1924" s="110">
        <v>3</v>
      </c>
      <c r="AB1924" s="111" t="s">
        <v>46</v>
      </c>
      <c r="AC1924" s="105" t="s">
        <v>4350</v>
      </c>
      <c r="AD1924" s="115" t="s">
        <v>114</v>
      </c>
    </row>
    <row r="1925" spans="1:30" x14ac:dyDescent="0.2">
      <c r="A1925" s="104" t="s">
        <v>4351</v>
      </c>
      <c r="B1925" s="105" t="s">
        <v>371</v>
      </c>
      <c r="C1925" s="105" t="s">
        <v>2716</v>
      </c>
      <c r="D1925" s="106"/>
      <c r="E1925" s="107"/>
      <c r="F1925" s="108" t="s">
        <v>16608</v>
      </c>
      <c r="G1925" s="109">
        <v>4</v>
      </c>
      <c r="H1925" s="108" t="s">
        <v>16609</v>
      </c>
      <c r="I1925" s="112">
        <v>4</v>
      </c>
      <c r="J1925" s="113"/>
      <c r="K1925" s="108" t="s">
        <v>16610</v>
      </c>
      <c r="L1925" s="112">
        <v>4</v>
      </c>
      <c r="M1925" s="111" t="s">
        <v>46</v>
      </c>
      <c r="N1925" s="108" t="s">
        <v>16608</v>
      </c>
      <c r="O1925" s="112">
        <v>4</v>
      </c>
      <c r="P1925" s="111" t="s">
        <v>46</v>
      </c>
      <c r="Q1925" s="108" t="s">
        <v>16611</v>
      </c>
      <c r="R1925" s="112">
        <v>4</v>
      </c>
      <c r="S1925" s="113"/>
      <c r="T1925" s="108" t="s">
        <v>47</v>
      </c>
      <c r="U1925" s="114"/>
      <c r="V1925" s="113"/>
      <c r="W1925" s="108" t="s">
        <v>47</v>
      </c>
      <c r="X1925" s="114"/>
      <c r="Y1925" s="113"/>
      <c r="Z1925" s="108" t="s">
        <v>47</v>
      </c>
      <c r="AA1925" s="114"/>
      <c r="AB1925" s="113"/>
      <c r="AC1925" s="105" t="s">
        <v>4352</v>
      </c>
      <c r="AD1925" s="115" t="s">
        <v>49</v>
      </c>
    </row>
    <row r="1926" spans="1:30" x14ac:dyDescent="0.2">
      <c r="A1926" s="104" t="s">
        <v>4353</v>
      </c>
      <c r="B1926" s="105" t="s">
        <v>42</v>
      </c>
      <c r="C1926" s="105" t="s">
        <v>513</v>
      </c>
      <c r="D1926" s="106" t="s">
        <v>105</v>
      </c>
      <c r="E1926" s="107"/>
      <c r="F1926" s="108" t="s">
        <v>16612</v>
      </c>
      <c r="G1926" s="119">
        <v>1</v>
      </c>
      <c r="H1926" s="108" t="s">
        <v>16613</v>
      </c>
      <c r="I1926" s="116">
        <v>1</v>
      </c>
      <c r="J1926" s="111" t="s">
        <v>157</v>
      </c>
      <c r="K1926" s="108" t="s">
        <v>16614</v>
      </c>
      <c r="L1926" s="116">
        <v>1</v>
      </c>
      <c r="M1926" s="113"/>
      <c r="N1926" s="108" t="s">
        <v>16612</v>
      </c>
      <c r="O1926" s="116">
        <v>1</v>
      </c>
      <c r="P1926" s="111" t="s">
        <v>53</v>
      </c>
      <c r="Q1926" s="108" t="s">
        <v>16615</v>
      </c>
      <c r="R1926" s="116">
        <v>1</v>
      </c>
      <c r="S1926" s="111" t="s">
        <v>53</v>
      </c>
      <c r="T1926" s="108" t="s">
        <v>16616</v>
      </c>
      <c r="U1926" s="112">
        <v>4</v>
      </c>
      <c r="V1926" s="113"/>
      <c r="W1926" s="108" t="s">
        <v>16617</v>
      </c>
      <c r="X1926" s="112">
        <v>4</v>
      </c>
      <c r="Y1926" s="113"/>
      <c r="Z1926" s="108" t="s">
        <v>16618</v>
      </c>
      <c r="AA1926" s="110">
        <v>3</v>
      </c>
      <c r="AB1926" s="113"/>
      <c r="AC1926" s="105" t="s">
        <v>4354</v>
      </c>
      <c r="AD1926" s="115" t="s">
        <v>49</v>
      </c>
    </row>
    <row r="1927" spans="1:30" x14ac:dyDescent="0.2">
      <c r="A1927" s="104" t="s">
        <v>4355</v>
      </c>
      <c r="B1927" s="105" t="s">
        <v>42</v>
      </c>
      <c r="C1927" s="105" t="s">
        <v>200</v>
      </c>
      <c r="D1927" s="106"/>
      <c r="E1927" s="107"/>
      <c r="F1927" s="108" t="s">
        <v>16619</v>
      </c>
      <c r="G1927" s="118">
        <v>3</v>
      </c>
      <c r="H1927" s="108" t="s">
        <v>16620</v>
      </c>
      <c r="I1927" s="117">
        <v>2</v>
      </c>
      <c r="J1927" s="111" t="s">
        <v>46</v>
      </c>
      <c r="K1927" s="108" t="s">
        <v>16621</v>
      </c>
      <c r="L1927" s="116">
        <v>1</v>
      </c>
      <c r="M1927" s="111" t="s">
        <v>40</v>
      </c>
      <c r="N1927" s="108" t="s">
        <v>16619</v>
      </c>
      <c r="O1927" s="110">
        <v>3</v>
      </c>
      <c r="P1927" s="113"/>
      <c r="Q1927" s="108" t="s">
        <v>16622</v>
      </c>
      <c r="R1927" s="112">
        <v>4</v>
      </c>
      <c r="S1927" s="111" t="s">
        <v>46</v>
      </c>
      <c r="T1927" s="108" t="s">
        <v>16623</v>
      </c>
      <c r="U1927" s="117">
        <v>2</v>
      </c>
      <c r="V1927" s="113"/>
      <c r="W1927" s="108" t="s">
        <v>47</v>
      </c>
      <c r="X1927" s="114"/>
      <c r="Y1927" s="113"/>
      <c r="Z1927" s="108" t="s">
        <v>47</v>
      </c>
      <c r="AA1927" s="114"/>
      <c r="AB1927" s="113"/>
      <c r="AC1927" s="105" t="s">
        <v>4356</v>
      </c>
      <c r="AD1927" s="115" t="s">
        <v>49</v>
      </c>
    </row>
    <row r="1928" spans="1:30" x14ac:dyDescent="0.2">
      <c r="A1928" s="104" t="s">
        <v>4357</v>
      </c>
      <c r="B1928" s="105" t="s">
        <v>42</v>
      </c>
      <c r="C1928" s="105" t="s">
        <v>200</v>
      </c>
      <c r="D1928" s="106"/>
      <c r="E1928" s="107"/>
      <c r="F1928" s="108" t="s">
        <v>16624</v>
      </c>
      <c r="G1928" s="118">
        <v>3</v>
      </c>
      <c r="H1928" s="108" t="s">
        <v>4358</v>
      </c>
      <c r="I1928" s="116">
        <v>1</v>
      </c>
      <c r="J1928" s="113"/>
      <c r="K1928" s="108" t="s">
        <v>16625</v>
      </c>
      <c r="L1928" s="116">
        <v>1</v>
      </c>
      <c r="M1928" s="111" t="s">
        <v>40</v>
      </c>
      <c r="N1928" s="108" t="s">
        <v>16624</v>
      </c>
      <c r="O1928" s="110">
        <v>3</v>
      </c>
      <c r="P1928" s="113"/>
      <c r="Q1928" s="108" t="s">
        <v>16626</v>
      </c>
      <c r="R1928" s="112">
        <v>4</v>
      </c>
      <c r="S1928" s="111" t="s">
        <v>46</v>
      </c>
      <c r="T1928" s="108" t="s">
        <v>16627</v>
      </c>
      <c r="U1928" s="117">
        <v>2</v>
      </c>
      <c r="V1928" s="113"/>
      <c r="W1928" s="108" t="s">
        <v>47</v>
      </c>
      <c r="X1928" s="114"/>
      <c r="Y1928" s="113"/>
      <c r="Z1928" s="108" t="s">
        <v>47</v>
      </c>
      <c r="AA1928" s="114"/>
      <c r="AB1928" s="113"/>
      <c r="AC1928" s="105" t="s">
        <v>4359</v>
      </c>
      <c r="AD1928" s="115" t="s">
        <v>49</v>
      </c>
    </row>
    <row r="1929" spans="1:30" x14ac:dyDescent="0.2">
      <c r="A1929" s="104" t="s">
        <v>4360</v>
      </c>
      <c r="B1929" s="105" t="s">
        <v>42</v>
      </c>
      <c r="C1929" s="105" t="s">
        <v>200</v>
      </c>
      <c r="D1929" s="106"/>
      <c r="E1929" s="107"/>
      <c r="F1929" s="108" t="s">
        <v>16628</v>
      </c>
      <c r="G1929" s="118">
        <v>3</v>
      </c>
      <c r="H1929" s="108" t="s">
        <v>16629</v>
      </c>
      <c r="I1929" s="117">
        <v>2</v>
      </c>
      <c r="J1929" s="113"/>
      <c r="K1929" s="108" t="s">
        <v>16630</v>
      </c>
      <c r="L1929" s="117">
        <v>2</v>
      </c>
      <c r="M1929" s="113"/>
      <c r="N1929" s="108" t="s">
        <v>16628</v>
      </c>
      <c r="O1929" s="110">
        <v>3</v>
      </c>
      <c r="P1929" s="113"/>
      <c r="Q1929" s="108" t="s">
        <v>16631</v>
      </c>
      <c r="R1929" s="110">
        <v>3</v>
      </c>
      <c r="S1929" s="113"/>
      <c r="T1929" s="108" t="s">
        <v>16632</v>
      </c>
      <c r="U1929" s="117">
        <v>2</v>
      </c>
      <c r="V1929" s="111" t="s">
        <v>40</v>
      </c>
      <c r="W1929" s="108" t="s">
        <v>47</v>
      </c>
      <c r="X1929" s="114"/>
      <c r="Y1929" s="113"/>
      <c r="Z1929" s="108" t="s">
        <v>47</v>
      </c>
      <c r="AA1929" s="114"/>
      <c r="AB1929" s="113"/>
      <c r="AC1929" s="105" t="s">
        <v>4361</v>
      </c>
      <c r="AD1929" s="115" t="s">
        <v>49</v>
      </c>
    </row>
    <row r="1930" spans="1:30" x14ac:dyDescent="0.2">
      <c r="A1930" s="104" t="s">
        <v>4362</v>
      </c>
      <c r="B1930" s="105" t="s">
        <v>42</v>
      </c>
      <c r="C1930" s="105" t="s">
        <v>200</v>
      </c>
      <c r="D1930" s="106"/>
      <c r="E1930" s="107"/>
      <c r="F1930" s="108" t="s">
        <v>16633</v>
      </c>
      <c r="G1930" s="120">
        <v>2</v>
      </c>
      <c r="H1930" s="108" t="s">
        <v>4363</v>
      </c>
      <c r="I1930" s="116">
        <v>1</v>
      </c>
      <c r="J1930" s="113"/>
      <c r="K1930" s="108" t="s">
        <v>16634</v>
      </c>
      <c r="L1930" s="116">
        <v>1</v>
      </c>
      <c r="M1930" s="111" t="s">
        <v>40</v>
      </c>
      <c r="N1930" s="108" t="s">
        <v>16633</v>
      </c>
      <c r="O1930" s="117">
        <v>2</v>
      </c>
      <c r="P1930" s="113"/>
      <c r="Q1930" s="108" t="s">
        <v>16635</v>
      </c>
      <c r="R1930" s="117">
        <v>2</v>
      </c>
      <c r="S1930" s="113"/>
      <c r="T1930" s="108" t="s">
        <v>16636</v>
      </c>
      <c r="U1930" s="117">
        <v>2</v>
      </c>
      <c r="V1930" s="111" t="s">
        <v>40</v>
      </c>
      <c r="W1930" s="108" t="s">
        <v>47</v>
      </c>
      <c r="X1930" s="114"/>
      <c r="Y1930" s="113"/>
      <c r="Z1930" s="108" t="s">
        <v>47</v>
      </c>
      <c r="AA1930" s="114"/>
      <c r="AB1930" s="113"/>
      <c r="AC1930" s="105" t="s">
        <v>4364</v>
      </c>
      <c r="AD1930" s="115" t="s">
        <v>49</v>
      </c>
    </row>
    <row r="1931" spans="1:30" x14ac:dyDescent="0.2">
      <c r="A1931" s="104" t="s">
        <v>4365</v>
      </c>
      <c r="B1931" s="105" t="s">
        <v>42</v>
      </c>
      <c r="C1931" s="105" t="s">
        <v>200</v>
      </c>
      <c r="D1931" s="106"/>
      <c r="E1931" s="107"/>
      <c r="F1931" s="108" t="s">
        <v>16637</v>
      </c>
      <c r="G1931" s="120">
        <v>2</v>
      </c>
      <c r="H1931" s="108" t="s">
        <v>16638</v>
      </c>
      <c r="I1931" s="116">
        <v>1</v>
      </c>
      <c r="J1931" s="113"/>
      <c r="K1931" s="108" t="s">
        <v>16639</v>
      </c>
      <c r="L1931" s="116">
        <v>1</v>
      </c>
      <c r="M1931" s="111" t="s">
        <v>40</v>
      </c>
      <c r="N1931" s="108" t="s">
        <v>16637</v>
      </c>
      <c r="O1931" s="117">
        <v>2</v>
      </c>
      <c r="P1931" s="113"/>
      <c r="Q1931" s="108" t="s">
        <v>16640</v>
      </c>
      <c r="R1931" s="117">
        <v>2</v>
      </c>
      <c r="S1931" s="113"/>
      <c r="T1931" s="108" t="s">
        <v>16641</v>
      </c>
      <c r="U1931" s="117">
        <v>2</v>
      </c>
      <c r="V1931" s="113"/>
      <c r="W1931" s="108" t="s">
        <v>47</v>
      </c>
      <c r="X1931" s="114"/>
      <c r="Y1931" s="113"/>
      <c r="Z1931" s="108" t="s">
        <v>47</v>
      </c>
      <c r="AA1931" s="114"/>
      <c r="AB1931" s="113"/>
      <c r="AC1931" s="105" t="s">
        <v>4366</v>
      </c>
      <c r="AD1931" s="115" t="s">
        <v>49</v>
      </c>
    </row>
    <row r="1932" spans="1:30" x14ac:dyDescent="0.2">
      <c r="A1932" s="104" t="s">
        <v>4367</v>
      </c>
      <c r="B1932" s="105" t="s">
        <v>42</v>
      </c>
      <c r="C1932" s="105" t="s">
        <v>200</v>
      </c>
      <c r="D1932" s="106"/>
      <c r="E1932" s="107"/>
      <c r="F1932" s="108" t="s">
        <v>16642</v>
      </c>
      <c r="G1932" s="118">
        <v>3</v>
      </c>
      <c r="H1932" s="108" t="s">
        <v>16643</v>
      </c>
      <c r="I1932" s="116">
        <v>1</v>
      </c>
      <c r="J1932" s="111" t="s">
        <v>53</v>
      </c>
      <c r="K1932" s="108" t="s">
        <v>16644</v>
      </c>
      <c r="L1932" s="117">
        <v>2</v>
      </c>
      <c r="M1932" s="113"/>
      <c r="N1932" s="108" t="s">
        <v>16642</v>
      </c>
      <c r="O1932" s="110">
        <v>3</v>
      </c>
      <c r="P1932" s="113"/>
      <c r="Q1932" s="108" t="s">
        <v>16645</v>
      </c>
      <c r="R1932" s="110">
        <v>3</v>
      </c>
      <c r="S1932" s="111" t="s">
        <v>46</v>
      </c>
      <c r="T1932" s="108" t="s">
        <v>16646</v>
      </c>
      <c r="U1932" s="110">
        <v>3</v>
      </c>
      <c r="V1932" s="111" t="s">
        <v>40</v>
      </c>
      <c r="W1932" s="108" t="s">
        <v>47</v>
      </c>
      <c r="X1932" s="114"/>
      <c r="Y1932" s="113"/>
      <c r="Z1932" s="108" t="s">
        <v>47</v>
      </c>
      <c r="AA1932" s="114"/>
      <c r="AB1932" s="113"/>
      <c r="AC1932" s="105" t="s">
        <v>4368</v>
      </c>
      <c r="AD1932" s="115" t="s">
        <v>49</v>
      </c>
    </row>
    <row r="1933" spans="1:30" x14ac:dyDescent="0.2">
      <c r="A1933" s="104" t="s">
        <v>4369</v>
      </c>
      <c r="B1933" s="105" t="s">
        <v>42</v>
      </c>
      <c r="C1933" s="105" t="s">
        <v>200</v>
      </c>
      <c r="D1933" s="106"/>
      <c r="E1933" s="107"/>
      <c r="F1933" s="108" t="s">
        <v>16647</v>
      </c>
      <c r="G1933" s="119">
        <v>1</v>
      </c>
      <c r="H1933" s="108" t="s">
        <v>16648</v>
      </c>
      <c r="I1933" s="117">
        <v>2</v>
      </c>
      <c r="J1933" s="111" t="s">
        <v>46</v>
      </c>
      <c r="K1933" s="108" t="s">
        <v>16649</v>
      </c>
      <c r="L1933" s="116">
        <v>1</v>
      </c>
      <c r="M1933" s="113"/>
      <c r="N1933" s="108" t="s">
        <v>16647</v>
      </c>
      <c r="O1933" s="116">
        <v>1</v>
      </c>
      <c r="P1933" s="113"/>
      <c r="Q1933" s="108" t="s">
        <v>16650</v>
      </c>
      <c r="R1933" s="117">
        <v>2</v>
      </c>
      <c r="S1933" s="111" t="s">
        <v>46</v>
      </c>
      <c r="T1933" s="108" t="s">
        <v>16651</v>
      </c>
      <c r="U1933" s="117">
        <v>2</v>
      </c>
      <c r="V1933" s="113"/>
      <c r="W1933" s="108" t="s">
        <v>47</v>
      </c>
      <c r="X1933" s="114"/>
      <c r="Y1933" s="113"/>
      <c r="Z1933" s="108" t="s">
        <v>47</v>
      </c>
      <c r="AA1933" s="114"/>
      <c r="AB1933" s="113"/>
      <c r="AC1933" s="105" t="s">
        <v>4370</v>
      </c>
      <c r="AD1933" s="115" t="s">
        <v>49</v>
      </c>
    </row>
    <row r="1934" spans="1:30" x14ac:dyDescent="0.2">
      <c r="A1934" s="104" t="s">
        <v>4371</v>
      </c>
      <c r="B1934" s="105" t="s">
        <v>42</v>
      </c>
      <c r="C1934" s="105" t="s">
        <v>200</v>
      </c>
      <c r="D1934" s="106"/>
      <c r="E1934" s="107"/>
      <c r="F1934" s="108" t="s">
        <v>16652</v>
      </c>
      <c r="G1934" s="119">
        <v>1</v>
      </c>
      <c r="H1934" s="108" t="s">
        <v>16653</v>
      </c>
      <c r="I1934" s="112">
        <v>4</v>
      </c>
      <c r="J1934" s="111" t="s">
        <v>44</v>
      </c>
      <c r="K1934" s="108" t="s">
        <v>16654</v>
      </c>
      <c r="L1934" s="116">
        <v>1</v>
      </c>
      <c r="M1934" s="113"/>
      <c r="N1934" s="108" t="s">
        <v>16652</v>
      </c>
      <c r="O1934" s="116">
        <v>1</v>
      </c>
      <c r="P1934" s="113"/>
      <c r="Q1934" s="108" t="s">
        <v>16655</v>
      </c>
      <c r="R1934" s="116">
        <v>1</v>
      </c>
      <c r="S1934" s="113"/>
      <c r="T1934" s="108" t="s">
        <v>16656</v>
      </c>
      <c r="U1934" s="116">
        <v>1</v>
      </c>
      <c r="V1934" s="113"/>
      <c r="W1934" s="108" t="s">
        <v>47</v>
      </c>
      <c r="X1934" s="114"/>
      <c r="Y1934" s="113"/>
      <c r="Z1934" s="108" t="s">
        <v>47</v>
      </c>
      <c r="AA1934" s="114"/>
      <c r="AB1934" s="113"/>
      <c r="AC1934" s="105" t="s">
        <v>4372</v>
      </c>
      <c r="AD1934" s="115" t="s">
        <v>49</v>
      </c>
    </row>
    <row r="1935" spans="1:30" x14ac:dyDescent="0.2">
      <c r="A1935" s="104" t="s">
        <v>4373</v>
      </c>
      <c r="B1935" s="105" t="s">
        <v>42</v>
      </c>
      <c r="C1935" s="105" t="s">
        <v>98</v>
      </c>
      <c r="D1935" s="106" t="s">
        <v>105</v>
      </c>
      <c r="E1935" s="107"/>
      <c r="F1935" s="108" t="s">
        <v>16657</v>
      </c>
      <c r="G1935" s="118">
        <v>3</v>
      </c>
      <c r="H1935" s="108" t="s">
        <v>16658</v>
      </c>
      <c r="I1935" s="112">
        <v>4</v>
      </c>
      <c r="J1935" s="111" t="s">
        <v>46</v>
      </c>
      <c r="K1935" s="108" t="s">
        <v>16659</v>
      </c>
      <c r="L1935" s="110">
        <v>3</v>
      </c>
      <c r="M1935" s="113"/>
      <c r="N1935" s="108" t="s">
        <v>16657</v>
      </c>
      <c r="O1935" s="110">
        <v>3</v>
      </c>
      <c r="P1935" s="111" t="s">
        <v>46</v>
      </c>
      <c r="Q1935" s="108" t="s">
        <v>16660</v>
      </c>
      <c r="R1935" s="112">
        <v>4</v>
      </c>
      <c r="S1935" s="111" t="s">
        <v>46</v>
      </c>
      <c r="T1935" s="108" t="s">
        <v>16661</v>
      </c>
      <c r="U1935" s="110">
        <v>3</v>
      </c>
      <c r="V1935" s="113"/>
      <c r="W1935" s="108" t="s">
        <v>16662</v>
      </c>
      <c r="X1935" s="110">
        <v>3</v>
      </c>
      <c r="Y1935" s="113"/>
      <c r="Z1935" s="108" t="s">
        <v>16663</v>
      </c>
      <c r="AA1935" s="112">
        <v>4</v>
      </c>
      <c r="AB1935" s="113"/>
      <c r="AC1935" s="105" t="s">
        <v>4374</v>
      </c>
      <c r="AD1935" s="115" t="s">
        <v>49</v>
      </c>
    </row>
    <row r="1936" spans="1:30" x14ac:dyDescent="0.2">
      <c r="A1936" s="104" t="s">
        <v>4375</v>
      </c>
      <c r="B1936" s="105" t="s">
        <v>42</v>
      </c>
      <c r="C1936" s="105" t="s">
        <v>384</v>
      </c>
      <c r="D1936" s="106" t="s">
        <v>105</v>
      </c>
      <c r="E1936" s="107"/>
      <c r="F1936" s="108" t="s">
        <v>16664</v>
      </c>
      <c r="G1936" s="109">
        <v>4</v>
      </c>
      <c r="H1936" s="108" t="s">
        <v>16665</v>
      </c>
      <c r="I1936" s="112">
        <v>4</v>
      </c>
      <c r="J1936" s="111" t="s">
        <v>55</v>
      </c>
      <c r="K1936" s="108" t="s">
        <v>16666</v>
      </c>
      <c r="L1936" s="110">
        <v>3</v>
      </c>
      <c r="M1936" s="113"/>
      <c r="N1936" s="108" t="s">
        <v>16664</v>
      </c>
      <c r="O1936" s="112">
        <v>4</v>
      </c>
      <c r="P1936" s="113"/>
      <c r="Q1936" s="108" t="s">
        <v>16667</v>
      </c>
      <c r="R1936" s="112">
        <v>4</v>
      </c>
      <c r="S1936" s="113"/>
      <c r="T1936" s="108" t="s">
        <v>16668</v>
      </c>
      <c r="U1936" s="110">
        <v>3</v>
      </c>
      <c r="V1936" s="113"/>
      <c r="W1936" s="108" t="s">
        <v>16669</v>
      </c>
      <c r="X1936" s="112">
        <v>4</v>
      </c>
      <c r="Y1936" s="113"/>
      <c r="Z1936" s="108" t="s">
        <v>16670</v>
      </c>
      <c r="AA1936" s="112">
        <v>4</v>
      </c>
      <c r="AB1936" s="113"/>
      <c r="AC1936" s="105" t="s">
        <v>4376</v>
      </c>
      <c r="AD1936" s="115" t="s">
        <v>49</v>
      </c>
    </row>
    <row r="1937" spans="1:30" x14ac:dyDescent="0.2">
      <c r="A1937" s="104" t="s">
        <v>4377</v>
      </c>
      <c r="B1937" s="105" t="s">
        <v>371</v>
      </c>
      <c r="C1937" s="105" t="s">
        <v>638</v>
      </c>
      <c r="D1937" s="106" t="s">
        <v>94</v>
      </c>
      <c r="E1937" s="107"/>
      <c r="F1937" s="108" t="s">
        <v>16671</v>
      </c>
      <c r="G1937" s="119">
        <v>1</v>
      </c>
      <c r="H1937" s="108" t="s">
        <v>16672</v>
      </c>
      <c r="I1937" s="117">
        <v>2</v>
      </c>
      <c r="J1937" s="111" t="s">
        <v>46</v>
      </c>
      <c r="K1937" s="108" t="s">
        <v>16673</v>
      </c>
      <c r="L1937" s="116">
        <v>1</v>
      </c>
      <c r="M1937" s="113"/>
      <c r="N1937" s="108" t="s">
        <v>16671</v>
      </c>
      <c r="O1937" s="116">
        <v>1</v>
      </c>
      <c r="P1937" s="113"/>
      <c r="Q1937" s="108" t="s">
        <v>16674</v>
      </c>
      <c r="R1937" s="117">
        <v>2</v>
      </c>
      <c r="S1937" s="111" t="s">
        <v>46</v>
      </c>
      <c r="T1937" s="108" t="s">
        <v>16675</v>
      </c>
      <c r="U1937" s="116">
        <v>1</v>
      </c>
      <c r="V1937" s="113"/>
      <c r="W1937" s="108" t="s">
        <v>16676</v>
      </c>
      <c r="X1937" s="116">
        <v>1</v>
      </c>
      <c r="Y1937" s="113"/>
      <c r="Z1937" s="108" t="s">
        <v>16677</v>
      </c>
      <c r="AA1937" s="116">
        <v>1</v>
      </c>
      <c r="AB1937" s="113"/>
      <c r="AC1937" s="105" t="s">
        <v>4378</v>
      </c>
      <c r="AD1937" s="115" t="s">
        <v>49</v>
      </c>
    </row>
    <row r="1938" spans="1:30" x14ac:dyDescent="0.2">
      <c r="A1938" s="104" t="s">
        <v>4379</v>
      </c>
      <c r="B1938" s="105" t="s">
        <v>371</v>
      </c>
      <c r="C1938" s="105" t="s">
        <v>638</v>
      </c>
      <c r="D1938" s="106" t="s">
        <v>94</v>
      </c>
      <c r="E1938" s="107"/>
      <c r="F1938" s="108" t="s">
        <v>16678</v>
      </c>
      <c r="G1938" s="119">
        <v>1</v>
      </c>
      <c r="H1938" s="108" t="s">
        <v>16679</v>
      </c>
      <c r="I1938" s="117">
        <v>2</v>
      </c>
      <c r="J1938" s="111" t="s">
        <v>46</v>
      </c>
      <c r="K1938" s="108" t="s">
        <v>16680</v>
      </c>
      <c r="L1938" s="116">
        <v>1</v>
      </c>
      <c r="M1938" s="113"/>
      <c r="N1938" s="108" t="s">
        <v>16678</v>
      </c>
      <c r="O1938" s="116">
        <v>1</v>
      </c>
      <c r="P1938" s="113"/>
      <c r="Q1938" s="108" t="s">
        <v>16681</v>
      </c>
      <c r="R1938" s="117">
        <v>2</v>
      </c>
      <c r="S1938" s="113"/>
      <c r="T1938" s="108" t="s">
        <v>16682</v>
      </c>
      <c r="U1938" s="116">
        <v>1</v>
      </c>
      <c r="V1938" s="113"/>
      <c r="W1938" s="108" t="s">
        <v>16683</v>
      </c>
      <c r="X1938" s="116">
        <v>1</v>
      </c>
      <c r="Y1938" s="113"/>
      <c r="Z1938" s="108" t="s">
        <v>16684</v>
      </c>
      <c r="AA1938" s="117">
        <v>2</v>
      </c>
      <c r="AB1938" s="113"/>
      <c r="AC1938" s="105" t="s">
        <v>4380</v>
      </c>
      <c r="AD1938" s="115" t="s">
        <v>49</v>
      </c>
    </row>
    <row r="1939" spans="1:30" x14ac:dyDescent="0.2">
      <c r="A1939" s="104" t="s">
        <v>16685</v>
      </c>
      <c r="B1939" s="105" t="s">
        <v>371</v>
      </c>
      <c r="C1939" s="105" t="s">
        <v>4381</v>
      </c>
      <c r="D1939" s="106" t="s">
        <v>105</v>
      </c>
      <c r="E1939" s="107" t="s">
        <v>376</v>
      </c>
      <c r="F1939" s="108" t="s">
        <v>4382</v>
      </c>
      <c r="G1939" s="118">
        <v>3</v>
      </c>
      <c r="H1939" s="108" t="s">
        <v>16686</v>
      </c>
      <c r="I1939" s="112">
        <v>4</v>
      </c>
      <c r="J1939" s="111" t="s">
        <v>46</v>
      </c>
      <c r="K1939" s="108" t="s">
        <v>16687</v>
      </c>
      <c r="L1939" s="110">
        <v>3</v>
      </c>
      <c r="M1939" s="111" t="s">
        <v>55</v>
      </c>
      <c r="N1939" s="108" t="s">
        <v>4382</v>
      </c>
      <c r="O1939" s="110">
        <v>3</v>
      </c>
      <c r="P1939" s="111" t="s">
        <v>55</v>
      </c>
      <c r="Q1939" s="108" t="s">
        <v>4383</v>
      </c>
      <c r="R1939" s="116">
        <v>1</v>
      </c>
      <c r="S1939" s="113"/>
      <c r="T1939" s="108" t="s">
        <v>12911</v>
      </c>
      <c r="U1939" s="117">
        <v>2</v>
      </c>
      <c r="V1939" s="113"/>
      <c r="W1939" s="108" t="s">
        <v>4384</v>
      </c>
      <c r="X1939" s="110">
        <v>3</v>
      </c>
      <c r="Y1939" s="111" t="s">
        <v>46</v>
      </c>
      <c r="Z1939" s="108" t="s">
        <v>47</v>
      </c>
      <c r="AA1939" s="114"/>
      <c r="AB1939" s="113"/>
      <c r="AC1939" s="105" t="s">
        <v>4385</v>
      </c>
      <c r="AD1939" s="115" t="s">
        <v>49</v>
      </c>
    </row>
    <row r="1940" spans="1:30" x14ac:dyDescent="0.2">
      <c r="A1940" s="104" t="s">
        <v>16688</v>
      </c>
      <c r="B1940" s="105" t="s">
        <v>371</v>
      </c>
      <c r="C1940" s="105" t="s">
        <v>4381</v>
      </c>
      <c r="D1940" s="106"/>
      <c r="E1940" s="107" t="s">
        <v>376</v>
      </c>
      <c r="F1940" s="108" t="s">
        <v>47</v>
      </c>
      <c r="G1940" s="113"/>
      <c r="H1940" s="108" t="s">
        <v>47</v>
      </c>
      <c r="I1940" s="114"/>
      <c r="J1940" s="113"/>
      <c r="K1940" s="108" t="s">
        <v>47</v>
      </c>
      <c r="L1940" s="114"/>
      <c r="M1940" s="113"/>
      <c r="N1940" s="108" t="s">
        <v>47</v>
      </c>
      <c r="O1940" s="114"/>
      <c r="P1940" s="113"/>
      <c r="Q1940" s="108" t="s">
        <v>47</v>
      </c>
      <c r="R1940" s="114"/>
      <c r="S1940" s="113"/>
      <c r="T1940" s="108" t="s">
        <v>47</v>
      </c>
      <c r="U1940" s="114"/>
      <c r="V1940" s="113"/>
      <c r="W1940" s="108" t="s">
        <v>47</v>
      </c>
      <c r="X1940" s="114"/>
      <c r="Y1940" s="113"/>
      <c r="Z1940" s="108" t="s">
        <v>47</v>
      </c>
      <c r="AA1940" s="114"/>
      <c r="AB1940" s="113"/>
      <c r="AC1940" s="105" t="s">
        <v>4386</v>
      </c>
      <c r="AD1940" s="115" t="s">
        <v>49</v>
      </c>
    </row>
    <row r="1941" spans="1:30" x14ac:dyDescent="0.2">
      <c r="A1941" s="104" t="s">
        <v>16689</v>
      </c>
      <c r="B1941" s="105" t="s">
        <v>371</v>
      </c>
      <c r="C1941" s="105" t="s">
        <v>4381</v>
      </c>
      <c r="D1941" s="106" t="s">
        <v>105</v>
      </c>
      <c r="E1941" s="107" t="s">
        <v>376</v>
      </c>
      <c r="F1941" s="108" t="s">
        <v>16690</v>
      </c>
      <c r="G1941" s="118">
        <v>3</v>
      </c>
      <c r="H1941" s="108" t="s">
        <v>16691</v>
      </c>
      <c r="I1941" s="112">
        <v>4</v>
      </c>
      <c r="J1941" s="111" t="s">
        <v>46</v>
      </c>
      <c r="K1941" s="108" t="s">
        <v>16692</v>
      </c>
      <c r="L1941" s="110">
        <v>3</v>
      </c>
      <c r="M1941" s="111" t="s">
        <v>55</v>
      </c>
      <c r="N1941" s="108" t="s">
        <v>16690</v>
      </c>
      <c r="O1941" s="110">
        <v>3</v>
      </c>
      <c r="P1941" s="111" t="s">
        <v>55</v>
      </c>
      <c r="Q1941" s="108" t="s">
        <v>16693</v>
      </c>
      <c r="R1941" s="116">
        <v>1</v>
      </c>
      <c r="S1941" s="113"/>
      <c r="T1941" s="108" t="s">
        <v>16694</v>
      </c>
      <c r="U1941" s="110">
        <v>3</v>
      </c>
      <c r="V1941" s="111" t="s">
        <v>46</v>
      </c>
      <c r="W1941" s="108" t="s">
        <v>16695</v>
      </c>
      <c r="X1941" s="112">
        <v>4</v>
      </c>
      <c r="Y1941" s="111" t="s">
        <v>46</v>
      </c>
      <c r="Z1941" s="108" t="s">
        <v>4387</v>
      </c>
      <c r="AA1941" s="117">
        <v>2</v>
      </c>
      <c r="AB1941" s="113"/>
      <c r="AC1941" s="105" t="s">
        <v>4388</v>
      </c>
      <c r="AD1941" s="115" t="s">
        <v>49</v>
      </c>
    </row>
    <row r="1942" spans="1:30" x14ac:dyDescent="0.2">
      <c r="A1942" s="104" t="s">
        <v>4389</v>
      </c>
      <c r="B1942" s="105" t="s">
        <v>371</v>
      </c>
      <c r="C1942" s="105" t="s">
        <v>306</v>
      </c>
      <c r="D1942" s="106" t="s">
        <v>94</v>
      </c>
      <c r="E1942" s="107" t="s">
        <v>182</v>
      </c>
      <c r="F1942" s="108" t="s">
        <v>16696</v>
      </c>
      <c r="G1942" s="119">
        <v>1</v>
      </c>
      <c r="H1942" s="108" t="s">
        <v>16697</v>
      </c>
      <c r="I1942" s="110">
        <v>3</v>
      </c>
      <c r="J1942" s="111" t="s">
        <v>46</v>
      </c>
      <c r="K1942" s="108" t="s">
        <v>16698</v>
      </c>
      <c r="L1942" s="116">
        <v>1</v>
      </c>
      <c r="M1942" s="113"/>
      <c r="N1942" s="108" t="s">
        <v>16696</v>
      </c>
      <c r="O1942" s="116">
        <v>1</v>
      </c>
      <c r="P1942" s="113"/>
      <c r="Q1942" s="108" t="s">
        <v>4390</v>
      </c>
      <c r="R1942" s="116">
        <v>1</v>
      </c>
      <c r="S1942" s="113"/>
      <c r="T1942" s="108" t="s">
        <v>16699</v>
      </c>
      <c r="U1942" s="116">
        <v>1</v>
      </c>
      <c r="V1942" s="113"/>
      <c r="W1942" s="108" t="s">
        <v>16700</v>
      </c>
      <c r="X1942" s="116">
        <v>1</v>
      </c>
      <c r="Y1942" s="113"/>
      <c r="Z1942" s="108" t="s">
        <v>16701</v>
      </c>
      <c r="AA1942" s="116">
        <v>1</v>
      </c>
      <c r="AB1942" s="111" t="s">
        <v>40</v>
      </c>
      <c r="AC1942" s="105" t="s">
        <v>4391</v>
      </c>
      <c r="AD1942" s="115" t="s">
        <v>49</v>
      </c>
    </row>
    <row r="1943" spans="1:30" x14ac:dyDescent="0.2">
      <c r="A1943" s="104" t="s">
        <v>4392</v>
      </c>
      <c r="B1943" s="105" t="s">
        <v>371</v>
      </c>
      <c r="C1943" s="105" t="s">
        <v>3433</v>
      </c>
      <c r="D1943" s="106"/>
      <c r="E1943" s="107"/>
      <c r="F1943" s="108" t="s">
        <v>16702</v>
      </c>
      <c r="G1943" s="120">
        <v>2</v>
      </c>
      <c r="H1943" s="108" t="s">
        <v>16703</v>
      </c>
      <c r="I1943" s="117">
        <v>2</v>
      </c>
      <c r="J1943" s="113"/>
      <c r="K1943" s="108" t="s">
        <v>16704</v>
      </c>
      <c r="L1943" s="117">
        <v>2</v>
      </c>
      <c r="M1943" s="113"/>
      <c r="N1943" s="108" t="s">
        <v>16702</v>
      </c>
      <c r="O1943" s="117">
        <v>2</v>
      </c>
      <c r="P1943" s="113"/>
      <c r="Q1943" s="108" t="s">
        <v>16705</v>
      </c>
      <c r="R1943" s="117">
        <v>2</v>
      </c>
      <c r="S1943" s="113"/>
      <c r="T1943" s="108" t="s">
        <v>4393</v>
      </c>
      <c r="U1943" s="117">
        <v>2</v>
      </c>
      <c r="V1943" s="113"/>
      <c r="W1943" s="108" t="s">
        <v>16706</v>
      </c>
      <c r="X1943" s="116">
        <v>1</v>
      </c>
      <c r="Y1943" s="113"/>
      <c r="Z1943" s="108" t="s">
        <v>47</v>
      </c>
      <c r="AA1943" s="114"/>
      <c r="AB1943" s="113"/>
      <c r="AC1943" s="105" t="s">
        <v>4394</v>
      </c>
      <c r="AD1943" s="115" t="s">
        <v>107</v>
      </c>
    </row>
    <row r="1944" spans="1:30" x14ac:dyDescent="0.2">
      <c r="A1944" s="104" t="s">
        <v>4395</v>
      </c>
      <c r="B1944" s="105" t="s">
        <v>371</v>
      </c>
      <c r="C1944" s="105" t="s">
        <v>3433</v>
      </c>
      <c r="D1944" s="106"/>
      <c r="E1944" s="107"/>
      <c r="F1944" s="108" t="s">
        <v>16707</v>
      </c>
      <c r="G1944" s="119">
        <v>1</v>
      </c>
      <c r="H1944" s="108" t="s">
        <v>16708</v>
      </c>
      <c r="I1944" s="116">
        <v>1</v>
      </c>
      <c r="J1944" s="113"/>
      <c r="K1944" s="108" t="s">
        <v>16709</v>
      </c>
      <c r="L1944" s="116">
        <v>1</v>
      </c>
      <c r="M1944" s="113"/>
      <c r="N1944" s="108" t="s">
        <v>16707</v>
      </c>
      <c r="O1944" s="116">
        <v>1</v>
      </c>
      <c r="P1944" s="113"/>
      <c r="Q1944" s="108" t="s">
        <v>16710</v>
      </c>
      <c r="R1944" s="116">
        <v>1</v>
      </c>
      <c r="S1944" s="113"/>
      <c r="T1944" s="108" t="s">
        <v>4396</v>
      </c>
      <c r="U1944" s="116">
        <v>1</v>
      </c>
      <c r="V1944" s="113"/>
      <c r="W1944" s="108" t="s">
        <v>16711</v>
      </c>
      <c r="X1944" s="116">
        <v>1</v>
      </c>
      <c r="Y1944" s="113"/>
      <c r="Z1944" s="108" t="s">
        <v>16712</v>
      </c>
      <c r="AA1944" s="116">
        <v>1</v>
      </c>
      <c r="AB1944" s="113"/>
      <c r="AC1944" s="105" t="s">
        <v>4397</v>
      </c>
      <c r="AD1944" s="115" t="s">
        <v>107</v>
      </c>
    </row>
    <row r="1945" spans="1:30" x14ac:dyDescent="0.2">
      <c r="A1945" s="104" t="s">
        <v>4398</v>
      </c>
      <c r="B1945" s="105" t="s">
        <v>371</v>
      </c>
      <c r="C1945" s="105" t="s">
        <v>3433</v>
      </c>
      <c r="D1945" s="106"/>
      <c r="E1945" s="107"/>
      <c r="F1945" s="108" t="s">
        <v>16713</v>
      </c>
      <c r="G1945" s="120">
        <v>2</v>
      </c>
      <c r="H1945" s="108" t="s">
        <v>16714</v>
      </c>
      <c r="I1945" s="117">
        <v>2</v>
      </c>
      <c r="J1945" s="113"/>
      <c r="K1945" s="108" t="s">
        <v>16715</v>
      </c>
      <c r="L1945" s="117">
        <v>2</v>
      </c>
      <c r="M1945" s="113"/>
      <c r="N1945" s="108" t="s">
        <v>16713</v>
      </c>
      <c r="O1945" s="117">
        <v>2</v>
      </c>
      <c r="P1945" s="113"/>
      <c r="Q1945" s="108" t="s">
        <v>16716</v>
      </c>
      <c r="R1945" s="117">
        <v>2</v>
      </c>
      <c r="S1945" s="113"/>
      <c r="T1945" s="108" t="s">
        <v>16717</v>
      </c>
      <c r="U1945" s="116">
        <v>1</v>
      </c>
      <c r="V1945" s="113"/>
      <c r="W1945" s="108" t="s">
        <v>14786</v>
      </c>
      <c r="X1945" s="116">
        <v>1</v>
      </c>
      <c r="Y1945" s="113"/>
      <c r="Z1945" s="108" t="s">
        <v>16718</v>
      </c>
      <c r="AA1945" s="116">
        <v>1</v>
      </c>
      <c r="AB1945" s="113"/>
      <c r="AC1945" s="105" t="s">
        <v>4399</v>
      </c>
      <c r="AD1945" s="115" t="s">
        <v>107</v>
      </c>
    </row>
    <row r="1946" spans="1:30" x14ac:dyDescent="0.2">
      <c r="A1946" s="104" t="s">
        <v>4400</v>
      </c>
      <c r="B1946" s="105" t="s">
        <v>371</v>
      </c>
      <c r="C1946" s="105" t="s">
        <v>1811</v>
      </c>
      <c r="D1946" s="106" t="s">
        <v>105</v>
      </c>
      <c r="E1946" s="107" t="s">
        <v>376</v>
      </c>
      <c r="F1946" s="108" t="s">
        <v>16719</v>
      </c>
      <c r="G1946" s="118">
        <v>3</v>
      </c>
      <c r="H1946" s="108" t="s">
        <v>16720</v>
      </c>
      <c r="I1946" s="112">
        <v>4</v>
      </c>
      <c r="J1946" s="111" t="s">
        <v>44</v>
      </c>
      <c r="K1946" s="108" t="s">
        <v>16721</v>
      </c>
      <c r="L1946" s="116">
        <v>1</v>
      </c>
      <c r="M1946" s="113"/>
      <c r="N1946" s="108" t="s">
        <v>16719</v>
      </c>
      <c r="O1946" s="110">
        <v>3</v>
      </c>
      <c r="P1946" s="111" t="s">
        <v>55</v>
      </c>
      <c r="Q1946" s="108" t="s">
        <v>16722</v>
      </c>
      <c r="R1946" s="110">
        <v>3</v>
      </c>
      <c r="S1946" s="113"/>
      <c r="T1946" s="108" t="s">
        <v>4401</v>
      </c>
      <c r="U1946" s="112">
        <v>4</v>
      </c>
      <c r="V1946" s="113"/>
      <c r="W1946" s="108" t="s">
        <v>47</v>
      </c>
      <c r="X1946" s="114"/>
      <c r="Y1946" s="113"/>
      <c r="Z1946" s="108" t="s">
        <v>47</v>
      </c>
      <c r="AA1946" s="114"/>
      <c r="AB1946" s="113"/>
      <c r="AC1946" s="105" t="s">
        <v>4402</v>
      </c>
      <c r="AD1946" s="115" t="s">
        <v>49</v>
      </c>
    </row>
    <row r="1947" spans="1:30" x14ac:dyDescent="0.2">
      <c r="A1947" s="104" t="s">
        <v>4403</v>
      </c>
      <c r="B1947" s="105" t="s">
        <v>371</v>
      </c>
      <c r="C1947" s="105" t="s">
        <v>1811</v>
      </c>
      <c r="D1947" s="106" t="s">
        <v>105</v>
      </c>
      <c r="E1947" s="107" t="s">
        <v>376</v>
      </c>
      <c r="F1947" s="108" t="s">
        <v>16723</v>
      </c>
      <c r="G1947" s="118">
        <v>3</v>
      </c>
      <c r="H1947" s="108" t="s">
        <v>16724</v>
      </c>
      <c r="I1947" s="112">
        <v>4</v>
      </c>
      <c r="J1947" s="111" t="s">
        <v>44</v>
      </c>
      <c r="K1947" s="108" t="s">
        <v>16725</v>
      </c>
      <c r="L1947" s="117">
        <v>2</v>
      </c>
      <c r="M1947" s="111" t="s">
        <v>46</v>
      </c>
      <c r="N1947" s="108" t="s">
        <v>16723</v>
      </c>
      <c r="O1947" s="110">
        <v>3</v>
      </c>
      <c r="P1947" s="111" t="s">
        <v>55</v>
      </c>
      <c r="Q1947" s="108" t="s">
        <v>16726</v>
      </c>
      <c r="R1947" s="110">
        <v>3</v>
      </c>
      <c r="S1947" s="113"/>
      <c r="T1947" s="108" t="s">
        <v>16727</v>
      </c>
      <c r="U1947" s="112">
        <v>4</v>
      </c>
      <c r="V1947" s="113"/>
      <c r="W1947" s="108" t="s">
        <v>16728</v>
      </c>
      <c r="X1947" s="117">
        <v>2</v>
      </c>
      <c r="Y1947" s="113"/>
      <c r="Z1947" s="108" t="s">
        <v>16729</v>
      </c>
      <c r="AA1947" s="112">
        <v>4</v>
      </c>
      <c r="AB1947" s="113"/>
      <c r="AC1947" s="105" t="s">
        <v>4404</v>
      </c>
      <c r="AD1947" s="115" t="s">
        <v>49</v>
      </c>
    </row>
    <row r="1948" spans="1:30" x14ac:dyDescent="0.2">
      <c r="A1948" s="104" t="s">
        <v>4405</v>
      </c>
      <c r="B1948" s="105" t="s">
        <v>371</v>
      </c>
      <c r="C1948" s="105" t="s">
        <v>495</v>
      </c>
      <c r="D1948" s="106"/>
      <c r="E1948" s="107" t="s">
        <v>146</v>
      </c>
      <c r="F1948" s="108" t="s">
        <v>16730</v>
      </c>
      <c r="G1948" s="118">
        <v>3</v>
      </c>
      <c r="H1948" s="108" t="s">
        <v>4406</v>
      </c>
      <c r="I1948" s="112">
        <v>4</v>
      </c>
      <c r="J1948" s="111" t="s">
        <v>46</v>
      </c>
      <c r="K1948" s="108" t="s">
        <v>16731</v>
      </c>
      <c r="L1948" s="112">
        <v>4</v>
      </c>
      <c r="M1948" s="111" t="s">
        <v>55</v>
      </c>
      <c r="N1948" s="108" t="s">
        <v>16730</v>
      </c>
      <c r="O1948" s="110">
        <v>3</v>
      </c>
      <c r="P1948" s="111" t="s">
        <v>46</v>
      </c>
      <c r="Q1948" s="108" t="s">
        <v>16732</v>
      </c>
      <c r="R1948" s="110">
        <v>3</v>
      </c>
      <c r="S1948" s="113"/>
      <c r="T1948" s="108" t="s">
        <v>47</v>
      </c>
      <c r="U1948" s="114"/>
      <c r="V1948" s="113"/>
      <c r="W1948" s="108" t="s">
        <v>47</v>
      </c>
      <c r="X1948" s="114"/>
      <c r="Y1948" s="113"/>
      <c r="Z1948" s="108" t="s">
        <v>47</v>
      </c>
      <c r="AA1948" s="114"/>
      <c r="AB1948" s="113"/>
      <c r="AC1948" s="105" t="s">
        <v>4407</v>
      </c>
      <c r="AD1948" s="115" t="s">
        <v>107</v>
      </c>
    </row>
    <row r="1949" spans="1:30" x14ac:dyDescent="0.2">
      <c r="A1949" s="104" t="s">
        <v>4408</v>
      </c>
      <c r="B1949" s="105" t="s">
        <v>371</v>
      </c>
      <c r="C1949" s="105" t="s">
        <v>495</v>
      </c>
      <c r="D1949" s="106" t="s">
        <v>125</v>
      </c>
      <c r="E1949" s="107" t="s">
        <v>146</v>
      </c>
      <c r="F1949" s="108" t="s">
        <v>16733</v>
      </c>
      <c r="G1949" s="118">
        <v>3</v>
      </c>
      <c r="H1949" s="108" t="s">
        <v>16734</v>
      </c>
      <c r="I1949" s="112">
        <v>4</v>
      </c>
      <c r="J1949" s="111" t="s">
        <v>46</v>
      </c>
      <c r="K1949" s="108" t="s">
        <v>16735</v>
      </c>
      <c r="L1949" s="112">
        <v>4</v>
      </c>
      <c r="M1949" s="111" t="s">
        <v>55</v>
      </c>
      <c r="N1949" s="108" t="s">
        <v>16733</v>
      </c>
      <c r="O1949" s="110">
        <v>3</v>
      </c>
      <c r="P1949" s="111" t="s">
        <v>46</v>
      </c>
      <c r="Q1949" s="108" t="s">
        <v>16736</v>
      </c>
      <c r="R1949" s="110">
        <v>3</v>
      </c>
      <c r="S1949" s="113"/>
      <c r="T1949" s="108" t="s">
        <v>16737</v>
      </c>
      <c r="U1949" s="110">
        <v>3</v>
      </c>
      <c r="V1949" s="113"/>
      <c r="W1949" s="108" t="s">
        <v>16738</v>
      </c>
      <c r="X1949" s="112">
        <v>4</v>
      </c>
      <c r="Y1949" s="111" t="s">
        <v>46</v>
      </c>
      <c r="Z1949" s="108" t="s">
        <v>4409</v>
      </c>
      <c r="AA1949" s="112">
        <v>4</v>
      </c>
      <c r="AB1949" s="111" t="s">
        <v>46</v>
      </c>
      <c r="AC1949" s="105" t="s">
        <v>4410</v>
      </c>
      <c r="AD1949" s="115" t="s">
        <v>107</v>
      </c>
    </row>
    <row r="1950" spans="1:30" x14ac:dyDescent="0.2">
      <c r="A1950" s="104" t="s">
        <v>4411</v>
      </c>
      <c r="B1950" s="105" t="s">
        <v>371</v>
      </c>
      <c r="C1950" s="105" t="s">
        <v>495</v>
      </c>
      <c r="D1950" s="106" t="s">
        <v>125</v>
      </c>
      <c r="E1950" s="107" t="s">
        <v>146</v>
      </c>
      <c r="F1950" s="108" t="s">
        <v>16739</v>
      </c>
      <c r="G1950" s="118">
        <v>3</v>
      </c>
      <c r="H1950" s="108" t="s">
        <v>4412</v>
      </c>
      <c r="I1950" s="112">
        <v>4</v>
      </c>
      <c r="J1950" s="111" t="s">
        <v>46</v>
      </c>
      <c r="K1950" s="108" t="s">
        <v>16740</v>
      </c>
      <c r="L1950" s="112">
        <v>4</v>
      </c>
      <c r="M1950" s="111" t="s">
        <v>55</v>
      </c>
      <c r="N1950" s="108" t="s">
        <v>16739</v>
      </c>
      <c r="O1950" s="110">
        <v>3</v>
      </c>
      <c r="P1950" s="111" t="s">
        <v>46</v>
      </c>
      <c r="Q1950" s="108" t="s">
        <v>16741</v>
      </c>
      <c r="R1950" s="110">
        <v>3</v>
      </c>
      <c r="S1950" s="113"/>
      <c r="T1950" s="108" t="s">
        <v>16742</v>
      </c>
      <c r="U1950" s="110">
        <v>3</v>
      </c>
      <c r="V1950" s="113"/>
      <c r="W1950" s="108" t="s">
        <v>16743</v>
      </c>
      <c r="X1950" s="110">
        <v>3</v>
      </c>
      <c r="Y1950" s="113"/>
      <c r="Z1950" s="108" t="s">
        <v>16744</v>
      </c>
      <c r="AA1950" s="112">
        <v>4</v>
      </c>
      <c r="AB1950" s="111" t="s">
        <v>46</v>
      </c>
      <c r="AC1950" s="105" t="s">
        <v>4413</v>
      </c>
      <c r="AD1950" s="115" t="s">
        <v>107</v>
      </c>
    </row>
    <row r="1951" spans="1:30" x14ac:dyDescent="0.2">
      <c r="A1951" s="104" t="s">
        <v>4414</v>
      </c>
      <c r="B1951" s="105" t="s">
        <v>371</v>
      </c>
      <c r="C1951" s="105" t="s">
        <v>1063</v>
      </c>
      <c r="D1951" s="106"/>
      <c r="E1951" s="107"/>
      <c r="F1951" s="108" t="s">
        <v>16745</v>
      </c>
      <c r="G1951" s="119">
        <v>1</v>
      </c>
      <c r="H1951" s="108" t="s">
        <v>16746</v>
      </c>
      <c r="I1951" s="110">
        <v>3</v>
      </c>
      <c r="J1951" s="111" t="s">
        <v>46</v>
      </c>
      <c r="K1951" s="108" t="s">
        <v>16747</v>
      </c>
      <c r="L1951" s="116">
        <v>1</v>
      </c>
      <c r="M1951" s="113"/>
      <c r="N1951" s="108" t="s">
        <v>16745</v>
      </c>
      <c r="O1951" s="116">
        <v>1</v>
      </c>
      <c r="P1951" s="113"/>
      <c r="Q1951" s="108" t="s">
        <v>16748</v>
      </c>
      <c r="R1951" s="116">
        <v>1</v>
      </c>
      <c r="S1951" s="113"/>
      <c r="T1951" s="108" t="s">
        <v>47</v>
      </c>
      <c r="U1951" s="114"/>
      <c r="V1951" s="113"/>
      <c r="W1951" s="108" t="s">
        <v>47</v>
      </c>
      <c r="X1951" s="114"/>
      <c r="Y1951" s="113"/>
      <c r="Z1951" s="108" t="s">
        <v>47</v>
      </c>
      <c r="AA1951" s="114"/>
      <c r="AB1951" s="113"/>
      <c r="AC1951" s="105" t="s">
        <v>4415</v>
      </c>
      <c r="AD1951" s="115" t="s">
        <v>49</v>
      </c>
    </row>
    <row r="1952" spans="1:30" x14ac:dyDescent="0.2">
      <c r="A1952" s="104" t="s">
        <v>4416</v>
      </c>
      <c r="B1952" s="105" t="s">
        <v>371</v>
      </c>
      <c r="C1952" s="105" t="s">
        <v>1063</v>
      </c>
      <c r="D1952" s="106"/>
      <c r="E1952" s="107"/>
      <c r="F1952" s="108" t="s">
        <v>47</v>
      </c>
      <c r="G1952" s="113"/>
      <c r="H1952" s="108" t="s">
        <v>47</v>
      </c>
      <c r="I1952" s="114"/>
      <c r="J1952" s="113"/>
      <c r="K1952" s="108" t="s">
        <v>47</v>
      </c>
      <c r="L1952" s="114"/>
      <c r="M1952" s="113"/>
      <c r="N1952" s="108" t="s">
        <v>47</v>
      </c>
      <c r="O1952" s="114"/>
      <c r="P1952" s="113"/>
      <c r="Q1952" s="108" t="s">
        <v>47</v>
      </c>
      <c r="R1952" s="114"/>
      <c r="S1952" s="113"/>
      <c r="T1952" s="108" t="s">
        <v>47</v>
      </c>
      <c r="U1952" s="114"/>
      <c r="V1952" s="113"/>
      <c r="W1952" s="108" t="s">
        <v>47</v>
      </c>
      <c r="X1952" s="114"/>
      <c r="Y1952" s="113"/>
      <c r="Z1952" s="108" t="s">
        <v>47</v>
      </c>
      <c r="AA1952" s="114"/>
      <c r="AB1952" s="113"/>
      <c r="AC1952" s="105" t="s">
        <v>4417</v>
      </c>
      <c r="AD1952" s="115" t="s">
        <v>49</v>
      </c>
    </row>
    <row r="1953" spans="1:30" x14ac:dyDescent="0.2">
      <c r="A1953" s="104" t="s">
        <v>4418</v>
      </c>
      <c r="B1953" s="105" t="s">
        <v>371</v>
      </c>
      <c r="C1953" s="105" t="s">
        <v>1063</v>
      </c>
      <c r="D1953" s="106"/>
      <c r="E1953" s="107"/>
      <c r="F1953" s="108" t="s">
        <v>16749</v>
      </c>
      <c r="G1953" s="119">
        <v>1</v>
      </c>
      <c r="H1953" s="108" t="s">
        <v>16750</v>
      </c>
      <c r="I1953" s="110">
        <v>3</v>
      </c>
      <c r="J1953" s="111" t="s">
        <v>46</v>
      </c>
      <c r="K1953" s="108" t="s">
        <v>16751</v>
      </c>
      <c r="L1953" s="117">
        <v>2</v>
      </c>
      <c r="M1953" s="111" t="s">
        <v>46</v>
      </c>
      <c r="N1953" s="108" t="s">
        <v>16749</v>
      </c>
      <c r="O1953" s="116">
        <v>1</v>
      </c>
      <c r="P1953" s="113"/>
      <c r="Q1953" s="108" t="s">
        <v>16752</v>
      </c>
      <c r="R1953" s="117">
        <v>2</v>
      </c>
      <c r="S1953" s="111" t="s">
        <v>46</v>
      </c>
      <c r="T1953" s="108" t="s">
        <v>47</v>
      </c>
      <c r="U1953" s="114"/>
      <c r="V1953" s="113"/>
      <c r="W1953" s="108" t="s">
        <v>47</v>
      </c>
      <c r="X1953" s="114"/>
      <c r="Y1953" s="113"/>
      <c r="Z1953" s="108" t="s">
        <v>47</v>
      </c>
      <c r="AA1953" s="114"/>
      <c r="AB1953" s="113"/>
      <c r="AC1953" s="105" t="s">
        <v>4419</v>
      </c>
      <c r="AD1953" s="115" t="s">
        <v>49</v>
      </c>
    </row>
    <row r="1954" spans="1:30" x14ac:dyDescent="0.2">
      <c r="A1954" s="104" t="s">
        <v>4420</v>
      </c>
      <c r="B1954" s="105" t="s">
        <v>371</v>
      </c>
      <c r="C1954" s="105" t="s">
        <v>4421</v>
      </c>
      <c r="D1954" s="106"/>
      <c r="E1954" s="107"/>
      <c r="F1954" s="108" t="s">
        <v>16753</v>
      </c>
      <c r="G1954" s="120">
        <v>2</v>
      </c>
      <c r="H1954" s="108" t="s">
        <v>16754</v>
      </c>
      <c r="I1954" s="112">
        <v>4</v>
      </c>
      <c r="J1954" s="113"/>
      <c r="K1954" s="108" t="s">
        <v>16755</v>
      </c>
      <c r="L1954" s="112">
        <v>4</v>
      </c>
      <c r="M1954" s="111" t="s">
        <v>44</v>
      </c>
      <c r="N1954" s="108" t="s">
        <v>16753</v>
      </c>
      <c r="O1954" s="117">
        <v>2</v>
      </c>
      <c r="P1954" s="111" t="s">
        <v>46</v>
      </c>
      <c r="Q1954" s="108" t="s">
        <v>16756</v>
      </c>
      <c r="R1954" s="117">
        <v>2</v>
      </c>
      <c r="S1954" s="111" t="s">
        <v>46</v>
      </c>
      <c r="T1954" s="108" t="s">
        <v>47</v>
      </c>
      <c r="U1954" s="114"/>
      <c r="V1954" s="113"/>
      <c r="W1954" s="108" t="s">
        <v>47</v>
      </c>
      <c r="X1954" s="114"/>
      <c r="Y1954" s="113"/>
      <c r="Z1954" s="108" t="s">
        <v>47</v>
      </c>
      <c r="AA1954" s="114"/>
      <c r="AB1954" s="113"/>
      <c r="AC1954" s="105" t="s">
        <v>4422</v>
      </c>
      <c r="AD1954" s="115" t="s">
        <v>49</v>
      </c>
    </row>
    <row r="1955" spans="1:30" x14ac:dyDescent="0.2">
      <c r="A1955" s="104" t="s">
        <v>4423</v>
      </c>
      <c r="B1955" s="105" t="s">
        <v>371</v>
      </c>
      <c r="C1955" s="105" t="s">
        <v>4421</v>
      </c>
      <c r="D1955" s="106"/>
      <c r="E1955" s="107"/>
      <c r="F1955" s="108" t="s">
        <v>16757</v>
      </c>
      <c r="G1955" s="120">
        <v>2</v>
      </c>
      <c r="H1955" s="108" t="s">
        <v>16758</v>
      </c>
      <c r="I1955" s="112">
        <v>4</v>
      </c>
      <c r="J1955" s="113"/>
      <c r="K1955" s="108" t="s">
        <v>16759</v>
      </c>
      <c r="L1955" s="112">
        <v>4</v>
      </c>
      <c r="M1955" s="111" t="s">
        <v>44</v>
      </c>
      <c r="N1955" s="108" t="s">
        <v>16757</v>
      </c>
      <c r="O1955" s="117">
        <v>2</v>
      </c>
      <c r="P1955" s="111" t="s">
        <v>46</v>
      </c>
      <c r="Q1955" s="108" t="s">
        <v>16760</v>
      </c>
      <c r="R1955" s="110">
        <v>3</v>
      </c>
      <c r="S1955" s="111" t="s">
        <v>55</v>
      </c>
      <c r="T1955" s="108" t="s">
        <v>47</v>
      </c>
      <c r="U1955" s="114"/>
      <c r="V1955" s="113"/>
      <c r="W1955" s="108" t="s">
        <v>47</v>
      </c>
      <c r="X1955" s="114"/>
      <c r="Y1955" s="113"/>
      <c r="Z1955" s="108" t="s">
        <v>47</v>
      </c>
      <c r="AA1955" s="114"/>
      <c r="AB1955" s="113"/>
      <c r="AC1955" s="105" t="s">
        <v>4424</v>
      </c>
      <c r="AD1955" s="115" t="s">
        <v>49</v>
      </c>
    </row>
    <row r="1956" spans="1:30" x14ac:dyDescent="0.2">
      <c r="A1956" s="104" t="s">
        <v>4425</v>
      </c>
      <c r="B1956" s="105" t="s">
        <v>371</v>
      </c>
      <c r="C1956" s="105" t="s">
        <v>1458</v>
      </c>
      <c r="D1956" s="106" t="s">
        <v>514</v>
      </c>
      <c r="E1956" s="107"/>
      <c r="F1956" s="108" t="s">
        <v>16761</v>
      </c>
      <c r="G1956" s="119">
        <v>1</v>
      </c>
      <c r="H1956" s="108" t="s">
        <v>16762</v>
      </c>
      <c r="I1956" s="116">
        <v>1</v>
      </c>
      <c r="J1956" s="111" t="s">
        <v>53</v>
      </c>
      <c r="K1956" s="108" t="s">
        <v>16763</v>
      </c>
      <c r="L1956" s="116">
        <v>1</v>
      </c>
      <c r="M1956" s="113"/>
      <c r="N1956" s="108" t="s">
        <v>16761</v>
      </c>
      <c r="O1956" s="116">
        <v>1</v>
      </c>
      <c r="P1956" s="113"/>
      <c r="Q1956" s="108" t="s">
        <v>16764</v>
      </c>
      <c r="R1956" s="116">
        <v>1</v>
      </c>
      <c r="S1956" s="113"/>
      <c r="T1956" s="108" t="s">
        <v>16765</v>
      </c>
      <c r="U1956" s="116">
        <v>1</v>
      </c>
      <c r="V1956" s="113"/>
      <c r="W1956" s="108" t="s">
        <v>16766</v>
      </c>
      <c r="X1956" s="116">
        <v>1</v>
      </c>
      <c r="Y1956" s="113"/>
      <c r="Z1956" s="108" t="s">
        <v>47</v>
      </c>
      <c r="AA1956" s="114"/>
      <c r="AB1956" s="113"/>
      <c r="AC1956" s="105" t="s">
        <v>4426</v>
      </c>
      <c r="AD1956" s="115" t="s">
        <v>49</v>
      </c>
    </row>
    <row r="1957" spans="1:30" x14ac:dyDescent="0.2">
      <c r="A1957" s="104" t="s">
        <v>4427</v>
      </c>
      <c r="B1957" s="105" t="s">
        <v>371</v>
      </c>
      <c r="C1957" s="105" t="s">
        <v>1458</v>
      </c>
      <c r="D1957" s="106" t="s">
        <v>514</v>
      </c>
      <c r="E1957" s="107"/>
      <c r="F1957" s="108" t="s">
        <v>16767</v>
      </c>
      <c r="G1957" s="119">
        <v>1</v>
      </c>
      <c r="H1957" s="108" t="s">
        <v>16768</v>
      </c>
      <c r="I1957" s="117">
        <v>2</v>
      </c>
      <c r="J1957" s="111" t="s">
        <v>40</v>
      </c>
      <c r="K1957" s="108" t="s">
        <v>16769</v>
      </c>
      <c r="L1957" s="116">
        <v>1</v>
      </c>
      <c r="M1957" s="113"/>
      <c r="N1957" s="108" t="s">
        <v>16767</v>
      </c>
      <c r="O1957" s="116">
        <v>1</v>
      </c>
      <c r="P1957" s="113"/>
      <c r="Q1957" s="108" t="s">
        <v>16770</v>
      </c>
      <c r="R1957" s="116">
        <v>1</v>
      </c>
      <c r="S1957" s="113"/>
      <c r="T1957" s="108" t="s">
        <v>16771</v>
      </c>
      <c r="U1957" s="116">
        <v>1</v>
      </c>
      <c r="V1957" s="113"/>
      <c r="W1957" s="108" t="s">
        <v>16772</v>
      </c>
      <c r="X1957" s="116">
        <v>1</v>
      </c>
      <c r="Y1957" s="113"/>
      <c r="Z1957" s="108" t="s">
        <v>47</v>
      </c>
      <c r="AA1957" s="114"/>
      <c r="AB1957" s="113"/>
      <c r="AC1957" s="105" t="s">
        <v>4428</v>
      </c>
      <c r="AD1957" s="115" t="s">
        <v>49</v>
      </c>
    </row>
    <row r="1958" spans="1:30" x14ac:dyDescent="0.2">
      <c r="A1958" s="104" t="s">
        <v>4429</v>
      </c>
      <c r="B1958" s="105" t="s">
        <v>371</v>
      </c>
      <c r="C1958" s="105" t="s">
        <v>3498</v>
      </c>
      <c r="D1958" s="106" t="s">
        <v>514</v>
      </c>
      <c r="E1958" s="107"/>
      <c r="F1958" s="108" t="s">
        <v>16773</v>
      </c>
      <c r="G1958" s="119">
        <v>1</v>
      </c>
      <c r="H1958" s="108" t="s">
        <v>13388</v>
      </c>
      <c r="I1958" s="116">
        <v>1</v>
      </c>
      <c r="J1958" s="113"/>
      <c r="K1958" s="108" t="s">
        <v>16774</v>
      </c>
      <c r="L1958" s="116">
        <v>1</v>
      </c>
      <c r="M1958" s="113"/>
      <c r="N1958" s="108" t="s">
        <v>16773</v>
      </c>
      <c r="O1958" s="116">
        <v>1</v>
      </c>
      <c r="P1958" s="113"/>
      <c r="Q1958" s="108" t="s">
        <v>16775</v>
      </c>
      <c r="R1958" s="116">
        <v>1</v>
      </c>
      <c r="S1958" s="113"/>
      <c r="T1958" s="108" t="s">
        <v>9003</v>
      </c>
      <c r="U1958" s="117">
        <v>2</v>
      </c>
      <c r="V1958" s="113"/>
      <c r="W1958" s="108" t="s">
        <v>4430</v>
      </c>
      <c r="X1958" s="116">
        <v>1</v>
      </c>
      <c r="Y1958" s="113"/>
      <c r="Z1958" s="108" t="s">
        <v>4431</v>
      </c>
      <c r="AA1958" s="117">
        <v>2</v>
      </c>
      <c r="AB1958" s="113"/>
      <c r="AC1958" s="105" t="s">
        <v>4432</v>
      </c>
      <c r="AD1958" s="115" t="s">
        <v>49</v>
      </c>
    </row>
    <row r="1959" spans="1:30" x14ac:dyDescent="0.2">
      <c r="A1959" s="104" t="s">
        <v>4433</v>
      </c>
      <c r="B1959" s="105" t="s">
        <v>371</v>
      </c>
      <c r="C1959" s="105" t="s">
        <v>3498</v>
      </c>
      <c r="D1959" s="106" t="s">
        <v>94</v>
      </c>
      <c r="E1959" s="107"/>
      <c r="F1959" s="108" t="s">
        <v>16776</v>
      </c>
      <c r="G1959" s="119">
        <v>1</v>
      </c>
      <c r="H1959" s="108" t="s">
        <v>16777</v>
      </c>
      <c r="I1959" s="116">
        <v>1</v>
      </c>
      <c r="J1959" s="113"/>
      <c r="K1959" s="108" t="s">
        <v>16778</v>
      </c>
      <c r="L1959" s="116">
        <v>1</v>
      </c>
      <c r="M1959" s="113"/>
      <c r="N1959" s="108" t="s">
        <v>16776</v>
      </c>
      <c r="O1959" s="116">
        <v>1</v>
      </c>
      <c r="P1959" s="113"/>
      <c r="Q1959" s="108" t="s">
        <v>16779</v>
      </c>
      <c r="R1959" s="116">
        <v>1</v>
      </c>
      <c r="S1959" s="113"/>
      <c r="T1959" s="108" t="s">
        <v>8953</v>
      </c>
      <c r="U1959" s="117">
        <v>2</v>
      </c>
      <c r="V1959" s="111" t="s">
        <v>40</v>
      </c>
      <c r="W1959" s="108" t="s">
        <v>16780</v>
      </c>
      <c r="X1959" s="116">
        <v>1</v>
      </c>
      <c r="Y1959" s="113"/>
      <c r="Z1959" s="108" t="s">
        <v>16781</v>
      </c>
      <c r="AA1959" s="110">
        <v>3</v>
      </c>
      <c r="AB1959" s="113"/>
      <c r="AC1959" s="105" t="s">
        <v>4434</v>
      </c>
      <c r="AD1959" s="115" t="s">
        <v>49</v>
      </c>
    </row>
    <row r="1960" spans="1:30" x14ac:dyDescent="0.2">
      <c r="A1960" s="104" t="s">
        <v>4435</v>
      </c>
      <c r="B1960" s="105" t="s">
        <v>371</v>
      </c>
      <c r="C1960" s="105" t="s">
        <v>384</v>
      </c>
      <c r="D1960" s="106" t="s">
        <v>94</v>
      </c>
      <c r="E1960" s="107"/>
      <c r="F1960" s="108" t="s">
        <v>16782</v>
      </c>
      <c r="G1960" s="109">
        <v>4</v>
      </c>
      <c r="H1960" s="108" t="s">
        <v>16783</v>
      </c>
      <c r="I1960" s="112">
        <v>4</v>
      </c>
      <c r="J1960" s="111" t="s">
        <v>46</v>
      </c>
      <c r="K1960" s="108" t="s">
        <v>16784</v>
      </c>
      <c r="L1960" s="110">
        <v>3</v>
      </c>
      <c r="M1960" s="113"/>
      <c r="N1960" s="108" t="s">
        <v>16782</v>
      </c>
      <c r="O1960" s="112">
        <v>4</v>
      </c>
      <c r="P1960" s="113"/>
      <c r="Q1960" s="108" t="s">
        <v>16785</v>
      </c>
      <c r="R1960" s="112">
        <v>4</v>
      </c>
      <c r="S1960" s="111" t="s">
        <v>46</v>
      </c>
      <c r="T1960" s="108" t="s">
        <v>16786</v>
      </c>
      <c r="U1960" s="116">
        <v>1</v>
      </c>
      <c r="V1960" s="113"/>
      <c r="W1960" s="108" t="s">
        <v>16787</v>
      </c>
      <c r="X1960" s="116">
        <v>1</v>
      </c>
      <c r="Y1960" s="113"/>
      <c r="Z1960" s="108" t="s">
        <v>47</v>
      </c>
      <c r="AA1960" s="114"/>
      <c r="AB1960" s="113"/>
      <c r="AC1960" s="105" t="s">
        <v>4436</v>
      </c>
      <c r="AD1960" s="115" t="s">
        <v>49</v>
      </c>
    </row>
    <row r="1961" spans="1:30" x14ac:dyDescent="0.2">
      <c r="A1961" s="104" t="s">
        <v>4437</v>
      </c>
      <c r="B1961" s="105" t="s">
        <v>371</v>
      </c>
      <c r="C1961" s="105" t="s">
        <v>384</v>
      </c>
      <c r="D1961" s="106" t="s">
        <v>94</v>
      </c>
      <c r="E1961" s="107"/>
      <c r="F1961" s="108" t="s">
        <v>16788</v>
      </c>
      <c r="G1961" s="109">
        <v>4</v>
      </c>
      <c r="H1961" s="108" t="s">
        <v>16789</v>
      </c>
      <c r="I1961" s="112">
        <v>4</v>
      </c>
      <c r="J1961" s="111" t="s">
        <v>46</v>
      </c>
      <c r="K1961" s="108" t="s">
        <v>16790</v>
      </c>
      <c r="L1961" s="112">
        <v>4</v>
      </c>
      <c r="M1961" s="111" t="s">
        <v>46</v>
      </c>
      <c r="N1961" s="108" t="s">
        <v>16788</v>
      </c>
      <c r="O1961" s="112">
        <v>4</v>
      </c>
      <c r="P1961" s="113"/>
      <c r="Q1961" s="108" t="s">
        <v>16791</v>
      </c>
      <c r="R1961" s="112">
        <v>4</v>
      </c>
      <c r="S1961" s="113"/>
      <c r="T1961" s="108" t="s">
        <v>16792</v>
      </c>
      <c r="U1961" s="117">
        <v>2</v>
      </c>
      <c r="V1961" s="113"/>
      <c r="W1961" s="108" t="s">
        <v>16793</v>
      </c>
      <c r="X1961" s="117">
        <v>2</v>
      </c>
      <c r="Y1961" s="113"/>
      <c r="Z1961" s="108" t="s">
        <v>16794</v>
      </c>
      <c r="AA1961" s="116">
        <v>1</v>
      </c>
      <c r="AB1961" s="113"/>
      <c r="AC1961" s="105" t="s">
        <v>4438</v>
      </c>
      <c r="AD1961" s="115" t="s">
        <v>49</v>
      </c>
    </row>
    <row r="1962" spans="1:30" x14ac:dyDescent="0.2">
      <c r="A1962" s="104" t="s">
        <v>4439</v>
      </c>
      <c r="B1962" s="105" t="s">
        <v>371</v>
      </c>
      <c r="C1962" s="105" t="s">
        <v>98</v>
      </c>
      <c r="D1962" s="106" t="s">
        <v>94</v>
      </c>
      <c r="E1962" s="107"/>
      <c r="F1962" s="108" t="s">
        <v>16795</v>
      </c>
      <c r="G1962" s="118">
        <v>3</v>
      </c>
      <c r="H1962" s="108" t="s">
        <v>16796</v>
      </c>
      <c r="I1962" s="110">
        <v>3</v>
      </c>
      <c r="J1962" s="113"/>
      <c r="K1962" s="108" t="s">
        <v>16797</v>
      </c>
      <c r="L1962" s="112">
        <v>4</v>
      </c>
      <c r="M1962" s="113"/>
      <c r="N1962" s="108" t="s">
        <v>16795</v>
      </c>
      <c r="O1962" s="110">
        <v>3</v>
      </c>
      <c r="P1962" s="113"/>
      <c r="Q1962" s="108" t="s">
        <v>16798</v>
      </c>
      <c r="R1962" s="110">
        <v>3</v>
      </c>
      <c r="S1962" s="111" t="s">
        <v>46</v>
      </c>
      <c r="T1962" s="108" t="s">
        <v>16799</v>
      </c>
      <c r="U1962" s="116">
        <v>1</v>
      </c>
      <c r="V1962" s="113"/>
      <c r="W1962" s="108" t="s">
        <v>47</v>
      </c>
      <c r="X1962" s="114"/>
      <c r="Y1962" s="113"/>
      <c r="Z1962" s="108" t="s">
        <v>47</v>
      </c>
      <c r="AA1962" s="114"/>
      <c r="AB1962" s="113"/>
      <c r="AC1962" s="105" t="s">
        <v>4440</v>
      </c>
      <c r="AD1962" s="115" t="s">
        <v>49</v>
      </c>
    </row>
    <row r="1963" spans="1:30" x14ac:dyDescent="0.2">
      <c r="A1963" s="104" t="s">
        <v>4441</v>
      </c>
      <c r="B1963" s="105" t="s">
        <v>371</v>
      </c>
      <c r="C1963" s="105" t="s">
        <v>98</v>
      </c>
      <c r="D1963" s="106" t="s">
        <v>514</v>
      </c>
      <c r="E1963" s="107"/>
      <c r="F1963" s="108" t="s">
        <v>16800</v>
      </c>
      <c r="G1963" s="109">
        <v>4</v>
      </c>
      <c r="H1963" s="108" t="s">
        <v>16801</v>
      </c>
      <c r="I1963" s="110">
        <v>3</v>
      </c>
      <c r="J1963" s="111" t="s">
        <v>40</v>
      </c>
      <c r="K1963" s="108" t="s">
        <v>16802</v>
      </c>
      <c r="L1963" s="112">
        <v>4</v>
      </c>
      <c r="M1963" s="113"/>
      <c r="N1963" s="108" t="s">
        <v>16800</v>
      </c>
      <c r="O1963" s="112">
        <v>4</v>
      </c>
      <c r="P1963" s="111" t="s">
        <v>46</v>
      </c>
      <c r="Q1963" s="108" t="s">
        <v>16803</v>
      </c>
      <c r="R1963" s="110">
        <v>3</v>
      </c>
      <c r="S1963" s="113"/>
      <c r="T1963" s="108" t="s">
        <v>16804</v>
      </c>
      <c r="U1963" s="116">
        <v>1</v>
      </c>
      <c r="V1963" s="113"/>
      <c r="W1963" s="108" t="s">
        <v>16805</v>
      </c>
      <c r="X1963" s="116">
        <v>1</v>
      </c>
      <c r="Y1963" s="113"/>
      <c r="Z1963" s="108" t="s">
        <v>16806</v>
      </c>
      <c r="AA1963" s="116">
        <v>1</v>
      </c>
      <c r="AB1963" s="113"/>
      <c r="AC1963" s="105" t="s">
        <v>4442</v>
      </c>
      <c r="AD1963" s="115" t="s">
        <v>49</v>
      </c>
    </row>
    <row r="1964" spans="1:30" x14ac:dyDescent="0.2">
      <c r="A1964" s="104" t="s">
        <v>4443</v>
      </c>
      <c r="B1964" s="105" t="s">
        <v>371</v>
      </c>
      <c r="C1964" s="105" t="s">
        <v>439</v>
      </c>
      <c r="D1964" s="106" t="s">
        <v>94</v>
      </c>
      <c r="E1964" s="107"/>
      <c r="F1964" s="108" t="s">
        <v>16807</v>
      </c>
      <c r="G1964" s="109">
        <v>4</v>
      </c>
      <c r="H1964" s="108" t="s">
        <v>16808</v>
      </c>
      <c r="I1964" s="112">
        <v>4</v>
      </c>
      <c r="J1964" s="111" t="s">
        <v>46</v>
      </c>
      <c r="K1964" s="108" t="s">
        <v>16809</v>
      </c>
      <c r="L1964" s="112">
        <v>4</v>
      </c>
      <c r="M1964" s="111" t="s">
        <v>46</v>
      </c>
      <c r="N1964" s="108" t="s">
        <v>16807</v>
      </c>
      <c r="O1964" s="112">
        <v>4</v>
      </c>
      <c r="P1964" s="111" t="s">
        <v>46</v>
      </c>
      <c r="Q1964" s="108" t="s">
        <v>16810</v>
      </c>
      <c r="R1964" s="110">
        <v>3</v>
      </c>
      <c r="S1964" s="111" t="s">
        <v>46</v>
      </c>
      <c r="T1964" s="108" t="s">
        <v>16811</v>
      </c>
      <c r="U1964" s="116">
        <v>1</v>
      </c>
      <c r="V1964" s="113"/>
      <c r="W1964" s="108" t="s">
        <v>16812</v>
      </c>
      <c r="X1964" s="116">
        <v>1</v>
      </c>
      <c r="Y1964" s="113"/>
      <c r="Z1964" s="108" t="s">
        <v>47</v>
      </c>
      <c r="AA1964" s="114"/>
      <c r="AB1964" s="113"/>
      <c r="AC1964" s="105" t="s">
        <v>4444</v>
      </c>
      <c r="AD1964" s="115" t="s">
        <v>49</v>
      </c>
    </row>
    <row r="1965" spans="1:30" x14ac:dyDescent="0.2">
      <c r="A1965" s="104" t="s">
        <v>4445</v>
      </c>
      <c r="B1965" s="105" t="s">
        <v>371</v>
      </c>
      <c r="C1965" s="105" t="s">
        <v>439</v>
      </c>
      <c r="D1965" s="106" t="s">
        <v>514</v>
      </c>
      <c r="E1965" s="107"/>
      <c r="F1965" s="108" t="s">
        <v>16813</v>
      </c>
      <c r="G1965" s="109">
        <v>4</v>
      </c>
      <c r="H1965" s="108" t="s">
        <v>16814</v>
      </c>
      <c r="I1965" s="112">
        <v>4</v>
      </c>
      <c r="J1965" s="111" t="s">
        <v>46</v>
      </c>
      <c r="K1965" s="108" t="s">
        <v>16815</v>
      </c>
      <c r="L1965" s="112">
        <v>4</v>
      </c>
      <c r="M1965" s="111" t="s">
        <v>46</v>
      </c>
      <c r="N1965" s="108" t="s">
        <v>16813</v>
      </c>
      <c r="O1965" s="112">
        <v>4</v>
      </c>
      <c r="P1965" s="111" t="s">
        <v>46</v>
      </c>
      <c r="Q1965" s="108" t="s">
        <v>16816</v>
      </c>
      <c r="R1965" s="110">
        <v>3</v>
      </c>
      <c r="S1965" s="111" t="s">
        <v>46</v>
      </c>
      <c r="T1965" s="108" t="s">
        <v>16817</v>
      </c>
      <c r="U1965" s="117">
        <v>2</v>
      </c>
      <c r="V1965" s="111" t="s">
        <v>46</v>
      </c>
      <c r="W1965" s="108" t="s">
        <v>16818</v>
      </c>
      <c r="X1965" s="117">
        <v>2</v>
      </c>
      <c r="Y1965" s="113"/>
      <c r="Z1965" s="108" t="s">
        <v>16819</v>
      </c>
      <c r="AA1965" s="116">
        <v>1</v>
      </c>
      <c r="AB1965" s="113"/>
      <c r="AC1965" s="105" t="s">
        <v>4446</v>
      </c>
      <c r="AD1965" s="115" t="s">
        <v>49</v>
      </c>
    </row>
    <row r="1966" spans="1:30" x14ac:dyDescent="0.2">
      <c r="A1966" s="104" t="s">
        <v>4447</v>
      </c>
      <c r="B1966" s="105" t="s">
        <v>371</v>
      </c>
      <c r="C1966" s="105" t="s">
        <v>98</v>
      </c>
      <c r="D1966" s="106"/>
      <c r="E1966" s="107"/>
      <c r="F1966" s="108" t="s">
        <v>16820</v>
      </c>
      <c r="G1966" s="118">
        <v>3</v>
      </c>
      <c r="H1966" s="108" t="s">
        <v>16821</v>
      </c>
      <c r="I1966" s="110">
        <v>3</v>
      </c>
      <c r="J1966" s="113"/>
      <c r="K1966" s="108" t="s">
        <v>16822</v>
      </c>
      <c r="L1966" s="112">
        <v>4</v>
      </c>
      <c r="M1966" s="113"/>
      <c r="N1966" s="108" t="s">
        <v>16820</v>
      </c>
      <c r="O1966" s="110">
        <v>3</v>
      </c>
      <c r="P1966" s="113"/>
      <c r="Q1966" s="108" t="s">
        <v>16823</v>
      </c>
      <c r="R1966" s="110">
        <v>3</v>
      </c>
      <c r="S1966" s="111" t="s">
        <v>46</v>
      </c>
      <c r="T1966" s="108" t="s">
        <v>16824</v>
      </c>
      <c r="U1966" s="116">
        <v>1</v>
      </c>
      <c r="V1966" s="113"/>
      <c r="W1966" s="108" t="s">
        <v>16825</v>
      </c>
      <c r="X1966" s="116">
        <v>1</v>
      </c>
      <c r="Y1966" s="113"/>
      <c r="Z1966" s="108" t="s">
        <v>16826</v>
      </c>
      <c r="AA1966" s="116">
        <v>1</v>
      </c>
      <c r="AB1966" s="113"/>
      <c r="AC1966" s="105" t="s">
        <v>4448</v>
      </c>
      <c r="AD1966" s="115" t="s">
        <v>180</v>
      </c>
    </row>
    <row r="1967" spans="1:30" x14ac:dyDescent="0.2">
      <c r="A1967" s="104" t="s">
        <v>4449</v>
      </c>
      <c r="B1967" s="105" t="s">
        <v>371</v>
      </c>
      <c r="C1967" s="105" t="s">
        <v>439</v>
      </c>
      <c r="D1967" s="106"/>
      <c r="E1967" s="107"/>
      <c r="F1967" s="108" t="s">
        <v>16827</v>
      </c>
      <c r="G1967" s="118">
        <v>3</v>
      </c>
      <c r="H1967" s="108" t="s">
        <v>16828</v>
      </c>
      <c r="I1967" s="110">
        <v>3</v>
      </c>
      <c r="J1967" s="113"/>
      <c r="K1967" s="108" t="s">
        <v>16829</v>
      </c>
      <c r="L1967" s="110">
        <v>3</v>
      </c>
      <c r="M1967" s="113"/>
      <c r="N1967" s="108" t="s">
        <v>16827</v>
      </c>
      <c r="O1967" s="110">
        <v>3</v>
      </c>
      <c r="P1967" s="113"/>
      <c r="Q1967" s="108" t="s">
        <v>16830</v>
      </c>
      <c r="R1967" s="110">
        <v>3</v>
      </c>
      <c r="S1967" s="111" t="s">
        <v>46</v>
      </c>
      <c r="T1967" s="108" t="s">
        <v>16831</v>
      </c>
      <c r="U1967" s="116">
        <v>1</v>
      </c>
      <c r="V1967" s="113"/>
      <c r="W1967" s="108" t="s">
        <v>16832</v>
      </c>
      <c r="X1967" s="116">
        <v>1</v>
      </c>
      <c r="Y1967" s="113"/>
      <c r="Z1967" s="108" t="s">
        <v>16833</v>
      </c>
      <c r="AA1967" s="116">
        <v>1</v>
      </c>
      <c r="AB1967" s="113"/>
      <c r="AC1967" s="105" t="s">
        <v>4450</v>
      </c>
      <c r="AD1967" s="115" t="s">
        <v>180</v>
      </c>
    </row>
    <row r="1968" spans="1:30" x14ac:dyDescent="0.2">
      <c r="A1968" s="104" t="s">
        <v>4451</v>
      </c>
      <c r="B1968" s="105" t="s">
        <v>371</v>
      </c>
      <c r="C1968" s="105" t="s">
        <v>3921</v>
      </c>
      <c r="D1968" s="106" t="s">
        <v>125</v>
      </c>
      <c r="E1968" s="107" t="s">
        <v>99</v>
      </c>
      <c r="F1968" s="108" t="s">
        <v>16834</v>
      </c>
      <c r="G1968" s="120">
        <v>2</v>
      </c>
      <c r="H1968" s="108" t="s">
        <v>16835</v>
      </c>
      <c r="I1968" s="117">
        <v>2</v>
      </c>
      <c r="J1968" s="111" t="s">
        <v>46</v>
      </c>
      <c r="K1968" s="108" t="s">
        <v>4452</v>
      </c>
      <c r="L1968" s="117">
        <v>2</v>
      </c>
      <c r="M1968" s="111" t="s">
        <v>46</v>
      </c>
      <c r="N1968" s="108" t="s">
        <v>16834</v>
      </c>
      <c r="O1968" s="117">
        <v>2</v>
      </c>
      <c r="P1968" s="113"/>
      <c r="Q1968" s="108" t="s">
        <v>16836</v>
      </c>
      <c r="R1968" s="117">
        <v>2</v>
      </c>
      <c r="S1968" s="113"/>
      <c r="T1968" s="108" t="s">
        <v>1957</v>
      </c>
      <c r="U1968" s="110">
        <v>3</v>
      </c>
      <c r="V1968" s="113"/>
      <c r="W1968" s="108" t="s">
        <v>47</v>
      </c>
      <c r="X1968" s="114"/>
      <c r="Y1968" s="113"/>
      <c r="Z1968" s="108" t="s">
        <v>47</v>
      </c>
      <c r="AA1968" s="114"/>
      <c r="AB1968" s="113"/>
      <c r="AC1968" s="105" t="s">
        <v>4453</v>
      </c>
      <c r="AD1968" s="115" t="s">
        <v>49</v>
      </c>
    </row>
    <row r="1969" spans="1:30" x14ac:dyDescent="0.2">
      <c r="A1969" s="104" t="s">
        <v>4454</v>
      </c>
      <c r="B1969" s="105" t="s">
        <v>371</v>
      </c>
      <c r="C1969" s="105" t="s">
        <v>3921</v>
      </c>
      <c r="D1969" s="106"/>
      <c r="E1969" s="107" t="s">
        <v>99</v>
      </c>
      <c r="F1969" s="108" t="s">
        <v>16837</v>
      </c>
      <c r="G1969" s="120">
        <v>2</v>
      </c>
      <c r="H1969" s="108" t="s">
        <v>16838</v>
      </c>
      <c r="I1969" s="116">
        <v>1</v>
      </c>
      <c r="J1969" s="113"/>
      <c r="K1969" s="108" t="s">
        <v>16839</v>
      </c>
      <c r="L1969" s="117">
        <v>2</v>
      </c>
      <c r="M1969" s="111" t="s">
        <v>46</v>
      </c>
      <c r="N1969" s="108" t="s">
        <v>16837</v>
      </c>
      <c r="O1969" s="117">
        <v>2</v>
      </c>
      <c r="P1969" s="111" t="s">
        <v>46</v>
      </c>
      <c r="Q1969" s="108" t="s">
        <v>16840</v>
      </c>
      <c r="R1969" s="116">
        <v>1</v>
      </c>
      <c r="S1969" s="111" t="s">
        <v>40</v>
      </c>
      <c r="T1969" s="108" t="s">
        <v>47</v>
      </c>
      <c r="U1969" s="114"/>
      <c r="V1969" s="113"/>
      <c r="W1969" s="108" t="s">
        <v>47</v>
      </c>
      <c r="X1969" s="114"/>
      <c r="Y1969" s="113"/>
      <c r="Z1969" s="108" t="s">
        <v>47</v>
      </c>
      <c r="AA1969" s="114"/>
      <c r="AB1969" s="113"/>
      <c r="AC1969" s="105" t="s">
        <v>4455</v>
      </c>
      <c r="AD1969" s="115" t="s">
        <v>49</v>
      </c>
    </row>
    <row r="1970" spans="1:30" x14ac:dyDescent="0.2">
      <c r="A1970" s="104" t="s">
        <v>4456</v>
      </c>
      <c r="B1970" s="105" t="s">
        <v>371</v>
      </c>
      <c r="C1970" s="105" t="s">
        <v>3921</v>
      </c>
      <c r="D1970" s="106" t="s">
        <v>125</v>
      </c>
      <c r="E1970" s="107" t="s">
        <v>99</v>
      </c>
      <c r="F1970" s="108" t="s">
        <v>16841</v>
      </c>
      <c r="G1970" s="118">
        <v>3</v>
      </c>
      <c r="H1970" s="108" t="s">
        <v>16842</v>
      </c>
      <c r="I1970" s="117">
        <v>2</v>
      </c>
      <c r="J1970" s="111" t="s">
        <v>46</v>
      </c>
      <c r="K1970" s="108" t="s">
        <v>16843</v>
      </c>
      <c r="L1970" s="117">
        <v>2</v>
      </c>
      <c r="M1970" s="111" t="s">
        <v>46</v>
      </c>
      <c r="N1970" s="108" t="s">
        <v>16841</v>
      </c>
      <c r="O1970" s="110">
        <v>3</v>
      </c>
      <c r="P1970" s="111" t="s">
        <v>46</v>
      </c>
      <c r="Q1970" s="108" t="s">
        <v>9115</v>
      </c>
      <c r="R1970" s="117">
        <v>2</v>
      </c>
      <c r="S1970" s="111" t="s">
        <v>40</v>
      </c>
      <c r="T1970" s="108" t="s">
        <v>15433</v>
      </c>
      <c r="U1970" s="112">
        <v>4</v>
      </c>
      <c r="V1970" s="113"/>
      <c r="W1970" s="108" t="s">
        <v>4457</v>
      </c>
      <c r="X1970" s="110">
        <v>3</v>
      </c>
      <c r="Y1970" s="113"/>
      <c r="Z1970" s="108" t="s">
        <v>4458</v>
      </c>
      <c r="AA1970" s="110">
        <v>3</v>
      </c>
      <c r="AB1970" s="113"/>
      <c r="AC1970" s="105" t="s">
        <v>4459</v>
      </c>
      <c r="AD1970" s="115" t="s">
        <v>49</v>
      </c>
    </row>
    <row r="1971" spans="1:30" x14ac:dyDescent="0.2">
      <c r="A1971" s="104" t="s">
        <v>16844</v>
      </c>
      <c r="B1971" s="105" t="s">
        <v>371</v>
      </c>
      <c r="C1971" s="105" t="s">
        <v>3921</v>
      </c>
      <c r="D1971" s="106"/>
      <c r="E1971" s="107"/>
      <c r="F1971" s="108" t="s">
        <v>47</v>
      </c>
      <c r="G1971" s="113"/>
      <c r="H1971" s="108" t="s">
        <v>47</v>
      </c>
      <c r="I1971" s="114"/>
      <c r="J1971" s="113"/>
      <c r="K1971" s="108" t="s">
        <v>47</v>
      </c>
      <c r="L1971" s="114"/>
      <c r="M1971" s="113"/>
      <c r="N1971" s="108" t="s">
        <v>47</v>
      </c>
      <c r="O1971" s="114"/>
      <c r="P1971" s="113"/>
      <c r="Q1971" s="108" t="s">
        <v>47</v>
      </c>
      <c r="R1971" s="114"/>
      <c r="S1971" s="113"/>
      <c r="T1971" s="108" t="s">
        <v>47</v>
      </c>
      <c r="U1971" s="114"/>
      <c r="V1971" s="113"/>
      <c r="W1971" s="108" t="s">
        <v>47</v>
      </c>
      <c r="X1971" s="114"/>
      <c r="Y1971" s="113"/>
      <c r="Z1971" s="108" t="s">
        <v>47</v>
      </c>
      <c r="AA1971" s="114"/>
      <c r="AB1971" s="113"/>
      <c r="AC1971" s="105" t="s">
        <v>16845</v>
      </c>
      <c r="AD1971" s="115" t="s">
        <v>49</v>
      </c>
    </row>
    <row r="1972" spans="1:30" x14ac:dyDescent="0.2">
      <c r="A1972" s="104" t="s">
        <v>16846</v>
      </c>
      <c r="B1972" s="105" t="s">
        <v>371</v>
      </c>
      <c r="C1972" s="105" t="s">
        <v>3921</v>
      </c>
      <c r="D1972" s="106"/>
      <c r="E1972" s="107"/>
      <c r="F1972" s="108" t="s">
        <v>47</v>
      </c>
      <c r="G1972" s="113"/>
      <c r="H1972" s="108" t="s">
        <v>47</v>
      </c>
      <c r="I1972" s="114"/>
      <c r="J1972" s="113"/>
      <c r="K1972" s="108" t="s">
        <v>47</v>
      </c>
      <c r="L1972" s="114"/>
      <c r="M1972" s="113"/>
      <c r="N1972" s="108" t="s">
        <v>47</v>
      </c>
      <c r="O1972" s="114"/>
      <c r="P1972" s="113"/>
      <c r="Q1972" s="108" t="s">
        <v>47</v>
      </c>
      <c r="R1972" s="114"/>
      <c r="S1972" s="113"/>
      <c r="T1972" s="108" t="s">
        <v>47</v>
      </c>
      <c r="U1972" s="114"/>
      <c r="V1972" s="113"/>
      <c r="W1972" s="108" t="s">
        <v>47</v>
      </c>
      <c r="X1972" s="114"/>
      <c r="Y1972" s="113"/>
      <c r="Z1972" s="108" t="s">
        <v>47</v>
      </c>
      <c r="AA1972" s="114"/>
      <c r="AB1972" s="113"/>
      <c r="AC1972" s="105" t="s">
        <v>16847</v>
      </c>
      <c r="AD1972" s="115" t="s">
        <v>49</v>
      </c>
    </row>
    <row r="1973" spans="1:30" x14ac:dyDescent="0.2">
      <c r="A1973" s="104" t="s">
        <v>4460</v>
      </c>
      <c r="B1973" s="105" t="s">
        <v>371</v>
      </c>
      <c r="C1973" s="105" t="s">
        <v>638</v>
      </c>
      <c r="D1973" s="106" t="s">
        <v>298</v>
      </c>
      <c r="E1973" s="107"/>
      <c r="F1973" s="108" t="s">
        <v>16848</v>
      </c>
      <c r="G1973" s="119">
        <v>1</v>
      </c>
      <c r="H1973" s="108" t="s">
        <v>16849</v>
      </c>
      <c r="I1973" s="116">
        <v>1</v>
      </c>
      <c r="J1973" s="111" t="s">
        <v>157</v>
      </c>
      <c r="K1973" s="108" t="s">
        <v>16850</v>
      </c>
      <c r="L1973" s="110">
        <v>3</v>
      </c>
      <c r="M1973" s="113"/>
      <c r="N1973" s="108" t="s">
        <v>16848</v>
      </c>
      <c r="O1973" s="116">
        <v>1</v>
      </c>
      <c r="P1973" s="111" t="s">
        <v>53</v>
      </c>
      <c r="Q1973" s="108" t="s">
        <v>16851</v>
      </c>
      <c r="R1973" s="116">
        <v>1</v>
      </c>
      <c r="S1973" s="113"/>
      <c r="T1973" s="108" t="s">
        <v>16852</v>
      </c>
      <c r="U1973" s="112">
        <v>4</v>
      </c>
      <c r="V1973" s="113"/>
      <c r="W1973" s="108" t="s">
        <v>47</v>
      </c>
      <c r="X1973" s="114"/>
      <c r="Y1973" s="113"/>
      <c r="Z1973" s="108" t="s">
        <v>47</v>
      </c>
      <c r="AA1973" s="114"/>
      <c r="AB1973" s="113"/>
      <c r="AC1973" s="105" t="s">
        <v>4461</v>
      </c>
      <c r="AD1973" s="115" t="s">
        <v>49</v>
      </c>
    </row>
    <row r="1974" spans="1:30" x14ac:dyDescent="0.2">
      <c r="A1974" s="104" t="s">
        <v>4462</v>
      </c>
      <c r="B1974" s="105" t="s">
        <v>371</v>
      </c>
      <c r="C1974" s="105" t="s">
        <v>638</v>
      </c>
      <c r="D1974" s="106" t="s">
        <v>105</v>
      </c>
      <c r="E1974" s="107"/>
      <c r="F1974" s="108" t="s">
        <v>16853</v>
      </c>
      <c r="G1974" s="119">
        <v>1</v>
      </c>
      <c r="H1974" s="108" t="s">
        <v>16854</v>
      </c>
      <c r="I1974" s="116">
        <v>1</v>
      </c>
      <c r="J1974" s="111" t="s">
        <v>53</v>
      </c>
      <c r="K1974" s="108" t="s">
        <v>16855</v>
      </c>
      <c r="L1974" s="110">
        <v>3</v>
      </c>
      <c r="M1974" s="113"/>
      <c r="N1974" s="108" t="s">
        <v>16853</v>
      </c>
      <c r="O1974" s="116">
        <v>1</v>
      </c>
      <c r="P1974" s="111" t="s">
        <v>40</v>
      </c>
      <c r="Q1974" s="108" t="s">
        <v>16856</v>
      </c>
      <c r="R1974" s="116">
        <v>1</v>
      </c>
      <c r="S1974" s="113"/>
      <c r="T1974" s="108" t="s">
        <v>16857</v>
      </c>
      <c r="U1974" s="112">
        <v>4</v>
      </c>
      <c r="V1974" s="113"/>
      <c r="W1974" s="108" t="s">
        <v>47</v>
      </c>
      <c r="X1974" s="114"/>
      <c r="Y1974" s="113"/>
      <c r="Z1974" s="108" t="s">
        <v>47</v>
      </c>
      <c r="AA1974" s="114"/>
      <c r="AB1974" s="113"/>
      <c r="AC1974" s="105" t="s">
        <v>4463</v>
      </c>
      <c r="AD1974" s="115" t="s">
        <v>49</v>
      </c>
    </row>
    <row r="1975" spans="1:30" x14ac:dyDescent="0.2">
      <c r="A1975" s="104" t="s">
        <v>4464</v>
      </c>
      <c r="B1975" s="105" t="s">
        <v>371</v>
      </c>
      <c r="C1975" s="105" t="s">
        <v>638</v>
      </c>
      <c r="D1975" s="106" t="s">
        <v>105</v>
      </c>
      <c r="E1975" s="107"/>
      <c r="F1975" s="108" t="s">
        <v>16858</v>
      </c>
      <c r="G1975" s="119">
        <v>1</v>
      </c>
      <c r="H1975" s="108" t="s">
        <v>16859</v>
      </c>
      <c r="I1975" s="117">
        <v>2</v>
      </c>
      <c r="J1975" s="111" t="s">
        <v>40</v>
      </c>
      <c r="K1975" s="108" t="s">
        <v>16860</v>
      </c>
      <c r="L1975" s="110">
        <v>3</v>
      </c>
      <c r="M1975" s="113"/>
      <c r="N1975" s="108" t="s">
        <v>16858</v>
      </c>
      <c r="O1975" s="116">
        <v>1</v>
      </c>
      <c r="P1975" s="111" t="s">
        <v>40</v>
      </c>
      <c r="Q1975" s="108" t="s">
        <v>16861</v>
      </c>
      <c r="R1975" s="116">
        <v>1</v>
      </c>
      <c r="S1975" s="113"/>
      <c r="T1975" s="108" t="s">
        <v>16862</v>
      </c>
      <c r="U1975" s="112">
        <v>4</v>
      </c>
      <c r="V1975" s="113"/>
      <c r="W1975" s="108" t="s">
        <v>16863</v>
      </c>
      <c r="X1975" s="110">
        <v>3</v>
      </c>
      <c r="Y1975" s="113"/>
      <c r="Z1975" s="108" t="s">
        <v>16864</v>
      </c>
      <c r="AA1975" s="112">
        <v>4</v>
      </c>
      <c r="AB1975" s="113"/>
      <c r="AC1975" s="105" t="s">
        <v>4465</v>
      </c>
      <c r="AD1975" s="115" t="s">
        <v>49</v>
      </c>
    </row>
    <row r="1976" spans="1:30" x14ac:dyDescent="0.2">
      <c r="A1976" s="104" t="s">
        <v>4466</v>
      </c>
      <c r="B1976" s="105" t="s">
        <v>371</v>
      </c>
      <c r="C1976" s="105" t="s">
        <v>244</v>
      </c>
      <c r="D1976" s="106" t="s">
        <v>125</v>
      </c>
      <c r="E1976" s="107" t="s">
        <v>182</v>
      </c>
      <c r="F1976" s="108" t="s">
        <v>16865</v>
      </c>
      <c r="G1976" s="118">
        <v>3</v>
      </c>
      <c r="H1976" s="108" t="s">
        <v>16866</v>
      </c>
      <c r="I1976" s="110">
        <v>3</v>
      </c>
      <c r="J1976" s="113"/>
      <c r="K1976" s="108" t="s">
        <v>16867</v>
      </c>
      <c r="L1976" s="110">
        <v>3</v>
      </c>
      <c r="M1976" s="113"/>
      <c r="N1976" s="108" t="s">
        <v>16865</v>
      </c>
      <c r="O1976" s="110">
        <v>3</v>
      </c>
      <c r="P1976" s="113"/>
      <c r="Q1976" s="108" t="s">
        <v>16868</v>
      </c>
      <c r="R1976" s="110">
        <v>3</v>
      </c>
      <c r="S1976" s="113"/>
      <c r="T1976" s="108" t="s">
        <v>16869</v>
      </c>
      <c r="U1976" s="110">
        <v>3</v>
      </c>
      <c r="V1976" s="113"/>
      <c r="W1976" s="108" t="s">
        <v>16870</v>
      </c>
      <c r="X1976" s="117">
        <v>2</v>
      </c>
      <c r="Y1976" s="113"/>
      <c r="Z1976" s="108" t="s">
        <v>16871</v>
      </c>
      <c r="AA1976" s="117">
        <v>2</v>
      </c>
      <c r="AB1976" s="111" t="s">
        <v>40</v>
      </c>
      <c r="AC1976" s="105" t="s">
        <v>4467</v>
      </c>
      <c r="AD1976" s="115" t="s">
        <v>49</v>
      </c>
    </row>
    <row r="1977" spans="1:30" x14ac:dyDescent="0.2">
      <c r="A1977" s="104" t="s">
        <v>4468</v>
      </c>
      <c r="B1977" s="105" t="s">
        <v>371</v>
      </c>
      <c r="C1977" s="105" t="s">
        <v>244</v>
      </c>
      <c r="D1977" s="106" t="s">
        <v>125</v>
      </c>
      <c r="E1977" s="107" t="s">
        <v>182</v>
      </c>
      <c r="F1977" s="108" t="s">
        <v>16865</v>
      </c>
      <c r="G1977" s="118">
        <v>3</v>
      </c>
      <c r="H1977" s="108" t="s">
        <v>16866</v>
      </c>
      <c r="I1977" s="110">
        <v>3</v>
      </c>
      <c r="J1977" s="113"/>
      <c r="K1977" s="108" t="s">
        <v>16867</v>
      </c>
      <c r="L1977" s="110">
        <v>3</v>
      </c>
      <c r="M1977" s="113"/>
      <c r="N1977" s="108" t="s">
        <v>16865</v>
      </c>
      <c r="O1977" s="110">
        <v>3</v>
      </c>
      <c r="P1977" s="113"/>
      <c r="Q1977" s="108" t="s">
        <v>16872</v>
      </c>
      <c r="R1977" s="110">
        <v>3</v>
      </c>
      <c r="S1977" s="113"/>
      <c r="T1977" s="108" t="s">
        <v>16873</v>
      </c>
      <c r="U1977" s="110">
        <v>3</v>
      </c>
      <c r="V1977" s="113"/>
      <c r="W1977" s="108" t="s">
        <v>47</v>
      </c>
      <c r="X1977" s="114"/>
      <c r="Y1977" s="113"/>
      <c r="Z1977" s="108" t="s">
        <v>47</v>
      </c>
      <c r="AA1977" s="114"/>
      <c r="AB1977" s="113"/>
      <c r="AC1977" s="105" t="s">
        <v>4469</v>
      </c>
      <c r="AD1977" s="115" t="s">
        <v>49</v>
      </c>
    </row>
    <row r="1978" spans="1:30" x14ac:dyDescent="0.2">
      <c r="A1978" s="104" t="s">
        <v>4470</v>
      </c>
      <c r="B1978" s="105" t="s">
        <v>371</v>
      </c>
      <c r="C1978" s="105" t="s">
        <v>244</v>
      </c>
      <c r="D1978" s="106" t="s">
        <v>125</v>
      </c>
      <c r="E1978" s="107" t="s">
        <v>182</v>
      </c>
      <c r="F1978" s="108" t="s">
        <v>16874</v>
      </c>
      <c r="G1978" s="118">
        <v>3</v>
      </c>
      <c r="H1978" s="108" t="s">
        <v>16875</v>
      </c>
      <c r="I1978" s="117">
        <v>2</v>
      </c>
      <c r="J1978" s="111" t="s">
        <v>40</v>
      </c>
      <c r="K1978" s="108" t="s">
        <v>16876</v>
      </c>
      <c r="L1978" s="110">
        <v>3</v>
      </c>
      <c r="M1978" s="113"/>
      <c r="N1978" s="108" t="s">
        <v>16874</v>
      </c>
      <c r="O1978" s="110">
        <v>3</v>
      </c>
      <c r="P1978" s="113"/>
      <c r="Q1978" s="108" t="s">
        <v>16877</v>
      </c>
      <c r="R1978" s="110">
        <v>3</v>
      </c>
      <c r="S1978" s="113"/>
      <c r="T1978" s="108" t="s">
        <v>16878</v>
      </c>
      <c r="U1978" s="110">
        <v>3</v>
      </c>
      <c r="V1978" s="113"/>
      <c r="W1978" s="108" t="s">
        <v>47</v>
      </c>
      <c r="X1978" s="114"/>
      <c r="Y1978" s="113"/>
      <c r="Z1978" s="108" t="s">
        <v>47</v>
      </c>
      <c r="AA1978" s="114"/>
      <c r="AB1978" s="113"/>
      <c r="AC1978" s="105" t="s">
        <v>4471</v>
      </c>
      <c r="AD1978" s="115" t="s">
        <v>49</v>
      </c>
    </row>
    <row r="1979" spans="1:30" x14ac:dyDescent="0.2">
      <c r="A1979" s="104" t="s">
        <v>4472</v>
      </c>
      <c r="B1979" s="105" t="s">
        <v>371</v>
      </c>
      <c r="C1979" s="105" t="s">
        <v>244</v>
      </c>
      <c r="D1979" s="106" t="s">
        <v>125</v>
      </c>
      <c r="E1979" s="107" t="s">
        <v>182</v>
      </c>
      <c r="F1979" s="108" t="s">
        <v>16879</v>
      </c>
      <c r="G1979" s="118">
        <v>3</v>
      </c>
      <c r="H1979" s="108" t="s">
        <v>16880</v>
      </c>
      <c r="I1979" s="110">
        <v>3</v>
      </c>
      <c r="J1979" s="113"/>
      <c r="K1979" s="108" t="s">
        <v>16881</v>
      </c>
      <c r="L1979" s="110">
        <v>3</v>
      </c>
      <c r="M1979" s="113"/>
      <c r="N1979" s="108" t="s">
        <v>16879</v>
      </c>
      <c r="O1979" s="110">
        <v>3</v>
      </c>
      <c r="P1979" s="113"/>
      <c r="Q1979" s="108" t="s">
        <v>16882</v>
      </c>
      <c r="R1979" s="110">
        <v>3</v>
      </c>
      <c r="S1979" s="113"/>
      <c r="T1979" s="108" t="s">
        <v>16883</v>
      </c>
      <c r="U1979" s="112">
        <v>4</v>
      </c>
      <c r="V1979" s="113"/>
      <c r="W1979" s="108" t="s">
        <v>16884</v>
      </c>
      <c r="X1979" s="110">
        <v>3</v>
      </c>
      <c r="Y1979" s="113"/>
      <c r="Z1979" s="108" t="s">
        <v>16885</v>
      </c>
      <c r="AA1979" s="110">
        <v>3</v>
      </c>
      <c r="AB1979" s="113"/>
      <c r="AC1979" s="105" t="s">
        <v>4473</v>
      </c>
      <c r="AD1979" s="115" t="s">
        <v>49</v>
      </c>
    </row>
    <row r="1980" spans="1:30" x14ac:dyDescent="0.2">
      <c r="A1980" s="104" t="s">
        <v>4474</v>
      </c>
      <c r="B1980" s="105" t="s">
        <v>371</v>
      </c>
      <c r="C1980" s="105" t="s">
        <v>3692</v>
      </c>
      <c r="D1980" s="106" t="s">
        <v>94</v>
      </c>
      <c r="E1980" s="107" t="s">
        <v>99</v>
      </c>
      <c r="F1980" s="108" t="s">
        <v>16886</v>
      </c>
      <c r="G1980" s="119">
        <v>1</v>
      </c>
      <c r="H1980" s="108" t="s">
        <v>16887</v>
      </c>
      <c r="I1980" s="112">
        <v>4</v>
      </c>
      <c r="J1980" s="111" t="s">
        <v>55</v>
      </c>
      <c r="K1980" s="108" t="s">
        <v>16888</v>
      </c>
      <c r="L1980" s="117">
        <v>2</v>
      </c>
      <c r="M1980" s="111" t="s">
        <v>46</v>
      </c>
      <c r="N1980" s="108" t="s">
        <v>16886</v>
      </c>
      <c r="O1980" s="116">
        <v>1</v>
      </c>
      <c r="P1980" s="113"/>
      <c r="Q1980" s="108" t="s">
        <v>16889</v>
      </c>
      <c r="R1980" s="116">
        <v>1</v>
      </c>
      <c r="S1980" s="113"/>
      <c r="T1980" s="108" t="s">
        <v>16890</v>
      </c>
      <c r="U1980" s="117">
        <v>2</v>
      </c>
      <c r="V1980" s="113"/>
      <c r="W1980" s="108" t="s">
        <v>16891</v>
      </c>
      <c r="X1980" s="116">
        <v>1</v>
      </c>
      <c r="Y1980" s="113"/>
      <c r="Z1980" s="108" t="s">
        <v>47</v>
      </c>
      <c r="AA1980" s="114"/>
      <c r="AB1980" s="113"/>
      <c r="AC1980" s="105" t="s">
        <v>4475</v>
      </c>
      <c r="AD1980" s="115" t="s">
        <v>49</v>
      </c>
    </row>
    <row r="1981" spans="1:30" x14ac:dyDescent="0.2">
      <c r="A1981" s="104" t="s">
        <v>4476</v>
      </c>
      <c r="B1981" s="105" t="s">
        <v>371</v>
      </c>
      <c r="C1981" s="105" t="s">
        <v>3692</v>
      </c>
      <c r="D1981" s="106"/>
      <c r="E1981" s="107" t="s">
        <v>99</v>
      </c>
      <c r="F1981" s="108" t="s">
        <v>16892</v>
      </c>
      <c r="G1981" s="119">
        <v>1</v>
      </c>
      <c r="H1981" s="108" t="s">
        <v>16893</v>
      </c>
      <c r="I1981" s="112">
        <v>4</v>
      </c>
      <c r="J1981" s="111" t="s">
        <v>55</v>
      </c>
      <c r="K1981" s="108" t="s">
        <v>16894</v>
      </c>
      <c r="L1981" s="117">
        <v>2</v>
      </c>
      <c r="M1981" s="111" t="s">
        <v>46</v>
      </c>
      <c r="N1981" s="108" t="s">
        <v>16892</v>
      </c>
      <c r="O1981" s="116">
        <v>1</v>
      </c>
      <c r="P1981" s="113"/>
      <c r="Q1981" s="108" t="s">
        <v>16895</v>
      </c>
      <c r="R1981" s="116">
        <v>1</v>
      </c>
      <c r="S1981" s="113"/>
      <c r="T1981" s="108" t="s">
        <v>47</v>
      </c>
      <c r="U1981" s="114"/>
      <c r="V1981" s="113"/>
      <c r="W1981" s="108" t="s">
        <v>47</v>
      </c>
      <c r="X1981" s="114"/>
      <c r="Y1981" s="113"/>
      <c r="Z1981" s="108" t="s">
        <v>47</v>
      </c>
      <c r="AA1981" s="114"/>
      <c r="AB1981" s="113"/>
      <c r="AC1981" s="105" t="s">
        <v>4477</v>
      </c>
      <c r="AD1981" s="115" t="s">
        <v>49</v>
      </c>
    </row>
    <row r="1982" spans="1:30" x14ac:dyDescent="0.2">
      <c r="A1982" s="104" t="s">
        <v>4478</v>
      </c>
      <c r="B1982" s="105" t="s">
        <v>371</v>
      </c>
      <c r="C1982" s="105" t="s">
        <v>3692</v>
      </c>
      <c r="D1982" s="106"/>
      <c r="E1982" s="107" t="s">
        <v>99</v>
      </c>
      <c r="F1982" s="108" t="s">
        <v>16896</v>
      </c>
      <c r="G1982" s="120">
        <v>2</v>
      </c>
      <c r="H1982" s="108" t="s">
        <v>16897</v>
      </c>
      <c r="I1982" s="112">
        <v>4</v>
      </c>
      <c r="J1982" s="111" t="s">
        <v>55</v>
      </c>
      <c r="K1982" s="108" t="s">
        <v>16898</v>
      </c>
      <c r="L1982" s="117">
        <v>2</v>
      </c>
      <c r="M1982" s="111" t="s">
        <v>46</v>
      </c>
      <c r="N1982" s="108" t="s">
        <v>16896</v>
      </c>
      <c r="O1982" s="117">
        <v>2</v>
      </c>
      <c r="P1982" s="111" t="s">
        <v>46</v>
      </c>
      <c r="Q1982" s="108" t="s">
        <v>47</v>
      </c>
      <c r="R1982" s="114"/>
      <c r="S1982" s="113"/>
      <c r="T1982" s="108" t="s">
        <v>47</v>
      </c>
      <c r="U1982" s="114"/>
      <c r="V1982" s="113"/>
      <c r="W1982" s="108" t="s">
        <v>47</v>
      </c>
      <c r="X1982" s="114"/>
      <c r="Y1982" s="113"/>
      <c r="Z1982" s="108" t="s">
        <v>47</v>
      </c>
      <c r="AA1982" s="114"/>
      <c r="AB1982" s="113"/>
      <c r="AC1982" s="105" t="s">
        <v>4479</v>
      </c>
      <c r="AD1982" s="115" t="s">
        <v>49</v>
      </c>
    </row>
    <row r="1983" spans="1:30" x14ac:dyDescent="0.2">
      <c r="A1983" s="104" t="s">
        <v>4480</v>
      </c>
      <c r="B1983" s="105" t="s">
        <v>371</v>
      </c>
      <c r="C1983" s="105" t="s">
        <v>658</v>
      </c>
      <c r="D1983" s="106" t="s">
        <v>125</v>
      </c>
      <c r="E1983" s="107" t="s">
        <v>182</v>
      </c>
      <c r="F1983" s="108" t="s">
        <v>16899</v>
      </c>
      <c r="G1983" s="118">
        <v>3</v>
      </c>
      <c r="H1983" s="108" t="s">
        <v>16900</v>
      </c>
      <c r="I1983" s="110">
        <v>3</v>
      </c>
      <c r="J1983" s="111" t="s">
        <v>46</v>
      </c>
      <c r="K1983" s="108" t="s">
        <v>16901</v>
      </c>
      <c r="L1983" s="110">
        <v>3</v>
      </c>
      <c r="M1983" s="113"/>
      <c r="N1983" s="108" t="s">
        <v>16899</v>
      </c>
      <c r="O1983" s="110">
        <v>3</v>
      </c>
      <c r="P1983" s="113"/>
      <c r="Q1983" s="108" t="s">
        <v>16902</v>
      </c>
      <c r="R1983" s="112">
        <v>4</v>
      </c>
      <c r="S1983" s="111" t="s">
        <v>46</v>
      </c>
      <c r="T1983" s="108" t="s">
        <v>16903</v>
      </c>
      <c r="U1983" s="110">
        <v>3</v>
      </c>
      <c r="V1983" s="113"/>
      <c r="W1983" s="108" t="s">
        <v>47</v>
      </c>
      <c r="X1983" s="114"/>
      <c r="Y1983" s="113"/>
      <c r="Z1983" s="108" t="s">
        <v>47</v>
      </c>
      <c r="AA1983" s="114"/>
      <c r="AB1983" s="113"/>
      <c r="AC1983" s="105" t="s">
        <v>4481</v>
      </c>
      <c r="AD1983" s="115" t="s">
        <v>49</v>
      </c>
    </row>
    <row r="1984" spans="1:30" x14ac:dyDescent="0.2">
      <c r="A1984" s="104" t="s">
        <v>4482</v>
      </c>
      <c r="B1984" s="105" t="s">
        <v>371</v>
      </c>
      <c r="C1984" s="105" t="s">
        <v>658</v>
      </c>
      <c r="D1984" s="106" t="s">
        <v>94</v>
      </c>
      <c r="E1984" s="107" t="s">
        <v>182</v>
      </c>
      <c r="F1984" s="108" t="s">
        <v>16904</v>
      </c>
      <c r="G1984" s="118">
        <v>3</v>
      </c>
      <c r="H1984" s="108" t="s">
        <v>4483</v>
      </c>
      <c r="I1984" s="110">
        <v>3</v>
      </c>
      <c r="J1984" s="111" t="s">
        <v>46</v>
      </c>
      <c r="K1984" s="108" t="s">
        <v>16905</v>
      </c>
      <c r="L1984" s="110">
        <v>3</v>
      </c>
      <c r="M1984" s="113"/>
      <c r="N1984" s="108" t="s">
        <v>16904</v>
      </c>
      <c r="O1984" s="110">
        <v>3</v>
      </c>
      <c r="P1984" s="113"/>
      <c r="Q1984" s="108" t="s">
        <v>16906</v>
      </c>
      <c r="R1984" s="112">
        <v>4</v>
      </c>
      <c r="S1984" s="111" t="s">
        <v>46</v>
      </c>
      <c r="T1984" s="108" t="s">
        <v>16907</v>
      </c>
      <c r="U1984" s="117">
        <v>2</v>
      </c>
      <c r="V1984" s="113"/>
      <c r="W1984" s="108" t="s">
        <v>16908</v>
      </c>
      <c r="X1984" s="110">
        <v>3</v>
      </c>
      <c r="Y1984" s="113"/>
      <c r="Z1984" s="108" t="s">
        <v>4484</v>
      </c>
      <c r="AA1984" s="117">
        <v>2</v>
      </c>
      <c r="AB1984" s="113"/>
      <c r="AC1984" s="105" t="s">
        <v>4485</v>
      </c>
      <c r="AD1984" s="115" t="s">
        <v>49</v>
      </c>
    </row>
    <row r="1985" spans="1:30" x14ac:dyDescent="0.2">
      <c r="A1985" s="104" t="s">
        <v>4486</v>
      </c>
      <c r="B1985" s="105" t="s">
        <v>371</v>
      </c>
      <c r="C1985" s="105" t="s">
        <v>279</v>
      </c>
      <c r="D1985" s="106" t="s">
        <v>105</v>
      </c>
      <c r="E1985" s="107" t="s">
        <v>146</v>
      </c>
      <c r="F1985" s="108" t="s">
        <v>16909</v>
      </c>
      <c r="G1985" s="118">
        <v>3</v>
      </c>
      <c r="H1985" s="108" t="s">
        <v>16910</v>
      </c>
      <c r="I1985" s="117">
        <v>2</v>
      </c>
      <c r="J1985" s="111" t="s">
        <v>40</v>
      </c>
      <c r="K1985" s="108" t="s">
        <v>16911</v>
      </c>
      <c r="L1985" s="110">
        <v>3</v>
      </c>
      <c r="M1985" s="111" t="s">
        <v>40</v>
      </c>
      <c r="N1985" s="108" t="s">
        <v>16909</v>
      </c>
      <c r="O1985" s="110">
        <v>3</v>
      </c>
      <c r="P1985" s="113"/>
      <c r="Q1985" s="108" t="s">
        <v>16912</v>
      </c>
      <c r="R1985" s="110">
        <v>3</v>
      </c>
      <c r="S1985" s="111" t="s">
        <v>40</v>
      </c>
      <c r="T1985" s="108" t="s">
        <v>16913</v>
      </c>
      <c r="U1985" s="112">
        <v>4</v>
      </c>
      <c r="V1985" s="113"/>
      <c r="W1985" s="108" t="s">
        <v>16914</v>
      </c>
      <c r="X1985" s="110">
        <v>3</v>
      </c>
      <c r="Y1985" s="113"/>
      <c r="Z1985" s="108" t="s">
        <v>47</v>
      </c>
      <c r="AA1985" s="114"/>
      <c r="AB1985" s="113"/>
      <c r="AC1985" s="105" t="s">
        <v>4487</v>
      </c>
      <c r="AD1985" s="115" t="s">
        <v>49</v>
      </c>
    </row>
    <row r="1986" spans="1:30" x14ac:dyDescent="0.2">
      <c r="A1986" s="104" t="s">
        <v>4488</v>
      </c>
      <c r="B1986" s="105" t="s">
        <v>371</v>
      </c>
      <c r="C1986" s="105" t="s">
        <v>279</v>
      </c>
      <c r="D1986" s="106" t="s">
        <v>105</v>
      </c>
      <c r="E1986" s="107" t="s">
        <v>146</v>
      </c>
      <c r="F1986" s="108" t="s">
        <v>16915</v>
      </c>
      <c r="G1986" s="118">
        <v>3</v>
      </c>
      <c r="H1986" s="108" t="s">
        <v>16916</v>
      </c>
      <c r="I1986" s="110">
        <v>3</v>
      </c>
      <c r="J1986" s="113"/>
      <c r="K1986" s="108" t="s">
        <v>16917</v>
      </c>
      <c r="L1986" s="110">
        <v>3</v>
      </c>
      <c r="M1986" s="111" t="s">
        <v>40</v>
      </c>
      <c r="N1986" s="108" t="s">
        <v>16915</v>
      </c>
      <c r="O1986" s="110">
        <v>3</v>
      </c>
      <c r="P1986" s="113"/>
      <c r="Q1986" s="108" t="s">
        <v>16918</v>
      </c>
      <c r="R1986" s="112">
        <v>4</v>
      </c>
      <c r="S1986" s="113"/>
      <c r="T1986" s="108" t="s">
        <v>16919</v>
      </c>
      <c r="U1986" s="112">
        <v>4</v>
      </c>
      <c r="V1986" s="113"/>
      <c r="W1986" s="108" t="s">
        <v>16920</v>
      </c>
      <c r="X1986" s="112">
        <v>4</v>
      </c>
      <c r="Y1986" s="113"/>
      <c r="Z1986" s="108" t="s">
        <v>47</v>
      </c>
      <c r="AA1986" s="114"/>
      <c r="AB1986" s="113"/>
      <c r="AC1986" s="105" t="s">
        <v>4489</v>
      </c>
      <c r="AD1986" s="115" t="s">
        <v>49</v>
      </c>
    </row>
    <row r="1987" spans="1:30" x14ac:dyDescent="0.2">
      <c r="A1987" s="104" t="s">
        <v>4490</v>
      </c>
      <c r="B1987" s="105" t="s">
        <v>371</v>
      </c>
      <c r="C1987" s="105" t="s">
        <v>658</v>
      </c>
      <c r="D1987" s="106" t="s">
        <v>94</v>
      </c>
      <c r="E1987" s="107" t="s">
        <v>182</v>
      </c>
      <c r="F1987" s="108" t="s">
        <v>16921</v>
      </c>
      <c r="G1987" s="120">
        <v>2</v>
      </c>
      <c r="H1987" s="108" t="s">
        <v>16922</v>
      </c>
      <c r="I1987" s="110">
        <v>3</v>
      </c>
      <c r="J1987" s="111" t="s">
        <v>46</v>
      </c>
      <c r="K1987" s="108" t="s">
        <v>16923</v>
      </c>
      <c r="L1987" s="110">
        <v>3</v>
      </c>
      <c r="M1987" s="113"/>
      <c r="N1987" s="108" t="s">
        <v>16921</v>
      </c>
      <c r="O1987" s="117">
        <v>2</v>
      </c>
      <c r="P1987" s="111" t="s">
        <v>40</v>
      </c>
      <c r="Q1987" s="108" t="s">
        <v>16924</v>
      </c>
      <c r="R1987" s="112">
        <v>4</v>
      </c>
      <c r="S1987" s="111" t="s">
        <v>46</v>
      </c>
      <c r="T1987" s="108" t="s">
        <v>16925</v>
      </c>
      <c r="U1987" s="117">
        <v>2</v>
      </c>
      <c r="V1987" s="113"/>
      <c r="W1987" s="108" t="s">
        <v>16926</v>
      </c>
      <c r="X1987" s="117">
        <v>2</v>
      </c>
      <c r="Y1987" s="113"/>
      <c r="Z1987" s="108" t="s">
        <v>47</v>
      </c>
      <c r="AA1987" s="114"/>
      <c r="AB1987" s="113"/>
      <c r="AC1987" s="105" t="s">
        <v>4491</v>
      </c>
      <c r="AD1987" s="115" t="s">
        <v>49</v>
      </c>
    </row>
    <row r="1988" spans="1:30" x14ac:dyDescent="0.2">
      <c r="A1988" s="104" t="s">
        <v>4492</v>
      </c>
      <c r="B1988" s="105" t="s">
        <v>371</v>
      </c>
      <c r="C1988" s="105" t="s">
        <v>658</v>
      </c>
      <c r="D1988" s="106" t="s">
        <v>125</v>
      </c>
      <c r="E1988" s="107" t="s">
        <v>182</v>
      </c>
      <c r="F1988" s="108" t="s">
        <v>4493</v>
      </c>
      <c r="G1988" s="118">
        <v>3</v>
      </c>
      <c r="H1988" s="108" t="s">
        <v>16927</v>
      </c>
      <c r="I1988" s="110">
        <v>3</v>
      </c>
      <c r="J1988" s="111" t="s">
        <v>46</v>
      </c>
      <c r="K1988" s="108" t="s">
        <v>16928</v>
      </c>
      <c r="L1988" s="110">
        <v>3</v>
      </c>
      <c r="M1988" s="113"/>
      <c r="N1988" s="108" t="s">
        <v>4493</v>
      </c>
      <c r="O1988" s="110">
        <v>3</v>
      </c>
      <c r="P1988" s="113"/>
      <c r="Q1988" s="108" t="s">
        <v>16929</v>
      </c>
      <c r="R1988" s="112">
        <v>4</v>
      </c>
      <c r="S1988" s="111" t="s">
        <v>46</v>
      </c>
      <c r="T1988" s="108" t="s">
        <v>16930</v>
      </c>
      <c r="U1988" s="110">
        <v>3</v>
      </c>
      <c r="V1988" s="113"/>
      <c r="W1988" s="108" t="s">
        <v>16931</v>
      </c>
      <c r="X1988" s="110">
        <v>3</v>
      </c>
      <c r="Y1988" s="113"/>
      <c r="Z1988" s="108" t="s">
        <v>16932</v>
      </c>
      <c r="AA1988" s="110">
        <v>3</v>
      </c>
      <c r="AB1988" s="113"/>
      <c r="AC1988" s="105" t="s">
        <v>4494</v>
      </c>
      <c r="AD1988" s="115" t="s">
        <v>49</v>
      </c>
    </row>
    <row r="1989" spans="1:30" x14ac:dyDescent="0.2">
      <c r="A1989" s="104" t="s">
        <v>4495</v>
      </c>
      <c r="B1989" s="105" t="s">
        <v>371</v>
      </c>
      <c r="C1989" s="105" t="s">
        <v>1110</v>
      </c>
      <c r="D1989" s="106" t="s">
        <v>298</v>
      </c>
      <c r="E1989" s="107"/>
      <c r="F1989" s="108" t="s">
        <v>16933</v>
      </c>
      <c r="G1989" s="109">
        <v>4</v>
      </c>
      <c r="H1989" s="108" t="s">
        <v>16934</v>
      </c>
      <c r="I1989" s="112">
        <v>4</v>
      </c>
      <c r="J1989" s="113"/>
      <c r="K1989" s="108" t="s">
        <v>16935</v>
      </c>
      <c r="L1989" s="112">
        <v>4</v>
      </c>
      <c r="M1989" s="113"/>
      <c r="N1989" s="108" t="s">
        <v>16933</v>
      </c>
      <c r="O1989" s="112">
        <v>4</v>
      </c>
      <c r="P1989" s="113"/>
      <c r="Q1989" s="108" t="s">
        <v>16936</v>
      </c>
      <c r="R1989" s="116">
        <v>1</v>
      </c>
      <c r="S1989" s="113"/>
      <c r="T1989" s="108" t="s">
        <v>16937</v>
      </c>
      <c r="U1989" s="112">
        <v>4</v>
      </c>
      <c r="V1989" s="113"/>
      <c r="W1989" s="108" t="s">
        <v>16938</v>
      </c>
      <c r="X1989" s="112">
        <v>4</v>
      </c>
      <c r="Y1989" s="113"/>
      <c r="Z1989" s="108" t="s">
        <v>47</v>
      </c>
      <c r="AA1989" s="114"/>
      <c r="AB1989" s="113"/>
      <c r="AC1989" s="105" t="s">
        <v>4496</v>
      </c>
      <c r="AD1989" s="115" t="s">
        <v>49</v>
      </c>
    </row>
    <row r="1990" spans="1:30" x14ac:dyDescent="0.2">
      <c r="A1990" s="104" t="s">
        <v>4497</v>
      </c>
      <c r="B1990" s="105" t="s">
        <v>371</v>
      </c>
      <c r="C1990" s="105" t="s">
        <v>1110</v>
      </c>
      <c r="D1990" s="106" t="s">
        <v>298</v>
      </c>
      <c r="E1990" s="107"/>
      <c r="F1990" s="108" t="s">
        <v>16939</v>
      </c>
      <c r="G1990" s="109">
        <v>4</v>
      </c>
      <c r="H1990" s="108" t="s">
        <v>16940</v>
      </c>
      <c r="I1990" s="112">
        <v>4</v>
      </c>
      <c r="J1990" s="113"/>
      <c r="K1990" s="108" t="s">
        <v>16941</v>
      </c>
      <c r="L1990" s="112">
        <v>4</v>
      </c>
      <c r="M1990" s="113"/>
      <c r="N1990" s="108" t="s">
        <v>16939</v>
      </c>
      <c r="O1990" s="112">
        <v>4</v>
      </c>
      <c r="P1990" s="113"/>
      <c r="Q1990" s="108" t="s">
        <v>16942</v>
      </c>
      <c r="R1990" s="116">
        <v>1</v>
      </c>
      <c r="S1990" s="113"/>
      <c r="T1990" s="108" t="s">
        <v>16943</v>
      </c>
      <c r="U1990" s="112">
        <v>4</v>
      </c>
      <c r="V1990" s="113"/>
      <c r="W1990" s="108" t="s">
        <v>16944</v>
      </c>
      <c r="X1990" s="112">
        <v>4</v>
      </c>
      <c r="Y1990" s="113"/>
      <c r="Z1990" s="108" t="s">
        <v>47</v>
      </c>
      <c r="AA1990" s="114"/>
      <c r="AB1990" s="113"/>
      <c r="AC1990" s="105" t="s">
        <v>4498</v>
      </c>
      <c r="AD1990" s="115" t="s">
        <v>49</v>
      </c>
    </row>
    <row r="1991" spans="1:30" x14ac:dyDescent="0.2">
      <c r="A1991" s="104" t="s">
        <v>4499</v>
      </c>
      <c r="B1991" s="105" t="s">
        <v>371</v>
      </c>
      <c r="C1991" s="105" t="s">
        <v>1492</v>
      </c>
      <c r="D1991" s="106" t="s">
        <v>105</v>
      </c>
      <c r="E1991" s="107"/>
      <c r="F1991" s="108" t="s">
        <v>16945</v>
      </c>
      <c r="G1991" s="109">
        <v>4</v>
      </c>
      <c r="H1991" s="108" t="s">
        <v>16946</v>
      </c>
      <c r="I1991" s="110">
        <v>3</v>
      </c>
      <c r="J1991" s="111" t="s">
        <v>40</v>
      </c>
      <c r="K1991" s="108" t="s">
        <v>16947</v>
      </c>
      <c r="L1991" s="112">
        <v>4</v>
      </c>
      <c r="M1991" s="113"/>
      <c r="N1991" s="108" t="s">
        <v>16945</v>
      </c>
      <c r="O1991" s="112">
        <v>4</v>
      </c>
      <c r="P1991" s="113"/>
      <c r="Q1991" s="108" t="s">
        <v>16948</v>
      </c>
      <c r="R1991" s="112">
        <v>4</v>
      </c>
      <c r="S1991" s="111" t="s">
        <v>46</v>
      </c>
      <c r="T1991" s="108" t="s">
        <v>16949</v>
      </c>
      <c r="U1991" s="112">
        <v>4</v>
      </c>
      <c r="V1991" s="111" t="s">
        <v>46</v>
      </c>
      <c r="W1991" s="108" t="s">
        <v>47</v>
      </c>
      <c r="X1991" s="114"/>
      <c r="Y1991" s="113"/>
      <c r="Z1991" s="108" t="s">
        <v>47</v>
      </c>
      <c r="AA1991" s="114"/>
      <c r="AB1991" s="113"/>
      <c r="AC1991" s="105" t="s">
        <v>4500</v>
      </c>
      <c r="AD1991" s="115" t="s">
        <v>49</v>
      </c>
    </row>
    <row r="1992" spans="1:30" x14ac:dyDescent="0.2">
      <c r="A1992" s="104" t="s">
        <v>4501</v>
      </c>
      <c r="B1992" s="105" t="s">
        <v>371</v>
      </c>
      <c r="C1992" s="105" t="s">
        <v>1492</v>
      </c>
      <c r="D1992" s="106" t="s">
        <v>125</v>
      </c>
      <c r="E1992" s="107"/>
      <c r="F1992" s="108" t="s">
        <v>16950</v>
      </c>
      <c r="G1992" s="109">
        <v>4</v>
      </c>
      <c r="H1992" s="108" t="s">
        <v>16951</v>
      </c>
      <c r="I1992" s="110">
        <v>3</v>
      </c>
      <c r="J1992" s="111" t="s">
        <v>40</v>
      </c>
      <c r="K1992" s="108" t="s">
        <v>16952</v>
      </c>
      <c r="L1992" s="112">
        <v>4</v>
      </c>
      <c r="M1992" s="113"/>
      <c r="N1992" s="108" t="s">
        <v>16950</v>
      </c>
      <c r="O1992" s="112">
        <v>4</v>
      </c>
      <c r="P1992" s="113"/>
      <c r="Q1992" s="108" t="s">
        <v>16953</v>
      </c>
      <c r="R1992" s="112">
        <v>4</v>
      </c>
      <c r="S1992" s="111" t="s">
        <v>46</v>
      </c>
      <c r="T1992" s="108" t="s">
        <v>4502</v>
      </c>
      <c r="U1992" s="112">
        <v>4</v>
      </c>
      <c r="V1992" s="113"/>
      <c r="W1992" s="108" t="s">
        <v>16954</v>
      </c>
      <c r="X1992" s="112">
        <v>4</v>
      </c>
      <c r="Y1992" s="113"/>
      <c r="Z1992" s="108" t="s">
        <v>16955</v>
      </c>
      <c r="AA1992" s="110">
        <v>3</v>
      </c>
      <c r="AB1992" s="113"/>
      <c r="AC1992" s="105" t="s">
        <v>4503</v>
      </c>
      <c r="AD1992" s="115" t="s">
        <v>49</v>
      </c>
    </row>
    <row r="1993" spans="1:30" x14ac:dyDescent="0.2">
      <c r="A1993" s="104" t="s">
        <v>4504</v>
      </c>
      <c r="B1993" s="105" t="s">
        <v>371</v>
      </c>
      <c r="C1993" s="105" t="s">
        <v>1492</v>
      </c>
      <c r="D1993" s="106"/>
      <c r="E1993" s="107"/>
      <c r="F1993" s="108" t="s">
        <v>47</v>
      </c>
      <c r="G1993" s="113"/>
      <c r="H1993" s="108" t="s">
        <v>16956</v>
      </c>
      <c r="I1993" s="110">
        <v>3</v>
      </c>
      <c r="J1993" s="111" t="s">
        <v>40</v>
      </c>
      <c r="K1993" s="108" t="s">
        <v>16957</v>
      </c>
      <c r="L1993" s="112">
        <v>4</v>
      </c>
      <c r="M1993" s="113"/>
      <c r="N1993" s="108" t="s">
        <v>47</v>
      </c>
      <c r="O1993" s="114"/>
      <c r="P1993" s="113"/>
      <c r="Q1993" s="108" t="s">
        <v>47</v>
      </c>
      <c r="R1993" s="114"/>
      <c r="S1993" s="113"/>
      <c r="T1993" s="108" t="s">
        <v>47</v>
      </c>
      <c r="U1993" s="114"/>
      <c r="V1993" s="113"/>
      <c r="W1993" s="108" t="s">
        <v>47</v>
      </c>
      <c r="X1993" s="114"/>
      <c r="Y1993" s="113"/>
      <c r="Z1993" s="108" t="s">
        <v>47</v>
      </c>
      <c r="AA1993" s="114"/>
      <c r="AB1993" s="113"/>
      <c r="AC1993" s="105" t="s">
        <v>4505</v>
      </c>
      <c r="AD1993" s="115" t="s">
        <v>49</v>
      </c>
    </row>
    <row r="1994" spans="1:30" x14ac:dyDescent="0.2">
      <c r="A1994" s="104" t="s">
        <v>4506</v>
      </c>
      <c r="B1994" s="105" t="s">
        <v>371</v>
      </c>
      <c r="C1994" s="105" t="s">
        <v>104</v>
      </c>
      <c r="D1994" s="106"/>
      <c r="E1994" s="107" t="s">
        <v>182</v>
      </c>
      <c r="F1994" s="108" t="s">
        <v>16958</v>
      </c>
      <c r="G1994" s="120">
        <v>2</v>
      </c>
      <c r="H1994" s="108" t="s">
        <v>16959</v>
      </c>
      <c r="I1994" s="116">
        <v>1</v>
      </c>
      <c r="J1994" s="111" t="s">
        <v>53</v>
      </c>
      <c r="K1994" s="108" t="s">
        <v>16960</v>
      </c>
      <c r="L1994" s="116">
        <v>1</v>
      </c>
      <c r="M1994" s="111" t="s">
        <v>53</v>
      </c>
      <c r="N1994" s="108" t="s">
        <v>16958</v>
      </c>
      <c r="O1994" s="117">
        <v>2</v>
      </c>
      <c r="P1994" s="113"/>
      <c r="Q1994" s="108" t="s">
        <v>16961</v>
      </c>
      <c r="R1994" s="116">
        <v>1</v>
      </c>
      <c r="S1994" s="111" t="s">
        <v>40</v>
      </c>
      <c r="T1994" s="108" t="s">
        <v>16962</v>
      </c>
      <c r="U1994" s="116">
        <v>1</v>
      </c>
      <c r="V1994" s="113"/>
      <c r="W1994" s="108" t="s">
        <v>16963</v>
      </c>
      <c r="X1994" s="116">
        <v>1</v>
      </c>
      <c r="Y1994" s="113"/>
      <c r="Z1994" s="108" t="s">
        <v>47</v>
      </c>
      <c r="AA1994" s="114"/>
      <c r="AB1994" s="113"/>
      <c r="AC1994" s="105" t="s">
        <v>4507</v>
      </c>
      <c r="AD1994" s="115" t="s">
        <v>49</v>
      </c>
    </row>
    <row r="1995" spans="1:30" x14ac:dyDescent="0.2">
      <c r="A1995" s="104" t="s">
        <v>4508</v>
      </c>
      <c r="B1995" s="105" t="s">
        <v>371</v>
      </c>
      <c r="C1995" s="105" t="s">
        <v>104</v>
      </c>
      <c r="D1995" s="106"/>
      <c r="E1995" s="107" t="s">
        <v>182</v>
      </c>
      <c r="F1995" s="108" t="s">
        <v>16964</v>
      </c>
      <c r="G1995" s="120">
        <v>2</v>
      </c>
      <c r="H1995" s="108" t="s">
        <v>16965</v>
      </c>
      <c r="I1995" s="116">
        <v>1</v>
      </c>
      <c r="J1995" s="111" t="s">
        <v>53</v>
      </c>
      <c r="K1995" s="108" t="s">
        <v>16966</v>
      </c>
      <c r="L1995" s="117">
        <v>2</v>
      </c>
      <c r="M1995" s="111" t="s">
        <v>40</v>
      </c>
      <c r="N1995" s="108" t="s">
        <v>16964</v>
      </c>
      <c r="O1995" s="117">
        <v>2</v>
      </c>
      <c r="P1995" s="111" t="s">
        <v>40</v>
      </c>
      <c r="Q1995" s="108" t="s">
        <v>16967</v>
      </c>
      <c r="R1995" s="117">
        <v>2</v>
      </c>
      <c r="S1995" s="113"/>
      <c r="T1995" s="108" t="s">
        <v>16968</v>
      </c>
      <c r="U1995" s="116">
        <v>1</v>
      </c>
      <c r="V1995" s="113"/>
      <c r="W1995" s="108" t="s">
        <v>16969</v>
      </c>
      <c r="X1995" s="116">
        <v>1</v>
      </c>
      <c r="Y1995" s="113"/>
      <c r="Z1995" s="108" t="s">
        <v>47</v>
      </c>
      <c r="AA1995" s="114"/>
      <c r="AB1995" s="113"/>
      <c r="AC1995" s="105" t="s">
        <v>4509</v>
      </c>
      <c r="AD1995" s="115" t="s">
        <v>49</v>
      </c>
    </row>
    <row r="1996" spans="1:30" x14ac:dyDescent="0.2">
      <c r="A1996" s="104" t="s">
        <v>4510</v>
      </c>
      <c r="B1996" s="105" t="s">
        <v>371</v>
      </c>
      <c r="C1996" s="105" t="s">
        <v>108</v>
      </c>
      <c r="D1996" s="106" t="s">
        <v>94</v>
      </c>
      <c r="E1996" s="107" t="s">
        <v>182</v>
      </c>
      <c r="F1996" s="108" t="s">
        <v>16970</v>
      </c>
      <c r="G1996" s="118">
        <v>3</v>
      </c>
      <c r="H1996" s="108" t="s">
        <v>16971</v>
      </c>
      <c r="I1996" s="116">
        <v>1</v>
      </c>
      <c r="J1996" s="111" t="s">
        <v>53</v>
      </c>
      <c r="K1996" s="108" t="s">
        <v>16972</v>
      </c>
      <c r="L1996" s="110">
        <v>3</v>
      </c>
      <c r="M1996" s="111" t="s">
        <v>40</v>
      </c>
      <c r="N1996" s="108" t="s">
        <v>16970</v>
      </c>
      <c r="O1996" s="110">
        <v>3</v>
      </c>
      <c r="P1996" s="111" t="s">
        <v>40</v>
      </c>
      <c r="Q1996" s="108" t="s">
        <v>16973</v>
      </c>
      <c r="R1996" s="117">
        <v>2</v>
      </c>
      <c r="S1996" s="111" t="s">
        <v>40</v>
      </c>
      <c r="T1996" s="108" t="s">
        <v>16974</v>
      </c>
      <c r="U1996" s="117">
        <v>2</v>
      </c>
      <c r="V1996" s="113"/>
      <c r="W1996" s="108" t="s">
        <v>47</v>
      </c>
      <c r="X1996" s="114"/>
      <c r="Y1996" s="113"/>
      <c r="Z1996" s="108" t="s">
        <v>47</v>
      </c>
      <c r="AA1996" s="114"/>
      <c r="AB1996" s="113"/>
      <c r="AC1996" s="105" t="s">
        <v>4511</v>
      </c>
      <c r="AD1996" s="115" t="s">
        <v>49</v>
      </c>
    </row>
    <row r="1997" spans="1:30" x14ac:dyDescent="0.2">
      <c r="A1997" s="104" t="s">
        <v>4512</v>
      </c>
      <c r="B1997" s="105" t="s">
        <v>371</v>
      </c>
      <c r="C1997" s="105" t="s">
        <v>108</v>
      </c>
      <c r="D1997" s="106" t="s">
        <v>94</v>
      </c>
      <c r="E1997" s="107" t="s">
        <v>182</v>
      </c>
      <c r="F1997" s="108" t="s">
        <v>16975</v>
      </c>
      <c r="G1997" s="118">
        <v>3</v>
      </c>
      <c r="H1997" s="108" t="s">
        <v>16976</v>
      </c>
      <c r="I1997" s="116">
        <v>1</v>
      </c>
      <c r="J1997" s="111" t="s">
        <v>53</v>
      </c>
      <c r="K1997" s="108" t="s">
        <v>16977</v>
      </c>
      <c r="L1997" s="110">
        <v>3</v>
      </c>
      <c r="M1997" s="111" t="s">
        <v>40</v>
      </c>
      <c r="N1997" s="108" t="s">
        <v>16975</v>
      </c>
      <c r="O1997" s="110">
        <v>3</v>
      </c>
      <c r="P1997" s="111" t="s">
        <v>40</v>
      </c>
      <c r="Q1997" s="108" t="s">
        <v>16978</v>
      </c>
      <c r="R1997" s="117">
        <v>2</v>
      </c>
      <c r="S1997" s="111" t="s">
        <v>40</v>
      </c>
      <c r="T1997" s="108" t="s">
        <v>16979</v>
      </c>
      <c r="U1997" s="117">
        <v>2</v>
      </c>
      <c r="V1997" s="113"/>
      <c r="W1997" s="108" t="s">
        <v>9954</v>
      </c>
      <c r="X1997" s="116">
        <v>1</v>
      </c>
      <c r="Y1997" s="113"/>
      <c r="Z1997" s="108" t="s">
        <v>16980</v>
      </c>
      <c r="AA1997" s="116">
        <v>1</v>
      </c>
      <c r="AB1997" s="113"/>
      <c r="AC1997" s="105" t="s">
        <v>4513</v>
      </c>
      <c r="AD1997" s="115" t="s">
        <v>49</v>
      </c>
    </row>
    <row r="1998" spans="1:30" x14ac:dyDescent="0.2">
      <c r="A1998" s="104" t="s">
        <v>4514</v>
      </c>
      <c r="B1998" s="105" t="s">
        <v>371</v>
      </c>
      <c r="C1998" s="105" t="s">
        <v>108</v>
      </c>
      <c r="D1998" s="106" t="s">
        <v>125</v>
      </c>
      <c r="E1998" s="107" t="s">
        <v>182</v>
      </c>
      <c r="F1998" s="108" t="s">
        <v>16981</v>
      </c>
      <c r="G1998" s="118">
        <v>3</v>
      </c>
      <c r="H1998" s="108" t="s">
        <v>16982</v>
      </c>
      <c r="I1998" s="116">
        <v>1</v>
      </c>
      <c r="J1998" s="111" t="s">
        <v>157</v>
      </c>
      <c r="K1998" s="108" t="s">
        <v>16983</v>
      </c>
      <c r="L1998" s="110">
        <v>3</v>
      </c>
      <c r="M1998" s="111" t="s">
        <v>40</v>
      </c>
      <c r="N1998" s="108" t="s">
        <v>16981</v>
      </c>
      <c r="O1998" s="110">
        <v>3</v>
      </c>
      <c r="P1998" s="111" t="s">
        <v>40</v>
      </c>
      <c r="Q1998" s="108" t="s">
        <v>16984</v>
      </c>
      <c r="R1998" s="110">
        <v>3</v>
      </c>
      <c r="S1998" s="113"/>
      <c r="T1998" s="108" t="s">
        <v>16985</v>
      </c>
      <c r="U1998" s="117">
        <v>2</v>
      </c>
      <c r="V1998" s="113"/>
      <c r="W1998" s="108" t="s">
        <v>16986</v>
      </c>
      <c r="X1998" s="117">
        <v>2</v>
      </c>
      <c r="Y1998" s="113"/>
      <c r="Z1998" s="108" t="s">
        <v>16987</v>
      </c>
      <c r="AA1998" s="117">
        <v>2</v>
      </c>
      <c r="AB1998" s="111" t="s">
        <v>53</v>
      </c>
      <c r="AC1998" s="105" t="s">
        <v>4515</v>
      </c>
      <c r="AD1998" s="115" t="s">
        <v>49</v>
      </c>
    </row>
    <row r="1999" spans="1:30" x14ac:dyDescent="0.2">
      <c r="A1999" s="104" t="s">
        <v>4516</v>
      </c>
      <c r="B1999" s="105" t="s">
        <v>371</v>
      </c>
      <c r="C1999" s="105" t="s">
        <v>1241</v>
      </c>
      <c r="D1999" s="106" t="s">
        <v>298</v>
      </c>
      <c r="E1999" s="107"/>
      <c r="F1999" s="108" t="s">
        <v>16988</v>
      </c>
      <c r="G1999" s="119">
        <v>1</v>
      </c>
      <c r="H1999" s="108" t="s">
        <v>16989</v>
      </c>
      <c r="I1999" s="116">
        <v>1</v>
      </c>
      <c r="J1999" s="113"/>
      <c r="K1999" s="108" t="s">
        <v>16990</v>
      </c>
      <c r="L1999" s="116">
        <v>1</v>
      </c>
      <c r="M1999" s="113"/>
      <c r="N1999" s="108" t="s">
        <v>16988</v>
      </c>
      <c r="O1999" s="116">
        <v>1</v>
      </c>
      <c r="P1999" s="111" t="s">
        <v>40</v>
      </c>
      <c r="Q1999" s="108" t="s">
        <v>16991</v>
      </c>
      <c r="R1999" s="116">
        <v>1</v>
      </c>
      <c r="S1999" s="111" t="s">
        <v>53</v>
      </c>
      <c r="T1999" s="108" t="s">
        <v>16992</v>
      </c>
      <c r="U1999" s="112">
        <v>4</v>
      </c>
      <c r="V1999" s="113"/>
      <c r="W1999" s="108" t="s">
        <v>47</v>
      </c>
      <c r="X1999" s="114"/>
      <c r="Y1999" s="113"/>
      <c r="Z1999" s="108" t="s">
        <v>47</v>
      </c>
      <c r="AA1999" s="114"/>
      <c r="AB1999" s="113"/>
      <c r="AC1999" s="105" t="s">
        <v>4517</v>
      </c>
      <c r="AD1999" s="115" t="s">
        <v>49</v>
      </c>
    </row>
    <row r="2000" spans="1:30" x14ac:dyDescent="0.2">
      <c r="A2000" s="104" t="s">
        <v>4518</v>
      </c>
      <c r="B2000" s="105" t="s">
        <v>371</v>
      </c>
      <c r="C2000" s="105" t="s">
        <v>1241</v>
      </c>
      <c r="D2000" s="106" t="s">
        <v>298</v>
      </c>
      <c r="E2000" s="107"/>
      <c r="F2000" s="108" t="s">
        <v>16993</v>
      </c>
      <c r="G2000" s="119">
        <v>1</v>
      </c>
      <c r="H2000" s="108" t="s">
        <v>16994</v>
      </c>
      <c r="I2000" s="116">
        <v>1</v>
      </c>
      <c r="J2000" s="113"/>
      <c r="K2000" s="108" t="s">
        <v>16995</v>
      </c>
      <c r="L2000" s="116">
        <v>1</v>
      </c>
      <c r="M2000" s="113"/>
      <c r="N2000" s="108" t="s">
        <v>16993</v>
      </c>
      <c r="O2000" s="116">
        <v>1</v>
      </c>
      <c r="P2000" s="111" t="s">
        <v>40</v>
      </c>
      <c r="Q2000" s="108" t="s">
        <v>16996</v>
      </c>
      <c r="R2000" s="116">
        <v>1</v>
      </c>
      <c r="S2000" s="111" t="s">
        <v>53</v>
      </c>
      <c r="T2000" s="108" t="s">
        <v>16997</v>
      </c>
      <c r="U2000" s="112">
        <v>4</v>
      </c>
      <c r="V2000" s="113"/>
      <c r="W2000" s="108" t="s">
        <v>16998</v>
      </c>
      <c r="X2000" s="112">
        <v>4</v>
      </c>
      <c r="Y2000" s="113"/>
      <c r="Z2000" s="108" t="s">
        <v>16999</v>
      </c>
      <c r="AA2000" s="112">
        <v>4</v>
      </c>
      <c r="AB2000" s="113"/>
      <c r="AC2000" s="105" t="s">
        <v>4519</v>
      </c>
      <c r="AD2000" s="115" t="s">
        <v>49</v>
      </c>
    </row>
    <row r="2001" spans="1:30" x14ac:dyDescent="0.2">
      <c r="A2001" s="104" t="s">
        <v>4520</v>
      </c>
      <c r="B2001" s="105" t="s">
        <v>371</v>
      </c>
      <c r="C2001" s="105" t="s">
        <v>332</v>
      </c>
      <c r="D2001" s="106"/>
      <c r="E2001" s="107" t="s">
        <v>146</v>
      </c>
      <c r="F2001" s="108" t="s">
        <v>17000</v>
      </c>
      <c r="G2001" s="119">
        <v>1</v>
      </c>
      <c r="H2001" s="108" t="s">
        <v>17001</v>
      </c>
      <c r="I2001" s="116">
        <v>1</v>
      </c>
      <c r="J2001" s="111" t="s">
        <v>40</v>
      </c>
      <c r="K2001" s="108" t="s">
        <v>17002</v>
      </c>
      <c r="L2001" s="116">
        <v>1</v>
      </c>
      <c r="M2001" s="111" t="s">
        <v>40</v>
      </c>
      <c r="N2001" s="108" t="s">
        <v>17000</v>
      </c>
      <c r="O2001" s="116">
        <v>1</v>
      </c>
      <c r="P2001" s="113"/>
      <c r="Q2001" s="108" t="s">
        <v>17003</v>
      </c>
      <c r="R2001" s="112">
        <v>4</v>
      </c>
      <c r="S2001" s="113"/>
      <c r="T2001" s="108" t="s">
        <v>47</v>
      </c>
      <c r="U2001" s="114"/>
      <c r="V2001" s="113"/>
      <c r="W2001" s="108" t="s">
        <v>47</v>
      </c>
      <c r="X2001" s="114"/>
      <c r="Y2001" s="113"/>
      <c r="Z2001" s="108" t="s">
        <v>47</v>
      </c>
      <c r="AA2001" s="114"/>
      <c r="AB2001" s="113"/>
      <c r="AC2001" s="105" t="s">
        <v>4521</v>
      </c>
      <c r="AD2001" s="115" t="s">
        <v>49</v>
      </c>
    </row>
    <row r="2002" spans="1:30" x14ac:dyDescent="0.2">
      <c r="A2002" s="104" t="s">
        <v>4522</v>
      </c>
      <c r="B2002" s="105" t="s">
        <v>371</v>
      </c>
      <c r="C2002" s="105" t="s">
        <v>332</v>
      </c>
      <c r="D2002" s="106"/>
      <c r="E2002" s="107" t="s">
        <v>146</v>
      </c>
      <c r="F2002" s="108" t="s">
        <v>17004</v>
      </c>
      <c r="G2002" s="119">
        <v>1</v>
      </c>
      <c r="H2002" s="108" t="s">
        <v>17005</v>
      </c>
      <c r="I2002" s="116">
        <v>1</v>
      </c>
      <c r="J2002" s="111" t="s">
        <v>40</v>
      </c>
      <c r="K2002" s="108" t="s">
        <v>17006</v>
      </c>
      <c r="L2002" s="116">
        <v>1</v>
      </c>
      <c r="M2002" s="111" t="s">
        <v>40</v>
      </c>
      <c r="N2002" s="108" t="s">
        <v>17004</v>
      </c>
      <c r="O2002" s="116">
        <v>1</v>
      </c>
      <c r="P2002" s="113"/>
      <c r="Q2002" s="108" t="s">
        <v>17007</v>
      </c>
      <c r="R2002" s="112">
        <v>4</v>
      </c>
      <c r="S2002" s="113"/>
      <c r="T2002" s="108" t="s">
        <v>47</v>
      </c>
      <c r="U2002" s="114"/>
      <c r="V2002" s="113"/>
      <c r="W2002" s="108" t="s">
        <v>47</v>
      </c>
      <c r="X2002" s="114"/>
      <c r="Y2002" s="113"/>
      <c r="Z2002" s="108" t="s">
        <v>47</v>
      </c>
      <c r="AA2002" s="114"/>
      <c r="AB2002" s="113"/>
      <c r="AC2002" s="105" t="s">
        <v>4523</v>
      </c>
      <c r="AD2002" s="115" t="s">
        <v>49</v>
      </c>
    </row>
    <row r="2003" spans="1:30" x14ac:dyDescent="0.2">
      <c r="A2003" s="104" t="s">
        <v>4524</v>
      </c>
      <c r="B2003" s="105" t="s">
        <v>371</v>
      </c>
      <c r="C2003" s="105" t="s">
        <v>332</v>
      </c>
      <c r="D2003" s="106"/>
      <c r="E2003" s="107" t="s">
        <v>146</v>
      </c>
      <c r="F2003" s="108" t="s">
        <v>17008</v>
      </c>
      <c r="G2003" s="119">
        <v>1</v>
      </c>
      <c r="H2003" s="108" t="s">
        <v>17009</v>
      </c>
      <c r="I2003" s="116">
        <v>1</v>
      </c>
      <c r="J2003" s="111" t="s">
        <v>40</v>
      </c>
      <c r="K2003" s="108" t="s">
        <v>17010</v>
      </c>
      <c r="L2003" s="116">
        <v>1</v>
      </c>
      <c r="M2003" s="111" t="s">
        <v>40</v>
      </c>
      <c r="N2003" s="108" t="s">
        <v>17008</v>
      </c>
      <c r="O2003" s="116">
        <v>1</v>
      </c>
      <c r="P2003" s="113"/>
      <c r="Q2003" s="108" t="s">
        <v>17011</v>
      </c>
      <c r="R2003" s="112">
        <v>4</v>
      </c>
      <c r="S2003" s="113"/>
      <c r="T2003" s="108" t="s">
        <v>47</v>
      </c>
      <c r="U2003" s="114"/>
      <c r="V2003" s="113"/>
      <c r="W2003" s="108" t="s">
        <v>47</v>
      </c>
      <c r="X2003" s="114"/>
      <c r="Y2003" s="113"/>
      <c r="Z2003" s="108" t="s">
        <v>47</v>
      </c>
      <c r="AA2003" s="114"/>
      <c r="AB2003" s="113"/>
      <c r="AC2003" s="105" t="s">
        <v>4525</v>
      </c>
      <c r="AD2003" s="115" t="s">
        <v>49</v>
      </c>
    </row>
    <row r="2004" spans="1:30" x14ac:dyDescent="0.2">
      <c r="A2004" s="104" t="s">
        <v>4526</v>
      </c>
      <c r="B2004" s="105" t="s">
        <v>371</v>
      </c>
      <c r="C2004" s="105" t="s">
        <v>384</v>
      </c>
      <c r="D2004" s="106" t="s">
        <v>94</v>
      </c>
      <c r="E2004" s="107"/>
      <c r="F2004" s="108" t="s">
        <v>17012</v>
      </c>
      <c r="G2004" s="109">
        <v>4</v>
      </c>
      <c r="H2004" s="108" t="s">
        <v>17013</v>
      </c>
      <c r="I2004" s="112">
        <v>4</v>
      </c>
      <c r="J2004" s="111" t="s">
        <v>46</v>
      </c>
      <c r="K2004" s="108" t="s">
        <v>17014</v>
      </c>
      <c r="L2004" s="112">
        <v>4</v>
      </c>
      <c r="M2004" s="111" t="s">
        <v>46</v>
      </c>
      <c r="N2004" s="108" t="s">
        <v>17012</v>
      </c>
      <c r="O2004" s="112">
        <v>4</v>
      </c>
      <c r="P2004" s="113"/>
      <c r="Q2004" s="108" t="s">
        <v>17015</v>
      </c>
      <c r="R2004" s="112">
        <v>4</v>
      </c>
      <c r="S2004" s="113"/>
      <c r="T2004" s="108" t="s">
        <v>17016</v>
      </c>
      <c r="U2004" s="117">
        <v>2</v>
      </c>
      <c r="V2004" s="113"/>
      <c r="W2004" s="108" t="s">
        <v>17017</v>
      </c>
      <c r="X2004" s="117">
        <v>2</v>
      </c>
      <c r="Y2004" s="113"/>
      <c r="Z2004" s="108" t="s">
        <v>17018</v>
      </c>
      <c r="AA2004" s="116">
        <v>1</v>
      </c>
      <c r="AB2004" s="113"/>
      <c r="AC2004" s="105" t="s">
        <v>4527</v>
      </c>
      <c r="AD2004" s="115" t="s">
        <v>107</v>
      </c>
    </row>
    <row r="2005" spans="1:30" x14ac:dyDescent="0.2">
      <c r="A2005" s="104" t="s">
        <v>4528</v>
      </c>
      <c r="B2005" s="105" t="s">
        <v>371</v>
      </c>
      <c r="C2005" s="105" t="s">
        <v>384</v>
      </c>
      <c r="D2005" s="106" t="s">
        <v>94</v>
      </c>
      <c r="E2005" s="107"/>
      <c r="F2005" s="108" t="s">
        <v>17019</v>
      </c>
      <c r="G2005" s="109">
        <v>4</v>
      </c>
      <c r="H2005" s="108" t="s">
        <v>17020</v>
      </c>
      <c r="I2005" s="112">
        <v>4</v>
      </c>
      <c r="J2005" s="111" t="s">
        <v>46</v>
      </c>
      <c r="K2005" s="108" t="s">
        <v>17021</v>
      </c>
      <c r="L2005" s="112">
        <v>4</v>
      </c>
      <c r="M2005" s="111" t="s">
        <v>46</v>
      </c>
      <c r="N2005" s="108" t="s">
        <v>17019</v>
      </c>
      <c r="O2005" s="112">
        <v>4</v>
      </c>
      <c r="P2005" s="113"/>
      <c r="Q2005" s="108" t="s">
        <v>17022</v>
      </c>
      <c r="R2005" s="112">
        <v>4</v>
      </c>
      <c r="S2005" s="113"/>
      <c r="T2005" s="108" t="s">
        <v>17023</v>
      </c>
      <c r="U2005" s="117">
        <v>2</v>
      </c>
      <c r="V2005" s="113"/>
      <c r="W2005" s="108" t="s">
        <v>17024</v>
      </c>
      <c r="X2005" s="117">
        <v>2</v>
      </c>
      <c r="Y2005" s="113"/>
      <c r="Z2005" s="108" t="s">
        <v>17025</v>
      </c>
      <c r="AA2005" s="116">
        <v>1</v>
      </c>
      <c r="AB2005" s="113"/>
      <c r="AC2005" s="105" t="s">
        <v>4529</v>
      </c>
      <c r="AD2005" s="115" t="s">
        <v>107</v>
      </c>
    </row>
    <row r="2006" spans="1:30" x14ac:dyDescent="0.2">
      <c r="A2006" s="104" t="s">
        <v>4530</v>
      </c>
      <c r="B2006" s="105" t="s">
        <v>371</v>
      </c>
      <c r="C2006" s="105" t="s">
        <v>384</v>
      </c>
      <c r="D2006" s="106"/>
      <c r="E2006" s="107"/>
      <c r="F2006" s="108" t="s">
        <v>17026</v>
      </c>
      <c r="G2006" s="109">
        <v>4</v>
      </c>
      <c r="H2006" s="108" t="s">
        <v>17027</v>
      </c>
      <c r="I2006" s="112">
        <v>4</v>
      </c>
      <c r="J2006" s="111" t="s">
        <v>46</v>
      </c>
      <c r="K2006" s="108" t="s">
        <v>17028</v>
      </c>
      <c r="L2006" s="112">
        <v>4</v>
      </c>
      <c r="M2006" s="111" t="s">
        <v>46</v>
      </c>
      <c r="N2006" s="108" t="s">
        <v>17026</v>
      </c>
      <c r="O2006" s="112">
        <v>4</v>
      </c>
      <c r="P2006" s="113"/>
      <c r="Q2006" s="108" t="s">
        <v>17029</v>
      </c>
      <c r="R2006" s="112">
        <v>4</v>
      </c>
      <c r="S2006" s="113"/>
      <c r="T2006" s="108" t="s">
        <v>47</v>
      </c>
      <c r="U2006" s="114"/>
      <c r="V2006" s="113"/>
      <c r="W2006" s="108" t="s">
        <v>47</v>
      </c>
      <c r="X2006" s="114"/>
      <c r="Y2006" s="113"/>
      <c r="Z2006" s="108" t="s">
        <v>47</v>
      </c>
      <c r="AA2006" s="114"/>
      <c r="AB2006" s="113"/>
      <c r="AC2006" s="105" t="s">
        <v>4531</v>
      </c>
      <c r="AD2006" s="115" t="s">
        <v>107</v>
      </c>
    </row>
    <row r="2007" spans="1:30" x14ac:dyDescent="0.2">
      <c r="A2007" s="104" t="s">
        <v>4532</v>
      </c>
      <c r="B2007" s="105" t="s">
        <v>371</v>
      </c>
      <c r="C2007" s="105" t="s">
        <v>384</v>
      </c>
      <c r="D2007" s="106" t="s">
        <v>94</v>
      </c>
      <c r="E2007" s="107"/>
      <c r="F2007" s="108" t="s">
        <v>17030</v>
      </c>
      <c r="G2007" s="109">
        <v>4</v>
      </c>
      <c r="H2007" s="108" t="s">
        <v>17031</v>
      </c>
      <c r="I2007" s="112">
        <v>4</v>
      </c>
      <c r="J2007" s="111" t="s">
        <v>46</v>
      </c>
      <c r="K2007" s="108" t="s">
        <v>17032</v>
      </c>
      <c r="L2007" s="110">
        <v>3</v>
      </c>
      <c r="M2007" s="113"/>
      <c r="N2007" s="108" t="s">
        <v>17030</v>
      </c>
      <c r="O2007" s="112">
        <v>4</v>
      </c>
      <c r="P2007" s="113"/>
      <c r="Q2007" s="108" t="s">
        <v>17033</v>
      </c>
      <c r="R2007" s="112">
        <v>4</v>
      </c>
      <c r="S2007" s="111" t="s">
        <v>46</v>
      </c>
      <c r="T2007" s="108" t="s">
        <v>17034</v>
      </c>
      <c r="U2007" s="116">
        <v>1</v>
      </c>
      <c r="V2007" s="113"/>
      <c r="W2007" s="108" t="s">
        <v>17035</v>
      </c>
      <c r="X2007" s="116">
        <v>1</v>
      </c>
      <c r="Y2007" s="113"/>
      <c r="Z2007" s="108" t="s">
        <v>47</v>
      </c>
      <c r="AA2007" s="114"/>
      <c r="AB2007" s="113"/>
      <c r="AC2007" s="105" t="s">
        <v>4533</v>
      </c>
      <c r="AD2007" s="115" t="s">
        <v>107</v>
      </c>
    </row>
    <row r="2008" spans="1:30" x14ac:dyDescent="0.2">
      <c r="A2008" s="104" t="s">
        <v>4534</v>
      </c>
      <c r="B2008" s="105" t="s">
        <v>371</v>
      </c>
      <c r="C2008" s="105" t="s">
        <v>384</v>
      </c>
      <c r="D2008" s="106"/>
      <c r="E2008" s="107"/>
      <c r="F2008" s="108" t="s">
        <v>17036</v>
      </c>
      <c r="G2008" s="109">
        <v>4</v>
      </c>
      <c r="H2008" s="108" t="s">
        <v>17037</v>
      </c>
      <c r="I2008" s="112">
        <v>4</v>
      </c>
      <c r="J2008" s="111" t="s">
        <v>46</v>
      </c>
      <c r="K2008" s="108" t="s">
        <v>17038</v>
      </c>
      <c r="L2008" s="110">
        <v>3</v>
      </c>
      <c r="M2008" s="113"/>
      <c r="N2008" s="108" t="s">
        <v>17036</v>
      </c>
      <c r="O2008" s="112">
        <v>4</v>
      </c>
      <c r="P2008" s="113"/>
      <c r="Q2008" s="108" t="s">
        <v>47</v>
      </c>
      <c r="R2008" s="114"/>
      <c r="S2008" s="113"/>
      <c r="T2008" s="108" t="s">
        <v>47</v>
      </c>
      <c r="U2008" s="114"/>
      <c r="V2008" s="113"/>
      <c r="W2008" s="108" t="s">
        <v>47</v>
      </c>
      <c r="X2008" s="114"/>
      <c r="Y2008" s="113"/>
      <c r="Z2008" s="108" t="s">
        <v>47</v>
      </c>
      <c r="AA2008" s="114"/>
      <c r="AB2008" s="113"/>
      <c r="AC2008" s="105" t="s">
        <v>4535</v>
      </c>
      <c r="AD2008" s="115" t="s">
        <v>107</v>
      </c>
    </row>
    <row r="2009" spans="1:30" x14ac:dyDescent="0.2">
      <c r="A2009" s="104" t="s">
        <v>4536</v>
      </c>
      <c r="B2009" s="105" t="s">
        <v>371</v>
      </c>
      <c r="C2009" s="105" t="s">
        <v>98</v>
      </c>
      <c r="D2009" s="106" t="s">
        <v>514</v>
      </c>
      <c r="E2009" s="107"/>
      <c r="F2009" s="108" t="s">
        <v>17039</v>
      </c>
      <c r="G2009" s="109">
        <v>4</v>
      </c>
      <c r="H2009" s="108" t="s">
        <v>17040</v>
      </c>
      <c r="I2009" s="110">
        <v>3</v>
      </c>
      <c r="J2009" s="113"/>
      <c r="K2009" s="108" t="s">
        <v>17041</v>
      </c>
      <c r="L2009" s="112">
        <v>4</v>
      </c>
      <c r="M2009" s="113"/>
      <c r="N2009" s="108" t="s">
        <v>17039</v>
      </c>
      <c r="O2009" s="112">
        <v>4</v>
      </c>
      <c r="P2009" s="111" t="s">
        <v>46</v>
      </c>
      <c r="Q2009" s="108" t="s">
        <v>17042</v>
      </c>
      <c r="R2009" s="110">
        <v>3</v>
      </c>
      <c r="S2009" s="113"/>
      <c r="T2009" s="108" t="s">
        <v>17043</v>
      </c>
      <c r="U2009" s="117">
        <v>2</v>
      </c>
      <c r="V2009" s="113"/>
      <c r="W2009" s="108" t="s">
        <v>17044</v>
      </c>
      <c r="X2009" s="116">
        <v>1</v>
      </c>
      <c r="Y2009" s="113"/>
      <c r="Z2009" s="108" t="s">
        <v>17045</v>
      </c>
      <c r="AA2009" s="116">
        <v>1</v>
      </c>
      <c r="AB2009" s="113"/>
      <c r="AC2009" s="105" t="s">
        <v>4537</v>
      </c>
      <c r="AD2009" s="115" t="s">
        <v>107</v>
      </c>
    </row>
    <row r="2010" spans="1:30" x14ac:dyDescent="0.2">
      <c r="A2010" s="104" t="s">
        <v>4538</v>
      </c>
      <c r="B2010" s="105" t="s">
        <v>371</v>
      </c>
      <c r="C2010" s="105" t="s">
        <v>98</v>
      </c>
      <c r="D2010" s="106" t="s">
        <v>514</v>
      </c>
      <c r="E2010" s="107"/>
      <c r="F2010" s="108" t="s">
        <v>17046</v>
      </c>
      <c r="G2010" s="109">
        <v>4</v>
      </c>
      <c r="H2010" s="108" t="s">
        <v>17047</v>
      </c>
      <c r="I2010" s="110">
        <v>3</v>
      </c>
      <c r="J2010" s="113"/>
      <c r="K2010" s="108" t="s">
        <v>17048</v>
      </c>
      <c r="L2010" s="112">
        <v>4</v>
      </c>
      <c r="M2010" s="113"/>
      <c r="N2010" s="108" t="s">
        <v>17046</v>
      </c>
      <c r="O2010" s="112">
        <v>4</v>
      </c>
      <c r="P2010" s="111" t="s">
        <v>46</v>
      </c>
      <c r="Q2010" s="108" t="s">
        <v>17049</v>
      </c>
      <c r="R2010" s="110">
        <v>3</v>
      </c>
      <c r="S2010" s="113"/>
      <c r="T2010" s="108" t="s">
        <v>17050</v>
      </c>
      <c r="U2010" s="117">
        <v>2</v>
      </c>
      <c r="V2010" s="111" t="s">
        <v>46</v>
      </c>
      <c r="W2010" s="108" t="s">
        <v>17051</v>
      </c>
      <c r="X2010" s="116">
        <v>1</v>
      </c>
      <c r="Y2010" s="113"/>
      <c r="Z2010" s="108" t="s">
        <v>17052</v>
      </c>
      <c r="AA2010" s="116">
        <v>1</v>
      </c>
      <c r="AB2010" s="113"/>
      <c r="AC2010" s="105" t="s">
        <v>4539</v>
      </c>
      <c r="AD2010" s="115" t="s">
        <v>107</v>
      </c>
    </row>
    <row r="2011" spans="1:30" x14ac:dyDescent="0.2">
      <c r="A2011" s="104" t="s">
        <v>4540</v>
      </c>
      <c r="B2011" s="105" t="s">
        <v>371</v>
      </c>
      <c r="C2011" s="105" t="s">
        <v>98</v>
      </c>
      <c r="D2011" s="106"/>
      <c r="E2011" s="107"/>
      <c r="F2011" s="108" t="s">
        <v>17053</v>
      </c>
      <c r="G2011" s="109">
        <v>4</v>
      </c>
      <c r="H2011" s="108" t="s">
        <v>17054</v>
      </c>
      <c r="I2011" s="110">
        <v>3</v>
      </c>
      <c r="J2011" s="111" t="s">
        <v>40</v>
      </c>
      <c r="K2011" s="108" t="s">
        <v>17055</v>
      </c>
      <c r="L2011" s="112">
        <v>4</v>
      </c>
      <c r="M2011" s="113"/>
      <c r="N2011" s="108" t="s">
        <v>17053</v>
      </c>
      <c r="O2011" s="112">
        <v>4</v>
      </c>
      <c r="P2011" s="111" t="s">
        <v>46</v>
      </c>
      <c r="Q2011" s="108" t="s">
        <v>17056</v>
      </c>
      <c r="R2011" s="110">
        <v>3</v>
      </c>
      <c r="S2011" s="113"/>
      <c r="T2011" s="108" t="s">
        <v>47</v>
      </c>
      <c r="U2011" s="114"/>
      <c r="V2011" s="113"/>
      <c r="W2011" s="108" t="s">
        <v>47</v>
      </c>
      <c r="X2011" s="114"/>
      <c r="Y2011" s="113"/>
      <c r="Z2011" s="108" t="s">
        <v>47</v>
      </c>
      <c r="AA2011" s="114"/>
      <c r="AB2011" s="113"/>
      <c r="AC2011" s="105" t="s">
        <v>4541</v>
      </c>
      <c r="AD2011" s="115" t="s">
        <v>107</v>
      </c>
    </row>
    <row r="2012" spans="1:30" x14ac:dyDescent="0.2">
      <c r="A2012" s="104" t="s">
        <v>4542</v>
      </c>
      <c r="B2012" s="105" t="s">
        <v>371</v>
      </c>
      <c r="C2012" s="105" t="s">
        <v>98</v>
      </c>
      <c r="D2012" s="106" t="s">
        <v>94</v>
      </c>
      <c r="E2012" s="107"/>
      <c r="F2012" s="108" t="s">
        <v>17057</v>
      </c>
      <c r="G2012" s="118">
        <v>3</v>
      </c>
      <c r="H2012" s="108" t="s">
        <v>17058</v>
      </c>
      <c r="I2012" s="110">
        <v>3</v>
      </c>
      <c r="J2012" s="113"/>
      <c r="K2012" s="108" t="s">
        <v>17059</v>
      </c>
      <c r="L2012" s="112">
        <v>4</v>
      </c>
      <c r="M2012" s="113"/>
      <c r="N2012" s="108" t="s">
        <v>17057</v>
      </c>
      <c r="O2012" s="110">
        <v>3</v>
      </c>
      <c r="P2012" s="113"/>
      <c r="Q2012" s="108" t="s">
        <v>17060</v>
      </c>
      <c r="R2012" s="110">
        <v>3</v>
      </c>
      <c r="S2012" s="111" t="s">
        <v>46</v>
      </c>
      <c r="T2012" s="108" t="s">
        <v>17061</v>
      </c>
      <c r="U2012" s="116">
        <v>1</v>
      </c>
      <c r="V2012" s="113"/>
      <c r="W2012" s="108" t="s">
        <v>47</v>
      </c>
      <c r="X2012" s="114"/>
      <c r="Y2012" s="113"/>
      <c r="Z2012" s="108" t="s">
        <v>47</v>
      </c>
      <c r="AA2012" s="114"/>
      <c r="AB2012" s="113"/>
      <c r="AC2012" s="105" t="s">
        <v>4543</v>
      </c>
      <c r="AD2012" s="115" t="s">
        <v>107</v>
      </c>
    </row>
    <row r="2013" spans="1:30" x14ac:dyDescent="0.2">
      <c r="A2013" s="104" t="s">
        <v>4544</v>
      </c>
      <c r="B2013" s="105" t="s">
        <v>371</v>
      </c>
      <c r="C2013" s="105" t="s">
        <v>98</v>
      </c>
      <c r="D2013" s="106"/>
      <c r="E2013" s="107"/>
      <c r="F2013" s="108" t="s">
        <v>17062</v>
      </c>
      <c r="G2013" s="118">
        <v>3</v>
      </c>
      <c r="H2013" s="108" t="s">
        <v>17063</v>
      </c>
      <c r="I2013" s="110">
        <v>3</v>
      </c>
      <c r="J2013" s="111" t="s">
        <v>40</v>
      </c>
      <c r="K2013" s="108" t="s">
        <v>17064</v>
      </c>
      <c r="L2013" s="112">
        <v>4</v>
      </c>
      <c r="M2013" s="113"/>
      <c r="N2013" s="108" t="s">
        <v>17062</v>
      </c>
      <c r="O2013" s="110">
        <v>3</v>
      </c>
      <c r="P2013" s="113"/>
      <c r="Q2013" s="108" t="s">
        <v>47</v>
      </c>
      <c r="R2013" s="114"/>
      <c r="S2013" s="113"/>
      <c r="T2013" s="108" t="s">
        <v>47</v>
      </c>
      <c r="U2013" s="114"/>
      <c r="V2013" s="113"/>
      <c r="W2013" s="108" t="s">
        <v>47</v>
      </c>
      <c r="X2013" s="114"/>
      <c r="Y2013" s="113"/>
      <c r="Z2013" s="108" t="s">
        <v>47</v>
      </c>
      <c r="AA2013" s="114"/>
      <c r="AB2013" s="113"/>
      <c r="AC2013" s="105" t="s">
        <v>4545</v>
      </c>
      <c r="AD2013" s="115" t="s">
        <v>107</v>
      </c>
    </row>
    <row r="2014" spans="1:30" x14ac:dyDescent="0.2">
      <c r="A2014" s="104" t="s">
        <v>4546</v>
      </c>
      <c r="B2014" s="105" t="s">
        <v>371</v>
      </c>
      <c r="C2014" s="105" t="s">
        <v>244</v>
      </c>
      <c r="D2014" s="106" t="s">
        <v>125</v>
      </c>
      <c r="E2014" s="107"/>
      <c r="F2014" s="108" t="s">
        <v>17065</v>
      </c>
      <c r="G2014" s="119">
        <v>1</v>
      </c>
      <c r="H2014" s="108" t="s">
        <v>17066</v>
      </c>
      <c r="I2014" s="116">
        <v>1</v>
      </c>
      <c r="J2014" s="113"/>
      <c r="K2014" s="108" t="s">
        <v>17067</v>
      </c>
      <c r="L2014" s="116">
        <v>1</v>
      </c>
      <c r="M2014" s="113"/>
      <c r="N2014" s="108" t="s">
        <v>17065</v>
      </c>
      <c r="O2014" s="116">
        <v>1</v>
      </c>
      <c r="P2014" s="113"/>
      <c r="Q2014" s="108" t="s">
        <v>17068</v>
      </c>
      <c r="R2014" s="116">
        <v>1</v>
      </c>
      <c r="S2014" s="111" t="s">
        <v>53</v>
      </c>
      <c r="T2014" s="108" t="s">
        <v>17069</v>
      </c>
      <c r="U2014" s="112">
        <v>4</v>
      </c>
      <c r="V2014" s="113"/>
      <c r="W2014" s="108" t="s">
        <v>17070</v>
      </c>
      <c r="X2014" s="117">
        <v>2</v>
      </c>
      <c r="Y2014" s="113"/>
      <c r="Z2014" s="108" t="s">
        <v>47</v>
      </c>
      <c r="AA2014" s="114"/>
      <c r="AB2014" s="113"/>
      <c r="AC2014" s="105" t="s">
        <v>4547</v>
      </c>
      <c r="AD2014" s="115" t="s">
        <v>107</v>
      </c>
    </row>
    <row r="2015" spans="1:30" x14ac:dyDescent="0.2">
      <c r="A2015" s="104" t="s">
        <v>4548</v>
      </c>
      <c r="B2015" s="105" t="s">
        <v>371</v>
      </c>
      <c r="C2015" s="105" t="s">
        <v>244</v>
      </c>
      <c r="D2015" s="106" t="s">
        <v>125</v>
      </c>
      <c r="E2015" s="107"/>
      <c r="F2015" s="108" t="s">
        <v>17071</v>
      </c>
      <c r="G2015" s="119">
        <v>1</v>
      </c>
      <c r="H2015" s="108" t="s">
        <v>17072</v>
      </c>
      <c r="I2015" s="116">
        <v>1</v>
      </c>
      <c r="J2015" s="113"/>
      <c r="K2015" s="108" t="s">
        <v>4549</v>
      </c>
      <c r="L2015" s="116">
        <v>1</v>
      </c>
      <c r="M2015" s="113"/>
      <c r="N2015" s="108" t="s">
        <v>17071</v>
      </c>
      <c r="O2015" s="116">
        <v>1</v>
      </c>
      <c r="P2015" s="113"/>
      <c r="Q2015" s="108" t="s">
        <v>17073</v>
      </c>
      <c r="R2015" s="116">
        <v>1</v>
      </c>
      <c r="S2015" s="111" t="s">
        <v>53</v>
      </c>
      <c r="T2015" s="108" t="s">
        <v>17074</v>
      </c>
      <c r="U2015" s="112">
        <v>4</v>
      </c>
      <c r="V2015" s="113"/>
      <c r="W2015" s="108" t="s">
        <v>17075</v>
      </c>
      <c r="X2015" s="117">
        <v>2</v>
      </c>
      <c r="Y2015" s="113"/>
      <c r="Z2015" s="108" t="s">
        <v>47</v>
      </c>
      <c r="AA2015" s="114"/>
      <c r="AB2015" s="113"/>
      <c r="AC2015" s="105" t="s">
        <v>4550</v>
      </c>
      <c r="AD2015" s="115" t="s">
        <v>107</v>
      </c>
    </row>
    <row r="2016" spans="1:30" x14ac:dyDescent="0.2">
      <c r="A2016" s="104" t="s">
        <v>4551</v>
      </c>
      <c r="B2016" s="105" t="s">
        <v>371</v>
      </c>
      <c r="C2016" s="105" t="s">
        <v>244</v>
      </c>
      <c r="D2016" s="106"/>
      <c r="E2016" s="107"/>
      <c r="F2016" s="108" t="s">
        <v>17076</v>
      </c>
      <c r="G2016" s="119">
        <v>1</v>
      </c>
      <c r="H2016" s="108" t="s">
        <v>17077</v>
      </c>
      <c r="I2016" s="116">
        <v>1</v>
      </c>
      <c r="J2016" s="113"/>
      <c r="K2016" s="108" t="s">
        <v>17078</v>
      </c>
      <c r="L2016" s="116">
        <v>1</v>
      </c>
      <c r="M2016" s="113"/>
      <c r="N2016" s="108" t="s">
        <v>17076</v>
      </c>
      <c r="O2016" s="116">
        <v>1</v>
      </c>
      <c r="P2016" s="113"/>
      <c r="Q2016" s="108" t="s">
        <v>17079</v>
      </c>
      <c r="R2016" s="116">
        <v>1</v>
      </c>
      <c r="S2016" s="111" t="s">
        <v>53</v>
      </c>
      <c r="T2016" s="108" t="s">
        <v>47</v>
      </c>
      <c r="U2016" s="114"/>
      <c r="V2016" s="113"/>
      <c r="W2016" s="108" t="s">
        <v>47</v>
      </c>
      <c r="X2016" s="114"/>
      <c r="Y2016" s="113"/>
      <c r="Z2016" s="108" t="s">
        <v>47</v>
      </c>
      <c r="AA2016" s="114"/>
      <c r="AB2016" s="113"/>
      <c r="AC2016" s="105" t="s">
        <v>4552</v>
      </c>
      <c r="AD2016" s="115" t="s">
        <v>107</v>
      </c>
    </row>
    <row r="2017" spans="1:30" x14ac:dyDescent="0.2">
      <c r="A2017" s="104" t="s">
        <v>4553</v>
      </c>
      <c r="B2017" s="105" t="s">
        <v>371</v>
      </c>
      <c r="C2017" s="105" t="s">
        <v>244</v>
      </c>
      <c r="D2017" s="106" t="s">
        <v>105</v>
      </c>
      <c r="E2017" s="107"/>
      <c r="F2017" s="108" t="s">
        <v>17080</v>
      </c>
      <c r="G2017" s="119">
        <v>1</v>
      </c>
      <c r="H2017" s="108" t="s">
        <v>17081</v>
      </c>
      <c r="I2017" s="116">
        <v>1</v>
      </c>
      <c r="J2017" s="113"/>
      <c r="K2017" s="108" t="s">
        <v>17082</v>
      </c>
      <c r="L2017" s="116">
        <v>1</v>
      </c>
      <c r="M2017" s="113"/>
      <c r="N2017" s="108" t="s">
        <v>17080</v>
      </c>
      <c r="O2017" s="116">
        <v>1</v>
      </c>
      <c r="P2017" s="113"/>
      <c r="Q2017" s="108" t="s">
        <v>17083</v>
      </c>
      <c r="R2017" s="116">
        <v>1</v>
      </c>
      <c r="S2017" s="111" t="s">
        <v>53</v>
      </c>
      <c r="T2017" s="108" t="s">
        <v>17084</v>
      </c>
      <c r="U2017" s="112">
        <v>4</v>
      </c>
      <c r="V2017" s="113"/>
      <c r="W2017" s="108" t="s">
        <v>47</v>
      </c>
      <c r="X2017" s="114"/>
      <c r="Y2017" s="113"/>
      <c r="Z2017" s="108" t="s">
        <v>47</v>
      </c>
      <c r="AA2017" s="114"/>
      <c r="AB2017" s="113"/>
      <c r="AC2017" s="105" t="s">
        <v>4554</v>
      </c>
      <c r="AD2017" s="115" t="s">
        <v>107</v>
      </c>
    </row>
    <row r="2018" spans="1:30" x14ac:dyDescent="0.2">
      <c r="A2018" s="104" t="s">
        <v>4555</v>
      </c>
      <c r="B2018" s="105" t="s">
        <v>371</v>
      </c>
      <c r="C2018" s="105" t="s">
        <v>279</v>
      </c>
      <c r="D2018" s="106"/>
      <c r="E2018" s="107" t="s">
        <v>146</v>
      </c>
      <c r="F2018" s="108" t="s">
        <v>17085</v>
      </c>
      <c r="G2018" s="120">
        <v>2</v>
      </c>
      <c r="H2018" s="108" t="s">
        <v>17086</v>
      </c>
      <c r="I2018" s="112">
        <v>4</v>
      </c>
      <c r="J2018" s="113"/>
      <c r="K2018" s="108" t="s">
        <v>17087</v>
      </c>
      <c r="L2018" s="112">
        <v>4</v>
      </c>
      <c r="M2018" s="111" t="s">
        <v>46</v>
      </c>
      <c r="N2018" s="108" t="s">
        <v>17085</v>
      </c>
      <c r="O2018" s="117">
        <v>2</v>
      </c>
      <c r="P2018" s="113"/>
      <c r="Q2018" s="108" t="s">
        <v>47</v>
      </c>
      <c r="R2018" s="114"/>
      <c r="S2018" s="113"/>
      <c r="T2018" s="108" t="s">
        <v>47</v>
      </c>
      <c r="U2018" s="114"/>
      <c r="V2018" s="113"/>
      <c r="W2018" s="108" t="s">
        <v>47</v>
      </c>
      <c r="X2018" s="114"/>
      <c r="Y2018" s="113"/>
      <c r="Z2018" s="108" t="s">
        <v>47</v>
      </c>
      <c r="AA2018" s="114"/>
      <c r="AB2018" s="113"/>
      <c r="AC2018" s="105" t="s">
        <v>4556</v>
      </c>
      <c r="AD2018" s="115" t="s">
        <v>107</v>
      </c>
    </row>
    <row r="2019" spans="1:30" x14ac:dyDescent="0.2">
      <c r="A2019" s="104" t="s">
        <v>4557</v>
      </c>
      <c r="B2019" s="105" t="s">
        <v>371</v>
      </c>
      <c r="C2019" s="105" t="s">
        <v>279</v>
      </c>
      <c r="D2019" s="106"/>
      <c r="E2019" s="107" t="s">
        <v>146</v>
      </c>
      <c r="F2019" s="108" t="s">
        <v>47</v>
      </c>
      <c r="G2019" s="113"/>
      <c r="H2019" s="108" t="s">
        <v>17088</v>
      </c>
      <c r="I2019" s="112">
        <v>4</v>
      </c>
      <c r="J2019" s="113"/>
      <c r="K2019" s="108" t="s">
        <v>17089</v>
      </c>
      <c r="L2019" s="112">
        <v>4</v>
      </c>
      <c r="M2019" s="113"/>
      <c r="N2019" s="108" t="s">
        <v>47</v>
      </c>
      <c r="O2019" s="114"/>
      <c r="P2019" s="113"/>
      <c r="Q2019" s="108" t="s">
        <v>47</v>
      </c>
      <c r="R2019" s="114"/>
      <c r="S2019" s="113"/>
      <c r="T2019" s="108" t="s">
        <v>47</v>
      </c>
      <c r="U2019" s="114"/>
      <c r="V2019" s="113"/>
      <c r="W2019" s="108" t="s">
        <v>47</v>
      </c>
      <c r="X2019" s="114"/>
      <c r="Y2019" s="113"/>
      <c r="Z2019" s="108" t="s">
        <v>47</v>
      </c>
      <c r="AA2019" s="114"/>
      <c r="AB2019" s="113"/>
      <c r="AC2019" s="105" t="s">
        <v>4558</v>
      </c>
      <c r="AD2019" s="115" t="s">
        <v>107</v>
      </c>
    </row>
    <row r="2020" spans="1:30" x14ac:dyDescent="0.2">
      <c r="A2020" s="104" t="s">
        <v>4559</v>
      </c>
      <c r="B2020" s="105" t="s">
        <v>371</v>
      </c>
      <c r="C2020" s="105" t="s">
        <v>279</v>
      </c>
      <c r="D2020" s="106"/>
      <c r="E2020" s="107" t="s">
        <v>146</v>
      </c>
      <c r="F2020" s="108" t="s">
        <v>17090</v>
      </c>
      <c r="G2020" s="120">
        <v>2</v>
      </c>
      <c r="H2020" s="108" t="s">
        <v>17091</v>
      </c>
      <c r="I2020" s="110">
        <v>3</v>
      </c>
      <c r="J2020" s="113"/>
      <c r="K2020" s="108" t="s">
        <v>17092</v>
      </c>
      <c r="L2020" s="112">
        <v>4</v>
      </c>
      <c r="M2020" s="111" t="s">
        <v>46</v>
      </c>
      <c r="N2020" s="108" t="s">
        <v>17090</v>
      </c>
      <c r="O2020" s="117">
        <v>2</v>
      </c>
      <c r="P2020" s="113"/>
      <c r="Q2020" s="108" t="s">
        <v>47</v>
      </c>
      <c r="R2020" s="114"/>
      <c r="S2020" s="113"/>
      <c r="T2020" s="108" t="s">
        <v>47</v>
      </c>
      <c r="U2020" s="114"/>
      <c r="V2020" s="113"/>
      <c r="W2020" s="108" t="s">
        <v>47</v>
      </c>
      <c r="X2020" s="114"/>
      <c r="Y2020" s="113"/>
      <c r="Z2020" s="108" t="s">
        <v>47</v>
      </c>
      <c r="AA2020" s="114"/>
      <c r="AB2020" s="113"/>
      <c r="AC2020" s="105" t="s">
        <v>4560</v>
      </c>
      <c r="AD2020" s="115" t="s">
        <v>107</v>
      </c>
    </row>
    <row r="2021" spans="1:30" x14ac:dyDescent="0.2">
      <c r="A2021" s="104" t="s">
        <v>4561</v>
      </c>
      <c r="B2021" s="105" t="s">
        <v>371</v>
      </c>
      <c r="C2021" s="105" t="s">
        <v>279</v>
      </c>
      <c r="D2021" s="106"/>
      <c r="E2021" s="107" t="s">
        <v>146</v>
      </c>
      <c r="F2021" s="108" t="s">
        <v>17093</v>
      </c>
      <c r="G2021" s="119">
        <v>1</v>
      </c>
      <c r="H2021" s="108" t="s">
        <v>17094</v>
      </c>
      <c r="I2021" s="110">
        <v>3</v>
      </c>
      <c r="J2021" s="113"/>
      <c r="K2021" s="108" t="s">
        <v>17095</v>
      </c>
      <c r="L2021" s="112">
        <v>4</v>
      </c>
      <c r="M2021" s="111" t="s">
        <v>46</v>
      </c>
      <c r="N2021" s="108" t="s">
        <v>17093</v>
      </c>
      <c r="O2021" s="116">
        <v>1</v>
      </c>
      <c r="P2021" s="113"/>
      <c r="Q2021" s="108" t="s">
        <v>47</v>
      </c>
      <c r="R2021" s="114"/>
      <c r="S2021" s="113"/>
      <c r="T2021" s="108" t="s">
        <v>47</v>
      </c>
      <c r="U2021" s="114"/>
      <c r="V2021" s="113"/>
      <c r="W2021" s="108" t="s">
        <v>47</v>
      </c>
      <c r="X2021" s="114"/>
      <c r="Y2021" s="113"/>
      <c r="Z2021" s="108" t="s">
        <v>47</v>
      </c>
      <c r="AA2021" s="114"/>
      <c r="AB2021" s="113"/>
      <c r="AC2021" s="105" t="s">
        <v>4562</v>
      </c>
      <c r="AD2021" s="115" t="s">
        <v>107</v>
      </c>
    </row>
    <row r="2022" spans="1:30" x14ac:dyDescent="0.2">
      <c r="A2022" s="104" t="s">
        <v>4563</v>
      </c>
      <c r="B2022" s="105" t="s">
        <v>371</v>
      </c>
      <c r="C2022" s="105" t="s">
        <v>332</v>
      </c>
      <c r="D2022" s="106"/>
      <c r="E2022" s="107" t="s">
        <v>119</v>
      </c>
      <c r="F2022" s="108" t="s">
        <v>17096</v>
      </c>
      <c r="G2022" s="119">
        <v>1</v>
      </c>
      <c r="H2022" s="108" t="s">
        <v>17097</v>
      </c>
      <c r="I2022" s="116">
        <v>1</v>
      </c>
      <c r="J2022" s="111" t="s">
        <v>53</v>
      </c>
      <c r="K2022" s="108" t="s">
        <v>17098</v>
      </c>
      <c r="L2022" s="116">
        <v>1</v>
      </c>
      <c r="M2022" s="111" t="s">
        <v>40</v>
      </c>
      <c r="N2022" s="108" t="s">
        <v>17096</v>
      </c>
      <c r="O2022" s="116">
        <v>1</v>
      </c>
      <c r="P2022" s="113"/>
      <c r="Q2022" s="108" t="s">
        <v>47</v>
      </c>
      <c r="R2022" s="114"/>
      <c r="S2022" s="113"/>
      <c r="T2022" s="108" t="s">
        <v>47</v>
      </c>
      <c r="U2022" s="114"/>
      <c r="V2022" s="113"/>
      <c r="W2022" s="108" t="s">
        <v>47</v>
      </c>
      <c r="X2022" s="114"/>
      <c r="Y2022" s="113"/>
      <c r="Z2022" s="108" t="s">
        <v>47</v>
      </c>
      <c r="AA2022" s="114"/>
      <c r="AB2022" s="113"/>
      <c r="AC2022" s="105" t="s">
        <v>4564</v>
      </c>
      <c r="AD2022" s="115" t="s">
        <v>107</v>
      </c>
    </row>
    <row r="2023" spans="1:30" x14ac:dyDescent="0.2">
      <c r="A2023" s="104" t="s">
        <v>17099</v>
      </c>
      <c r="B2023" s="105" t="s">
        <v>371</v>
      </c>
      <c r="C2023" s="105" t="s">
        <v>332</v>
      </c>
      <c r="D2023" s="106"/>
      <c r="E2023" s="107"/>
      <c r="F2023" s="108" t="s">
        <v>47</v>
      </c>
      <c r="G2023" s="113"/>
      <c r="H2023" s="108" t="s">
        <v>17100</v>
      </c>
      <c r="I2023" s="116">
        <v>1</v>
      </c>
      <c r="J2023" s="111" t="s">
        <v>53</v>
      </c>
      <c r="K2023" s="108" t="s">
        <v>47</v>
      </c>
      <c r="L2023" s="114"/>
      <c r="M2023" s="113"/>
      <c r="N2023" s="108" t="s">
        <v>47</v>
      </c>
      <c r="O2023" s="114"/>
      <c r="P2023" s="113"/>
      <c r="Q2023" s="108" t="s">
        <v>47</v>
      </c>
      <c r="R2023" s="114"/>
      <c r="S2023" s="113"/>
      <c r="T2023" s="108" t="s">
        <v>47</v>
      </c>
      <c r="U2023" s="114"/>
      <c r="V2023" s="113"/>
      <c r="W2023" s="108" t="s">
        <v>47</v>
      </c>
      <c r="X2023" s="114"/>
      <c r="Y2023" s="113"/>
      <c r="Z2023" s="108" t="s">
        <v>47</v>
      </c>
      <c r="AA2023" s="114"/>
      <c r="AB2023" s="113"/>
      <c r="AC2023" s="105" t="s">
        <v>17101</v>
      </c>
      <c r="AD2023" s="115" t="s">
        <v>107</v>
      </c>
    </row>
    <row r="2024" spans="1:30" x14ac:dyDescent="0.2">
      <c r="A2024" s="104" t="s">
        <v>4565</v>
      </c>
      <c r="B2024" s="105" t="s">
        <v>371</v>
      </c>
      <c r="C2024" s="105" t="s">
        <v>332</v>
      </c>
      <c r="D2024" s="106"/>
      <c r="E2024" s="107" t="s">
        <v>119</v>
      </c>
      <c r="F2024" s="108" t="s">
        <v>17102</v>
      </c>
      <c r="G2024" s="119">
        <v>1</v>
      </c>
      <c r="H2024" s="108" t="s">
        <v>17103</v>
      </c>
      <c r="I2024" s="116">
        <v>1</v>
      </c>
      <c r="J2024" s="111" t="s">
        <v>53</v>
      </c>
      <c r="K2024" s="108" t="s">
        <v>17104</v>
      </c>
      <c r="L2024" s="116">
        <v>1</v>
      </c>
      <c r="M2024" s="111" t="s">
        <v>40</v>
      </c>
      <c r="N2024" s="108" t="s">
        <v>17102</v>
      </c>
      <c r="O2024" s="116">
        <v>1</v>
      </c>
      <c r="P2024" s="113"/>
      <c r="Q2024" s="108" t="s">
        <v>47</v>
      </c>
      <c r="R2024" s="114"/>
      <c r="S2024" s="113"/>
      <c r="T2024" s="108" t="s">
        <v>47</v>
      </c>
      <c r="U2024" s="114"/>
      <c r="V2024" s="113"/>
      <c r="W2024" s="108" t="s">
        <v>47</v>
      </c>
      <c r="X2024" s="114"/>
      <c r="Y2024" s="113"/>
      <c r="Z2024" s="108" t="s">
        <v>47</v>
      </c>
      <c r="AA2024" s="114"/>
      <c r="AB2024" s="113"/>
      <c r="AC2024" s="105" t="s">
        <v>4566</v>
      </c>
      <c r="AD2024" s="115" t="s">
        <v>107</v>
      </c>
    </row>
    <row r="2025" spans="1:30" x14ac:dyDescent="0.2">
      <c r="A2025" s="104" t="s">
        <v>4567</v>
      </c>
      <c r="B2025" s="105" t="s">
        <v>371</v>
      </c>
      <c r="C2025" s="105" t="s">
        <v>332</v>
      </c>
      <c r="D2025" s="106"/>
      <c r="E2025" s="107" t="s">
        <v>119</v>
      </c>
      <c r="F2025" s="108" t="s">
        <v>47</v>
      </c>
      <c r="G2025" s="113"/>
      <c r="H2025" s="108" t="s">
        <v>17105</v>
      </c>
      <c r="I2025" s="116">
        <v>1</v>
      </c>
      <c r="J2025" s="111" t="s">
        <v>53</v>
      </c>
      <c r="K2025" s="108" t="s">
        <v>17106</v>
      </c>
      <c r="L2025" s="116">
        <v>1</v>
      </c>
      <c r="M2025" s="113"/>
      <c r="N2025" s="108" t="s">
        <v>47</v>
      </c>
      <c r="O2025" s="114"/>
      <c r="P2025" s="113"/>
      <c r="Q2025" s="108" t="s">
        <v>47</v>
      </c>
      <c r="R2025" s="114"/>
      <c r="S2025" s="113"/>
      <c r="T2025" s="108" t="s">
        <v>47</v>
      </c>
      <c r="U2025" s="114"/>
      <c r="V2025" s="113"/>
      <c r="W2025" s="108" t="s">
        <v>47</v>
      </c>
      <c r="X2025" s="114"/>
      <c r="Y2025" s="113"/>
      <c r="Z2025" s="108" t="s">
        <v>47</v>
      </c>
      <c r="AA2025" s="114"/>
      <c r="AB2025" s="113"/>
      <c r="AC2025" s="105" t="s">
        <v>4568</v>
      </c>
      <c r="AD2025" s="115" t="s">
        <v>107</v>
      </c>
    </row>
    <row r="2026" spans="1:30" x14ac:dyDescent="0.2">
      <c r="A2026" s="104" t="s">
        <v>4569</v>
      </c>
      <c r="B2026" s="105" t="s">
        <v>371</v>
      </c>
      <c r="C2026" s="105" t="s">
        <v>332</v>
      </c>
      <c r="D2026" s="106"/>
      <c r="E2026" s="107" t="s">
        <v>119</v>
      </c>
      <c r="F2026" s="108" t="s">
        <v>17107</v>
      </c>
      <c r="G2026" s="119">
        <v>1</v>
      </c>
      <c r="H2026" s="108" t="s">
        <v>17108</v>
      </c>
      <c r="I2026" s="116">
        <v>1</v>
      </c>
      <c r="J2026" s="111" t="s">
        <v>40</v>
      </c>
      <c r="K2026" s="108" t="s">
        <v>17109</v>
      </c>
      <c r="L2026" s="116">
        <v>1</v>
      </c>
      <c r="M2026" s="111" t="s">
        <v>40</v>
      </c>
      <c r="N2026" s="108" t="s">
        <v>17107</v>
      </c>
      <c r="O2026" s="116">
        <v>1</v>
      </c>
      <c r="P2026" s="113"/>
      <c r="Q2026" s="108" t="s">
        <v>47</v>
      </c>
      <c r="R2026" s="114"/>
      <c r="S2026" s="113"/>
      <c r="T2026" s="108" t="s">
        <v>47</v>
      </c>
      <c r="U2026" s="114"/>
      <c r="V2026" s="113"/>
      <c r="W2026" s="108" t="s">
        <v>47</v>
      </c>
      <c r="X2026" s="114"/>
      <c r="Y2026" s="113"/>
      <c r="Z2026" s="108" t="s">
        <v>47</v>
      </c>
      <c r="AA2026" s="114"/>
      <c r="AB2026" s="113"/>
      <c r="AC2026" s="105" t="s">
        <v>4570</v>
      </c>
      <c r="AD2026" s="115" t="s">
        <v>107</v>
      </c>
    </row>
    <row r="2027" spans="1:30" x14ac:dyDescent="0.2">
      <c r="A2027" s="104" t="s">
        <v>17110</v>
      </c>
      <c r="B2027" s="105" t="s">
        <v>371</v>
      </c>
      <c r="C2027" s="105" t="s">
        <v>332</v>
      </c>
      <c r="D2027" s="106"/>
      <c r="E2027" s="107"/>
      <c r="F2027" s="108" t="s">
        <v>47</v>
      </c>
      <c r="G2027" s="113"/>
      <c r="H2027" s="108" t="s">
        <v>47</v>
      </c>
      <c r="I2027" s="114"/>
      <c r="J2027" s="113"/>
      <c r="K2027" s="108" t="s">
        <v>47</v>
      </c>
      <c r="L2027" s="114"/>
      <c r="M2027" s="113"/>
      <c r="N2027" s="108" t="s">
        <v>47</v>
      </c>
      <c r="O2027" s="114"/>
      <c r="P2027" s="113"/>
      <c r="Q2027" s="108" t="s">
        <v>47</v>
      </c>
      <c r="R2027" s="114"/>
      <c r="S2027" s="113"/>
      <c r="T2027" s="108" t="s">
        <v>47</v>
      </c>
      <c r="U2027" s="114"/>
      <c r="V2027" s="113"/>
      <c r="W2027" s="108" t="s">
        <v>47</v>
      </c>
      <c r="X2027" s="114"/>
      <c r="Y2027" s="113"/>
      <c r="Z2027" s="108" t="s">
        <v>47</v>
      </c>
      <c r="AA2027" s="114"/>
      <c r="AB2027" s="113"/>
      <c r="AC2027" s="105" t="s">
        <v>17111</v>
      </c>
      <c r="AD2027" s="115" t="s">
        <v>107</v>
      </c>
    </row>
    <row r="2028" spans="1:30" x14ac:dyDescent="0.2">
      <c r="A2028" s="104" t="s">
        <v>17112</v>
      </c>
      <c r="B2028" s="105" t="s">
        <v>371</v>
      </c>
      <c r="C2028" s="105" t="s">
        <v>332</v>
      </c>
      <c r="D2028" s="106"/>
      <c r="E2028" s="107"/>
      <c r="F2028" s="108" t="s">
        <v>47</v>
      </c>
      <c r="G2028" s="113"/>
      <c r="H2028" s="108" t="s">
        <v>47</v>
      </c>
      <c r="I2028" s="114"/>
      <c r="J2028" s="113"/>
      <c r="K2028" s="108" t="s">
        <v>47</v>
      </c>
      <c r="L2028" s="114"/>
      <c r="M2028" s="113"/>
      <c r="N2028" s="108" t="s">
        <v>47</v>
      </c>
      <c r="O2028" s="114"/>
      <c r="P2028" s="113"/>
      <c r="Q2028" s="108" t="s">
        <v>47</v>
      </c>
      <c r="R2028" s="114"/>
      <c r="S2028" s="113"/>
      <c r="T2028" s="108" t="s">
        <v>47</v>
      </c>
      <c r="U2028" s="114"/>
      <c r="V2028" s="113"/>
      <c r="W2028" s="108" t="s">
        <v>47</v>
      </c>
      <c r="X2028" s="114"/>
      <c r="Y2028" s="113"/>
      <c r="Z2028" s="108" t="s">
        <v>47</v>
      </c>
      <c r="AA2028" s="114"/>
      <c r="AB2028" s="113"/>
      <c r="AC2028" s="105" t="s">
        <v>17113</v>
      </c>
      <c r="AD2028" s="115" t="s">
        <v>107</v>
      </c>
    </row>
    <row r="2029" spans="1:30" x14ac:dyDescent="0.2">
      <c r="A2029" s="104" t="s">
        <v>4571</v>
      </c>
      <c r="B2029" s="105" t="s">
        <v>371</v>
      </c>
      <c r="C2029" s="105" t="s">
        <v>332</v>
      </c>
      <c r="D2029" s="106"/>
      <c r="E2029" s="107" t="s">
        <v>119</v>
      </c>
      <c r="F2029" s="108" t="s">
        <v>17114</v>
      </c>
      <c r="G2029" s="119">
        <v>1</v>
      </c>
      <c r="H2029" s="108" t="s">
        <v>17115</v>
      </c>
      <c r="I2029" s="116">
        <v>1</v>
      </c>
      <c r="J2029" s="111" t="s">
        <v>40</v>
      </c>
      <c r="K2029" s="108" t="s">
        <v>17116</v>
      </c>
      <c r="L2029" s="116">
        <v>1</v>
      </c>
      <c r="M2029" s="111" t="s">
        <v>40</v>
      </c>
      <c r="N2029" s="108" t="s">
        <v>17114</v>
      </c>
      <c r="O2029" s="116">
        <v>1</v>
      </c>
      <c r="P2029" s="113"/>
      <c r="Q2029" s="108" t="s">
        <v>47</v>
      </c>
      <c r="R2029" s="114"/>
      <c r="S2029" s="113"/>
      <c r="T2029" s="108" t="s">
        <v>47</v>
      </c>
      <c r="U2029" s="114"/>
      <c r="V2029" s="113"/>
      <c r="W2029" s="108" t="s">
        <v>47</v>
      </c>
      <c r="X2029" s="114"/>
      <c r="Y2029" s="113"/>
      <c r="Z2029" s="108" t="s">
        <v>47</v>
      </c>
      <c r="AA2029" s="114"/>
      <c r="AB2029" s="113"/>
      <c r="AC2029" s="105" t="s">
        <v>4572</v>
      </c>
      <c r="AD2029" s="115" t="s">
        <v>107</v>
      </c>
    </row>
    <row r="2030" spans="1:30" x14ac:dyDescent="0.2">
      <c r="A2030" s="104" t="s">
        <v>4573</v>
      </c>
      <c r="B2030" s="105" t="s">
        <v>371</v>
      </c>
      <c r="C2030" s="105" t="s">
        <v>332</v>
      </c>
      <c r="D2030" s="106"/>
      <c r="E2030" s="107" t="s">
        <v>119</v>
      </c>
      <c r="F2030" s="108" t="s">
        <v>17117</v>
      </c>
      <c r="G2030" s="119">
        <v>1</v>
      </c>
      <c r="H2030" s="108" t="s">
        <v>17118</v>
      </c>
      <c r="I2030" s="116">
        <v>1</v>
      </c>
      <c r="J2030" s="111" t="s">
        <v>40</v>
      </c>
      <c r="K2030" s="108" t="s">
        <v>17119</v>
      </c>
      <c r="L2030" s="116">
        <v>1</v>
      </c>
      <c r="M2030" s="111" t="s">
        <v>40</v>
      </c>
      <c r="N2030" s="108" t="s">
        <v>17117</v>
      </c>
      <c r="O2030" s="116">
        <v>1</v>
      </c>
      <c r="P2030" s="113"/>
      <c r="Q2030" s="108" t="s">
        <v>47</v>
      </c>
      <c r="R2030" s="114"/>
      <c r="S2030" s="113"/>
      <c r="T2030" s="108" t="s">
        <v>47</v>
      </c>
      <c r="U2030" s="114"/>
      <c r="V2030" s="113"/>
      <c r="W2030" s="108" t="s">
        <v>47</v>
      </c>
      <c r="X2030" s="114"/>
      <c r="Y2030" s="113"/>
      <c r="Z2030" s="108" t="s">
        <v>47</v>
      </c>
      <c r="AA2030" s="114"/>
      <c r="AB2030" s="113"/>
      <c r="AC2030" s="105" t="s">
        <v>4574</v>
      </c>
      <c r="AD2030" s="115" t="s">
        <v>107</v>
      </c>
    </row>
    <row r="2031" spans="1:30" x14ac:dyDescent="0.2">
      <c r="A2031" s="104" t="s">
        <v>4575</v>
      </c>
      <c r="B2031" s="105" t="s">
        <v>371</v>
      </c>
      <c r="C2031" s="105" t="s">
        <v>332</v>
      </c>
      <c r="D2031" s="106"/>
      <c r="E2031" s="107" t="s">
        <v>146</v>
      </c>
      <c r="F2031" s="108" t="s">
        <v>17120</v>
      </c>
      <c r="G2031" s="119">
        <v>1</v>
      </c>
      <c r="H2031" s="108" t="s">
        <v>17121</v>
      </c>
      <c r="I2031" s="116">
        <v>1</v>
      </c>
      <c r="J2031" s="111" t="s">
        <v>40</v>
      </c>
      <c r="K2031" s="108" t="s">
        <v>17122</v>
      </c>
      <c r="L2031" s="116">
        <v>1</v>
      </c>
      <c r="M2031" s="111" t="s">
        <v>40</v>
      </c>
      <c r="N2031" s="108" t="s">
        <v>17120</v>
      </c>
      <c r="O2031" s="116">
        <v>1</v>
      </c>
      <c r="P2031" s="113"/>
      <c r="Q2031" s="108" t="s">
        <v>17123</v>
      </c>
      <c r="R2031" s="112">
        <v>4</v>
      </c>
      <c r="S2031" s="113"/>
      <c r="T2031" s="108" t="s">
        <v>47</v>
      </c>
      <c r="U2031" s="114"/>
      <c r="V2031" s="113"/>
      <c r="W2031" s="108" t="s">
        <v>47</v>
      </c>
      <c r="X2031" s="114"/>
      <c r="Y2031" s="113"/>
      <c r="Z2031" s="108" t="s">
        <v>47</v>
      </c>
      <c r="AA2031" s="114"/>
      <c r="AB2031" s="113"/>
      <c r="AC2031" s="105" t="s">
        <v>4576</v>
      </c>
      <c r="AD2031" s="115" t="s">
        <v>107</v>
      </c>
    </row>
    <row r="2032" spans="1:30" x14ac:dyDescent="0.2">
      <c r="A2032" s="104" t="s">
        <v>4577</v>
      </c>
      <c r="B2032" s="105" t="s">
        <v>371</v>
      </c>
      <c r="C2032" s="105" t="s">
        <v>2248</v>
      </c>
      <c r="D2032" s="106"/>
      <c r="E2032" s="107" t="s">
        <v>99</v>
      </c>
      <c r="F2032" s="108" t="s">
        <v>17124</v>
      </c>
      <c r="G2032" s="120">
        <v>2</v>
      </c>
      <c r="H2032" s="108" t="s">
        <v>17125</v>
      </c>
      <c r="I2032" s="116">
        <v>1</v>
      </c>
      <c r="J2032" s="111" t="s">
        <v>40</v>
      </c>
      <c r="K2032" s="108" t="s">
        <v>17126</v>
      </c>
      <c r="L2032" s="117">
        <v>2</v>
      </c>
      <c r="M2032" s="113"/>
      <c r="N2032" s="108" t="s">
        <v>17124</v>
      </c>
      <c r="O2032" s="117">
        <v>2</v>
      </c>
      <c r="P2032" s="113"/>
      <c r="Q2032" s="108" t="s">
        <v>17127</v>
      </c>
      <c r="R2032" s="110">
        <v>3</v>
      </c>
      <c r="S2032" s="113"/>
      <c r="T2032" s="108" t="s">
        <v>47</v>
      </c>
      <c r="U2032" s="114"/>
      <c r="V2032" s="113"/>
      <c r="W2032" s="108" t="s">
        <v>47</v>
      </c>
      <c r="X2032" s="114"/>
      <c r="Y2032" s="113"/>
      <c r="Z2032" s="108" t="s">
        <v>47</v>
      </c>
      <c r="AA2032" s="114"/>
      <c r="AB2032" s="113"/>
      <c r="AC2032" s="105" t="s">
        <v>4578</v>
      </c>
      <c r="AD2032" s="115" t="s">
        <v>107</v>
      </c>
    </row>
    <row r="2033" spans="1:30" x14ac:dyDescent="0.2">
      <c r="A2033" s="104" t="s">
        <v>4579</v>
      </c>
      <c r="B2033" s="105" t="s">
        <v>371</v>
      </c>
      <c r="C2033" s="105" t="s">
        <v>332</v>
      </c>
      <c r="D2033" s="106"/>
      <c r="E2033" s="107" t="s">
        <v>146</v>
      </c>
      <c r="F2033" s="108" t="s">
        <v>17128</v>
      </c>
      <c r="G2033" s="119">
        <v>1</v>
      </c>
      <c r="H2033" s="108" t="s">
        <v>17129</v>
      </c>
      <c r="I2033" s="116">
        <v>1</v>
      </c>
      <c r="J2033" s="111" t="s">
        <v>40</v>
      </c>
      <c r="K2033" s="108" t="s">
        <v>17130</v>
      </c>
      <c r="L2033" s="116">
        <v>1</v>
      </c>
      <c r="M2033" s="111" t="s">
        <v>40</v>
      </c>
      <c r="N2033" s="108" t="s">
        <v>17128</v>
      </c>
      <c r="O2033" s="116">
        <v>1</v>
      </c>
      <c r="P2033" s="113"/>
      <c r="Q2033" s="108" t="s">
        <v>17131</v>
      </c>
      <c r="R2033" s="112">
        <v>4</v>
      </c>
      <c r="S2033" s="113"/>
      <c r="T2033" s="108" t="s">
        <v>47</v>
      </c>
      <c r="U2033" s="114"/>
      <c r="V2033" s="113"/>
      <c r="W2033" s="108" t="s">
        <v>47</v>
      </c>
      <c r="X2033" s="114"/>
      <c r="Y2033" s="113"/>
      <c r="Z2033" s="108" t="s">
        <v>47</v>
      </c>
      <c r="AA2033" s="114"/>
      <c r="AB2033" s="113"/>
      <c r="AC2033" s="105" t="s">
        <v>4580</v>
      </c>
      <c r="AD2033" s="115" t="s">
        <v>107</v>
      </c>
    </row>
    <row r="2034" spans="1:30" x14ac:dyDescent="0.2">
      <c r="A2034" s="104" t="s">
        <v>4581</v>
      </c>
      <c r="B2034" s="105" t="s">
        <v>371</v>
      </c>
      <c r="C2034" s="105" t="s">
        <v>332</v>
      </c>
      <c r="D2034" s="106"/>
      <c r="E2034" s="107" t="s">
        <v>146</v>
      </c>
      <c r="F2034" s="108" t="s">
        <v>17132</v>
      </c>
      <c r="G2034" s="119">
        <v>1</v>
      </c>
      <c r="H2034" s="108" t="s">
        <v>17133</v>
      </c>
      <c r="I2034" s="116">
        <v>1</v>
      </c>
      <c r="J2034" s="111" t="s">
        <v>40</v>
      </c>
      <c r="K2034" s="108" t="s">
        <v>17134</v>
      </c>
      <c r="L2034" s="116">
        <v>1</v>
      </c>
      <c r="M2034" s="111" t="s">
        <v>40</v>
      </c>
      <c r="N2034" s="108" t="s">
        <v>17132</v>
      </c>
      <c r="O2034" s="116">
        <v>1</v>
      </c>
      <c r="P2034" s="113"/>
      <c r="Q2034" s="108" t="s">
        <v>17135</v>
      </c>
      <c r="R2034" s="112">
        <v>4</v>
      </c>
      <c r="S2034" s="113"/>
      <c r="T2034" s="108" t="s">
        <v>47</v>
      </c>
      <c r="U2034" s="114"/>
      <c r="V2034" s="113"/>
      <c r="W2034" s="108" t="s">
        <v>47</v>
      </c>
      <c r="X2034" s="114"/>
      <c r="Y2034" s="113"/>
      <c r="Z2034" s="108" t="s">
        <v>47</v>
      </c>
      <c r="AA2034" s="114"/>
      <c r="AB2034" s="113"/>
      <c r="AC2034" s="105" t="s">
        <v>4582</v>
      </c>
      <c r="AD2034" s="115" t="s">
        <v>107</v>
      </c>
    </row>
    <row r="2035" spans="1:30" x14ac:dyDescent="0.2">
      <c r="A2035" s="104" t="s">
        <v>4583</v>
      </c>
      <c r="B2035" s="105" t="s">
        <v>371</v>
      </c>
      <c r="C2035" s="105" t="s">
        <v>332</v>
      </c>
      <c r="D2035" s="106"/>
      <c r="E2035" s="107" t="s">
        <v>146</v>
      </c>
      <c r="F2035" s="108" t="s">
        <v>17136</v>
      </c>
      <c r="G2035" s="119">
        <v>1</v>
      </c>
      <c r="H2035" s="108" t="s">
        <v>17137</v>
      </c>
      <c r="I2035" s="116">
        <v>1</v>
      </c>
      <c r="J2035" s="111" t="s">
        <v>53</v>
      </c>
      <c r="K2035" s="108" t="s">
        <v>17138</v>
      </c>
      <c r="L2035" s="116">
        <v>1</v>
      </c>
      <c r="M2035" s="111" t="s">
        <v>40</v>
      </c>
      <c r="N2035" s="108" t="s">
        <v>17136</v>
      </c>
      <c r="O2035" s="116">
        <v>1</v>
      </c>
      <c r="P2035" s="111" t="s">
        <v>40</v>
      </c>
      <c r="Q2035" s="108" t="s">
        <v>17139</v>
      </c>
      <c r="R2035" s="112">
        <v>4</v>
      </c>
      <c r="S2035" s="113"/>
      <c r="T2035" s="108" t="s">
        <v>47</v>
      </c>
      <c r="U2035" s="114"/>
      <c r="V2035" s="113"/>
      <c r="W2035" s="108" t="s">
        <v>47</v>
      </c>
      <c r="X2035" s="114"/>
      <c r="Y2035" s="113"/>
      <c r="Z2035" s="108" t="s">
        <v>47</v>
      </c>
      <c r="AA2035" s="114"/>
      <c r="AB2035" s="113"/>
      <c r="AC2035" s="105" t="s">
        <v>4584</v>
      </c>
      <c r="AD2035" s="115" t="s">
        <v>107</v>
      </c>
    </row>
    <row r="2036" spans="1:30" x14ac:dyDescent="0.2">
      <c r="A2036" s="104" t="s">
        <v>4585</v>
      </c>
      <c r="B2036" s="105" t="s">
        <v>371</v>
      </c>
      <c r="C2036" s="105" t="s">
        <v>332</v>
      </c>
      <c r="D2036" s="106"/>
      <c r="E2036" s="107" t="s">
        <v>146</v>
      </c>
      <c r="F2036" s="108" t="s">
        <v>17140</v>
      </c>
      <c r="G2036" s="119">
        <v>1</v>
      </c>
      <c r="H2036" s="108" t="s">
        <v>17141</v>
      </c>
      <c r="I2036" s="116">
        <v>1</v>
      </c>
      <c r="J2036" s="111" t="s">
        <v>40</v>
      </c>
      <c r="K2036" s="108" t="s">
        <v>17142</v>
      </c>
      <c r="L2036" s="116">
        <v>1</v>
      </c>
      <c r="M2036" s="111" t="s">
        <v>40</v>
      </c>
      <c r="N2036" s="108" t="s">
        <v>17140</v>
      </c>
      <c r="O2036" s="116">
        <v>1</v>
      </c>
      <c r="P2036" s="113"/>
      <c r="Q2036" s="108" t="s">
        <v>17143</v>
      </c>
      <c r="R2036" s="112">
        <v>4</v>
      </c>
      <c r="S2036" s="113"/>
      <c r="T2036" s="108" t="s">
        <v>47</v>
      </c>
      <c r="U2036" s="114"/>
      <c r="V2036" s="113"/>
      <c r="W2036" s="108" t="s">
        <v>47</v>
      </c>
      <c r="X2036" s="114"/>
      <c r="Y2036" s="113"/>
      <c r="Z2036" s="108" t="s">
        <v>47</v>
      </c>
      <c r="AA2036" s="114"/>
      <c r="AB2036" s="113"/>
      <c r="AC2036" s="105" t="s">
        <v>4586</v>
      </c>
      <c r="AD2036" s="115" t="s">
        <v>107</v>
      </c>
    </row>
    <row r="2037" spans="1:30" x14ac:dyDescent="0.2">
      <c r="A2037" s="104" t="s">
        <v>4587</v>
      </c>
      <c r="B2037" s="105" t="s">
        <v>371</v>
      </c>
      <c r="C2037" s="105" t="s">
        <v>332</v>
      </c>
      <c r="D2037" s="106"/>
      <c r="E2037" s="107" t="s">
        <v>146</v>
      </c>
      <c r="F2037" s="108" t="s">
        <v>17144</v>
      </c>
      <c r="G2037" s="119">
        <v>1</v>
      </c>
      <c r="H2037" s="108" t="s">
        <v>17145</v>
      </c>
      <c r="I2037" s="116">
        <v>1</v>
      </c>
      <c r="J2037" s="111" t="s">
        <v>40</v>
      </c>
      <c r="K2037" s="108" t="s">
        <v>17146</v>
      </c>
      <c r="L2037" s="116">
        <v>1</v>
      </c>
      <c r="M2037" s="111" t="s">
        <v>40</v>
      </c>
      <c r="N2037" s="108" t="s">
        <v>17144</v>
      </c>
      <c r="O2037" s="116">
        <v>1</v>
      </c>
      <c r="P2037" s="113"/>
      <c r="Q2037" s="108" t="s">
        <v>17147</v>
      </c>
      <c r="R2037" s="112">
        <v>4</v>
      </c>
      <c r="S2037" s="113"/>
      <c r="T2037" s="108" t="s">
        <v>47</v>
      </c>
      <c r="U2037" s="114"/>
      <c r="V2037" s="113"/>
      <c r="W2037" s="108" t="s">
        <v>47</v>
      </c>
      <c r="X2037" s="114"/>
      <c r="Y2037" s="113"/>
      <c r="Z2037" s="108" t="s">
        <v>47</v>
      </c>
      <c r="AA2037" s="114"/>
      <c r="AB2037" s="113"/>
      <c r="AC2037" s="105" t="s">
        <v>4588</v>
      </c>
      <c r="AD2037" s="115" t="s">
        <v>107</v>
      </c>
    </row>
    <row r="2038" spans="1:30" x14ac:dyDescent="0.2">
      <c r="A2038" s="104" t="s">
        <v>17148</v>
      </c>
      <c r="B2038" s="105" t="s">
        <v>371</v>
      </c>
      <c r="C2038" s="105" t="s">
        <v>332</v>
      </c>
      <c r="D2038" s="106"/>
      <c r="E2038" s="107" t="s">
        <v>146</v>
      </c>
      <c r="F2038" s="108" t="s">
        <v>17149</v>
      </c>
      <c r="G2038" s="119">
        <v>1</v>
      </c>
      <c r="H2038" s="108" t="s">
        <v>17150</v>
      </c>
      <c r="I2038" s="116">
        <v>1</v>
      </c>
      <c r="J2038" s="111" t="s">
        <v>40</v>
      </c>
      <c r="K2038" s="108" t="s">
        <v>17151</v>
      </c>
      <c r="L2038" s="116">
        <v>1</v>
      </c>
      <c r="M2038" s="111" t="s">
        <v>40</v>
      </c>
      <c r="N2038" s="108" t="s">
        <v>17149</v>
      </c>
      <c r="O2038" s="116">
        <v>1</v>
      </c>
      <c r="P2038" s="113"/>
      <c r="Q2038" s="108" t="s">
        <v>47</v>
      </c>
      <c r="R2038" s="114"/>
      <c r="S2038" s="113"/>
      <c r="T2038" s="108" t="s">
        <v>47</v>
      </c>
      <c r="U2038" s="114"/>
      <c r="V2038" s="113"/>
      <c r="W2038" s="108" t="s">
        <v>47</v>
      </c>
      <c r="X2038" s="114"/>
      <c r="Y2038" s="113"/>
      <c r="Z2038" s="108" t="s">
        <v>47</v>
      </c>
      <c r="AA2038" s="114"/>
      <c r="AB2038" s="113"/>
      <c r="AC2038" s="105" t="s">
        <v>17152</v>
      </c>
      <c r="AD2038" s="115" t="s">
        <v>107</v>
      </c>
    </row>
    <row r="2039" spans="1:30" x14ac:dyDescent="0.2">
      <c r="A2039" s="104" t="s">
        <v>4589</v>
      </c>
      <c r="B2039" s="105" t="s">
        <v>371</v>
      </c>
      <c r="C2039" s="105" t="s">
        <v>439</v>
      </c>
      <c r="D2039" s="106" t="s">
        <v>94</v>
      </c>
      <c r="E2039" s="107"/>
      <c r="F2039" s="108" t="s">
        <v>17153</v>
      </c>
      <c r="G2039" s="109">
        <v>4</v>
      </c>
      <c r="H2039" s="108" t="s">
        <v>17154</v>
      </c>
      <c r="I2039" s="112">
        <v>4</v>
      </c>
      <c r="J2039" s="111" t="s">
        <v>46</v>
      </c>
      <c r="K2039" s="108" t="s">
        <v>17155</v>
      </c>
      <c r="L2039" s="112">
        <v>4</v>
      </c>
      <c r="M2039" s="111" t="s">
        <v>46</v>
      </c>
      <c r="N2039" s="108" t="s">
        <v>17153</v>
      </c>
      <c r="O2039" s="112">
        <v>4</v>
      </c>
      <c r="P2039" s="111" t="s">
        <v>46</v>
      </c>
      <c r="Q2039" s="108" t="s">
        <v>17156</v>
      </c>
      <c r="R2039" s="110">
        <v>3</v>
      </c>
      <c r="S2039" s="111" t="s">
        <v>46</v>
      </c>
      <c r="T2039" s="108" t="s">
        <v>17157</v>
      </c>
      <c r="U2039" s="117">
        <v>2</v>
      </c>
      <c r="V2039" s="113"/>
      <c r="W2039" s="108" t="s">
        <v>17158</v>
      </c>
      <c r="X2039" s="117">
        <v>2</v>
      </c>
      <c r="Y2039" s="113"/>
      <c r="Z2039" s="108" t="s">
        <v>17159</v>
      </c>
      <c r="AA2039" s="116">
        <v>1</v>
      </c>
      <c r="AB2039" s="113"/>
      <c r="AC2039" s="105" t="s">
        <v>4590</v>
      </c>
      <c r="AD2039" s="115" t="s">
        <v>107</v>
      </c>
    </row>
    <row r="2040" spans="1:30" x14ac:dyDescent="0.2">
      <c r="A2040" s="104" t="s">
        <v>4591</v>
      </c>
      <c r="B2040" s="105" t="s">
        <v>371</v>
      </c>
      <c r="C2040" s="105" t="s">
        <v>439</v>
      </c>
      <c r="D2040" s="106" t="s">
        <v>94</v>
      </c>
      <c r="E2040" s="107"/>
      <c r="F2040" s="108" t="s">
        <v>17160</v>
      </c>
      <c r="G2040" s="109">
        <v>4</v>
      </c>
      <c r="H2040" s="108" t="s">
        <v>17161</v>
      </c>
      <c r="I2040" s="112">
        <v>4</v>
      </c>
      <c r="J2040" s="111" t="s">
        <v>46</v>
      </c>
      <c r="K2040" s="108" t="s">
        <v>17162</v>
      </c>
      <c r="L2040" s="112">
        <v>4</v>
      </c>
      <c r="M2040" s="111" t="s">
        <v>46</v>
      </c>
      <c r="N2040" s="108" t="s">
        <v>17160</v>
      </c>
      <c r="O2040" s="112">
        <v>4</v>
      </c>
      <c r="P2040" s="111" t="s">
        <v>46</v>
      </c>
      <c r="Q2040" s="108" t="s">
        <v>17163</v>
      </c>
      <c r="R2040" s="110">
        <v>3</v>
      </c>
      <c r="S2040" s="111" t="s">
        <v>46</v>
      </c>
      <c r="T2040" s="108" t="s">
        <v>17164</v>
      </c>
      <c r="U2040" s="117">
        <v>2</v>
      </c>
      <c r="V2040" s="113"/>
      <c r="W2040" s="108" t="s">
        <v>17165</v>
      </c>
      <c r="X2040" s="117">
        <v>2</v>
      </c>
      <c r="Y2040" s="113"/>
      <c r="Z2040" s="108" t="s">
        <v>17166</v>
      </c>
      <c r="AA2040" s="116">
        <v>1</v>
      </c>
      <c r="AB2040" s="113"/>
      <c r="AC2040" s="105" t="s">
        <v>4592</v>
      </c>
      <c r="AD2040" s="115" t="s">
        <v>107</v>
      </c>
    </row>
    <row r="2041" spans="1:30" x14ac:dyDescent="0.2">
      <c r="A2041" s="104" t="s">
        <v>4593</v>
      </c>
      <c r="B2041" s="105" t="s">
        <v>371</v>
      </c>
      <c r="C2041" s="105" t="s">
        <v>439</v>
      </c>
      <c r="D2041" s="106"/>
      <c r="E2041" s="107"/>
      <c r="F2041" s="108" t="s">
        <v>17167</v>
      </c>
      <c r="G2041" s="109">
        <v>4</v>
      </c>
      <c r="H2041" s="108" t="s">
        <v>17168</v>
      </c>
      <c r="I2041" s="112">
        <v>4</v>
      </c>
      <c r="J2041" s="111" t="s">
        <v>46</v>
      </c>
      <c r="K2041" s="108" t="s">
        <v>17169</v>
      </c>
      <c r="L2041" s="112">
        <v>4</v>
      </c>
      <c r="M2041" s="113"/>
      <c r="N2041" s="108" t="s">
        <v>17167</v>
      </c>
      <c r="O2041" s="112">
        <v>4</v>
      </c>
      <c r="P2041" s="111" t="s">
        <v>46</v>
      </c>
      <c r="Q2041" s="108" t="s">
        <v>17170</v>
      </c>
      <c r="R2041" s="110">
        <v>3</v>
      </c>
      <c r="S2041" s="111" t="s">
        <v>46</v>
      </c>
      <c r="T2041" s="108" t="s">
        <v>47</v>
      </c>
      <c r="U2041" s="114"/>
      <c r="V2041" s="113"/>
      <c r="W2041" s="108" t="s">
        <v>47</v>
      </c>
      <c r="X2041" s="114"/>
      <c r="Y2041" s="113"/>
      <c r="Z2041" s="108" t="s">
        <v>47</v>
      </c>
      <c r="AA2041" s="114"/>
      <c r="AB2041" s="113"/>
      <c r="AC2041" s="105" t="s">
        <v>4594</v>
      </c>
      <c r="AD2041" s="115" t="s">
        <v>107</v>
      </c>
    </row>
    <row r="2042" spans="1:30" x14ac:dyDescent="0.2">
      <c r="A2042" s="104" t="s">
        <v>4595</v>
      </c>
      <c r="B2042" s="105" t="s">
        <v>371</v>
      </c>
      <c r="C2042" s="105" t="s">
        <v>439</v>
      </c>
      <c r="D2042" s="106" t="s">
        <v>94</v>
      </c>
      <c r="E2042" s="107"/>
      <c r="F2042" s="108" t="s">
        <v>17171</v>
      </c>
      <c r="G2042" s="109">
        <v>4</v>
      </c>
      <c r="H2042" s="108" t="s">
        <v>17172</v>
      </c>
      <c r="I2042" s="112">
        <v>4</v>
      </c>
      <c r="J2042" s="111" t="s">
        <v>46</v>
      </c>
      <c r="K2042" s="108" t="s">
        <v>17173</v>
      </c>
      <c r="L2042" s="112">
        <v>4</v>
      </c>
      <c r="M2042" s="111" t="s">
        <v>46</v>
      </c>
      <c r="N2042" s="108" t="s">
        <v>17171</v>
      </c>
      <c r="O2042" s="112">
        <v>4</v>
      </c>
      <c r="P2042" s="111" t="s">
        <v>46</v>
      </c>
      <c r="Q2042" s="108" t="s">
        <v>17174</v>
      </c>
      <c r="R2042" s="110">
        <v>3</v>
      </c>
      <c r="S2042" s="111" t="s">
        <v>46</v>
      </c>
      <c r="T2042" s="108" t="s">
        <v>17175</v>
      </c>
      <c r="U2042" s="116">
        <v>1</v>
      </c>
      <c r="V2042" s="113"/>
      <c r="W2042" s="108" t="s">
        <v>17176</v>
      </c>
      <c r="X2042" s="116">
        <v>1</v>
      </c>
      <c r="Y2042" s="113"/>
      <c r="Z2042" s="108" t="s">
        <v>47</v>
      </c>
      <c r="AA2042" s="114"/>
      <c r="AB2042" s="113"/>
      <c r="AC2042" s="105" t="s">
        <v>4596</v>
      </c>
      <c r="AD2042" s="115" t="s">
        <v>107</v>
      </c>
    </row>
    <row r="2043" spans="1:30" x14ac:dyDescent="0.2">
      <c r="A2043" s="104" t="s">
        <v>4597</v>
      </c>
      <c r="B2043" s="105" t="s">
        <v>371</v>
      </c>
      <c r="C2043" s="105" t="s">
        <v>439</v>
      </c>
      <c r="D2043" s="106"/>
      <c r="E2043" s="107"/>
      <c r="F2043" s="108" t="s">
        <v>17177</v>
      </c>
      <c r="G2043" s="109">
        <v>4</v>
      </c>
      <c r="H2043" s="108" t="s">
        <v>17178</v>
      </c>
      <c r="I2043" s="112">
        <v>4</v>
      </c>
      <c r="J2043" s="111" t="s">
        <v>46</v>
      </c>
      <c r="K2043" s="108" t="s">
        <v>17179</v>
      </c>
      <c r="L2043" s="112">
        <v>4</v>
      </c>
      <c r="M2043" s="111" t="s">
        <v>46</v>
      </c>
      <c r="N2043" s="108" t="s">
        <v>17177</v>
      </c>
      <c r="O2043" s="112">
        <v>4</v>
      </c>
      <c r="P2043" s="113"/>
      <c r="Q2043" s="108" t="s">
        <v>47</v>
      </c>
      <c r="R2043" s="114"/>
      <c r="S2043" s="113"/>
      <c r="T2043" s="108" t="s">
        <v>47</v>
      </c>
      <c r="U2043" s="114"/>
      <c r="V2043" s="113"/>
      <c r="W2043" s="108" t="s">
        <v>47</v>
      </c>
      <c r="X2043" s="114"/>
      <c r="Y2043" s="113"/>
      <c r="Z2043" s="108" t="s">
        <v>47</v>
      </c>
      <c r="AA2043" s="114"/>
      <c r="AB2043" s="113"/>
      <c r="AC2043" s="105" t="s">
        <v>4598</v>
      </c>
      <c r="AD2043" s="115" t="s">
        <v>107</v>
      </c>
    </row>
    <row r="2044" spans="1:30" x14ac:dyDescent="0.2">
      <c r="A2044" s="104" t="s">
        <v>4599</v>
      </c>
      <c r="B2044" s="105" t="s">
        <v>371</v>
      </c>
      <c r="C2044" s="105" t="s">
        <v>372</v>
      </c>
      <c r="D2044" s="106" t="s">
        <v>94</v>
      </c>
      <c r="E2044" s="107"/>
      <c r="F2044" s="108" t="s">
        <v>17180</v>
      </c>
      <c r="G2044" s="118">
        <v>3</v>
      </c>
      <c r="H2044" s="108" t="s">
        <v>17181</v>
      </c>
      <c r="I2044" s="116">
        <v>1</v>
      </c>
      <c r="J2044" s="111" t="s">
        <v>40</v>
      </c>
      <c r="K2044" s="108" t="s">
        <v>17182</v>
      </c>
      <c r="L2044" s="116">
        <v>1</v>
      </c>
      <c r="M2044" s="111" t="s">
        <v>40</v>
      </c>
      <c r="N2044" s="108" t="s">
        <v>17180</v>
      </c>
      <c r="O2044" s="110">
        <v>3</v>
      </c>
      <c r="P2044" s="111" t="s">
        <v>46</v>
      </c>
      <c r="Q2044" s="108" t="s">
        <v>17183</v>
      </c>
      <c r="R2044" s="110">
        <v>3</v>
      </c>
      <c r="S2044" s="111" t="s">
        <v>40</v>
      </c>
      <c r="T2044" s="108" t="s">
        <v>17184</v>
      </c>
      <c r="U2044" s="110">
        <v>3</v>
      </c>
      <c r="V2044" s="113"/>
      <c r="W2044" s="108" t="s">
        <v>17185</v>
      </c>
      <c r="X2044" s="117">
        <v>2</v>
      </c>
      <c r="Y2044" s="111" t="s">
        <v>46</v>
      </c>
      <c r="Z2044" s="108" t="s">
        <v>47</v>
      </c>
      <c r="AA2044" s="114"/>
      <c r="AB2044" s="113"/>
      <c r="AC2044" s="105" t="s">
        <v>4600</v>
      </c>
      <c r="AD2044" s="115" t="s">
        <v>107</v>
      </c>
    </row>
    <row r="2045" spans="1:30" x14ac:dyDescent="0.2">
      <c r="A2045" s="104" t="s">
        <v>4601</v>
      </c>
      <c r="B2045" s="105" t="s">
        <v>371</v>
      </c>
      <c r="C2045" s="105" t="s">
        <v>372</v>
      </c>
      <c r="D2045" s="106" t="s">
        <v>94</v>
      </c>
      <c r="E2045" s="107"/>
      <c r="F2045" s="108" t="s">
        <v>17186</v>
      </c>
      <c r="G2045" s="118">
        <v>3</v>
      </c>
      <c r="H2045" s="108" t="s">
        <v>17187</v>
      </c>
      <c r="I2045" s="116">
        <v>1</v>
      </c>
      <c r="J2045" s="111" t="s">
        <v>40</v>
      </c>
      <c r="K2045" s="108" t="s">
        <v>17188</v>
      </c>
      <c r="L2045" s="116">
        <v>1</v>
      </c>
      <c r="M2045" s="111" t="s">
        <v>40</v>
      </c>
      <c r="N2045" s="108" t="s">
        <v>17186</v>
      </c>
      <c r="O2045" s="110">
        <v>3</v>
      </c>
      <c r="P2045" s="111" t="s">
        <v>46</v>
      </c>
      <c r="Q2045" s="108" t="s">
        <v>17189</v>
      </c>
      <c r="R2045" s="110">
        <v>3</v>
      </c>
      <c r="S2045" s="111" t="s">
        <v>40</v>
      </c>
      <c r="T2045" s="108" t="s">
        <v>17190</v>
      </c>
      <c r="U2045" s="110">
        <v>3</v>
      </c>
      <c r="V2045" s="113"/>
      <c r="W2045" s="108" t="s">
        <v>14747</v>
      </c>
      <c r="X2045" s="116">
        <v>1</v>
      </c>
      <c r="Y2045" s="113"/>
      <c r="Z2045" s="108" t="s">
        <v>47</v>
      </c>
      <c r="AA2045" s="114"/>
      <c r="AB2045" s="113"/>
      <c r="AC2045" s="105" t="s">
        <v>4602</v>
      </c>
      <c r="AD2045" s="115" t="s">
        <v>107</v>
      </c>
    </row>
    <row r="2046" spans="1:30" x14ac:dyDescent="0.2">
      <c r="A2046" s="104" t="s">
        <v>4603</v>
      </c>
      <c r="B2046" s="105" t="s">
        <v>371</v>
      </c>
      <c r="C2046" s="105" t="s">
        <v>2125</v>
      </c>
      <c r="D2046" s="106"/>
      <c r="E2046" s="107"/>
      <c r="F2046" s="108" t="s">
        <v>17191</v>
      </c>
      <c r="G2046" s="119">
        <v>1</v>
      </c>
      <c r="H2046" s="108" t="s">
        <v>17192</v>
      </c>
      <c r="I2046" s="116">
        <v>1</v>
      </c>
      <c r="J2046" s="111" t="s">
        <v>40</v>
      </c>
      <c r="K2046" s="108" t="s">
        <v>17193</v>
      </c>
      <c r="L2046" s="117">
        <v>2</v>
      </c>
      <c r="M2046" s="113"/>
      <c r="N2046" s="108" t="s">
        <v>17191</v>
      </c>
      <c r="O2046" s="116">
        <v>1</v>
      </c>
      <c r="P2046" s="111" t="s">
        <v>40</v>
      </c>
      <c r="Q2046" s="108" t="s">
        <v>17194</v>
      </c>
      <c r="R2046" s="112">
        <v>4</v>
      </c>
      <c r="S2046" s="111" t="s">
        <v>46</v>
      </c>
      <c r="T2046" s="108" t="s">
        <v>47</v>
      </c>
      <c r="U2046" s="114"/>
      <c r="V2046" s="113"/>
      <c r="W2046" s="108" t="s">
        <v>47</v>
      </c>
      <c r="X2046" s="114"/>
      <c r="Y2046" s="113"/>
      <c r="Z2046" s="108" t="s">
        <v>47</v>
      </c>
      <c r="AA2046" s="114"/>
      <c r="AB2046" s="113"/>
      <c r="AC2046" s="105" t="s">
        <v>4604</v>
      </c>
      <c r="AD2046" s="115" t="s">
        <v>107</v>
      </c>
    </row>
    <row r="2047" spans="1:30" x14ac:dyDescent="0.2">
      <c r="A2047" s="104" t="s">
        <v>4605</v>
      </c>
      <c r="B2047" s="105" t="s">
        <v>371</v>
      </c>
      <c r="C2047" s="105" t="s">
        <v>2125</v>
      </c>
      <c r="D2047" s="106"/>
      <c r="E2047" s="107"/>
      <c r="F2047" s="108" t="s">
        <v>17195</v>
      </c>
      <c r="G2047" s="118">
        <v>3</v>
      </c>
      <c r="H2047" s="108" t="s">
        <v>17196</v>
      </c>
      <c r="I2047" s="117">
        <v>2</v>
      </c>
      <c r="J2047" s="111" t="s">
        <v>40</v>
      </c>
      <c r="K2047" s="108" t="s">
        <v>17197</v>
      </c>
      <c r="L2047" s="117">
        <v>2</v>
      </c>
      <c r="M2047" s="111" t="s">
        <v>40</v>
      </c>
      <c r="N2047" s="108" t="s">
        <v>17195</v>
      </c>
      <c r="O2047" s="110">
        <v>3</v>
      </c>
      <c r="P2047" s="113"/>
      <c r="Q2047" s="108" t="s">
        <v>17198</v>
      </c>
      <c r="R2047" s="112">
        <v>4</v>
      </c>
      <c r="S2047" s="111" t="s">
        <v>46</v>
      </c>
      <c r="T2047" s="108" t="s">
        <v>47</v>
      </c>
      <c r="U2047" s="114"/>
      <c r="V2047" s="113"/>
      <c r="W2047" s="108" t="s">
        <v>47</v>
      </c>
      <c r="X2047" s="114"/>
      <c r="Y2047" s="113"/>
      <c r="Z2047" s="108" t="s">
        <v>47</v>
      </c>
      <c r="AA2047" s="114"/>
      <c r="AB2047" s="113"/>
      <c r="AC2047" s="105" t="s">
        <v>4606</v>
      </c>
      <c r="AD2047" s="115" t="s">
        <v>107</v>
      </c>
    </row>
    <row r="2048" spans="1:30" x14ac:dyDescent="0.2">
      <c r="A2048" s="104" t="s">
        <v>4607</v>
      </c>
      <c r="B2048" s="105" t="s">
        <v>371</v>
      </c>
      <c r="C2048" s="105" t="s">
        <v>372</v>
      </c>
      <c r="D2048" s="106"/>
      <c r="E2048" s="107"/>
      <c r="F2048" s="108" t="s">
        <v>17199</v>
      </c>
      <c r="G2048" s="118">
        <v>3</v>
      </c>
      <c r="H2048" s="108" t="s">
        <v>17200</v>
      </c>
      <c r="I2048" s="116">
        <v>1</v>
      </c>
      <c r="J2048" s="111" t="s">
        <v>53</v>
      </c>
      <c r="K2048" s="108" t="s">
        <v>17201</v>
      </c>
      <c r="L2048" s="116">
        <v>1</v>
      </c>
      <c r="M2048" s="111" t="s">
        <v>53</v>
      </c>
      <c r="N2048" s="108" t="s">
        <v>17199</v>
      </c>
      <c r="O2048" s="110">
        <v>3</v>
      </c>
      <c r="P2048" s="113"/>
      <c r="Q2048" s="108" t="s">
        <v>17202</v>
      </c>
      <c r="R2048" s="110">
        <v>3</v>
      </c>
      <c r="S2048" s="111" t="s">
        <v>40</v>
      </c>
      <c r="T2048" s="108" t="s">
        <v>47</v>
      </c>
      <c r="U2048" s="114"/>
      <c r="V2048" s="113"/>
      <c r="W2048" s="108" t="s">
        <v>47</v>
      </c>
      <c r="X2048" s="114"/>
      <c r="Y2048" s="113"/>
      <c r="Z2048" s="108" t="s">
        <v>47</v>
      </c>
      <c r="AA2048" s="114"/>
      <c r="AB2048" s="113"/>
      <c r="AC2048" s="105" t="s">
        <v>4608</v>
      </c>
      <c r="AD2048" s="115" t="s">
        <v>107</v>
      </c>
    </row>
    <row r="2049" spans="1:30" x14ac:dyDescent="0.2">
      <c r="A2049" s="104" t="s">
        <v>4609</v>
      </c>
      <c r="B2049" s="105" t="s">
        <v>371</v>
      </c>
      <c r="C2049" s="105" t="s">
        <v>372</v>
      </c>
      <c r="D2049" s="106" t="s">
        <v>94</v>
      </c>
      <c r="E2049" s="107"/>
      <c r="F2049" s="108" t="s">
        <v>17203</v>
      </c>
      <c r="G2049" s="120">
        <v>2</v>
      </c>
      <c r="H2049" s="108" t="s">
        <v>17204</v>
      </c>
      <c r="I2049" s="116">
        <v>1</v>
      </c>
      <c r="J2049" s="111" t="s">
        <v>40</v>
      </c>
      <c r="K2049" s="108" t="s">
        <v>17205</v>
      </c>
      <c r="L2049" s="116">
        <v>1</v>
      </c>
      <c r="M2049" s="111" t="s">
        <v>40</v>
      </c>
      <c r="N2049" s="108" t="s">
        <v>17203</v>
      </c>
      <c r="O2049" s="117">
        <v>2</v>
      </c>
      <c r="P2049" s="113"/>
      <c r="Q2049" s="108" t="s">
        <v>17206</v>
      </c>
      <c r="R2049" s="110">
        <v>3</v>
      </c>
      <c r="S2049" s="113"/>
      <c r="T2049" s="108" t="s">
        <v>17207</v>
      </c>
      <c r="U2049" s="117">
        <v>2</v>
      </c>
      <c r="V2049" s="111" t="s">
        <v>40</v>
      </c>
      <c r="W2049" s="108" t="s">
        <v>14737</v>
      </c>
      <c r="X2049" s="116">
        <v>1</v>
      </c>
      <c r="Y2049" s="113"/>
      <c r="Z2049" s="108" t="s">
        <v>47</v>
      </c>
      <c r="AA2049" s="114"/>
      <c r="AB2049" s="113"/>
      <c r="AC2049" s="105" t="s">
        <v>4610</v>
      </c>
      <c r="AD2049" s="115" t="s">
        <v>107</v>
      </c>
    </row>
    <row r="2050" spans="1:30" x14ac:dyDescent="0.2">
      <c r="A2050" s="104" t="s">
        <v>4611</v>
      </c>
      <c r="B2050" s="105" t="s">
        <v>371</v>
      </c>
      <c r="C2050" s="105" t="s">
        <v>2369</v>
      </c>
      <c r="D2050" s="106"/>
      <c r="E2050" s="107" t="s">
        <v>146</v>
      </c>
      <c r="F2050" s="108" t="s">
        <v>17208</v>
      </c>
      <c r="G2050" s="118">
        <v>3</v>
      </c>
      <c r="H2050" s="108" t="s">
        <v>17209</v>
      </c>
      <c r="I2050" s="116">
        <v>1</v>
      </c>
      <c r="J2050" s="111" t="s">
        <v>53</v>
      </c>
      <c r="K2050" s="108" t="s">
        <v>17210</v>
      </c>
      <c r="L2050" s="117">
        <v>2</v>
      </c>
      <c r="M2050" s="111" t="s">
        <v>40</v>
      </c>
      <c r="N2050" s="108" t="s">
        <v>17208</v>
      </c>
      <c r="O2050" s="110">
        <v>3</v>
      </c>
      <c r="P2050" s="111" t="s">
        <v>46</v>
      </c>
      <c r="Q2050" s="108" t="s">
        <v>17211</v>
      </c>
      <c r="R2050" s="110">
        <v>3</v>
      </c>
      <c r="S2050" s="113"/>
      <c r="T2050" s="108" t="s">
        <v>17212</v>
      </c>
      <c r="U2050" s="112">
        <v>4</v>
      </c>
      <c r="V2050" s="113"/>
      <c r="W2050" s="108" t="s">
        <v>15696</v>
      </c>
      <c r="X2050" s="110">
        <v>3</v>
      </c>
      <c r="Y2050" s="113"/>
      <c r="Z2050" s="108" t="s">
        <v>47</v>
      </c>
      <c r="AA2050" s="114"/>
      <c r="AB2050" s="113"/>
      <c r="AC2050" s="105" t="s">
        <v>4612</v>
      </c>
      <c r="AD2050" s="115" t="s">
        <v>49</v>
      </c>
    </row>
    <row r="2051" spans="1:30" x14ac:dyDescent="0.2">
      <c r="A2051" s="104" t="s">
        <v>4613</v>
      </c>
      <c r="B2051" s="105" t="s">
        <v>371</v>
      </c>
      <c r="C2051" s="105" t="s">
        <v>2369</v>
      </c>
      <c r="D2051" s="106"/>
      <c r="E2051" s="107" t="s">
        <v>146</v>
      </c>
      <c r="F2051" s="108" t="s">
        <v>17213</v>
      </c>
      <c r="G2051" s="118">
        <v>3</v>
      </c>
      <c r="H2051" s="108" t="s">
        <v>17214</v>
      </c>
      <c r="I2051" s="117">
        <v>2</v>
      </c>
      <c r="J2051" s="111" t="s">
        <v>40</v>
      </c>
      <c r="K2051" s="108" t="s">
        <v>17215</v>
      </c>
      <c r="L2051" s="117">
        <v>2</v>
      </c>
      <c r="M2051" s="111" t="s">
        <v>40</v>
      </c>
      <c r="N2051" s="108" t="s">
        <v>17213</v>
      </c>
      <c r="O2051" s="110">
        <v>3</v>
      </c>
      <c r="P2051" s="111" t="s">
        <v>46</v>
      </c>
      <c r="Q2051" s="108" t="s">
        <v>14547</v>
      </c>
      <c r="R2051" s="110">
        <v>3</v>
      </c>
      <c r="S2051" s="113"/>
      <c r="T2051" s="108" t="s">
        <v>17216</v>
      </c>
      <c r="U2051" s="112">
        <v>4</v>
      </c>
      <c r="V2051" s="113"/>
      <c r="W2051" s="108" t="s">
        <v>47</v>
      </c>
      <c r="X2051" s="114"/>
      <c r="Y2051" s="113"/>
      <c r="Z2051" s="108" t="s">
        <v>47</v>
      </c>
      <c r="AA2051" s="114"/>
      <c r="AB2051" s="113"/>
      <c r="AC2051" s="105" t="s">
        <v>4614</v>
      </c>
      <c r="AD2051" s="115" t="s">
        <v>49</v>
      </c>
    </row>
    <row r="2052" spans="1:30" x14ac:dyDescent="0.2">
      <c r="A2052" s="104" t="s">
        <v>4615</v>
      </c>
      <c r="B2052" s="105" t="s">
        <v>371</v>
      </c>
      <c r="C2052" s="105" t="s">
        <v>2414</v>
      </c>
      <c r="D2052" s="106" t="s">
        <v>94</v>
      </c>
      <c r="E2052" s="107" t="s">
        <v>182</v>
      </c>
      <c r="F2052" s="108" t="s">
        <v>17217</v>
      </c>
      <c r="G2052" s="109">
        <v>4</v>
      </c>
      <c r="H2052" s="108" t="s">
        <v>17218</v>
      </c>
      <c r="I2052" s="116">
        <v>1</v>
      </c>
      <c r="J2052" s="111" t="s">
        <v>157</v>
      </c>
      <c r="K2052" s="108" t="s">
        <v>17219</v>
      </c>
      <c r="L2052" s="112">
        <v>4</v>
      </c>
      <c r="M2052" s="113"/>
      <c r="N2052" s="108" t="s">
        <v>17217</v>
      </c>
      <c r="O2052" s="112">
        <v>4</v>
      </c>
      <c r="P2052" s="111" t="s">
        <v>46</v>
      </c>
      <c r="Q2052" s="108" t="s">
        <v>17220</v>
      </c>
      <c r="R2052" s="110">
        <v>3</v>
      </c>
      <c r="S2052" s="111" t="s">
        <v>40</v>
      </c>
      <c r="T2052" s="108" t="s">
        <v>17221</v>
      </c>
      <c r="U2052" s="110">
        <v>3</v>
      </c>
      <c r="V2052" s="113"/>
      <c r="W2052" s="108" t="s">
        <v>17222</v>
      </c>
      <c r="X2052" s="110">
        <v>3</v>
      </c>
      <c r="Y2052" s="111" t="s">
        <v>40</v>
      </c>
      <c r="Z2052" s="108" t="s">
        <v>17223</v>
      </c>
      <c r="AA2052" s="112">
        <v>4</v>
      </c>
      <c r="AB2052" s="111" t="s">
        <v>55</v>
      </c>
      <c r="AC2052" s="105" t="s">
        <v>4616</v>
      </c>
      <c r="AD2052" s="115" t="s">
        <v>49</v>
      </c>
    </row>
    <row r="2053" spans="1:30" x14ac:dyDescent="0.2">
      <c r="A2053" s="104" t="s">
        <v>4617</v>
      </c>
      <c r="B2053" s="105" t="s">
        <v>371</v>
      </c>
      <c r="C2053" s="105" t="s">
        <v>2414</v>
      </c>
      <c r="D2053" s="106"/>
      <c r="E2053" s="107" t="s">
        <v>182</v>
      </c>
      <c r="F2053" s="108" t="s">
        <v>17224</v>
      </c>
      <c r="G2053" s="109">
        <v>4</v>
      </c>
      <c r="H2053" s="108" t="s">
        <v>17225</v>
      </c>
      <c r="I2053" s="116">
        <v>1</v>
      </c>
      <c r="J2053" s="111" t="s">
        <v>157</v>
      </c>
      <c r="K2053" s="108" t="s">
        <v>17226</v>
      </c>
      <c r="L2053" s="112">
        <v>4</v>
      </c>
      <c r="M2053" s="113"/>
      <c r="N2053" s="108" t="s">
        <v>17224</v>
      </c>
      <c r="O2053" s="112">
        <v>4</v>
      </c>
      <c r="P2053" s="111" t="s">
        <v>55</v>
      </c>
      <c r="Q2053" s="108" t="s">
        <v>17227</v>
      </c>
      <c r="R2053" s="110">
        <v>3</v>
      </c>
      <c r="S2053" s="111" t="s">
        <v>40</v>
      </c>
      <c r="T2053" s="108" t="s">
        <v>47</v>
      </c>
      <c r="U2053" s="114"/>
      <c r="V2053" s="113"/>
      <c r="W2053" s="108" t="s">
        <v>47</v>
      </c>
      <c r="X2053" s="114"/>
      <c r="Y2053" s="113"/>
      <c r="Z2053" s="108" t="s">
        <v>47</v>
      </c>
      <c r="AA2053" s="114"/>
      <c r="AB2053" s="113"/>
      <c r="AC2053" s="105" t="s">
        <v>4618</v>
      </c>
      <c r="AD2053" s="115" t="s">
        <v>49</v>
      </c>
    </row>
    <row r="2054" spans="1:30" x14ac:dyDescent="0.2">
      <c r="A2054" s="104" t="s">
        <v>4619</v>
      </c>
      <c r="B2054" s="105" t="s">
        <v>371</v>
      </c>
      <c r="C2054" s="105" t="s">
        <v>2414</v>
      </c>
      <c r="D2054" s="106" t="s">
        <v>125</v>
      </c>
      <c r="E2054" s="107" t="s">
        <v>182</v>
      </c>
      <c r="F2054" s="108" t="s">
        <v>17228</v>
      </c>
      <c r="G2054" s="109">
        <v>4</v>
      </c>
      <c r="H2054" s="108" t="s">
        <v>17229</v>
      </c>
      <c r="I2054" s="117">
        <v>2</v>
      </c>
      <c r="J2054" s="111" t="s">
        <v>53</v>
      </c>
      <c r="K2054" s="108" t="s">
        <v>17230</v>
      </c>
      <c r="L2054" s="112">
        <v>4</v>
      </c>
      <c r="M2054" s="113"/>
      <c r="N2054" s="108" t="s">
        <v>17228</v>
      </c>
      <c r="O2054" s="112">
        <v>4</v>
      </c>
      <c r="P2054" s="111" t="s">
        <v>46</v>
      </c>
      <c r="Q2054" s="108" t="s">
        <v>17231</v>
      </c>
      <c r="R2054" s="112">
        <v>4</v>
      </c>
      <c r="S2054" s="113"/>
      <c r="T2054" s="108" t="s">
        <v>17232</v>
      </c>
      <c r="U2054" s="112">
        <v>4</v>
      </c>
      <c r="V2054" s="113"/>
      <c r="W2054" s="108" t="s">
        <v>17233</v>
      </c>
      <c r="X2054" s="112">
        <v>4</v>
      </c>
      <c r="Y2054" s="113"/>
      <c r="Z2054" s="108" t="s">
        <v>17234</v>
      </c>
      <c r="AA2054" s="112">
        <v>4</v>
      </c>
      <c r="AB2054" s="111" t="s">
        <v>46</v>
      </c>
      <c r="AC2054" s="105" t="s">
        <v>4620</v>
      </c>
      <c r="AD2054" s="115" t="s">
        <v>49</v>
      </c>
    </row>
    <row r="2055" spans="1:30" x14ac:dyDescent="0.2">
      <c r="A2055" s="104" t="s">
        <v>4621</v>
      </c>
      <c r="B2055" s="105" t="s">
        <v>371</v>
      </c>
      <c r="C2055" s="105" t="s">
        <v>4235</v>
      </c>
      <c r="D2055" s="106" t="s">
        <v>125</v>
      </c>
      <c r="E2055" s="107" t="s">
        <v>146</v>
      </c>
      <c r="F2055" s="108" t="s">
        <v>4622</v>
      </c>
      <c r="G2055" s="118">
        <v>3</v>
      </c>
      <c r="H2055" s="108" t="s">
        <v>12584</v>
      </c>
      <c r="I2055" s="110">
        <v>3</v>
      </c>
      <c r="J2055" s="113"/>
      <c r="K2055" s="108" t="s">
        <v>17235</v>
      </c>
      <c r="L2055" s="110">
        <v>3</v>
      </c>
      <c r="M2055" s="111" t="s">
        <v>55</v>
      </c>
      <c r="N2055" s="108" t="s">
        <v>4622</v>
      </c>
      <c r="O2055" s="110">
        <v>3</v>
      </c>
      <c r="P2055" s="113"/>
      <c r="Q2055" s="108" t="s">
        <v>9217</v>
      </c>
      <c r="R2055" s="112">
        <v>4</v>
      </c>
      <c r="S2055" s="113"/>
      <c r="T2055" s="108" t="s">
        <v>17236</v>
      </c>
      <c r="U2055" s="110">
        <v>3</v>
      </c>
      <c r="V2055" s="113"/>
      <c r="W2055" s="108" t="s">
        <v>4623</v>
      </c>
      <c r="X2055" s="117">
        <v>2</v>
      </c>
      <c r="Y2055" s="113"/>
      <c r="Z2055" s="108" t="s">
        <v>47</v>
      </c>
      <c r="AA2055" s="114"/>
      <c r="AB2055" s="113"/>
      <c r="AC2055" s="105" t="s">
        <v>4624</v>
      </c>
      <c r="AD2055" s="115" t="s">
        <v>49</v>
      </c>
    </row>
    <row r="2056" spans="1:30" x14ac:dyDescent="0.2">
      <c r="A2056" s="104" t="s">
        <v>4625</v>
      </c>
      <c r="B2056" s="105" t="s">
        <v>371</v>
      </c>
      <c r="C2056" s="105" t="s">
        <v>4235</v>
      </c>
      <c r="D2056" s="106"/>
      <c r="E2056" s="107" t="s">
        <v>146</v>
      </c>
      <c r="F2056" s="108" t="s">
        <v>17237</v>
      </c>
      <c r="G2056" s="118">
        <v>3</v>
      </c>
      <c r="H2056" s="108" t="s">
        <v>17238</v>
      </c>
      <c r="I2056" s="110">
        <v>3</v>
      </c>
      <c r="J2056" s="113"/>
      <c r="K2056" s="108" t="s">
        <v>17239</v>
      </c>
      <c r="L2056" s="110">
        <v>3</v>
      </c>
      <c r="M2056" s="111" t="s">
        <v>55</v>
      </c>
      <c r="N2056" s="108" t="s">
        <v>17237</v>
      </c>
      <c r="O2056" s="110">
        <v>3</v>
      </c>
      <c r="P2056" s="113"/>
      <c r="Q2056" s="108" t="s">
        <v>17240</v>
      </c>
      <c r="R2056" s="110">
        <v>3</v>
      </c>
      <c r="S2056" s="113"/>
      <c r="T2056" s="108" t="s">
        <v>47</v>
      </c>
      <c r="U2056" s="114"/>
      <c r="V2056" s="113"/>
      <c r="W2056" s="108" t="s">
        <v>47</v>
      </c>
      <c r="X2056" s="114"/>
      <c r="Y2056" s="113"/>
      <c r="Z2056" s="108" t="s">
        <v>47</v>
      </c>
      <c r="AA2056" s="114"/>
      <c r="AB2056" s="113"/>
      <c r="AC2056" s="105" t="s">
        <v>4626</v>
      </c>
      <c r="AD2056" s="115" t="s">
        <v>49</v>
      </c>
    </row>
    <row r="2057" spans="1:30" x14ac:dyDescent="0.2">
      <c r="A2057" s="104" t="s">
        <v>4627</v>
      </c>
      <c r="B2057" s="105" t="s">
        <v>371</v>
      </c>
      <c r="C2057" s="105" t="s">
        <v>4235</v>
      </c>
      <c r="D2057" s="106"/>
      <c r="E2057" s="107" t="s">
        <v>146</v>
      </c>
      <c r="F2057" s="108" t="s">
        <v>9215</v>
      </c>
      <c r="G2057" s="120">
        <v>2</v>
      </c>
      <c r="H2057" s="108" t="s">
        <v>2736</v>
      </c>
      <c r="I2057" s="110">
        <v>3</v>
      </c>
      <c r="J2057" s="113"/>
      <c r="K2057" s="108" t="s">
        <v>17241</v>
      </c>
      <c r="L2057" s="110">
        <v>3</v>
      </c>
      <c r="M2057" s="111" t="s">
        <v>55</v>
      </c>
      <c r="N2057" s="108" t="s">
        <v>9215</v>
      </c>
      <c r="O2057" s="117">
        <v>2</v>
      </c>
      <c r="P2057" s="113"/>
      <c r="Q2057" s="108" t="s">
        <v>17242</v>
      </c>
      <c r="R2057" s="110">
        <v>3</v>
      </c>
      <c r="S2057" s="113"/>
      <c r="T2057" s="108" t="s">
        <v>47</v>
      </c>
      <c r="U2057" s="114"/>
      <c r="V2057" s="113"/>
      <c r="W2057" s="108" t="s">
        <v>47</v>
      </c>
      <c r="X2057" s="114"/>
      <c r="Y2057" s="113"/>
      <c r="Z2057" s="108" t="s">
        <v>47</v>
      </c>
      <c r="AA2057" s="114"/>
      <c r="AB2057" s="113"/>
      <c r="AC2057" s="105" t="s">
        <v>4628</v>
      </c>
      <c r="AD2057" s="115" t="s">
        <v>49</v>
      </c>
    </row>
    <row r="2058" spans="1:30" x14ac:dyDescent="0.2">
      <c r="A2058" s="104" t="s">
        <v>4629</v>
      </c>
      <c r="B2058" s="105" t="s">
        <v>371</v>
      </c>
      <c r="C2058" s="105" t="s">
        <v>4235</v>
      </c>
      <c r="D2058" s="106" t="s">
        <v>94</v>
      </c>
      <c r="E2058" s="107" t="s">
        <v>146</v>
      </c>
      <c r="F2058" s="108" t="s">
        <v>9203</v>
      </c>
      <c r="G2058" s="118">
        <v>3</v>
      </c>
      <c r="H2058" s="108" t="s">
        <v>17243</v>
      </c>
      <c r="I2058" s="110">
        <v>3</v>
      </c>
      <c r="J2058" s="113"/>
      <c r="K2058" s="108" t="s">
        <v>17244</v>
      </c>
      <c r="L2058" s="110">
        <v>3</v>
      </c>
      <c r="M2058" s="111" t="s">
        <v>55</v>
      </c>
      <c r="N2058" s="108" t="s">
        <v>9203</v>
      </c>
      <c r="O2058" s="110">
        <v>3</v>
      </c>
      <c r="P2058" s="113"/>
      <c r="Q2058" s="108" t="s">
        <v>17245</v>
      </c>
      <c r="R2058" s="110">
        <v>3</v>
      </c>
      <c r="S2058" s="111" t="s">
        <v>40</v>
      </c>
      <c r="T2058" s="108" t="s">
        <v>17246</v>
      </c>
      <c r="U2058" s="110">
        <v>3</v>
      </c>
      <c r="V2058" s="113"/>
      <c r="W2058" s="108" t="s">
        <v>17247</v>
      </c>
      <c r="X2058" s="117">
        <v>2</v>
      </c>
      <c r="Y2058" s="113"/>
      <c r="Z2058" s="108" t="s">
        <v>2104</v>
      </c>
      <c r="AA2058" s="117">
        <v>2</v>
      </c>
      <c r="AB2058" s="111" t="s">
        <v>46</v>
      </c>
      <c r="AC2058" s="105" t="s">
        <v>4630</v>
      </c>
      <c r="AD2058" s="115" t="s">
        <v>49</v>
      </c>
    </row>
    <row r="2059" spans="1:30" x14ac:dyDescent="0.2">
      <c r="A2059" s="104" t="s">
        <v>4631</v>
      </c>
      <c r="B2059" s="105" t="s">
        <v>371</v>
      </c>
      <c r="C2059" s="105" t="s">
        <v>160</v>
      </c>
      <c r="D2059" s="106"/>
      <c r="E2059" s="107"/>
      <c r="F2059" s="108" t="s">
        <v>17248</v>
      </c>
      <c r="G2059" s="119">
        <v>1</v>
      </c>
      <c r="H2059" s="108" t="s">
        <v>17249</v>
      </c>
      <c r="I2059" s="116">
        <v>1</v>
      </c>
      <c r="J2059" s="113"/>
      <c r="K2059" s="108" t="s">
        <v>4632</v>
      </c>
      <c r="L2059" s="116">
        <v>1</v>
      </c>
      <c r="M2059" s="113"/>
      <c r="N2059" s="108" t="s">
        <v>17248</v>
      </c>
      <c r="O2059" s="116">
        <v>1</v>
      </c>
      <c r="P2059" s="113"/>
      <c r="Q2059" s="108" t="s">
        <v>17250</v>
      </c>
      <c r="R2059" s="116">
        <v>1</v>
      </c>
      <c r="S2059" s="113"/>
      <c r="T2059" s="108" t="s">
        <v>17251</v>
      </c>
      <c r="U2059" s="116">
        <v>1</v>
      </c>
      <c r="V2059" s="113"/>
      <c r="W2059" s="108" t="s">
        <v>47</v>
      </c>
      <c r="X2059" s="114"/>
      <c r="Y2059" s="113"/>
      <c r="Z2059" s="108" t="s">
        <v>47</v>
      </c>
      <c r="AA2059" s="114"/>
      <c r="AB2059" s="113"/>
      <c r="AC2059" s="105" t="s">
        <v>4633</v>
      </c>
      <c r="AD2059" s="115" t="s">
        <v>49</v>
      </c>
    </row>
    <row r="2060" spans="1:30" x14ac:dyDescent="0.2">
      <c r="A2060" s="104" t="s">
        <v>4634</v>
      </c>
      <c r="B2060" s="105" t="s">
        <v>371</v>
      </c>
      <c r="C2060" s="105" t="s">
        <v>160</v>
      </c>
      <c r="D2060" s="106"/>
      <c r="E2060" s="107"/>
      <c r="F2060" s="108" t="s">
        <v>17252</v>
      </c>
      <c r="G2060" s="119">
        <v>1</v>
      </c>
      <c r="H2060" s="108" t="s">
        <v>17253</v>
      </c>
      <c r="I2060" s="116">
        <v>1</v>
      </c>
      <c r="J2060" s="113"/>
      <c r="K2060" s="108" t="s">
        <v>17254</v>
      </c>
      <c r="L2060" s="116">
        <v>1</v>
      </c>
      <c r="M2060" s="113"/>
      <c r="N2060" s="108" t="s">
        <v>17252</v>
      </c>
      <c r="O2060" s="116">
        <v>1</v>
      </c>
      <c r="P2060" s="113"/>
      <c r="Q2060" s="108" t="s">
        <v>17255</v>
      </c>
      <c r="R2060" s="116">
        <v>1</v>
      </c>
      <c r="S2060" s="113"/>
      <c r="T2060" s="108" t="s">
        <v>17256</v>
      </c>
      <c r="U2060" s="116">
        <v>1</v>
      </c>
      <c r="V2060" s="113"/>
      <c r="W2060" s="108" t="s">
        <v>17257</v>
      </c>
      <c r="X2060" s="116">
        <v>1</v>
      </c>
      <c r="Y2060" s="113"/>
      <c r="Z2060" s="108" t="s">
        <v>17258</v>
      </c>
      <c r="AA2060" s="116">
        <v>1</v>
      </c>
      <c r="AB2060" s="113"/>
      <c r="AC2060" s="105" t="s">
        <v>4635</v>
      </c>
      <c r="AD2060" s="115" t="s">
        <v>49</v>
      </c>
    </row>
    <row r="2061" spans="1:30" x14ac:dyDescent="0.2">
      <c r="A2061" s="104" t="s">
        <v>4636</v>
      </c>
      <c r="B2061" s="105" t="s">
        <v>371</v>
      </c>
      <c r="C2061" s="105" t="s">
        <v>160</v>
      </c>
      <c r="D2061" s="106"/>
      <c r="E2061" s="107"/>
      <c r="F2061" s="108" t="s">
        <v>17259</v>
      </c>
      <c r="G2061" s="119">
        <v>1</v>
      </c>
      <c r="H2061" s="108" t="s">
        <v>17260</v>
      </c>
      <c r="I2061" s="116">
        <v>1</v>
      </c>
      <c r="J2061" s="113"/>
      <c r="K2061" s="108" t="s">
        <v>17261</v>
      </c>
      <c r="L2061" s="116">
        <v>1</v>
      </c>
      <c r="M2061" s="113"/>
      <c r="N2061" s="108" t="s">
        <v>17259</v>
      </c>
      <c r="O2061" s="116">
        <v>1</v>
      </c>
      <c r="P2061" s="113"/>
      <c r="Q2061" s="108" t="s">
        <v>17262</v>
      </c>
      <c r="R2061" s="116">
        <v>1</v>
      </c>
      <c r="S2061" s="113"/>
      <c r="T2061" s="108" t="s">
        <v>17263</v>
      </c>
      <c r="U2061" s="116">
        <v>1</v>
      </c>
      <c r="V2061" s="113"/>
      <c r="W2061" s="108" t="s">
        <v>17264</v>
      </c>
      <c r="X2061" s="116">
        <v>1</v>
      </c>
      <c r="Y2061" s="113"/>
      <c r="Z2061" s="108" t="s">
        <v>47</v>
      </c>
      <c r="AA2061" s="114"/>
      <c r="AB2061" s="113"/>
      <c r="AC2061" s="105" t="s">
        <v>4637</v>
      </c>
      <c r="AD2061" s="115" t="s">
        <v>49</v>
      </c>
    </row>
    <row r="2062" spans="1:30" x14ac:dyDescent="0.2">
      <c r="A2062" s="104" t="s">
        <v>4638</v>
      </c>
      <c r="B2062" s="105" t="s">
        <v>371</v>
      </c>
      <c r="C2062" s="105" t="s">
        <v>160</v>
      </c>
      <c r="D2062" s="106"/>
      <c r="E2062" s="107"/>
      <c r="F2062" s="108" t="s">
        <v>17265</v>
      </c>
      <c r="G2062" s="120">
        <v>2</v>
      </c>
      <c r="H2062" s="108" t="s">
        <v>17266</v>
      </c>
      <c r="I2062" s="117">
        <v>2</v>
      </c>
      <c r="J2062" s="113"/>
      <c r="K2062" s="108" t="s">
        <v>17267</v>
      </c>
      <c r="L2062" s="117">
        <v>2</v>
      </c>
      <c r="M2062" s="113"/>
      <c r="N2062" s="108" t="s">
        <v>17265</v>
      </c>
      <c r="O2062" s="117">
        <v>2</v>
      </c>
      <c r="P2062" s="113"/>
      <c r="Q2062" s="108" t="s">
        <v>17268</v>
      </c>
      <c r="R2062" s="117">
        <v>2</v>
      </c>
      <c r="S2062" s="111" t="s">
        <v>40</v>
      </c>
      <c r="T2062" s="108" t="s">
        <v>17269</v>
      </c>
      <c r="U2062" s="117">
        <v>2</v>
      </c>
      <c r="V2062" s="113"/>
      <c r="W2062" s="108" t="s">
        <v>17270</v>
      </c>
      <c r="X2062" s="117">
        <v>2</v>
      </c>
      <c r="Y2062" s="113"/>
      <c r="Z2062" s="108" t="s">
        <v>17271</v>
      </c>
      <c r="AA2062" s="117">
        <v>2</v>
      </c>
      <c r="AB2062" s="111" t="s">
        <v>40</v>
      </c>
      <c r="AC2062" s="105" t="s">
        <v>4639</v>
      </c>
      <c r="AD2062" s="115" t="s">
        <v>49</v>
      </c>
    </row>
    <row r="2063" spans="1:30" x14ac:dyDescent="0.2">
      <c r="A2063" s="104" t="s">
        <v>4640</v>
      </c>
      <c r="B2063" s="105" t="s">
        <v>371</v>
      </c>
      <c r="C2063" s="105" t="s">
        <v>132</v>
      </c>
      <c r="D2063" s="106" t="s">
        <v>94</v>
      </c>
      <c r="E2063" s="107"/>
      <c r="F2063" s="108" t="s">
        <v>17272</v>
      </c>
      <c r="G2063" s="120">
        <v>2</v>
      </c>
      <c r="H2063" s="108" t="s">
        <v>17273</v>
      </c>
      <c r="I2063" s="116">
        <v>1</v>
      </c>
      <c r="J2063" s="111" t="s">
        <v>40</v>
      </c>
      <c r="K2063" s="108" t="s">
        <v>17274</v>
      </c>
      <c r="L2063" s="117">
        <v>2</v>
      </c>
      <c r="M2063" s="111" t="s">
        <v>53</v>
      </c>
      <c r="N2063" s="108" t="s">
        <v>17272</v>
      </c>
      <c r="O2063" s="117">
        <v>2</v>
      </c>
      <c r="P2063" s="113"/>
      <c r="Q2063" s="108" t="s">
        <v>17275</v>
      </c>
      <c r="R2063" s="116">
        <v>1</v>
      </c>
      <c r="S2063" s="111" t="s">
        <v>40</v>
      </c>
      <c r="T2063" s="108" t="s">
        <v>17276</v>
      </c>
      <c r="U2063" s="116">
        <v>1</v>
      </c>
      <c r="V2063" s="113"/>
      <c r="W2063" s="108" t="s">
        <v>17277</v>
      </c>
      <c r="X2063" s="116">
        <v>1</v>
      </c>
      <c r="Y2063" s="113"/>
      <c r="Z2063" s="108" t="s">
        <v>47</v>
      </c>
      <c r="AA2063" s="114"/>
      <c r="AB2063" s="113"/>
      <c r="AC2063" s="105" t="s">
        <v>4641</v>
      </c>
      <c r="AD2063" s="115" t="s">
        <v>49</v>
      </c>
    </row>
    <row r="2064" spans="1:30" x14ac:dyDescent="0.2">
      <c r="A2064" s="104" t="s">
        <v>4642</v>
      </c>
      <c r="B2064" s="105" t="s">
        <v>371</v>
      </c>
      <c r="C2064" s="105" t="s">
        <v>132</v>
      </c>
      <c r="D2064" s="106" t="s">
        <v>125</v>
      </c>
      <c r="E2064" s="107"/>
      <c r="F2064" s="108" t="s">
        <v>17278</v>
      </c>
      <c r="G2064" s="118">
        <v>3</v>
      </c>
      <c r="H2064" s="108" t="s">
        <v>17279</v>
      </c>
      <c r="I2064" s="116">
        <v>1</v>
      </c>
      <c r="J2064" s="111" t="s">
        <v>53</v>
      </c>
      <c r="K2064" s="108" t="s">
        <v>17280</v>
      </c>
      <c r="L2064" s="117">
        <v>2</v>
      </c>
      <c r="M2064" s="111" t="s">
        <v>53</v>
      </c>
      <c r="N2064" s="108" t="s">
        <v>17278</v>
      </c>
      <c r="O2064" s="110">
        <v>3</v>
      </c>
      <c r="P2064" s="113"/>
      <c r="Q2064" s="108" t="s">
        <v>17281</v>
      </c>
      <c r="R2064" s="117">
        <v>2</v>
      </c>
      <c r="S2064" s="113"/>
      <c r="T2064" s="108" t="s">
        <v>17282</v>
      </c>
      <c r="U2064" s="116">
        <v>1</v>
      </c>
      <c r="V2064" s="111" t="s">
        <v>40</v>
      </c>
      <c r="W2064" s="108" t="s">
        <v>17283</v>
      </c>
      <c r="X2064" s="117">
        <v>2</v>
      </c>
      <c r="Y2064" s="113"/>
      <c r="Z2064" s="108" t="s">
        <v>4643</v>
      </c>
      <c r="AA2064" s="116">
        <v>1</v>
      </c>
      <c r="AB2064" s="111" t="s">
        <v>53</v>
      </c>
      <c r="AC2064" s="105" t="s">
        <v>4644</v>
      </c>
      <c r="AD2064" s="115" t="s">
        <v>49</v>
      </c>
    </row>
    <row r="2065" spans="1:30" x14ac:dyDescent="0.2">
      <c r="A2065" s="104" t="s">
        <v>4645</v>
      </c>
      <c r="B2065" s="105" t="s">
        <v>371</v>
      </c>
      <c r="C2065" s="105" t="s">
        <v>122</v>
      </c>
      <c r="D2065" s="106" t="s">
        <v>94</v>
      </c>
      <c r="E2065" s="107"/>
      <c r="F2065" s="108" t="s">
        <v>17284</v>
      </c>
      <c r="G2065" s="120">
        <v>2</v>
      </c>
      <c r="H2065" s="108" t="s">
        <v>4646</v>
      </c>
      <c r="I2065" s="116">
        <v>1</v>
      </c>
      <c r="J2065" s="111" t="s">
        <v>53</v>
      </c>
      <c r="K2065" s="108" t="s">
        <v>17285</v>
      </c>
      <c r="L2065" s="117">
        <v>2</v>
      </c>
      <c r="M2065" s="113"/>
      <c r="N2065" s="108" t="s">
        <v>17284</v>
      </c>
      <c r="O2065" s="117">
        <v>2</v>
      </c>
      <c r="P2065" s="111" t="s">
        <v>40</v>
      </c>
      <c r="Q2065" s="108" t="s">
        <v>4647</v>
      </c>
      <c r="R2065" s="116">
        <v>1</v>
      </c>
      <c r="S2065" s="113"/>
      <c r="T2065" s="108" t="s">
        <v>17286</v>
      </c>
      <c r="U2065" s="116">
        <v>1</v>
      </c>
      <c r="V2065" s="113"/>
      <c r="W2065" s="108" t="s">
        <v>47</v>
      </c>
      <c r="X2065" s="114"/>
      <c r="Y2065" s="113"/>
      <c r="Z2065" s="108" t="s">
        <v>47</v>
      </c>
      <c r="AA2065" s="114"/>
      <c r="AB2065" s="113"/>
      <c r="AC2065" s="105" t="s">
        <v>4648</v>
      </c>
      <c r="AD2065" s="115" t="s">
        <v>49</v>
      </c>
    </row>
    <row r="2066" spans="1:30" x14ac:dyDescent="0.2">
      <c r="A2066" s="104" t="s">
        <v>4649</v>
      </c>
      <c r="B2066" s="105" t="s">
        <v>371</v>
      </c>
      <c r="C2066" s="105" t="s">
        <v>122</v>
      </c>
      <c r="D2066" s="106" t="s">
        <v>94</v>
      </c>
      <c r="E2066" s="107"/>
      <c r="F2066" s="108" t="s">
        <v>17287</v>
      </c>
      <c r="G2066" s="120">
        <v>2</v>
      </c>
      <c r="H2066" s="108" t="s">
        <v>4650</v>
      </c>
      <c r="I2066" s="116">
        <v>1</v>
      </c>
      <c r="J2066" s="111" t="s">
        <v>53</v>
      </c>
      <c r="K2066" s="108" t="s">
        <v>17288</v>
      </c>
      <c r="L2066" s="117">
        <v>2</v>
      </c>
      <c r="M2066" s="113"/>
      <c r="N2066" s="108" t="s">
        <v>17287</v>
      </c>
      <c r="O2066" s="117">
        <v>2</v>
      </c>
      <c r="P2066" s="111" t="s">
        <v>40</v>
      </c>
      <c r="Q2066" s="108" t="s">
        <v>17289</v>
      </c>
      <c r="R2066" s="116">
        <v>1</v>
      </c>
      <c r="S2066" s="113"/>
      <c r="T2066" s="108" t="s">
        <v>17290</v>
      </c>
      <c r="U2066" s="116">
        <v>1</v>
      </c>
      <c r="V2066" s="113"/>
      <c r="W2066" s="108" t="s">
        <v>47</v>
      </c>
      <c r="X2066" s="114"/>
      <c r="Y2066" s="113"/>
      <c r="Z2066" s="108" t="s">
        <v>47</v>
      </c>
      <c r="AA2066" s="114"/>
      <c r="AB2066" s="113"/>
      <c r="AC2066" s="105" t="s">
        <v>4651</v>
      </c>
      <c r="AD2066" s="115" t="s">
        <v>49</v>
      </c>
    </row>
    <row r="2067" spans="1:30" x14ac:dyDescent="0.2">
      <c r="A2067" s="104" t="s">
        <v>4652</v>
      </c>
      <c r="B2067" s="105" t="s">
        <v>371</v>
      </c>
      <c r="C2067" s="105" t="s">
        <v>132</v>
      </c>
      <c r="D2067" s="106"/>
      <c r="E2067" s="107"/>
      <c r="F2067" s="108" t="s">
        <v>17291</v>
      </c>
      <c r="G2067" s="120">
        <v>2</v>
      </c>
      <c r="H2067" s="108" t="s">
        <v>17292</v>
      </c>
      <c r="I2067" s="117">
        <v>2</v>
      </c>
      <c r="J2067" s="113"/>
      <c r="K2067" s="108" t="s">
        <v>17293</v>
      </c>
      <c r="L2067" s="117">
        <v>2</v>
      </c>
      <c r="M2067" s="113"/>
      <c r="N2067" s="108" t="s">
        <v>17291</v>
      </c>
      <c r="O2067" s="117">
        <v>2</v>
      </c>
      <c r="P2067" s="113"/>
      <c r="Q2067" s="108" t="s">
        <v>47</v>
      </c>
      <c r="R2067" s="114"/>
      <c r="S2067" s="113"/>
      <c r="T2067" s="108" t="s">
        <v>47</v>
      </c>
      <c r="U2067" s="114"/>
      <c r="V2067" s="113"/>
      <c r="W2067" s="108" t="s">
        <v>47</v>
      </c>
      <c r="X2067" s="114"/>
      <c r="Y2067" s="113"/>
      <c r="Z2067" s="108" t="s">
        <v>47</v>
      </c>
      <c r="AA2067" s="114"/>
      <c r="AB2067" s="113"/>
      <c r="AC2067" s="105" t="s">
        <v>4653</v>
      </c>
      <c r="AD2067" s="115" t="s">
        <v>49</v>
      </c>
    </row>
    <row r="2068" spans="1:30" x14ac:dyDescent="0.2">
      <c r="A2068" s="104" t="s">
        <v>17294</v>
      </c>
      <c r="B2068" s="105" t="s">
        <v>371</v>
      </c>
      <c r="C2068" s="105" t="s">
        <v>132</v>
      </c>
      <c r="D2068" s="106"/>
      <c r="E2068" s="107"/>
      <c r="F2068" s="108" t="s">
        <v>47</v>
      </c>
      <c r="G2068" s="113"/>
      <c r="H2068" s="108" t="s">
        <v>17295</v>
      </c>
      <c r="I2068" s="117">
        <v>2</v>
      </c>
      <c r="J2068" s="113"/>
      <c r="K2068" s="108" t="s">
        <v>17296</v>
      </c>
      <c r="L2068" s="117">
        <v>2</v>
      </c>
      <c r="M2068" s="113"/>
      <c r="N2068" s="108" t="s">
        <v>47</v>
      </c>
      <c r="O2068" s="114"/>
      <c r="P2068" s="113"/>
      <c r="Q2068" s="108" t="s">
        <v>47</v>
      </c>
      <c r="R2068" s="114"/>
      <c r="S2068" s="113"/>
      <c r="T2068" s="108" t="s">
        <v>47</v>
      </c>
      <c r="U2068" s="114"/>
      <c r="V2068" s="113"/>
      <c r="W2068" s="108" t="s">
        <v>47</v>
      </c>
      <c r="X2068" s="114"/>
      <c r="Y2068" s="113"/>
      <c r="Z2068" s="108" t="s">
        <v>47</v>
      </c>
      <c r="AA2068" s="114"/>
      <c r="AB2068" s="113"/>
      <c r="AC2068" s="105" t="s">
        <v>17297</v>
      </c>
      <c r="AD2068" s="115" t="s">
        <v>49</v>
      </c>
    </row>
    <row r="2069" spans="1:30" x14ac:dyDescent="0.2">
      <c r="A2069" s="104" t="s">
        <v>4654</v>
      </c>
      <c r="B2069" s="105" t="s">
        <v>371</v>
      </c>
      <c r="C2069" s="105" t="s">
        <v>2716</v>
      </c>
      <c r="D2069" s="106" t="s">
        <v>125</v>
      </c>
      <c r="E2069" s="107"/>
      <c r="F2069" s="108" t="s">
        <v>17298</v>
      </c>
      <c r="G2069" s="109">
        <v>4</v>
      </c>
      <c r="H2069" s="108" t="s">
        <v>17299</v>
      </c>
      <c r="I2069" s="116">
        <v>1</v>
      </c>
      <c r="J2069" s="111" t="s">
        <v>53</v>
      </c>
      <c r="K2069" s="108" t="s">
        <v>17300</v>
      </c>
      <c r="L2069" s="110">
        <v>3</v>
      </c>
      <c r="M2069" s="113"/>
      <c r="N2069" s="108" t="s">
        <v>17298</v>
      </c>
      <c r="O2069" s="112">
        <v>4</v>
      </c>
      <c r="P2069" s="113"/>
      <c r="Q2069" s="108" t="s">
        <v>17301</v>
      </c>
      <c r="R2069" s="112">
        <v>4</v>
      </c>
      <c r="S2069" s="113"/>
      <c r="T2069" s="108" t="s">
        <v>17302</v>
      </c>
      <c r="U2069" s="112">
        <v>4</v>
      </c>
      <c r="V2069" s="113"/>
      <c r="W2069" s="108" t="s">
        <v>17303</v>
      </c>
      <c r="X2069" s="110">
        <v>3</v>
      </c>
      <c r="Y2069" s="113"/>
      <c r="Z2069" s="108" t="s">
        <v>47</v>
      </c>
      <c r="AA2069" s="114"/>
      <c r="AB2069" s="113"/>
      <c r="AC2069" s="105" t="s">
        <v>4655</v>
      </c>
      <c r="AD2069" s="115" t="s">
        <v>49</v>
      </c>
    </row>
    <row r="2070" spans="1:30" x14ac:dyDescent="0.2">
      <c r="A2070" s="104" t="s">
        <v>4656</v>
      </c>
      <c r="B2070" s="105" t="s">
        <v>371</v>
      </c>
      <c r="C2070" s="105" t="s">
        <v>2716</v>
      </c>
      <c r="D2070" s="106" t="s">
        <v>105</v>
      </c>
      <c r="E2070" s="107"/>
      <c r="F2070" s="108" t="s">
        <v>17304</v>
      </c>
      <c r="G2070" s="109">
        <v>4</v>
      </c>
      <c r="H2070" s="108" t="s">
        <v>17305</v>
      </c>
      <c r="I2070" s="116">
        <v>1</v>
      </c>
      <c r="J2070" s="111" t="s">
        <v>53</v>
      </c>
      <c r="K2070" s="108" t="s">
        <v>17306</v>
      </c>
      <c r="L2070" s="110">
        <v>3</v>
      </c>
      <c r="M2070" s="111" t="s">
        <v>40</v>
      </c>
      <c r="N2070" s="108" t="s">
        <v>17304</v>
      </c>
      <c r="O2070" s="112">
        <v>4</v>
      </c>
      <c r="P2070" s="113"/>
      <c r="Q2070" s="108" t="s">
        <v>17307</v>
      </c>
      <c r="R2070" s="112">
        <v>4</v>
      </c>
      <c r="S2070" s="113"/>
      <c r="T2070" s="108" t="s">
        <v>17308</v>
      </c>
      <c r="U2070" s="112">
        <v>4</v>
      </c>
      <c r="V2070" s="113"/>
      <c r="W2070" s="108" t="s">
        <v>17309</v>
      </c>
      <c r="X2070" s="110">
        <v>3</v>
      </c>
      <c r="Y2070" s="113"/>
      <c r="Z2070" s="108" t="s">
        <v>47</v>
      </c>
      <c r="AA2070" s="114"/>
      <c r="AB2070" s="113"/>
      <c r="AC2070" s="105" t="s">
        <v>4657</v>
      </c>
      <c r="AD2070" s="115" t="s">
        <v>49</v>
      </c>
    </row>
    <row r="2071" spans="1:30" x14ac:dyDescent="0.2">
      <c r="A2071" s="104" t="s">
        <v>4658</v>
      </c>
      <c r="B2071" s="105" t="s">
        <v>371</v>
      </c>
      <c r="C2071" s="105" t="s">
        <v>2716</v>
      </c>
      <c r="D2071" s="106" t="s">
        <v>94</v>
      </c>
      <c r="E2071" s="107"/>
      <c r="F2071" s="108" t="s">
        <v>17310</v>
      </c>
      <c r="G2071" s="118">
        <v>3</v>
      </c>
      <c r="H2071" s="108" t="s">
        <v>17311</v>
      </c>
      <c r="I2071" s="110">
        <v>3</v>
      </c>
      <c r="J2071" s="111" t="s">
        <v>40</v>
      </c>
      <c r="K2071" s="108" t="s">
        <v>17312</v>
      </c>
      <c r="L2071" s="112">
        <v>4</v>
      </c>
      <c r="M2071" s="111" t="s">
        <v>46</v>
      </c>
      <c r="N2071" s="108" t="s">
        <v>17310</v>
      </c>
      <c r="O2071" s="110">
        <v>3</v>
      </c>
      <c r="P2071" s="113"/>
      <c r="Q2071" s="108" t="s">
        <v>17313</v>
      </c>
      <c r="R2071" s="110">
        <v>3</v>
      </c>
      <c r="S2071" s="111" t="s">
        <v>46</v>
      </c>
      <c r="T2071" s="108" t="s">
        <v>17314</v>
      </c>
      <c r="U2071" s="117">
        <v>2</v>
      </c>
      <c r="V2071" s="113"/>
      <c r="W2071" s="108" t="s">
        <v>17315</v>
      </c>
      <c r="X2071" s="117">
        <v>2</v>
      </c>
      <c r="Y2071" s="113"/>
      <c r="Z2071" s="108" t="s">
        <v>47</v>
      </c>
      <c r="AA2071" s="114"/>
      <c r="AB2071" s="113"/>
      <c r="AC2071" s="105" t="s">
        <v>4659</v>
      </c>
      <c r="AD2071" s="115" t="s">
        <v>49</v>
      </c>
    </row>
    <row r="2072" spans="1:30" x14ac:dyDescent="0.2">
      <c r="A2072" s="104" t="s">
        <v>4660</v>
      </c>
      <c r="B2072" s="105" t="s">
        <v>371</v>
      </c>
      <c r="C2072" s="105" t="s">
        <v>2716</v>
      </c>
      <c r="D2072" s="106" t="s">
        <v>125</v>
      </c>
      <c r="E2072" s="107"/>
      <c r="F2072" s="108" t="s">
        <v>17316</v>
      </c>
      <c r="G2072" s="118">
        <v>3</v>
      </c>
      <c r="H2072" s="108" t="s">
        <v>17317</v>
      </c>
      <c r="I2072" s="110">
        <v>3</v>
      </c>
      <c r="J2072" s="111" t="s">
        <v>40</v>
      </c>
      <c r="K2072" s="108" t="s">
        <v>17318</v>
      </c>
      <c r="L2072" s="112">
        <v>4</v>
      </c>
      <c r="M2072" s="111" t="s">
        <v>46</v>
      </c>
      <c r="N2072" s="108" t="s">
        <v>17316</v>
      </c>
      <c r="O2072" s="110">
        <v>3</v>
      </c>
      <c r="P2072" s="113"/>
      <c r="Q2072" s="108" t="s">
        <v>17319</v>
      </c>
      <c r="R2072" s="110">
        <v>3</v>
      </c>
      <c r="S2072" s="113"/>
      <c r="T2072" s="108" t="s">
        <v>17320</v>
      </c>
      <c r="U2072" s="117">
        <v>2</v>
      </c>
      <c r="V2072" s="113"/>
      <c r="W2072" s="108" t="s">
        <v>17321</v>
      </c>
      <c r="X2072" s="117">
        <v>2</v>
      </c>
      <c r="Y2072" s="113"/>
      <c r="Z2072" s="108" t="s">
        <v>47</v>
      </c>
      <c r="AA2072" s="114"/>
      <c r="AB2072" s="113"/>
      <c r="AC2072" s="105" t="s">
        <v>4661</v>
      </c>
      <c r="AD2072" s="115" t="s">
        <v>49</v>
      </c>
    </row>
    <row r="2073" spans="1:30" x14ac:dyDescent="0.2">
      <c r="A2073" s="104" t="s">
        <v>4662</v>
      </c>
      <c r="B2073" s="105" t="s">
        <v>371</v>
      </c>
      <c r="C2073" s="105" t="s">
        <v>372</v>
      </c>
      <c r="D2073" s="106" t="s">
        <v>94</v>
      </c>
      <c r="E2073" s="107" t="s">
        <v>146</v>
      </c>
      <c r="F2073" s="108" t="s">
        <v>17322</v>
      </c>
      <c r="G2073" s="118">
        <v>3</v>
      </c>
      <c r="H2073" s="108" t="s">
        <v>17323</v>
      </c>
      <c r="I2073" s="116">
        <v>1</v>
      </c>
      <c r="J2073" s="111" t="s">
        <v>40</v>
      </c>
      <c r="K2073" s="108" t="s">
        <v>17324</v>
      </c>
      <c r="L2073" s="116">
        <v>1</v>
      </c>
      <c r="M2073" s="111" t="s">
        <v>40</v>
      </c>
      <c r="N2073" s="108" t="s">
        <v>17322</v>
      </c>
      <c r="O2073" s="110">
        <v>3</v>
      </c>
      <c r="P2073" s="113"/>
      <c r="Q2073" s="108" t="s">
        <v>17325</v>
      </c>
      <c r="R2073" s="110">
        <v>3</v>
      </c>
      <c r="S2073" s="111" t="s">
        <v>40</v>
      </c>
      <c r="T2073" s="108" t="s">
        <v>13307</v>
      </c>
      <c r="U2073" s="110">
        <v>3</v>
      </c>
      <c r="V2073" s="113"/>
      <c r="W2073" s="108" t="s">
        <v>17326</v>
      </c>
      <c r="X2073" s="117">
        <v>2</v>
      </c>
      <c r="Y2073" s="113"/>
      <c r="Z2073" s="108" t="s">
        <v>47</v>
      </c>
      <c r="AA2073" s="114"/>
      <c r="AB2073" s="113"/>
      <c r="AC2073" s="105" t="s">
        <v>4663</v>
      </c>
      <c r="AD2073" s="115" t="s">
        <v>49</v>
      </c>
    </row>
    <row r="2074" spans="1:30" x14ac:dyDescent="0.2">
      <c r="A2074" s="104" t="s">
        <v>4664</v>
      </c>
      <c r="B2074" s="105" t="s">
        <v>371</v>
      </c>
      <c r="C2074" s="105" t="s">
        <v>372</v>
      </c>
      <c r="D2074" s="106" t="s">
        <v>94</v>
      </c>
      <c r="E2074" s="107" t="s">
        <v>146</v>
      </c>
      <c r="F2074" s="108" t="s">
        <v>17327</v>
      </c>
      <c r="G2074" s="120">
        <v>2</v>
      </c>
      <c r="H2074" s="108" t="s">
        <v>17328</v>
      </c>
      <c r="I2074" s="116">
        <v>1</v>
      </c>
      <c r="J2074" s="111" t="s">
        <v>40</v>
      </c>
      <c r="K2074" s="108" t="s">
        <v>17329</v>
      </c>
      <c r="L2074" s="116">
        <v>1</v>
      </c>
      <c r="M2074" s="111" t="s">
        <v>40</v>
      </c>
      <c r="N2074" s="108" t="s">
        <v>17327</v>
      </c>
      <c r="O2074" s="117">
        <v>2</v>
      </c>
      <c r="P2074" s="113"/>
      <c r="Q2074" s="108" t="s">
        <v>4665</v>
      </c>
      <c r="R2074" s="110">
        <v>3</v>
      </c>
      <c r="S2074" s="113"/>
      <c r="T2074" s="108" t="s">
        <v>17330</v>
      </c>
      <c r="U2074" s="117">
        <v>2</v>
      </c>
      <c r="V2074" s="111" t="s">
        <v>40</v>
      </c>
      <c r="W2074" s="108" t="s">
        <v>14742</v>
      </c>
      <c r="X2074" s="116">
        <v>1</v>
      </c>
      <c r="Y2074" s="113"/>
      <c r="Z2074" s="108" t="s">
        <v>47</v>
      </c>
      <c r="AA2074" s="114"/>
      <c r="AB2074" s="113"/>
      <c r="AC2074" s="105" t="s">
        <v>4666</v>
      </c>
      <c r="AD2074" s="115" t="s">
        <v>49</v>
      </c>
    </row>
    <row r="2075" spans="1:30" x14ac:dyDescent="0.2">
      <c r="A2075" s="104" t="s">
        <v>4667</v>
      </c>
      <c r="B2075" s="105" t="s">
        <v>371</v>
      </c>
      <c r="C2075" s="105" t="s">
        <v>372</v>
      </c>
      <c r="D2075" s="106" t="s">
        <v>94</v>
      </c>
      <c r="E2075" s="107" t="s">
        <v>146</v>
      </c>
      <c r="F2075" s="108" t="s">
        <v>17331</v>
      </c>
      <c r="G2075" s="120">
        <v>2</v>
      </c>
      <c r="H2075" s="108" t="s">
        <v>17332</v>
      </c>
      <c r="I2075" s="116">
        <v>1</v>
      </c>
      <c r="J2075" s="111" t="s">
        <v>40</v>
      </c>
      <c r="K2075" s="108" t="s">
        <v>17333</v>
      </c>
      <c r="L2075" s="116">
        <v>1</v>
      </c>
      <c r="M2075" s="111" t="s">
        <v>40</v>
      </c>
      <c r="N2075" s="108" t="s">
        <v>17331</v>
      </c>
      <c r="O2075" s="117">
        <v>2</v>
      </c>
      <c r="P2075" s="113"/>
      <c r="Q2075" s="108" t="s">
        <v>17334</v>
      </c>
      <c r="R2075" s="110">
        <v>3</v>
      </c>
      <c r="S2075" s="113"/>
      <c r="T2075" s="108" t="s">
        <v>4668</v>
      </c>
      <c r="U2075" s="110">
        <v>3</v>
      </c>
      <c r="V2075" s="113"/>
      <c r="W2075" s="108" t="s">
        <v>17335</v>
      </c>
      <c r="X2075" s="116">
        <v>1</v>
      </c>
      <c r="Y2075" s="113"/>
      <c r="Z2075" s="108" t="s">
        <v>47</v>
      </c>
      <c r="AA2075" s="114"/>
      <c r="AB2075" s="113"/>
      <c r="AC2075" s="105" t="s">
        <v>4669</v>
      </c>
      <c r="AD2075" s="115" t="s">
        <v>49</v>
      </c>
    </row>
    <row r="2076" spans="1:30" x14ac:dyDescent="0.2">
      <c r="A2076" s="104" t="s">
        <v>17336</v>
      </c>
      <c r="B2076" s="105" t="s">
        <v>371</v>
      </c>
      <c r="C2076" s="105" t="s">
        <v>372</v>
      </c>
      <c r="D2076" s="106"/>
      <c r="E2076" s="107"/>
      <c r="F2076" s="108" t="s">
        <v>47</v>
      </c>
      <c r="G2076" s="113"/>
      <c r="H2076" s="108" t="s">
        <v>47</v>
      </c>
      <c r="I2076" s="114"/>
      <c r="J2076" s="113"/>
      <c r="K2076" s="108" t="s">
        <v>47</v>
      </c>
      <c r="L2076" s="114"/>
      <c r="M2076" s="113"/>
      <c r="N2076" s="108" t="s">
        <v>47</v>
      </c>
      <c r="O2076" s="114"/>
      <c r="P2076" s="113"/>
      <c r="Q2076" s="108" t="s">
        <v>47</v>
      </c>
      <c r="R2076" s="114"/>
      <c r="S2076" s="113"/>
      <c r="T2076" s="108" t="s">
        <v>47</v>
      </c>
      <c r="U2076" s="114"/>
      <c r="V2076" s="113"/>
      <c r="W2076" s="108" t="s">
        <v>47</v>
      </c>
      <c r="X2076" s="114"/>
      <c r="Y2076" s="113"/>
      <c r="Z2076" s="108" t="s">
        <v>47</v>
      </c>
      <c r="AA2076" s="114"/>
      <c r="AB2076" s="113"/>
      <c r="AC2076" s="105" t="s">
        <v>17337</v>
      </c>
      <c r="AD2076" s="115" t="s">
        <v>49</v>
      </c>
    </row>
    <row r="2077" spans="1:30" x14ac:dyDescent="0.2">
      <c r="A2077" s="104" t="s">
        <v>4670</v>
      </c>
      <c r="B2077" s="105" t="s">
        <v>371</v>
      </c>
      <c r="C2077" s="105" t="s">
        <v>439</v>
      </c>
      <c r="D2077" s="106" t="s">
        <v>125</v>
      </c>
      <c r="E2077" s="107"/>
      <c r="F2077" s="108" t="s">
        <v>17338</v>
      </c>
      <c r="G2077" s="109">
        <v>4</v>
      </c>
      <c r="H2077" s="108" t="s">
        <v>17339</v>
      </c>
      <c r="I2077" s="112">
        <v>4</v>
      </c>
      <c r="J2077" s="113"/>
      <c r="K2077" s="108" t="s">
        <v>17340</v>
      </c>
      <c r="L2077" s="112">
        <v>4</v>
      </c>
      <c r="M2077" s="111" t="s">
        <v>46</v>
      </c>
      <c r="N2077" s="108" t="s">
        <v>17338</v>
      </c>
      <c r="O2077" s="112">
        <v>4</v>
      </c>
      <c r="P2077" s="111" t="s">
        <v>46</v>
      </c>
      <c r="Q2077" s="108" t="s">
        <v>17341</v>
      </c>
      <c r="R2077" s="112">
        <v>4</v>
      </c>
      <c r="S2077" s="111" t="s">
        <v>46</v>
      </c>
      <c r="T2077" s="108" t="s">
        <v>17342</v>
      </c>
      <c r="U2077" s="110">
        <v>3</v>
      </c>
      <c r="V2077" s="111" t="s">
        <v>46</v>
      </c>
      <c r="W2077" s="108" t="s">
        <v>17343</v>
      </c>
      <c r="X2077" s="117">
        <v>2</v>
      </c>
      <c r="Y2077" s="113"/>
      <c r="Z2077" s="108" t="s">
        <v>17344</v>
      </c>
      <c r="AA2077" s="117">
        <v>2</v>
      </c>
      <c r="AB2077" s="111" t="s">
        <v>40</v>
      </c>
      <c r="AC2077" s="105" t="s">
        <v>4671</v>
      </c>
      <c r="AD2077" s="115" t="s">
        <v>107</v>
      </c>
    </row>
    <row r="2078" spans="1:30" x14ac:dyDescent="0.2">
      <c r="A2078" s="104" t="s">
        <v>4672</v>
      </c>
      <c r="B2078" s="105" t="s">
        <v>371</v>
      </c>
      <c r="C2078" s="105" t="s">
        <v>2592</v>
      </c>
      <c r="D2078" s="106"/>
      <c r="E2078" s="107" t="s">
        <v>146</v>
      </c>
      <c r="F2078" s="108" t="s">
        <v>17345</v>
      </c>
      <c r="G2078" s="120">
        <v>2</v>
      </c>
      <c r="H2078" s="108" t="s">
        <v>17346</v>
      </c>
      <c r="I2078" s="117">
        <v>2</v>
      </c>
      <c r="J2078" s="113"/>
      <c r="K2078" s="108" t="s">
        <v>17347</v>
      </c>
      <c r="L2078" s="117">
        <v>2</v>
      </c>
      <c r="M2078" s="113"/>
      <c r="N2078" s="108" t="s">
        <v>17345</v>
      </c>
      <c r="O2078" s="117">
        <v>2</v>
      </c>
      <c r="P2078" s="113"/>
      <c r="Q2078" s="108" t="s">
        <v>17348</v>
      </c>
      <c r="R2078" s="110">
        <v>3</v>
      </c>
      <c r="S2078" s="113"/>
      <c r="T2078" s="108" t="s">
        <v>47</v>
      </c>
      <c r="U2078" s="114"/>
      <c r="V2078" s="113"/>
      <c r="W2078" s="108" t="s">
        <v>47</v>
      </c>
      <c r="X2078" s="114"/>
      <c r="Y2078" s="113"/>
      <c r="Z2078" s="108" t="s">
        <v>47</v>
      </c>
      <c r="AA2078" s="114"/>
      <c r="AB2078" s="113"/>
      <c r="AC2078" s="105" t="s">
        <v>4673</v>
      </c>
      <c r="AD2078" s="115" t="s">
        <v>49</v>
      </c>
    </row>
    <row r="2079" spans="1:30" x14ac:dyDescent="0.2">
      <c r="A2079" s="104" t="s">
        <v>4674</v>
      </c>
      <c r="B2079" s="105" t="s">
        <v>371</v>
      </c>
      <c r="C2079" s="105" t="s">
        <v>2592</v>
      </c>
      <c r="D2079" s="106"/>
      <c r="E2079" s="107" t="s">
        <v>146</v>
      </c>
      <c r="F2079" s="108" t="s">
        <v>17349</v>
      </c>
      <c r="G2079" s="120">
        <v>2</v>
      </c>
      <c r="H2079" s="108" t="s">
        <v>4675</v>
      </c>
      <c r="I2079" s="117">
        <v>2</v>
      </c>
      <c r="J2079" s="113"/>
      <c r="K2079" s="108" t="s">
        <v>17350</v>
      </c>
      <c r="L2079" s="117">
        <v>2</v>
      </c>
      <c r="M2079" s="113"/>
      <c r="N2079" s="108" t="s">
        <v>17349</v>
      </c>
      <c r="O2079" s="117">
        <v>2</v>
      </c>
      <c r="P2079" s="113"/>
      <c r="Q2079" s="108" t="s">
        <v>17351</v>
      </c>
      <c r="R2079" s="110">
        <v>3</v>
      </c>
      <c r="S2079" s="111" t="s">
        <v>46</v>
      </c>
      <c r="T2079" s="108" t="s">
        <v>47</v>
      </c>
      <c r="U2079" s="114"/>
      <c r="V2079" s="113"/>
      <c r="W2079" s="108" t="s">
        <v>47</v>
      </c>
      <c r="X2079" s="114"/>
      <c r="Y2079" s="113"/>
      <c r="Z2079" s="108" t="s">
        <v>47</v>
      </c>
      <c r="AA2079" s="114"/>
      <c r="AB2079" s="113"/>
      <c r="AC2079" s="105" t="s">
        <v>4676</v>
      </c>
      <c r="AD2079" s="115" t="s">
        <v>49</v>
      </c>
    </row>
    <row r="2080" spans="1:30" x14ac:dyDescent="0.2">
      <c r="A2080" s="104" t="s">
        <v>4677</v>
      </c>
      <c r="B2080" s="105" t="s">
        <v>371</v>
      </c>
      <c r="C2080" s="105" t="s">
        <v>375</v>
      </c>
      <c r="D2080" s="106" t="s">
        <v>125</v>
      </c>
      <c r="E2080" s="107" t="s">
        <v>146</v>
      </c>
      <c r="F2080" s="108" t="s">
        <v>17352</v>
      </c>
      <c r="G2080" s="118">
        <v>3</v>
      </c>
      <c r="H2080" s="108" t="s">
        <v>17353</v>
      </c>
      <c r="I2080" s="117">
        <v>2</v>
      </c>
      <c r="J2080" s="111" t="s">
        <v>40</v>
      </c>
      <c r="K2080" s="108" t="s">
        <v>17354</v>
      </c>
      <c r="L2080" s="110">
        <v>3</v>
      </c>
      <c r="M2080" s="113"/>
      <c r="N2080" s="108" t="s">
        <v>17352</v>
      </c>
      <c r="O2080" s="110">
        <v>3</v>
      </c>
      <c r="P2080" s="113"/>
      <c r="Q2080" s="108" t="s">
        <v>17355</v>
      </c>
      <c r="R2080" s="110">
        <v>3</v>
      </c>
      <c r="S2080" s="113"/>
      <c r="T2080" s="108" t="s">
        <v>17356</v>
      </c>
      <c r="U2080" s="117">
        <v>2</v>
      </c>
      <c r="V2080" s="113"/>
      <c r="W2080" s="108" t="s">
        <v>13464</v>
      </c>
      <c r="X2080" s="117">
        <v>2</v>
      </c>
      <c r="Y2080" s="113"/>
      <c r="Z2080" s="108" t="s">
        <v>17357</v>
      </c>
      <c r="AA2080" s="117">
        <v>2</v>
      </c>
      <c r="AB2080" s="111" t="s">
        <v>40</v>
      </c>
      <c r="AC2080" s="105" t="s">
        <v>4678</v>
      </c>
      <c r="AD2080" s="115" t="s">
        <v>49</v>
      </c>
    </row>
    <row r="2081" spans="1:30" x14ac:dyDescent="0.2">
      <c r="A2081" s="104" t="s">
        <v>4679</v>
      </c>
      <c r="B2081" s="105" t="s">
        <v>371</v>
      </c>
      <c r="C2081" s="105" t="s">
        <v>375</v>
      </c>
      <c r="D2081" s="106" t="s">
        <v>94</v>
      </c>
      <c r="E2081" s="107" t="s">
        <v>146</v>
      </c>
      <c r="F2081" s="108" t="s">
        <v>17358</v>
      </c>
      <c r="G2081" s="118">
        <v>3</v>
      </c>
      <c r="H2081" s="108" t="s">
        <v>17359</v>
      </c>
      <c r="I2081" s="117">
        <v>2</v>
      </c>
      <c r="J2081" s="111" t="s">
        <v>40</v>
      </c>
      <c r="K2081" s="108" t="s">
        <v>17360</v>
      </c>
      <c r="L2081" s="110">
        <v>3</v>
      </c>
      <c r="M2081" s="113"/>
      <c r="N2081" s="108" t="s">
        <v>17358</v>
      </c>
      <c r="O2081" s="110">
        <v>3</v>
      </c>
      <c r="P2081" s="113"/>
      <c r="Q2081" s="108" t="s">
        <v>17361</v>
      </c>
      <c r="R2081" s="117">
        <v>2</v>
      </c>
      <c r="S2081" s="111" t="s">
        <v>40</v>
      </c>
      <c r="T2081" s="108" t="s">
        <v>17362</v>
      </c>
      <c r="U2081" s="116">
        <v>1</v>
      </c>
      <c r="V2081" s="111" t="s">
        <v>40</v>
      </c>
      <c r="W2081" s="108" t="s">
        <v>17363</v>
      </c>
      <c r="X2081" s="117">
        <v>2</v>
      </c>
      <c r="Y2081" s="113"/>
      <c r="Z2081" s="108" t="s">
        <v>17364</v>
      </c>
      <c r="AA2081" s="117">
        <v>2</v>
      </c>
      <c r="AB2081" s="113"/>
      <c r="AC2081" s="105" t="s">
        <v>4680</v>
      </c>
      <c r="AD2081" s="115" t="s">
        <v>49</v>
      </c>
    </row>
    <row r="2082" spans="1:30" x14ac:dyDescent="0.2">
      <c r="A2082" s="104" t="s">
        <v>4681</v>
      </c>
      <c r="B2082" s="105" t="s">
        <v>371</v>
      </c>
      <c r="C2082" s="105" t="s">
        <v>375</v>
      </c>
      <c r="D2082" s="106" t="s">
        <v>125</v>
      </c>
      <c r="E2082" s="107" t="s">
        <v>146</v>
      </c>
      <c r="F2082" s="108" t="s">
        <v>17365</v>
      </c>
      <c r="G2082" s="118">
        <v>3</v>
      </c>
      <c r="H2082" s="108" t="s">
        <v>17366</v>
      </c>
      <c r="I2082" s="117">
        <v>2</v>
      </c>
      <c r="J2082" s="111" t="s">
        <v>40</v>
      </c>
      <c r="K2082" s="108" t="s">
        <v>17367</v>
      </c>
      <c r="L2082" s="110">
        <v>3</v>
      </c>
      <c r="M2082" s="113"/>
      <c r="N2082" s="108" t="s">
        <v>17365</v>
      </c>
      <c r="O2082" s="110">
        <v>3</v>
      </c>
      <c r="P2082" s="113"/>
      <c r="Q2082" s="108" t="s">
        <v>17368</v>
      </c>
      <c r="R2082" s="110">
        <v>3</v>
      </c>
      <c r="S2082" s="113"/>
      <c r="T2082" s="108" t="s">
        <v>17369</v>
      </c>
      <c r="U2082" s="117">
        <v>2</v>
      </c>
      <c r="V2082" s="111" t="s">
        <v>40</v>
      </c>
      <c r="W2082" s="108" t="s">
        <v>17370</v>
      </c>
      <c r="X2082" s="110">
        <v>3</v>
      </c>
      <c r="Y2082" s="113"/>
      <c r="Z2082" s="108" t="s">
        <v>17371</v>
      </c>
      <c r="AA2082" s="110">
        <v>3</v>
      </c>
      <c r="AB2082" s="113"/>
      <c r="AC2082" s="105" t="s">
        <v>4682</v>
      </c>
      <c r="AD2082" s="115" t="s">
        <v>49</v>
      </c>
    </row>
    <row r="2083" spans="1:30" x14ac:dyDescent="0.2">
      <c r="A2083" s="104" t="s">
        <v>4683</v>
      </c>
      <c r="B2083" s="105" t="s">
        <v>42</v>
      </c>
      <c r="C2083" s="105" t="s">
        <v>582</v>
      </c>
      <c r="D2083" s="106" t="s">
        <v>105</v>
      </c>
      <c r="E2083" s="107"/>
      <c r="F2083" s="108" t="s">
        <v>17372</v>
      </c>
      <c r="G2083" s="119">
        <v>1</v>
      </c>
      <c r="H2083" s="108" t="s">
        <v>17373</v>
      </c>
      <c r="I2083" s="116">
        <v>1</v>
      </c>
      <c r="J2083" s="111" t="s">
        <v>40</v>
      </c>
      <c r="K2083" s="108" t="s">
        <v>17374</v>
      </c>
      <c r="L2083" s="116">
        <v>1</v>
      </c>
      <c r="M2083" s="113"/>
      <c r="N2083" s="108" t="s">
        <v>17372</v>
      </c>
      <c r="O2083" s="116">
        <v>1</v>
      </c>
      <c r="P2083" s="113"/>
      <c r="Q2083" s="108" t="s">
        <v>17375</v>
      </c>
      <c r="R2083" s="116">
        <v>1</v>
      </c>
      <c r="S2083" s="113"/>
      <c r="T2083" s="108" t="s">
        <v>17376</v>
      </c>
      <c r="U2083" s="110">
        <v>3</v>
      </c>
      <c r="V2083" s="113"/>
      <c r="W2083" s="108" t="s">
        <v>17377</v>
      </c>
      <c r="X2083" s="112">
        <v>4</v>
      </c>
      <c r="Y2083" s="113"/>
      <c r="Z2083" s="108" t="s">
        <v>17378</v>
      </c>
      <c r="AA2083" s="112">
        <v>4</v>
      </c>
      <c r="AB2083" s="113"/>
      <c r="AC2083" s="105" t="s">
        <v>4684</v>
      </c>
      <c r="AD2083" s="115" t="s">
        <v>107</v>
      </c>
    </row>
    <row r="2084" spans="1:30" x14ac:dyDescent="0.2">
      <c r="A2084" s="104" t="s">
        <v>4685</v>
      </c>
      <c r="B2084" s="105" t="s">
        <v>42</v>
      </c>
      <c r="C2084" s="105" t="s">
        <v>132</v>
      </c>
      <c r="D2084" s="106" t="s">
        <v>105</v>
      </c>
      <c r="E2084" s="107"/>
      <c r="F2084" s="108" t="s">
        <v>4686</v>
      </c>
      <c r="G2084" s="119">
        <v>1</v>
      </c>
      <c r="H2084" s="108" t="s">
        <v>17379</v>
      </c>
      <c r="I2084" s="116">
        <v>1</v>
      </c>
      <c r="J2084" s="111" t="s">
        <v>53</v>
      </c>
      <c r="K2084" s="108" t="s">
        <v>17380</v>
      </c>
      <c r="L2084" s="116">
        <v>1</v>
      </c>
      <c r="M2084" s="113"/>
      <c r="N2084" s="108" t="s">
        <v>4686</v>
      </c>
      <c r="O2084" s="116">
        <v>1</v>
      </c>
      <c r="P2084" s="111" t="s">
        <v>40</v>
      </c>
      <c r="Q2084" s="108" t="s">
        <v>17381</v>
      </c>
      <c r="R2084" s="110">
        <v>3</v>
      </c>
      <c r="S2084" s="113"/>
      <c r="T2084" s="108" t="s">
        <v>17382</v>
      </c>
      <c r="U2084" s="112">
        <v>4</v>
      </c>
      <c r="V2084" s="113"/>
      <c r="W2084" s="108" t="s">
        <v>17383</v>
      </c>
      <c r="X2084" s="112">
        <v>4</v>
      </c>
      <c r="Y2084" s="113"/>
      <c r="Z2084" s="108" t="s">
        <v>17384</v>
      </c>
      <c r="AA2084" s="112">
        <v>4</v>
      </c>
      <c r="AB2084" s="113"/>
      <c r="AC2084" s="105" t="s">
        <v>4687</v>
      </c>
      <c r="AD2084" s="115" t="s">
        <v>107</v>
      </c>
    </row>
    <row r="2085" spans="1:30" x14ac:dyDescent="0.2">
      <c r="A2085" s="104" t="s">
        <v>4688</v>
      </c>
      <c r="B2085" s="105" t="s">
        <v>42</v>
      </c>
      <c r="C2085" s="105" t="s">
        <v>582</v>
      </c>
      <c r="D2085" s="106" t="s">
        <v>105</v>
      </c>
      <c r="E2085" s="107"/>
      <c r="F2085" s="108" t="s">
        <v>17385</v>
      </c>
      <c r="G2085" s="119">
        <v>1</v>
      </c>
      <c r="H2085" s="108" t="s">
        <v>17386</v>
      </c>
      <c r="I2085" s="116">
        <v>1</v>
      </c>
      <c r="J2085" s="111" t="s">
        <v>40</v>
      </c>
      <c r="K2085" s="108" t="s">
        <v>17387</v>
      </c>
      <c r="L2085" s="116">
        <v>1</v>
      </c>
      <c r="M2085" s="113"/>
      <c r="N2085" s="108" t="s">
        <v>17385</v>
      </c>
      <c r="O2085" s="116">
        <v>1</v>
      </c>
      <c r="P2085" s="113"/>
      <c r="Q2085" s="108" t="s">
        <v>17388</v>
      </c>
      <c r="R2085" s="116">
        <v>1</v>
      </c>
      <c r="S2085" s="113"/>
      <c r="T2085" s="108" t="s">
        <v>17389</v>
      </c>
      <c r="U2085" s="110">
        <v>3</v>
      </c>
      <c r="V2085" s="113"/>
      <c r="W2085" s="108" t="s">
        <v>17390</v>
      </c>
      <c r="X2085" s="110">
        <v>3</v>
      </c>
      <c r="Y2085" s="113"/>
      <c r="Z2085" s="108" t="s">
        <v>17391</v>
      </c>
      <c r="AA2085" s="112">
        <v>4</v>
      </c>
      <c r="AB2085" s="113"/>
      <c r="AC2085" s="105" t="s">
        <v>4689</v>
      </c>
      <c r="AD2085" s="115" t="s">
        <v>107</v>
      </c>
    </row>
    <row r="2086" spans="1:30" x14ac:dyDescent="0.2">
      <c r="A2086" s="104" t="s">
        <v>4690</v>
      </c>
      <c r="B2086" s="105" t="s">
        <v>42</v>
      </c>
      <c r="C2086" s="105" t="s">
        <v>384</v>
      </c>
      <c r="D2086" s="106" t="s">
        <v>125</v>
      </c>
      <c r="E2086" s="107"/>
      <c r="F2086" s="108" t="s">
        <v>17392</v>
      </c>
      <c r="G2086" s="118">
        <v>3</v>
      </c>
      <c r="H2086" s="108" t="s">
        <v>17393</v>
      </c>
      <c r="I2086" s="117">
        <v>2</v>
      </c>
      <c r="J2086" s="113"/>
      <c r="K2086" s="108" t="s">
        <v>17394</v>
      </c>
      <c r="L2086" s="116">
        <v>1</v>
      </c>
      <c r="M2086" s="111" t="s">
        <v>40</v>
      </c>
      <c r="N2086" s="108" t="s">
        <v>17392</v>
      </c>
      <c r="O2086" s="110">
        <v>3</v>
      </c>
      <c r="P2086" s="111" t="s">
        <v>46</v>
      </c>
      <c r="Q2086" s="108" t="s">
        <v>17395</v>
      </c>
      <c r="R2086" s="110">
        <v>3</v>
      </c>
      <c r="S2086" s="111" t="s">
        <v>40</v>
      </c>
      <c r="T2086" s="108" t="s">
        <v>17396</v>
      </c>
      <c r="U2086" s="112">
        <v>4</v>
      </c>
      <c r="V2086" s="113"/>
      <c r="W2086" s="108" t="s">
        <v>17397</v>
      </c>
      <c r="X2086" s="110">
        <v>3</v>
      </c>
      <c r="Y2086" s="113"/>
      <c r="Z2086" s="108" t="s">
        <v>17398</v>
      </c>
      <c r="AA2086" s="112">
        <v>4</v>
      </c>
      <c r="AB2086" s="113"/>
      <c r="AC2086" s="105" t="s">
        <v>4691</v>
      </c>
      <c r="AD2086" s="115" t="s">
        <v>107</v>
      </c>
    </row>
    <row r="2087" spans="1:30" x14ac:dyDescent="0.2">
      <c r="A2087" s="104" t="s">
        <v>4692</v>
      </c>
      <c r="B2087" s="105" t="s">
        <v>255</v>
      </c>
      <c r="C2087" s="105" t="s">
        <v>2741</v>
      </c>
      <c r="D2087" s="106" t="s">
        <v>105</v>
      </c>
      <c r="E2087" s="107"/>
      <c r="F2087" s="108" t="s">
        <v>17399</v>
      </c>
      <c r="G2087" s="120">
        <v>2</v>
      </c>
      <c r="H2087" s="108" t="s">
        <v>17400</v>
      </c>
      <c r="I2087" s="117">
        <v>2</v>
      </c>
      <c r="J2087" s="111" t="s">
        <v>40</v>
      </c>
      <c r="K2087" s="108" t="s">
        <v>17401</v>
      </c>
      <c r="L2087" s="117">
        <v>2</v>
      </c>
      <c r="M2087" s="113"/>
      <c r="N2087" s="108" t="s">
        <v>17399</v>
      </c>
      <c r="O2087" s="117">
        <v>2</v>
      </c>
      <c r="P2087" s="113"/>
      <c r="Q2087" s="108" t="s">
        <v>17402</v>
      </c>
      <c r="R2087" s="117">
        <v>2</v>
      </c>
      <c r="S2087" s="113"/>
      <c r="T2087" s="108" t="s">
        <v>17403</v>
      </c>
      <c r="U2087" s="110">
        <v>3</v>
      </c>
      <c r="V2087" s="113"/>
      <c r="W2087" s="108" t="s">
        <v>17404</v>
      </c>
      <c r="X2087" s="110">
        <v>3</v>
      </c>
      <c r="Y2087" s="113"/>
      <c r="Z2087" s="108" t="s">
        <v>17405</v>
      </c>
      <c r="AA2087" s="112">
        <v>4</v>
      </c>
      <c r="AB2087" s="113"/>
      <c r="AC2087" s="105" t="s">
        <v>4693</v>
      </c>
      <c r="AD2087" s="115" t="s">
        <v>49</v>
      </c>
    </row>
    <row r="2088" spans="1:30" x14ac:dyDescent="0.2">
      <c r="A2088" s="104" t="s">
        <v>4694</v>
      </c>
      <c r="B2088" s="105" t="s">
        <v>255</v>
      </c>
      <c r="C2088" s="105" t="s">
        <v>2741</v>
      </c>
      <c r="D2088" s="106" t="s">
        <v>94</v>
      </c>
      <c r="E2088" s="107"/>
      <c r="F2088" s="108" t="s">
        <v>17406</v>
      </c>
      <c r="G2088" s="119">
        <v>1</v>
      </c>
      <c r="H2088" s="108" t="s">
        <v>17407</v>
      </c>
      <c r="I2088" s="112">
        <v>4</v>
      </c>
      <c r="J2088" s="111" t="s">
        <v>44</v>
      </c>
      <c r="K2088" s="108" t="s">
        <v>17408</v>
      </c>
      <c r="L2088" s="117">
        <v>2</v>
      </c>
      <c r="M2088" s="111" t="s">
        <v>46</v>
      </c>
      <c r="N2088" s="108" t="s">
        <v>17406</v>
      </c>
      <c r="O2088" s="116">
        <v>1</v>
      </c>
      <c r="P2088" s="113"/>
      <c r="Q2088" s="108" t="s">
        <v>17409</v>
      </c>
      <c r="R2088" s="116">
        <v>1</v>
      </c>
      <c r="S2088" s="113"/>
      <c r="T2088" s="108" t="s">
        <v>17410</v>
      </c>
      <c r="U2088" s="117">
        <v>2</v>
      </c>
      <c r="V2088" s="113"/>
      <c r="W2088" s="108" t="s">
        <v>17411</v>
      </c>
      <c r="X2088" s="117">
        <v>2</v>
      </c>
      <c r="Y2088" s="111" t="s">
        <v>46</v>
      </c>
      <c r="Z2088" s="108" t="s">
        <v>17412</v>
      </c>
      <c r="AA2088" s="110">
        <v>3</v>
      </c>
      <c r="AB2088" s="113"/>
      <c r="AC2088" s="105" t="s">
        <v>4695</v>
      </c>
      <c r="AD2088" s="115" t="s">
        <v>49</v>
      </c>
    </row>
    <row r="2089" spans="1:30" x14ac:dyDescent="0.2">
      <c r="A2089" s="104" t="s">
        <v>4696</v>
      </c>
      <c r="B2089" s="105" t="s">
        <v>255</v>
      </c>
      <c r="C2089" s="105" t="s">
        <v>93</v>
      </c>
      <c r="D2089" s="106" t="s">
        <v>125</v>
      </c>
      <c r="E2089" s="107"/>
      <c r="F2089" s="108" t="s">
        <v>17413</v>
      </c>
      <c r="G2089" s="119">
        <v>1</v>
      </c>
      <c r="H2089" s="108" t="s">
        <v>17414</v>
      </c>
      <c r="I2089" s="110">
        <v>3</v>
      </c>
      <c r="J2089" s="111" t="s">
        <v>46</v>
      </c>
      <c r="K2089" s="108" t="s">
        <v>17415</v>
      </c>
      <c r="L2089" s="117">
        <v>2</v>
      </c>
      <c r="M2089" s="111" t="s">
        <v>46</v>
      </c>
      <c r="N2089" s="108" t="s">
        <v>17413</v>
      </c>
      <c r="O2089" s="116">
        <v>1</v>
      </c>
      <c r="P2089" s="113"/>
      <c r="Q2089" s="108" t="s">
        <v>17416</v>
      </c>
      <c r="R2089" s="116">
        <v>1</v>
      </c>
      <c r="S2089" s="113"/>
      <c r="T2089" s="108" t="s">
        <v>17417</v>
      </c>
      <c r="U2089" s="117">
        <v>2</v>
      </c>
      <c r="V2089" s="113"/>
      <c r="W2089" s="108" t="s">
        <v>17418</v>
      </c>
      <c r="X2089" s="117">
        <v>2</v>
      </c>
      <c r="Y2089" s="113"/>
      <c r="Z2089" s="108" t="s">
        <v>17419</v>
      </c>
      <c r="AA2089" s="110">
        <v>3</v>
      </c>
      <c r="AB2089" s="113"/>
      <c r="AC2089" s="105" t="s">
        <v>4697</v>
      </c>
      <c r="AD2089" s="115" t="s">
        <v>49</v>
      </c>
    </row>
    <row r="2090" spans="1:30" x14ac:dyDescent="0.2">
      <c r="A2090" s="104" t="s">
        <v>4698</v>
      </c>
      <c r="B2090" s="105" t="s">
        <v>255</v>
      </c>
      <c r="C2090" s="105" t="s">
        <v>244</v>
      </c>
      <c r="D2090" s="106" t="s">
        <v>105</v>
      </c>
      <c r="E2090" s="107"/>
      <c r="F2090" s="108" t="s">
        <v>17420</v>
      </c>
      <c r="G2090" s="109">
        <v>4</v>
      </c>
      <c r="H2090" s="108" t="s">
        <v>17421</v>
      </c>
      <c r="I2090" s="116">
        <v>1</v>
      </c>
      <c r="J2090" s="111" t="s">
        <v>157</v>
      </c>
      <c r="K2090" s="108" t="s">
        <v>4699</v>
      </c>
      <c r="L2090" s="110">
        <v>3</v>
      </c>
      <c r="M2090" s="111" t="s">
        <v>40</v>
      </c>
      <c r="N2090" s="108" t="s">
        <v>17420</v>
      </c>
      <c r="O2090" s="112">
        <v>4</v>
      </c>
      <c r="P2090" s="113"/>
      <c r="Q2090" s="108" t="s">
        <v>17422</v>
      </c>
      <c r="R2090" s="112">
        <v>4</v>
      </c>
      <c r="S2090" s="113"/>
      <c r="T2090" s="108" t="s">
        <v>17423</v>
      </c>
      <c r="U2090" s="112">
        <v>4</v>
      </c>
      <c r="V2090" s="113"/>
      <c r="W2090" s="108" t="s">
        <v>17424</v>
      </c>
      <c r="X2090" s="112">
        <v>4</v>
      </c>
      <c r="Y2090" s="113"/>
      <c r="Z2090" s="108" t="s">
        <v>17425</v>
      </c>
      <c r="AA2090" s="112">
        <v>4</v>
      </c>
      <c r="AB2090" s="113"/>
      <c r="AC2090" s="105" t="s">
        <v>4700</v>
      </c>
      <c r="AD2090" s="115" t="s">
        <v>49</v>
      </c>
    </row>
    <row r="2091" spans="1:30" x14ac:dyDescent="0.2">
      <c r="A2091" s="104" t="s">
        <v>4701</v>
      </c>
      <c r="B2091" s="105" t="s">
        <v>255</v>
      </c>
      <c r="C2091" s="105" t="s">
        <v>244</v>
      </c>
      <c r="D2091" s="106" t="s">
        <v>125</v>
      </c>
      <c r="E2091" s="107"/>
      <c r="F2091" s="108" t="s">
        <v>17426</v>
      </c>
      <c r="G2091" s="118">
        <v>3</v>
      </c>
      <c r="H2091" s="108" t="s">
        <v>17427</v>
      </c>
      <c r="I2091" s="110">
        <v>3</v>
      </c>
      <c r="J2091" s="113"/>
      <c r="K2091" s="108" t="s">
        <v>17428</v>
      </c>
      <c r="L2091" s="110">
        <v>3</v>
      </c>
      <c r="M2091" s="113"/>
      <c r="N2091" s="108" t="s">
        <v>17426</v>
      </c>
      <c r="O2091" s="110">
        <v>3</v>
      </c>
      <c r="P2091" s="113"/>
      <c r="Q2091" s="108" t="s">
        <v>17429</v>
      </c>
      <c r="R2091" s="110">
        <v>3</v>
      </c>
      <c r="S2091" s="113"/>
      <c r="T2091" s="108" t="s">
        <v>17430</v>
      </c>
      <c r="U2091" s="112">
        <v>4</v>
      </c>
      <c r="V2091" s="113"/>
      <c r="W2091" s="108" t="s">
        <v>17431</v>
      </c>
      <c r="X2091" s="110">
        <v>3</v>
      </c>
      <c r="Y2091" s="113"/>
      <c r="Z2091" s="108" t="s">
        <v>17432</v>
      </c>
      <c r="AA2091" s="112">
        <v>4</v>
      </c>
      <c r="AB2091" s="113"/>
      <c r="AC2091" s="105" t="s">
        <v>4702</v>
      </c>
      <c r="AD2091" s="115" t="s">
        <v>49</v>
      </c>
    </row>
    <row r="2092" spans="1:30" x14ac:dyDescent="0.2">
      <c r="A2092" s="104" t="s">
        <v>4703</v>
      </c>
      <c r="B2092" s="105" t="s">
        <v>371</v>
      </c>
      <c r="C2092" s="105" t="s">
        <v>332</v>
      </c>
      <c r="D2092" s="106"/>
      <c r="E2092" s="107"/>
      <c r="F2092" s="108" t="s">
        <v>17433</v>
      </c>
      <c r="G2092" s="109">
        <v>4</v>
      </c>
      <c r="H2092" s="108" t="s">
        <v>17434</v>
      </c>
      <c r="I2092" s="117">
        <v>2</v>
      </c>
      <c r="J2092" s="111" t="s">
        <v>40</v>
      </c>
      <c r="K2092" s="108" t="s">
        <v>17435</v>
      </c>
      <c r="L2092" s="110">
        <v>3</v>
      </c>
      <c r="M2092" s="113"/>
      <c r="N2092" s="108" t="s">
        <v>17433</v>
      </c>
      <c r="O2092" s="112">
        <v>4</v>
      </c>
      <c r="P2092" s="111" t="s">
        <v>46</v>
      </c>
      <c r="Q2092" s="108" t="s">
        <v>17436</v>
      </c>
      <c r="R2092" s="110">
        <v>3</v>
      </c>
      <c r="S2092" s="113"/>
      <c r="T2092" s="108" t="s">
        <v>17437</v>
      </c>
      <c r="U2092" s="117">
        <v>2</v>
      </c>
      <c r="V2092" s="113"/>
      <c r="W2092" s="108" t="s">
        <v>47</v>
      </c>
      <c r="X2092" s="114"/>
      <c r="Y2092" s="113"/>
      <c r="Z2092" s="108" t="s">
        <v>47</v>
      </c>
      <c r="AA2092" s="114"/>
      <c r="AB2092" s="113"/>
      <c r="AC2092" s="105"/>
      <c r="AD2092" s="115" t="s">
        <v>180</v>
      </c>
    </row>
    <row r="2093" spans="1:30" x14ac:dyDescent="0.2">
      <c r="A2093" s="104" t="s">
        <v>4704</v>
      </c>
      <c r="B2093" s="105" t="s">
        <v>371</v>
      </c>
      <c r="C2093" s="105" t="s">
        <v>160</v>
      </c>
      <c r="D2093" s="106"/>
      <c r="E2093" s="107"/>
      <c r="F2093" s="108" t="s">
        <v>17438</v>
      </c>
      <c r="G2093" s="119">
        <v>1</v>
      </c>
      <c r="H2093" s="108" t="s">
        <v>17439</v>
      </c>
      <c r="I2093" s="116">
        <v>1</v>
      </c>
      <c r="J2093" s="113"/>
      <c r="K2093" s="108" t="s">
        <v>17440</v>
      </c>
      <c r="L2093" s="116">
        <v>1</v>
      </c>
      <c r="M2093" s="113"/>
      <c r="N2093" s="108" t="s">
        <v>17438</v>
      </c>
      <c r="O2093" s="116">
        <v>1</v>
      </c>
      <c r="P2093" s="113"/>
      <c r="Q2093" s="108" t="s">
        <v>17441</v>
      </c>
      <c r="R2093" s="116">
        <v>1</v>
      </c>
      <c r="S2093" s="113"/>
      <c r="T2093" s="108" t="s">
        <v>17442</v>
      </c>
      <c r="U2093" s="116">
        <v>1</v>
      </c>
      <c r="V2093" s="113"/>
      <c r="W2093" s="108" t="s">
        <v>17443</v>
      </c>
      <c r="X2093" s="116">
        <v>1</v>
      </c>
      <c r="Y2093" s="113"/>
      <c r="Z2093" s="108" t="s">
        <v>47</v>
      </c>
      <c r="AA2093" s="114"/>
      <c r="AB2093" s="113"/>
      <c r="AC2093" s="105"/>
      <c r="AD2093" s="115" t="s">
        <v>180</v>
      </c>
    </row>
    <row r="2094" spans="1:30" x14ac:dyDescent="0.2">
      <c r="A2094" s="104" t="s">
        <v>4705</v>
      </c>
      <c r="B2094" s="105" t="s">
        <v>42</v>
      </c>
      <c r="C2094" s="105" t="s">
        <v>43</v>
      </c>
      <c r="D2094" s="106"/>
      <c r="E2094" s="107"/>
      <c r="F2094" s="108" t="s">
        <v>17444</v>
      </c>
      <c r="G2094" s="120">
        <v>2</v>
      </c>
      <c r="H2094" s="108" t="s">
        <v>17445</v>
      </c>
      <c r="I2094" s="116">
        <v>1</v>
      </c>
      <c r="J2094" s="111" t="s">
        <v>53</v>
      </c>
      <c r="K2094" s="108" t="s">
        <v>4706</v>
      </c>
      <c r="L2094" s="117">
        <v>2</v>
      </c>
      <c r="M2094" s="111" t="s">
        <v>40</v>
      </c>
      <c r="N2094" s="108" t="s">
        <v>17444</v>
      </c>
      <c r="O2094" s="117">
        <v>2</v>
      </c>
      <c r="P2094" s="113"/>
      <c r="Q2094" s="108" t="s">
        <v>17446</v>
      </c>
      <c r="R2094" s="116">
        <v>1</v>
      </c>
      <c r="S2094" s="111" t="s">
        <v>40</v>
      </c>
      <c r="T2094" s="108" t="s">
        <v>17447</v>
      </c>
      <c r="U2094" s="110">
        <v>3</v>
      </c>
      <c r="V2094" s="113"/>
      <c r="W2094" s="108" t="s">
        <v>17448</v>
      </c>
      <c r="X2094" s="117">
        <v>2</v>
      </c>
      <c r="Y2094" s="113"/>
      <c r="Z2094" s="108" t="s">
        <v>47</v>
      </c>
      <c r="AA2094" s="114"/>
      <c r="AB2094" s="113"/>
      <c r="AC2094" s="105" t="s">
        <v>4707</v>
      </c>
      <c r="AD2094" s="115" t="s">
        <v>49</v>
      </c>
    </row>
    <row r="2095" spans="1:30" x14ac:dyDescent="0.2">
      <c r="A2095" s="104" t="s">
        <v>4708</v>
      </c>
      <c r="B2095" s="105" t="s">
        <v>42</v>
      </c>
      <c r="C2095" s="105" t="s">
        <v>43</v>
      </c>
      <c r="D2095" s="106"/>
      <c r="E2095" s="107"/>
      <c r="F2095" s="108" t="s">
        <v>47</v>
      </c>
      <c r="G2095" s="113"/>
      <c r="H2095" s="108" t="s">
        <v>47</v>
      </c>
      <c r="I2095" s="114"/>
      <c r="J2095" s="113"/>
      <c r="K2095" s="108" t="s">
        <v>47</v>
      </c>
      <c r="L2095" s="114"/>
      <c r="M2095" s="113"/>
      <c r="N2095" s="108" t="s">
        <v>47</v>
      </c>
      <c r="O2095" s="114"/>
      <c r="P2095" s="113"/>
      <c r="Q2095" s="108" t="s">
        <v>47</v>
      </c>
      <c r="R2095" s="114"/>
      <c r="S2095" s="113"/>
      <c r="T2095" s="108" t="s">
        <v>47</v>
      </c>
      <c r="U2095" s="114"/>
      <c r="V2095" s="113"/>
      <c r="W2095" s="108" t="s">
        <v>47</v>
      </c>
      <c r="X2095" s="114"/>
      <c r="Y2095" s="113"/>
      <c r="Z2095" s="108" t="s">
        <v>47</v>
      </c>
      <c r="AA2095" s="114"/>
      <c r="AB2095" s="113"/>
      <c r="AC2095" s="105" t="s">
        <v>4709</v>
      </c>
      <c r="AD2095" s="115" t="s">
        <v>49</v>
      </c>
    </row>
    <row r="2096" spans="1:30" x14ac:dyDescent="0.2">
      <c r="A2096" s="104" t="s">
        <v>4710</v>
      </c>
      <c r="B2096" s="105" t="s">
        <v>42</v>
      </c>
      <c r="C2096" s="105" t="s">
        <v>43</v>
      </c>
      <c r="D2096" s="106"/>
      <c r="E2096" s="107"/>
      <c r="F2096" s="108" t="s">
        <v>17449</v>
      </c>
      <c r="G2096" s="109">
        <v>4</v>
      </c>
      <c r="H2096" s="108" t="s">
        <v>17450</v>
      </c>
      <c r="I2096" s="117">
        <v>2</v>
      </c>
      <c r="J2096" s="111" t="s">
        <v>53</v>
      </c>
      <c r="K2096" s="108" t="s">
        <v>17451</v>
      </c>
      <c r="L2096" s="110">
        <v>3</v>
      </c>
      <c r="M2096" s="111" t="s">
        <v>40</v>
      </c>
      <c r="N2096" s="108" t="s">
        <v>17449</v>
      </c>
      <c r="O2096" s="112">
        <v>4</v>
      </c>
      <c r="P2096" s="113"/>
      <c r="Q2096" s="108" t="s">
        <v>17452</v>
      </c>
      <c r="R2096" s="112">
        <v>4</v>
      </c>
      <c r="S2096" s="113"/>
      <c r="T2096" s="108" t="s">
        <v>17453</v>
      </c>
      <c r="U2096" s="112">
        <v>4</v>
      </c>
      <c r="V2096" s="113"/>
      <c r="W2096" s="108" t="s">
        <v>17454</v>
      </c>
      <c r="X2096" s="112">
        <v>4</v>
      </c>
      <c r="Y2096" s="113"/>
      <c r="Z2096" s="108" t="s">
        <v>47</v>
      </c>
      <c r="AA2096" s="114"/>
      <c r="AB2096" s="113"/>
      <c r="AC2096" s="105" t="s">
        <v>4711</v>
      </c>
      <c r="AD2096" s="115" t="s">
        <v>49</v>
      </c>
    </row>
    <row r="2097" spans="1:30" x14ac:dyDescent="0.2">
      <c r="A2097" s="104" t="s">
        <v>4712</v>
      </c>
      <c r="B2097" s="105" t="s">
        <v>42</v>
      </c>
      <c r="C2097" s="105" t="s">
        <v>3433</v>
      </c>
      <c r="D2097" s="106"/>
      <c r="E2097" s="107"/>
      <c r="F2097" s="108" t="s">
        <v>17455</v>
      </c>
      <c r="G2097" s="120">
        <v>2</v>
      </c>
      <c r="H2097" s="108" t="s">
        <v>17456</v>
      </c>
      <c r="I2097" s="117">
        <v>2</v>
      </c>
      <c r="J2097" s="113"/>
      <c r="K2097" s="108" t="s">
        <v>17457</v>
      </c>
      <c r="L2097" s="117">
        <v>2</v>
      </c>
      <c r="M2097" s="113"/>
      <c r="N2097" s="108" t="s">
        <v>17455</v>
      </c>
      <c r="O2097" s="117">
        <v>2</v>
      </c>
      <c r="P2097" s="113"/>
      <c r="Q2097" s="108" t="s">
        <v>17458</v>
      </c>
      <c r="R2097" s="117">
        <v>2</v>
      </c>
      <c r="S2097" s="113"/>
      <c r="T2097" s="108" t="s">
        <v>17459</v>
      </c>
      <c r="U2097" s="117">
        <v>2</v>
      </c>
      <c r="V2097" s="113"/>
      <c r="W2097" s="108" t="s">
        <v>17460</v>
      </c>
      <c r="X2097" s="117">
        <v>2</v>
      </c>
      <c r="Y2097" s="113"/>
      <c r="Z2097" s="108" t="s">
        <v>17461</v>
      </c>
      <c r="AA2097" s="110">
        <v>3</v>
      </c>
      <c r="AB2097" s="111" t="s">
        <v>40</v>
      </c>
      <c r="AC2097" s="105" t="s">
        <v>4713</v>
      </c>
      <c r="AD2097" s="115" t="s">
        <v>49</v>
      </c>
    </row>
    <row r="2098" spans="1:30" x14ac:dyDescent="0.2">
      <c r="A2098" s="104" t="s">
        <v>4714</v>
      </c>
      <c r="B2098" s="105" t="s">
        <v>255</v>
      </c>
      <c r="C2098" s="105" t="s">
        <v>160</v>
      </c>
      <c r="D2098" s="106"/>
      <c r="E2098" s="107"/>
      <c r="F2098" s="108" t="s">
        <v>17462</v>
      </c>
      <c r="G2098" s="119">
        <v>1</v>
      </c>
      <c r="H2098" s="108" t="s">
        <v>17463</v>
      </c>
      <c r="I2098" s="116">
        <v>1</v>
      </c>
      <c r="J2098" s="113"/>
      <c r="K2098" s="108" t="s">
        <v>17464</v>
      </c>
      <c r="L2098" s="116">
        <v>1</v>
      </c>
      <c r="M2098" s="113"/>
      <c r="N2098" s="108" t="s">
        <v>17462</v>
      </c>
      <c r="O2098" s="116">
        <v>1</v>
      </c>
      <c r="P2098" s="113"/>
      <c r="Q2098" s="108" t="s">
        <v>17465</v>
      </c>
      <c r="R2098" s="116">
        <v>1</v>
      </c>
      <c r="S2098" s="113"/>
      <c r="T2098" s="108" t="s">
        <v>17466</v>
      </c>
      <c r="U2098" s="117">
        <v>2</v>
      </c>
      <c r="V2098" s="113"/>
      <c r="W2098" s="108" t="s">
        <v>17467</v>
      </c>
      <c r="X2098" s="110">
        <v>3</v>
      </c>
      <c r="Y2098" s="113"/>
      <c r="Z2098" s="108" t="s">
        <v>17468</v>
      </c>
      <c r="AA2098" s="110">
        <v>3</v>
      </c>
      <c r="AB2098" s="113"/>
      <c r="AC2098" s="105" t="s">
        <v>4715</v>
      </c>
      <c r="AD2098" s="115" t="s">
        <v>49</v>
      </c>
    </row>
    <row r="2099" spans="1:30" x14ac:dyDescent="0.2">
      <c r="A2099" s="104" t="s">
        <v>4716</v>
      </c>
      <c r="B2099" s="105" t="s">
        <v>42</v>
      </c>
      <c r="C2099" s="105" t="s">
        <v>638</v>
      </c>
      <c r="D2099" s="106" t="s">
        <v>125</v>
      </c>
      <c r="E2099" s="107"/>
      <c r="F2099" s="108" t="s">
        <v>17469</v>
      </c>
      <c r="G2099" s="120">
        <v>2</v>
      </c>
      <c r="H2099" s="108" t="s">
        <v>17470</v>
      </c>
      <c r="I2099" s="112">
        <v>4</v>
      </c>
      <c r="J2099" s="111" t="s">
        <v>46</v>
      </c>
      <c r="K2099" s="108" t="s">
        <v>17471</v>
      </c>
      <c r="L2099" s="110">
        <v>3</v>
      </c>
      <c r="M2099" s="113"/>
      <c r="N2099" s="108" t="s">
        <v>17469</v>
      </c>
      <c r="O2099" s="117">
        <v>2</v>
      </c>
      <c r="P2099" s="113"/>
      <c r="Q2099" s="108" t="s">
        <v>17472</v>
      </c>
      <c r="R2099" s="117">
        <v>2</v>
      </c>
      <c r="S2099" s="111" t="s">
        <v>46</v>
      </c>
      <c r="T2099" s="108" t="s">
        <v>17473</v>
      </c>
      <c r="U2099" s="110">
        <v>3</v>
      </c>
      <c r="V2099" s="113"/>
      <c r="W2099" s="108" t="s">
        <v>17474</v>
      </c>
      <c r="X2099" s="110">
        <v>3</v>
      </c>
      <c r="Y2099" s="113"/>
      <c r="Z2099" s="108" t="s">
        <v>17475</v>
      </c>
      <c r="AA2099" s="110">
        <v>3</v>
      </c>
      <c r="AB2099" s="113"/>
      <c r="AC2099" s="105" t="s">
        <v>4717</v>
      </c>
      <c r="AD2099" s="115" t="s">
        <v>49</v>
      </c>
    </row>
    <row r="2100" spans="1:30" x14ac:dyDescent="0.2">
      <c r="A2100" s="104" t="s">
        <v>4718</v>
      </c>
      <c r="B2100" s="105" t="s">
        <v>4033</v>
      </c>
      <c r="C2100" s="105" t="s">
        <v>306</v>
      </c>
      <c r="D2100" s="106" t="s">
        <v>125</v>
      </c>
      <c r="E2100" s="107" t="s">
        <v>146</v>
      </c>
      <c r="F2100" s="108" t="s">
        <v>17476</v>
      </c>
      <c r="G2100" s="118">
        <v>3</v>
      </c>
      <c r="H2100" s="108" t="s">
        <v>8102</v>
      </c>
      <c r="I2100" s="112">
        <v>4</v>
      </c>
      <c r="J2100" s="113"/>
      <c r="K2100" s="108" t="s">
        <v>12201</v>
      </c>
      <c r="L2100" s="112">
        <v>4</v>
      </c>
      <c r="M2100" s="111" t="s">
        <v>46</v>
      </c>
      <c r="N2100" s="108" t="s">
        <v>17476</v>
      </c>
      <c r="O2100" s="110">
        <v>3</v>
      </c>
      <c r="P2100" s="111" t="s">
        <v>40</v>
      </c>
      <c r="Q2100" s="108" t="s">
        <v>17477</v>
      </c>
      <c r="R2100" s="110">
        <v>3</v>
      </c>
      <c r="S2100" s="113"/>
      <c r="T2100" s="108" t="s">
        <v>17478</v>
      </c>
      <c r="U2100" s="110">
        <v>3</v>
      </c>
      <c r="V2100" s="111" t="s">
        <v>46</v>
      </c>
      <c r="W2100" s="108" t="s">
        <v>17479</v>
      </c>
      <c r="X2100" s="110">
        <v>3</v>
      </c>
      <c r="Y2100" s="113"/>
      <c r="Z2100" s="108" t="s">
        <v>17480</v>
      </c>
      <c r="AA2100" s="112">
        <v>4</v>
      </c>
      <c r="AB2100" s="113"/>
      <c r="AC2100" s="105" t="s">
        <v>4719</v>
      </c>
      <c r="AD2100" s="115" t="s">
        <v>49</v>
      </c>
    </row>
    <row r="2101" spans="1:30" x14ac:dyDescent="0.2">
      <c r="A2101" s="104" t="s">
        <v>4720</v>
      </c>
      <c r="B2101" s="105" t="s">
        <v>4033</v>
      </c>
      <c r="C2101" s="105" t="s">
        <v>306</v>
      </c>
      <c r="D2101" s="106" t="s">
        <v>125</v>
      </c>
      <c r="E2101" s="107" t="s">
        <v>146</v>
      </c>
      <c r="F2101" s="108" t="s">
        <v>17481</v>
      </c>
      <c r="G2101" s="118">
        <v>3</v>
      </c>
      <c r="H2101" s="108" t="s">
        <v>12218</v>
      </c>
      <c r="I2101" s="112">
        <v>4</v>
      </c>
      <c r="J2101" s="113"/>
      <c r="K2101" s="108" t="s">
        <v>17482</v>
      </c>
      <c r="L2101" s="112">
        <v>4</v>
      </c>
      <c r="M2101" s="111" t="s">
        <v>46</v>
      </c>
      <c r="N2101" s="108" t="s">
        <v>17481</v>
      </c>
      <c r="O2101" s="110">
        <v>3</v>
      </c>
      <c r="P2101" s="111" t="s">
        <v>40</v>
      </c>
      <c r="Q2101" s="108" t="s">
        <v>10900</v>
      </c>
      <c r="R2101" s="110">
        <v>3</v>
      </c>
      <c r="S2101" s="113"/>
      <c r="T2101" s="108" t="s">
        <v>17483</v>
      </c>
      <c r="U2101" s="110">
        <v>3</v>
      </c>
      <c r="V2101" s="111" t="s">
        <v>46</v>
      </c>
      <c r="W2101" s="108" t="s">
        <v>17484</v>
      </c>
      <c r="X2101" s="110">
        <v>3</v>
      </c>
      <c r="Y2101" s="113"/>
      <c r="Z2101" s="108" t="s">
        <v>12454</v>
      </c>
      <c r="AA2101" s="112">
        <v>4</v>
      </c>
      <c r="AB2101" s="113"/>
      <c r="AC2101" s="105" t="s">
        <v>4721</v>
      </c>
      <c r="AD2101" s="115" t="s">
        <v>49</v>
      </c>
    </row>
    <row r="2102" spans="1:30" x14ac:dyDescent="0.2">
      <c r="A2102" s="104" t="s">
        <v>4722</v>
      </c>
      <c r="B2102" s="105" t="s">
        <v>4033</v>
      </c>
      <c r="C2102" s="105" t="s">
        <v>332</v>
      </c>
      <c r="D2102" s="106" t="s">
        <v>94</v>
      </c>
      <c r="E2102" s="107" t="s">
        <v>376</v>
      </c>
      <c r="F2102" s="108" t="s">
        <v>17485</v>
      </c>
      <c r="G2102" s="120">
        <v>2</v>
      </c>
      <c r="H2102" s="108" t="s">
        <v>17486</v>
      </c>
      <c r="I2102" s="117">
        <v>2</v>
      </c>
      <c r="J2102" s="111" t="s">
        <v>46</v>
      </c>
      <c r="K2102" s="108" t="s">
        <v>17487</v>
      </c>
      <c r="L2102" s="117">
        <v>2</v>
      </c>
      <c r="M2102" s="113"/>
      <c r="N2102" s="108" t="s">
        <v>17485</v>
      </c>
      <c r="O2102" s="117">
        <v>2</v>
      </c>
      <c r="P2102" s="113"/>
      <c r="Q2102" s="108" t="s">
        <v>17488</v>
      </c>
      <c r="R2102" s="117">
        <v>2</v>
      </c>
      <c r="S2102" s="111" t="s">
        <v>46</v>
      </c>
      <c r="T2102" s="108" t="s">
        <v>17489</v>
      </c>
      <c r="U2102" s="116">
        <v>1</v>
      </c>
      <c r="V2102" s="113"/>
      <c r="W2102" s="108" t="s">
        <v>17490</v>
      </c>
      <c r="X2102" s="117">
        <v>2</v>
      </c>
      <c r="Y2102" s="113"/>
      <c r="Z2102" s="108" t="s">
        <v>17491</v>
      </c>
      <c r="AA2102" s="117">
        <v>2</v>
      </c>
      <c r="AB2102" s="111" t="s">
        <v>40</v>
      </c>
      <c r="AC2102" s="105" t="s">
        <v>4723</v>
      </c>
      <c r="AD2102" s="115" t="s">
        <v>49</v>
      </c>
    </row>
    <row r="2103" spans="1:30" x14ac:dyDescent="0.2">
      <c r="A2103" s="104" t="s">
        <v>17492</v>
      </c>
      <c r="B2103" s="105" t="s">
        <v>4033</v>
      </c>
      <c r="C2103" s="105" t="s">
        <v>306</v>
      </c>
      <c r="D2103" s="106" t="s">
        <v>105</v>
      </c>
      <c r="E2103" s="107" t="s">
        <v>146</v>
      </c>
      <c r="F2103" s="108" t="s">
        <v>17493</v>
      </c>
      <c r="G2103" s="109">
        <v>4</v>
      </c>
      <c r="H2103" s="108" t="s">
        <v>17494</v>
      </c>
      <c r="I2103" s="110">
        <v>3</v>
      </c>
      <c r="J2103" s="111" t="s">
        <v>46</v>
      </c>
      <c r="K2103" s="108" t="s">
        <v>17495</v>
      </c>
      <c r="L2103" s="112">
        <v>4</v>
      </c>
      <c r="M2103" s="113"/>
      <c r="N2103" s="108" t="s">
        <v>17493</v>
      </c>
      <c r="O2103" s="112">
        <v>4</v>
      </c>
      <c r="P2103" s="113"/>
      <c r="Q2103" s="108" t="s">
        <v>17496</v>
      </c>
      <c r="R2103" s="112">
        <v>4</v>
      </c>
      <c r="S2103" s="113"/>
      <c r="T2103" s="108" t="s">
        <v>17497</v>
      </c>
      <c r="U2103" s="112">
        <v>4</v>
      </c>
      <c r="V2103" s="113"/>
      <c r="W2103" s="108" t="s">
        <v>17498</v>
      </c>
      <c r="X2103" s="110">
        <v>3</v>
      </c>
      <c r="Y2103" s="113"/>
      <c r="Z2103" s="108" t="s">
        <v>4724</v>
      </c>
      <c r="AA2103" s="110">
        <v>3</v>
      </c>
      <c r="AB2103" s="111" t="s">
        <v>40</v>
      </c>
      <c r="AC2103" s="105" t="s">
        <v>4725</v>
      </c>
      <c r="AD2103" s="115" t="s">
        <v>49</v>
      </c>
    </row>
    <row r="2104" spans="1:30" x14ac:dyDescent="0.2">
      <c r="A2104" s="104" t="s">
        <v>4726</v>
      </c>
      <c r="B2104" s="105" t="s">
        <v>4033</v>
      </c>
      <c r="C2104" s="105" t="s">
        <v>244</v>
      </c>
      <c r="D2104" s="106" t="s">
        <v>125</v>
      </c>
      <c r="E2104" s="107" t="s">
        <v>99</v>
      </c>
      <c r="F2104" s="108" t="s">
        <v>17499</v>
      </c>
      <c r="G2104" s="109">
        <v>4</v>
      </c>
      <c r="H2104" s="108" t="s">
        <v>17500</v>
      </c>
      <c r="I2104" s="117">
        <v>2</v>
      </c>
      <c r="J2104" s="111" t="s">
        <v>53</v>
      </c>
      <c r="K2104" s="108" t="s">
        <v>17501</v>
      </c>
      <c r="L2104" s="112">
        <v>4</v>
      </c>
      <c r="M2104" s="113"/>
      <c r="N2104" s="108" t="s">
        <v>17499</v>
      </c>
      <c r="O2104" s="112">
        <v>4</v>
      </c>
      <c r="P2104" s="113"/>
      <c r="Q2104" s="108" t="s">
        <v>17502</v>
      </c>
      <c r="R2104" s="112">
        <v>4</v>
      </c>
      <c r="S2104" s="113"/>
      <c r="T2104" s="108" t="s">
        <v>17503</v>
      </c>
      <c r="U2104" s="112">
        <v>4</v>
      </c>
      <c r="V2104" s="113"/>
      <c r="W2104" s="108" t="s">
        <v>17504</v>
      </c>
      <c r="X2104" s="110">
        <v>3</v>
      </c>
      <c r="Y2104" s="113"/>
      <c r="Z2104" s="108" t="s">
        <v>47</v>
      </c>
      <c r="AA2104" s="114"/>
      <c r="AB2104" s="113"/>
      <c r="AC2104" s="105" t="s">
        <v>4727</v>
      </c>
      <c r="AD2104" s="115" t="s">
        <v>49</v>
      </c>
    </row>
    <row r="2105" spans="1:30" x14ac:dyDescent="0.2">
      <c r="A2105" s="104" t="s">
        <v>4728</v>
      </c>
      <c r="B2105" s="105" t="s">
        <v>4033</v>
      </c>
      <c r="C2105" s="105" t="s">
        <v>244</v>
      </c>
      <c r="D2105" s="106" t="s">
        <v>125</v>
      </c>
      <c r="E2105" s="107" t="s">
        <v>99</v>
      </c>
      <c r="F2105" s="108" t="s">
        <v>17505</v>
      </c>
      <c r="G2105" s="109">
        <v>4</v>
      </c>
      <c r="H2105" s="108" t="s">
        <v>17506</v>
      </c>
      <c r="I2105" s="117">
        <v>2</v>
      </c>
      <c r="J2105" s="111" t="s">
        <v>53</v>
      </c>
      <c r="K2105" s="108" t="s">
        <v>17507</v>
      </c>
      <c r="L2105" s="112">
        <v>4</v>
      </c>
      <c r="M2105" s="113"/>
      <c r="N2105" s="108" t="s">
        <v>17505</v>
      </c>
      <c r="O2105" s="112">
        <v>4</v>
      </c>
      <c r="P2105" s="113"/>
      <c r="Q2105" s="108" t="s">
        <v>17508</v>
      </c>
      <c r="R2105" s="112">
        <v>4</v>
      </c>
      <c r="S2105" s="113"/>
      <c r="T2105" s="108" t="s">
        <v>17509</v>
      </c>
      <c r="U2105" s="112">
        <v>4</v>
      </c>
      <c r="V2105" s="113"/>
      <c r="W2105" s="108" t="s">
        <v>17510</v>
      </c>
      <c r="X2105" s="110">
        <v>3</v>
      </c>
      <c r="Y2105" s="113"/>
      <c r="Z2105" s="108" t="s">
        <v>17511</v>
      </c>
      <c r="AA2105" s="112">
        <v>4</v>
      </c>
      <c r="AB2105" s="111" t="s">
        <v>46</v>
      </c>
      <c r="AC2105" s="105" t="s">
        <v>4729</v>
      </c>
      <c r="AD2105" s="115" t="s">
        <v>49</v>
      </c>
    </row>
    <row r="2106" spans="1:30" x14ac:dyDescent="0.2">
      <c r="A2106" s="104" t="s">
        <v>4730</v>
      </c>
      <c r="B2106" s="105" t="s">
        <v>4033</v>
      </c>
      <c r="C2106" s="105" t="s">
        <v>244</v>
      </c>
      <c r="D2106" s="106" t="s">
        <v>105</v>
      </c>
      <c r="E2106" s="107" t="s">
        <v>146</v>
      </c>
      <c r="F2106" s="108" t="s">
        <v>17512</v>
      </c>
      <c r="G2106" s="119">
        <v>1</v>
      </c>
      <c r="H2106" s="108" t="s">
        <v>17513</v>
      </c>
      <c r="I2106" s="117">
        <v>2</v>
      </c>
      <c r="J2106" s="111" t="s">
        <v>40</v>
      </c>
      <c r="K2106" s="108" t="s">
        <v>17514</v>
      </c>
      <c r="L2106" s="117">
        <v>2</v>
      </c>
      <c r="M2106" s="113"/>
      <c r="N2106" s="108" t="s">
        <v>17512</v>
      </c>
      <c r="O2106" s="116">
        <v>1</v>
      </c>
      <c r="P2106" s="113"/>
      <c r="Q2106" s="108" t="s">
        <v>17515</v>
      </c>
      <c r="R2106" s="116">
        <v>1</v>
      </c>
      <c r="S2106" s="111" t="s">
        <v>40</v>
      </c>
      <c r="T2106" s="108" t="s">
        <v>17516</v>
      </c>
      <c r="U2106" s="112">
        <v>4</v>
      </c>
      <c r="V2106" s="113"/>
      <c r="W2106" s="108" t="s">
        <v>17517</v>
      </c>
      <c r="X2106" s="110">
        <v>3</v>
      </c>
      <c r="Y2106" s="113"/>
      <c r="Z2106" s="108" t="s">
        <v>17518</v>
      </c>
      <c r="AA2106" s="110">
        <v>3</v>
      </c>
      <c r="AB2106" s="111" t="s">
        <v>40</v>
      </c>
      <c r="AC2106" s="105" t="s">
        <v>4731</v>
      </c>
      <c r="AD2106" s="115" t="s">
        <v>49</v>
      </c>
    </row>
    <row r="2107" spans="1:30" x14ac:dyDescent="0.2">
      <c r="A2107" s="104" t="s">
        <v>4732</v>
      </c>
      <c r="B2107" s="105" t="s">
        <v>4033</v>
      </c>
      <c r="C2107" s="105" t="s">
        <v>375</v>
      </c>
      <c r="D2107" s="106" t="s">
        <v>94</v>
      </c>
      <c r="E2107" s="107"/>
      <c r="F2107" s="108" t="s">
        <v>17519</v>
      </c>
      <c r="G2107" s="120">
        <v>2</v>
      </c>
      <c r="H2107" s="108" t="s">
        <v>17520</v>
      </c>
      <c r="I2107" s="110">
        <v>3</v>
      </c>
      <c r="J2107" s="111" t="s">
        <v>55</v>
      </c>
      <c r="K2107" s="108" t="s">
        <v>17521</v>
      </c>
      <c r="L2107" s="110">
        <v>3</v>
      </c>
      <c r="M2107" s="111" t="s">
        <v>46</v>
      </c>
      <c r="N2107" s="108" t="s">
        <v>17519</v>
      </c>
      <c r="O2107" s="117">
        <v>2</v>
      </c>
      <c r="P2107" s="113"/>
      <c r="Q2107" s="108" t="s">
        <v>17522</v>
      </c>
      <c r="R2107" s="117">
        <v>2</v>
      </c>
      <c r="S2107" s="111" t="s">
        <v>46</v>
      </c>
      <c r="T2107" s="108" t="s">
        <v>17523</v>
      </c>
      <c r="U2107" s="116">
        <v>1</v>
      </c>
      <c r="V2107" s="113"/>
      <c r="W2107" s="108" t="s">
        <v>17524</v>
      </c>
      <c r="X2107" s="117">
        <v>2</v>
      </c>
      <c r="Y2107" s="113"/>
      <c r="Z2107" s="108" t="s">
        <v>17525</v>
      </c>
      <c r="AA2107" s="117">
        <v>2</v>
      </c>
      <c r="AB2107" s="113"/>
      <c r="AC2107" s="105" t="s">
        <v>4733</v>
      </c>
      <c r="AD2107" s="115" t="s">
        <v>49</v>
      </c>
    </row>
    <row r="2108" spans="1:30" x14ac:dyDescent="0.2">
      <c r="A2108" s="104" t="s">
        <v>4734</v>
      </c>
      <c r="B2108" s="105" t="s">
        <v>42</v>
      </c>
      <c r="C2108" s="105" t="s">
        <v>428</v>
      </c>
      <c r="D2108" s="106" t="s">
        <v>298</v>
      </c>
      <c r="E2108" s="107" t="s">
        <v>146</v>
      </c>
      <c r="F2108" s="108" t="s">
        <v>17526</v>
      </c>
      <c r="G2108" s="118">
        <v>3</v>
      </c>
      <c r="H2108" s="108" t="s">
        <v>17527</v>
      </c>
      <c r="I2108" s="117">
        <v>2</v>
      </c>
      <c r="J2108" s="111" t="s">
        <v>40</v>
      </c>
      <c r="K2108" s="108" t="s">
        <v>17528</v>
      </c>
      <c r="L2108" s="117">
        <v>2</v>
      </c>
      <c r="M2108" s="111" t="s">
        <v>40</v>
      </c>
      <c r="N2108" s="108" t="s">
        <v>17526</v>
      </c>
      <c r="O2108" s="110">
        <v>3</v>
      </c>
      <c r="P2108" s="113"/>
      <c r="Q2108" s="108" t="s">
        <v>17529</v>
      </c>
      <c r="R2108" s="110">
        <v>3</v>
      </c>
      <c r="S2108" s="113"/>
      <c r="T2108" s="108" t="s">
        <v>17530</v>
      </c>
      <c r="U2108" s="112">
        <v>4</v>
      </c>
      <c r="V2108" s="113"/>
      <c r="W2108" s="108" t="s">
        <v>17531</v>
      </c>
      <c r="X2108" s="112">
        <v>4</v>
      </c>
      <c r="Y2108" s="113"/>
      <c r="Z2108" s="108" t="s">
        <v>17532</v>
      </c>
      <c r="AA2108" s="112">
        <v>4</v>
      </c>
      <c r="AB2108" s="113"/>
      <c r="AC2108" s="105" t="s">
        <v>4735</v>
      </c>
      <c r="AD2108" s="115" t="s">
        <v>107</v>
      </c>
    </row>
    <row r="2109" spans="1:30" x14ac:dyDescent="0.2">
      <c r="A2109" s="104" t="s">
        <v>4736</v>
      </c>
      <c r="B2109" s="105" t="s">
        <v>4033</v>
      </c>
      <c r="C2109" s="105" t="s">
        <v>4737</v>
      </c>
      <c r="D2109" s="106" t="s">
        <v>125</v>
      </c>
      <c r="E2109" s="107" t="s">
        <v>376</v>
      </c>
      <c r="F2109" s="108" t="s">
        <v>17533</v>
      </c>
      <c r="G2109" s="118">
        <v>3</v>
      </c>
      <c r="H2109" s="108" t="s">
        <v>17534</v>
      </c>
      <c r="I2109" s="110">
        <v>3</v>
      </c>
      <c r="J2109" s="111" t="s">
        <v>55</v>
      </c>
      <c r="K2109" s="108" t="s">
        <v>17535</v>
      </c>
      <c r="L2109" s="116">
        <v>1</v>
      </c>
      <c r="M2109" s="113"/>
      <c r="N2109" s="108" t="s">
        <v>17533</v>
      </c>
      <c r="O2109" s="110">
        <v>3</v>
      </c>
      <c r="P2109" s="111" t="s">
        <v>46</v>
      </c>
      <c r="Q2109" s="108" t="s">
        <v>17536</v>
      </c>
      <c r="R2109" s="110">
        <v>3</v>
      </c>
      <c r="S2109" s="111" t="s">
        <v>40</v>
      </c>
      <c r="T2109" s="108" t="s">
        <v>17537</v>
      </c>
      <c r="U2109" s="110">
        <v>3</v>
      </c>
      <c r="V2109" s="113"/>
      <c r="W2109" s="108" t="s">
        <v>17538</v>
      </c>
      <c r="X2109" s="116">
        <v>1</v>
      </c>
      <c r="Y2109" s="113"/>
      <c r="Z2109" s="108" t="s">
        <v>17539</v>
      </c>
      <c r="AA2109" s="116">
        <v>1</v>
      </c>
      <c r="AB2109" s="111" t="s">
        <v>40</v>
      </c>
      <c r="AC2109" s="105" t="s">
        <v>4738</v>
      </c>
      <c r="AD2109" s="115" t="s">
        <v>49</v>
      </c>
    </row>
    <row r="2110" spans="1:30" x14ac:dyDescent="0.2">
      <c r="A2110" s="104" t="s">
        <v>4739</v>
      </c>
      <c r="B2110" s="105" t="s">
        <v>4033</v>
      </c>
      <c r="C2110" s="105" t="s">
        <v>4737</v>
      </c>
      <c r="D2110" s="106" t="s">
        <v>298</v>
      </c>
      <c r="E2110" s="107" t="s">
        <v>146</v>
      </c>
      <c r="F2110" s="108" t="s">
        <v>17540</v>
      </c>
      <c r="G2110" s="119">
        <v>1</v>
      </c>
      <c r="H2110" s="108" t="s">
        <v>17541</v>
      </c>
      <c r="I2110" s="117">
        <v>2</v>
      </c>
      <c r="J2110" s="113"/>
      <c r="K2110" s="108" t="s">
        <v>17542</v>
      </c>
      <c r="L2110" s="116">
        <v>1</v>
      </c>
      <c r="M2110" s="113"/>
      <c r="N2110" s="108" t="s">
        <v>17540</v>
      </c>
      <c r="O2110" s="116">
        <v>1</v>
      </c>
      <c r="P2110" s="113"/>
      <c r="Q2110" s="108" t="s">
        <v>17543</v>
      </c>
      <c r="R2110" s="116">
        <v>1</v>
      </c>
      <c r="S2110" s="111" t="s">
        <v>53</v>
      </c>
      <c r="T2110" s="108" t="s">
        <v>17544</v>
      </c>
      <c r="U2110" s="112">
        <v>4</v>
      </c>
      <c r="V2110" s="113"/>
      <c r="W2110" s="108" t="s">
        <v>17545</v>
      </c>
      <c r="X2110" s="112">
        <v>4</v>
      </c>
      <c r="Y2110" s="113"/>
      <c r="Z2110" s="108" t="s">
        <v>17546</v>
      </c>
      <c r="AA2110" s="112">
        <v>4</v>
      </c>
      <c r="AB2110" s="113"/>
      <c r="AC2110" s="105" t="s">
        <v>4740</v>
      </c>
      <c r="AD2110" s="115" t="s">
        <v>49</v>
      </c>
    </row>
    <row r="2111" spans="1:30" x14ac:dyDescent="0.2">
      <c r="A2111" s="104" t="s">
        <v>4741</v>
      </c>
      <c r="B2111" s="105" t="s">
        <v>4033</v>
      </c>
      <c r="C2111" s="105" t="s">
        <v>43</v>
      </c>
      <c r="D2111" s="106"/>
      <c r="E2111" s="107"/>
      <c r="F2111" s="108" t="s">
        <v>17547</v>
      </c>
      <c r="G2111" s="120">
        <v>2</v>
      </c>
      <c r="H2111" s="108" t="s">
        <v>17548</v>
      </c>
      <c r="I2111" s="110">
        <v>3</v>
      </c>
      <c r="J2111" s="113"/>
      <c r="K2111" s="108" t="s">
        <v>17549</v>
      </c>
      <c r="L2111" s="117">
        <v>2</v>
      </c>
      <c r="M2111" s="113"/>
      <c r="N2111" s="108" t="s">
        <v>17547</v>
      </c>
      <c r="O2111" s="117">
        <v>2</v>
      </c>
      <c r="P2111" s="113"/>
      <c r="Q2111" s="108" t="s">
        <v>17550</v>
      </c>
      <c r="R2111" s="117">
        <v>2</v>
      </c>
      <c r="S2111" s="113"/>
      <c r="T2111" s="108" t="s">
        <v>47</v>
      </c>
      <c r="U2111" s="114"/>
      <c r="V2111" s="113"/>
      <c r="W2111" s="108" t="s">
        <v>47</v>
      </c>
      <c r="X2111" s="114"/>
      <c r="Y2111" s="113"/>
      <c r="Z2111" s="108" t="s">
        <v>47</v>
      </c>
      <c r="AA2111" s="114"/>
      <c r="AB2111" s="113"/>
      <c r="AC2111" s="105" t="s">
        <v>4742</v>
      </c>
      <c r="AD2111" s="115" t="s">
        <v>49</v>
      </c>
    </row>
    <row r="2112" spans="1:30" x14ac:dyDescent="0.2">
      <c r="A2112" s="104" t="s">
        <v>4743</v>
      </c>
      <c r="B2112" s="105" t="s">
        <v>4033</v>
      </c>
      <c r="C2112" s="105" t="s">
        <v>43</v>
      </c>
      <c r="D2112" s="106"/>
      <c r="E2112" s="107"/>
      <c r="F2112" s="108" t="s">
        <v>17551</v>
      </c>
      <c r="G2112" s="120">
        <v>2</v>
      </c>
      <c r="H2112" s="108" t="s">
        <v>17552</v>
      </c>
      <c r="I2112" s="110">
        <v>3</v>
      </c>
      <c r="J2112" s="113"/>
      <c r="K2112" s="108" t="s">
        <v>17553</v>
      </c>
      <c r="L2112" s="117">
        <v>2</v>
      </c>
      <c r="M2112" s="113"/>
      <c r="N2112" s="108" t="s">
        <v>17551</v>
      </c>
      <c r="O2112" s="117">
        <v>2</v>
      </c>
      <c r="P2112" s="113"/>
      <c r="Q2112" s="108" t="s">
        <v>17554</v>
      </c>
      <c r="R2112" s="117">
        <v>2</v>
      </c>
      <c r="S2112" s="113"/>
      <c r="T2112" s="108" t="s">
        <v>17555</v>
      </c>
      <c r="U2112" s="117">
        <v>2</v>
      </c>
      <c r="V2112" s="111" t="s">
        <v>40</v>
      </c>
      <c r="W2112" s="108" t="s">
        <v>17556</v>
      </c>
      <c r="X2112" s="117">
        <v>2</v>
      </c>
      <c r="Y2112" s="113"/>
      <c r="Z2112" s="108" t="s">
        <v>47</v>
      </c>
      <c r="AA2112" s="114"/>
      <c r="AB2112" s="113"/>
      <c r="AC2112" s="105" t="s">
        <v>4744</v>
      </c>
      <c r="AD2112" s="115" t="s">
        <v>49</v>
      </c>
    </row>
    <row r="2113" spans="1:30" x14ac:dyDescent="0.2">
      <c r="A2113" s="104" t="s">
        <v>4745</v>
      </c>
      <c r="B2113" s="105" t="s">
        <v>4033</v>
      </c>
      <c r="C2113" s="105" t="s">
        <v>1811</v>
      </c>
      <c r="D2113" s="106" t="s">
        <v>94</v>
      </c>
      <c r="E2113" s="107" t="s">
        <v>376</v>
      </c>
      <c r="F2113" s="108" t="s">
        <v>17557</v>
      </c>
      <c r="G2113" s="119">
        <v>1</v>
      </c>
      <c r="H2113" s="108" t="s">
        <v>17558</v>
      </c>
      <c r="I2113" s="110">
        <v>3</v>
      </c>
      <c r="J2113" s="111" t="s">
        <v>55</v>
      </c>
      <c r="K2113" s="108" t="s">
        <v>17559</v>
      </c>
      <c r="L2113" s="116">
        <v>1</v>
      </c>
      <c r="M2113" s="113"/>
      <c r="N2113" s="108" t="s">
        <v>17557</v>
      </c>
      <c r="O2113" s="116">
        <v>1</v>
      </c>
      <c r="P2113" s="113"/>
      <c r="Q2113" s="108" t="s">
        <v>17560</v>
      </c>
      <c r="R2113" s="117">
        <v>2</v>
      </c>
      <c r="S2113" s="113"/>
      <c r="T2113" s="108" t="s">
        <v>17561</v>
      </c>
      <c r="U2113" s="117">
        <v>2</v>
      </c>
      <c r="V2113" s="113"/>
      <c r="W2113" s="108" t="s">
        <v>17562</v>
      </c>
      <c r="X2113" s="116">
        <v>1</v>
      </c>
      <c r="Y2113" s="113"/>
      <c r="Z2113" s="108" t="s">
        <v>9000</v>
      </c>
      <c r="AA2113" s="116">
        <v>1</v>
      </c>
      <c r="AB2113" s="111" t="s">
        <v>40</v>
      </c>
      <c r="AC2113" s="105" t="s">
        <v>4746</v>
      </c>
      <c r="AD2113" s="115" t="s">
        <v>49</v>
      </c>
    </row>
    <row r="2114" spans="1:30" x14ac:dyDescent="0.2">
      <c r="A2114" s="104" t="s">
        <v>4747</v>
      </c>
      <c r="B2114" s="105" t="s">
        <v>4033</v>
      </c>
      <c r="C2114" s="105" t="s">
        <v>4748</v>
      </c>
      <c r="D2114" s="106" t="s">
        <v>298</v>
      </c>
      <c r="E2114" s="107"/>
      <c r="F2114" s="108" t="s">
        <v>17563</v>
      </c>
      <c r="G2114" s="119">
        <v>1</v>
      </c>
      <c r="H2114" s="108" t="s">
        <v>17564</v>
      </c>
      <c r="I2114" s="116">
        <v>1</v>
      </c>
      <c r="J2114" s="113"/>
      <c r="K2114" s="108" t="s">
        <v>17565</v>
      </c>
      <c r="L2114" s="116">
        <v>1</v>
      </c>
      <c r="M2114" s="113"/>
      <c r="N2114" s="108" t="s">
        <v>17563</v>
      </c>
      <c r="O2114" s="116">
        <v>1</v>
      </c>
      <c r="P2114" s="113"/>
      <c r="Q2114" s="108" t="s">
        <v>17566</v>
      </c>
      <c r="R2114" s="110">
        <v>3</v>
      </c>
      <c r="S2114" s="111" t="s">
        <v>40</v>
      </c>
      <c r="T2114" s="108" t="s">
        <v>17567</v>
      </c>
      <c r="U2114" s="112">
        <v>4</v>
      </c>
      <c r="V2114" s="113"/>
      <c r="W2114" s="108" t="s">
        <v>17568</v>
      </c>
      <c r="X2114" s="112">
        <v>4</v>
      </c>
      <c r="Y2114" s="113"/>
      <c r="Z2114" s="108" t="s">
        <v>4749</v>
      </c>
      <c r="AA2114" s="112">
        <v>4</v>
      </c>
      <c r="AB2114" s="113"/>
      <c r="AC2114" s="105" t="s">
        <v>4750</v>
      </c>
      <c r="AD2114" s="115" t="s">
        <v>49</v>
      </c>
    </row>
    <row r="2115" spans="1:30" x14ac:dyDescent="0.2">
      <c r="A2115" s="104" t="s">
        <v>4751</v>
      </c>
      <c r="B2115" s="105" t="s">
        <v>4033</v>
      </c>
      <c r="C2115" s="105" t="s">
        <v>3625</v>
      </c>
      <c r="D2115" s="106" t="s">
        <v>105</v>
      </c>
      <c r="E2115" s="107" t="s">
        <v>376</v>
      </c>
      <c r="F2115" s="108" t="s">
        <v>17569</v>
      </c>
      <c r="G2115" s="119">
        <v>1</v>
      </c>
      <c r="H2115" s="108" t="s">
        <v>17570</v>
      </c>
      <c r="I2115" s="112">
        <v>4</v>
      </c>
      <c r="J2115" s="111" t="s">
        <v>44</v>
      </c>
      <c r="K2115" s="108" t="s">
        <v>17571</v>
      </c>
      <c r="L2115" s="116">
        <v>1</v>
      </c>
      <c r="M2115" s="113"/>
      <c r="N2115" s="108" t="s">
        <v>17569</v>
      </c>
      <c r="O2115" s="116">
        <v>1</v>
      </c>
      <c r="P2115" s="113"/>
      <c r="Q2115" s="108" t="s">
        <v>17572</v>
      </c>
      <c r="R2115" s="116">
        <v>1</v>
      </c>
      <c r="S2115" s="113"/>
      <c r="T2115" s="108" t="s">
        <v>17573</v>
      </c>
      <c r="U2115" s="112">
        <v>4</v>
      </c>
      <c r="V2115" s="113"/>
      <c r="W2115" s="108" t="s">
        <v>17574</v>
      </c>
      <c r="X2115" s="110">
        <v>3</v>
      </c>
      <c r="Y2115" s="111" t="s">
        <v>46</v>
      </c>
      <c r="Z2115" s="108" t="s">
        <v>17575</v>
      </c>
      <c r="AA2115" s="112">
        <v>4</v>
      </c>
      <c r="AB2115" s="113"/>
      <c r="AC2115" s="105" t="s">
        <v>4752</v>
      </c>
      <c r="AD2115" s="115" t="s">
        <v>49</v>
      </c>
    </row>
    <row r="2116" spans="1:30" x14ac:dyDescent="0.2">
      <c r="A2116" s="104" t="s">
        <v>4753</v>
      </c>
      <c r="B2116" s="105" t="s">
        <v>4033</v>
      </c>
      <c r="C2116" s="105" t="s">
        <v>4754</v>
      </c>
      <c r="D2116" s="106" t="s">
        <v>125</v>
      </c>
      <c r="E2116" s="107" t="s">
        <v>376</v>
      </c>
      <c r="F2116" s="108" t="s">
        <v>17576</v>
      </c>
      <c r="G2116" s="119">
        <v>1</v>
      </c>
      <c r="H2116" s="108" t="s">
        <v>17577</v>
      </c>
      <c r="I2116" s="112">
        <v>4</v>
      </c>
      <c r="J2116" s="111" t="s">
        <v>44</v>
      </c>
      <c r="K2116" s="108" t="s">
        <v>4755</v>
      </c>
      <c r="L2116" s="116">
        <v>1</v>
      </c>
      <c r="M2116" s="113"/>
      <c r="N2116" s="108" t="s">
        <v>17576</v>
      </c>
      <c r="O2116" s="116">
        <v>1</v>
      </c>
      <c r="P2116" s="113"/>
      <c r="Q2116" s="108" t="s">
        <v>17578</v>
      </c>
      <c r="R2116" s="116">
        <v>1</v>
      </c>
      <c r="S2116" s="113"/>
      <c r="T2116" s="108" t="s">
        <v>17579</v>
      </c>
      <c r="U2116" s="116">
        <v>1</v>
      </c>
      <c r="V2116" s="113"/>
      <c r="W2116" s="108" t="s">
        <v>12514</v>
      </c>
      <c r="X2116" s="116">
        <v>1</v>
      </c>
      <c r="Y2116" s="113"/>
      <c r="Z2116" s="108" t="s">
        <v>17580</v>
      </c>
      <c r="AA2116" s="117">
        <v>2</v>
      </c>
      <c r="AB2116" s="111" t="s">
        <v>46</v>
      </c>
      <c r="AC2116" s="105" t="s">
        <v>4756</v>
      </c>
      <c r="AD2116" s="115" t="s">
        <v>49</v>
      </c>
    </row>
    <row r="2117" spans="1:30" x14ac:dyDescent="0.2">
      <c r="A2117" s="104" t="s">
        <v>4757</v>
      </c>
      <c r="B2117" s="105" t="s">
        <v>4033</v>
      </c>
      <c r="C2117" s="105" t="s">
        <v>51</v>
      </c>
      <c r="D2117" s="106"/>
      <c r="E2117" s="107"/>
      <c r="F2117" s="108" t="s">
        <v>17581</v>
      </c>
      <c r="G2117" s="119">
        <v>1</v>
      </c>
      <c r="H2117" s="108" t="s">
        <v>17582</v>
      </c>
      <c r="I2117" s="116">
        <v>1</v>
      </c>
      <c r="J2117" s="111" t="s">
        <v>53</v>
      </c>
      <c r="K2117" s="108" t="s">
        <v>17583</v>
      </c>
      <c r="L2117" s="116">
        <v>1</v>
      </c>
      <c r="M2117" s="113"/>
      <c r="N2117" s="108" t="s">
        <v>17581</v>
      </c>
      <c r="O2117" s="116">
        <v>1</v>
      </c>
      <c r="P2117" s="113"/>
      <c r="Q2117" s="108" t="s">
        <v>17584</v>
      </c>
      <c r="R2117" s="116">
        <v>1</v>
      </c>
      <c r="S2117" s="113"/>
      <c r="T2117" s="108" t="s">
        <v>47</v>
      </c>
      <c r="U2117" s="114"/>
      <c r="V2117" s="113"/>
      <c r="W2117" s="108" t="s">
        <v>47</v>
      </c>
      <c r="X2117" s="114"/>
      <c r="Y2117" s="113"/>
      <c r="Z2117" s="108" t="s">
        <v>47</v>
      </c>
      <c r="AA2117" s="114"/>
      <c r="AB2117" s="113"/>
      <c r="AC2117" s="105" t="s">
        <v>4758</v>
      </c>
      <c r="AD2117" s="115" t="s">
        <v>49</v>
      </c>
    </row>
    <row r="2118" spans="1:30" x14ac:dyDescent="0.2">
      <c r="A2118" s="104" t="s">
        <v>4759</v>
      </c>
      <c r="B2118" s="105" t="s">
        <v>4033</v>
      </c>
      <c r="C2118" s="105" t="s">
        <v>51</v>
      </c>
      <c r="D2118" s="106"/>
      <c r="E2118" s="107"/>
      <c r="F2118" s="108" t="s">
        <v>17585</v>
      </c>
      <c r="G2118" s="119">
        <v>1</v>
      </c>
      <c r="H2118" s="108" t="s">
        <v>17586</v>
      </c>
      <c r="I2118" s="116">
        <v>1</v>
      </c>
      <c r="J2118" s="111" t="s">
        <v>40</v>
      </c>
      <c r="K2118" s="108" t="s">
        <v>4760</v>
      </c>
      <c r="L2118" s="116">
        <v>1</v>
      </c>
      <c r="M2118" s="113"/>
      <c r="N2118" s="108" t="s">
        <v>17585</v>
      </c>
      <c r="O2118" s="116">
        <v>1</v>
      </c>
      <c r="P2118" s="113"/>
      <c r="Q2118" s="108" t="s">
        <v>17587</v>
      </c>
      <c r="R2118" s="116">
        <v>1</v>
      </c>
      <c r="S2118" s="113"/>
      <c r="T2118" s="108" t="s">
        <v>47</v>
      </c>
      <c r="U2118" s="114"/>
      <c r="V2118" s="113"/>
      <c r="W2118" s="108" t="s">
        <v>47</v>
      </c>
      <c r="X2118" s="114"/>
      <c r="Y2118" s="113"/>
      <c r="Z2118" s="108" t="s">
        <v>47</v>
      </c>
      <c r="AA2118" s="114"/>
      <c r="AB2118" s="113"/>
      <c r="AC2118" s="105" t="s">
        <v>4761</v>
      </c>
      <c r="AD2118" s="115" t="s">
        <v>49</v>
      </c>
    </row>
    <row r="2119" spans="1:30" x14ac:dyDescent="0.2">
      <c r="A2119" s="104" t="s">
        <v>17588</v>
      </c>
      <c r="B2119" s="105" t="s">
        <v>4033</v>
      </c>
      <c r="C2119" s="105" t="s">
        <v>51</v>
      </c>
      <c r="D2119" s="106"/>
      <c r="E2119" s="107"/>
      <c r="F2119" s="108" t="s">
        <v>47</v>
      </c>
      <c r="G2119" s="113"/>
      <c r="H2119" s="108" t="s">
        <v>17589</v>
      </c>
      <c r="I2119" s="116">
        <v>1</v>
      </c>
      <c r="J2119" s="111" t="s">
        <v>53</v>
      </c>
      <c r="K2119" s="108" t="s">
        <v>17590</v>
      </c>
      <c r="L2119" s="116">
        <v>1</v>
      </c>
      <c r="M2119" s="113"/>
      <c r="N2119" s="108" t="s">
        <v>47</v>
      </c>
      <c r="O2119" s="114"/>
      <c r="P2119" s="113"/>
      <c r="Q2119" s="108" t="s">
        <v>47</v>
      </c>
      <c r="R2119" s="114"/>
      <c r="S2119" s="113"/>
      <c r="T2119" s="108" t="s">
        <v>47</v>
      </c>
      <c r="U2119" s="114"/>
      <c r="V2119" s="113"/>
      <c r="W2119" s="108" t="s">
        <v>47</v>
      </c>
      <c r="X2119" s="114"/>
      <c r="Y2119" s="113"/>
      <c r="Z2119" s="108" t="s">
        <v>47</v>
      </c>
      <c r="AA2119" s="114"/>
      <c r="AB2119" s="113"/>
      <c r="AC2119" s="105" t="s">
        <v>4762</v>
      </c>
      <c r="AD2119" s="115" t="s">
        <v>49</v>
      </c>
    </row>
    <row r="2120" spans="1:30" x14ac:dyDescent="0.2">
      <c r="A2120" s="104" t="s">
        <v>4763</v>
      </c>
      <c r="B2120" s="105" t="s">
        <v>4033</v>
      </c>
      <c r="C2120" s="105" t="s">
        <v>51</v>
      </c>
      <c r="D2120" s="106"/>
      <c r="E2120" s="107"/>
      <c r="F2120" s="108" t="s">
        <v>17591</v>
      </c>
      <c r="G2120" s="119">
        <v>1</v>
      </c>
      <c r="H2120" s="108" t="s">
        <v>17592</v>
      </c>
      <c r="I2120" s="116">
        <v>1</v>
      </c>
      <c r="J2120" s="111" t="s">
        <v>53</v>
      </c>
      <c r="K2120" s="108" t="s">
        <v>17593</v>
      </c>
      <c r="L2120" s="116">
        <v>1</v>
      </c>
      <c r="M2120" s="113"/>
      <c r="N2120" s="108" t="s">
        <v>17591</v>
      </c>
      <c r="O2120" s="116">
        <v>1</v>
      </c>
      <c r="P2120" s="113"/>
      <c r="Q2120" s="108" t="s">
        <v>17594</v>
      </c>
      <c r="R2120" s="116">
        <v>1</v>
      </c>
      <c r="S2120" s="111" t="s">
        <v>40</v>
      </c>
      <c r="T2120" s="108" t="s">
        <v>47</v>
      </c>
      <c r="U2120" s="114"/>
      <c r="V2120" s="113"/>
      <c r="W2120" s="108" t="s">
        <v>47</v>
      </c>
      <c r="X2120" s="114"/>
      <c r="Y2120" s="113"/>
      <c r="Z2120" s="108" t="s">
        <v>47</v>
      </c>
      <c r="AA2120" s="114"/>
      <c r="AB2120" s="113"/>
      <c r="AC2120" s="105" t="s">
        <v>4764</v>
      </c>
      <c r="AD2120" s="115" t="s">
        <v>49</v>
      </c>
    </row>
    <row r="2121" spans="1:30" x14ac:dyDescent="0.2">
      <c r="A2121" s="104" t="s">
        <v>4765</v>
      </c>
      <c r="B2121" s="105" t="s">
        <v>4033</v>
      </c>
      <c r="C2121" s="105" t="s">
        <v>51</v>
      </c>
      <c r="D2121" s="106"/>
      <c r="E2121" s="107"/>
      <c r="F2121" s="108" t="s">
        <v>17595</v>
      </c>
      <c r="G2121" s="119">
        <v>1</v>
      </c>
      <c r="H2121" s="108" t="s">
        <v>17596</v>
      </c>
      <c r="I2121" s="117">
        <v>2</v>
      </c>
      <c r="J2121" s="111" t="s">
        <v>46</v>
      </c>
      <c r="K2121" s="108" t="s">
        <v>17597</v>
      </c>
      <c r="L2121" s="116">
        <v>1</v>
      </c>
      <c r="M2121" s="113"/>
      <c r="N2121" s="108" t="s">
        <v>17595</v>
      </c>
      <c r="O2121" s="116">
        <v>1</v>
      </c>
      <c r="P2121" s="113"/>
      <c r="Q2121" s="108" t="s">
        <v>17598</v>
      </c>
      <c r="R2121" s="116">
        <v>1</v>
      </c>
      <c r="S2121" s="113"/>
      <c r="T2121" s="108" t="s">
        <v>47</v>
      </c>
      <c r="U2121" s="114"/>
      <c r="V2121" s="113"/>
      <c r="W2121" s="108" t="s">
        <v>47</v>
      </c>
      <c r="X2121" s="114"/>
      <c r="Y2121" s="113"/>
      <c r="Z2121" s="108" t="s">
        <v>47</v>
      </c>
      <c r="AA2121" s="114"/>
      <c r="AB2121" s="113"/>
      <c r="AC2121" s="105" t="s">
        <v>4766</v>
      </c>
      <c r="AD2121" s="115" t="s">
        <v>49</v>
      </c>
    </row>
    <row r="2122" spans="1:30" x14ac:dyDescent="0.2">
      <c r="A2122" s="104" t="s">
        <v>4767</v>
      </c>
      <c r="B2122" s="105" t="s">
        <v>4033</v>
      </c>
      <c r="C2122" s="105" t="s">
        <v>51</v>
      </c>
      <c r="D2122" s="106"/>
      <c r="E2122" s="107"/>
      <c r="F2122" s="108" t="s">
        <v>17599</v>
      </c>
      <c r="G2122" s="119">
        <v>1</v>
      </c>
      <c r="H2122" s="108" t="s">
        <v>17600</v>
      </c>
      <c r="I2122" s="116">
        <v>1</v>
      </c>
      <c r="J2122" s="111" t="s">
        <v>40</v>
      </c>
      <c r="K2122" s="108" t="s">
        <v>4768</v>
      </c>
      <c r="L2122" s="116">
        <v>1</v>
      </c>
      <c r="M2122" s="113"/>
      <c r="N2122" s="108" t="s">
        <v>17599</v>
      </c>
      <c r="O2122" s="116">
        <v>1</v>
      </c>
      <c r="P2122" s="113"/>
      <c r="Q2122" s="108" t="s">
        <v>17601</v>
      </c>
      <c r="R2122" s="116">
        <v>1</v>
      </c>
      <c r="S2122" s="113"/>
      <c r="T2122" s="108" t="s">
        <v>47</v>
      </c>
      <c r="U2122" s="114"/>
      <c r="V2122" s="113"/>
      <c r="W2122" s="108" t="s">
        <v>47</v>
      </c>
      <c r="X2122" s="114"/>
      <c r="Y2122" s="113"/>
      <c r="Z2122" s="108" t="s">
        <v>47</v>
      </c>
      <c r="AA2122" s="114"/>
      <c r="AB2122" s="113"/>
      <c r="AC2122" s="105" t="s">
        <v>4769</v>
      </c>
      <c r="AD2122" s="115" t="s">
        <v>49</v>
      </c>
    </row>
    <row r="2123" spans="1:30" x14ac:dyDescent="0.2">
      <c r="A2123" s="104" t="s">
        <v>4770</v>
      </c>
      <c r="B2123" s="105" t="s">
        <v>4033</v>
      </c>
      <c r="C2123" s="105" t="s">
        <v>51</v>
      </c>
      <c r="D2123" s="106"/>
      <c r="E2123" s="107"/>
      <c r="F2123" s="108" t="s">
        <v>17602</v>
      </c>
      <c r="G2123" s="119">
        <v>1</v>
      </c>
      <c r="H2123" s="108" t="s">
        <v>17603</v>
      </c>
      <c r="I2123" s="116">
        <v>1</v>
      </c>
      <c r="J2123" s="111" t="s">
        <v>53</v>
      </c>
      <c r="K2123" s="108" t="s">
        <v>17604</v>
      </c>
      <c r="L2123" s="116">
        <v>1</v>
      </c>
      <c r="M2123" s="113"/>
      <c r="N2123" s="108" t="s">
        <v>17602</v>
      </c>
      <c r="O2123" s="116">
        <v>1</v>
      </c>
      <c r="P2123" s="113"/>
      <c r="Q2123" s="108" t="s">
        <v>47</v>
      </c>
      <c r="R2123" s="114"/>
      <c r="S2123" s="113"/>
      <c r="T2123" s="108" t="s">
        <v>47</v>
      </c>
      <c r="U2123" s="114"/>
      <c r="V2123" s="113"/>
      <c r="W2123" s="108" t="s">
        <v>47</v>
      </c>
      <c r="X2123" s="114"/>
      <c r="Y2123" s="113"/>
      <c r="Z2123" s="108" t="s">
        <v>47</v>
      </c>
      <c r="AA2123" s="114"/>
      <c r="AB2123" s="113"/>
      <c r="AC2123" s="105" t="s">
        <v>4771</v>
      </c>
      <c r="AD2123" s="115" t="s">
        <v>49</v>
      </c>
    </row>
    <row r="2124" spans="1:30" x14ac:dyDescent="0.2">
      <c r="A2124" s="104" t="s">
        <v>4772</v>
      </c>
      <c r="B2124" s="105" t="s">
        <v>4033</v>
      </c>
      <c r="C2124" s="105" t="s">
        <v>43</v>
      </c>
      <c r="D2124" s="106"/>
      <c r="E2124" s="107"/>
      <c r="F2124" s="108" t="s">
        <v>17605</v>
      </c>
      <c r="G2124" s="118">
        <v>3</v>
      </c>
      <c r="H2124" s="108" t="s">
        <v>17606</v>
      </c>
      <c r="I2124" s="110">
        <v>3</v>
      </c>
      <c r="J2124" s="113"/>
      <c r="K2124" s="108" t="s">
        <v>17607</v>
      </c>
      <c r="L2124" s="117">
        <v>2</v>
      </c>
      <c r="M2124" s="113"/>
      <c r="N2124" s="108" t="s">
        <v>17605</v>
      </c>
      <c r="O2124" s="110">
        <v>3</v>
      </c>
      <c r="P2124" s="113"/>
      <c r="Q2124" s="108" t="s">
        <v>17608</v>
      </c>
      <c r="R2124" s="110">
        <v>3</v>
      </c>
      <c r="S2124" s="113"/>
      <c r="T2124" s="108" t="s">
        <v>17609</v>
      </c>
      <c r="U2124" s="110">
        <v>3</v>
      </c>
      <c r="V2124" s="113"/>
      <c r="W2124" s="108" t="s">
        <v>15712</v>
      </c>
      <c r="X2124" s="112">
        <v>4</v>
      </c>
      <c r="Y2124" s="113"/>
      <c r="Z2124" s="108" t="s">
        <v>47</v>
      </c>
      <c r="AA2124" s="114"/>
      <c r="AB2124" s="113"/>
      <c r="AC2124" s="105" t="s">
        <v>4773</v>
      </c>
      <c r="AD2124" s="115" t="s">
        <v>49</v>
      </c>
    </row>
    <row r="2125" spans="1:30" x14ac:dyDescent="0.2">
      <c r="A2125" s="104" t="s">
        <v>4774</v>
      </c>
      <c r="B2125" s="105" t="s">
        <v>4033</v>
      </c>
      <c r="C2125" s="105" t="s">
        <v>43</v>
      </c>
      <c r="D2125" s="106"/>
      <c r="E2125" s="107"/>
      <c r="F2125" s="108" t="s">
        <v>17610</v>
      </c>
      <c r="G2125" s="120">
        <v>2</v>
      </c>
      <c r="H2125" s="108" t="s">
        <v>17611</v>
      </c>
      <c r="I2125" s="112">
        <v>4</v>
      </c>
      <c r="J2125" s="111" t="s">
        <v>55</v>
      </c>
      <c r="K2125" s="108" t="s">
        <v>17612</v>
      </c>
      <c r="L2125" s="117">
        <v>2</v>
      </c>
      <c r="M2125" s="111" t="s">
        <v>46</v>
      </c>
      <c r="N2125" s="108" t="s">
        <v>17610</v>
      </c>
      <c r="O2125" s="117">
        <v>2</v>
      </c>
      <c r="P2125" s="111" t="s">
        <v>46</v>
      </c>
      <c r="Q2125" s="108" t="s">
        <v>17613</v>
      </c>
      <c r="R2125" s="116">
        <v>1</v>
      </c>
      <c r="S2125" s="113"/>
      <c r="T2125" s="108" t="s">
        <v>17614</v>
      </c>
      <c r="U2125" s="117">
        <v>2</v>
      </c>
      <c r="V2125" s="113"/>
      <c r="W2125" s="108" t="s">
        <v>17615</v>
      </c>
      <c r="X2125" s="116">
        <v>1</v>
      </c>
      <c r="Y2125" s="113"/>
      <c r="Z2125" s="108" t="s">
        <v>47</v>
      </c>
      <c r="AA2125" s="114"/>
      <c r="AB2125" s="113"/>
      <c r="AC2125" s="105" t="s">
        <v>4775</v>
      </c>
      <c r="AD2125" s="115" t="s">
        <v>49</v>
      </c>
    </row>
    <row r="2126" spans="1:30" x14ac:dyDescent="0.2">
      <c r="A2126" s="104" t="s">
        <v>4776</v>
      </c>
      <c r="B2126" s="105" t="s">
        <v>4033</v>
      </c>
      <c r="C2126" s="105" t="s">
        <v>43</v>
      </c>
      <c r="D2126" s="106"/>
      <c r="E2126" s="107"/>
      <c r="F2126" s="108" t="s">
        <v>17616</v>
      </c>
      <c r="G2126" s="120">
        <v>2</v>
      </c>
      <c r="H2126" s="108" t="s">
        <v>17617</v>
      </c>
      <c r="I2126" s="117">
        <v>2</v>
      </c>
      <c r="J2126" s="111" t="s">
        <v>40</v>
      </c>
      <c r="K2126" s="108" t="s">
        <v>17618</v>
      </c>
      <c r="L2126" s="117">
        <v>2</v>
      </c>
      <c r="M2126" s="113"/>
      <c r="N2126" s="108" t="s">
        <v>17616</v>
      </c>
      <c r="O2126" s="117">
        <v>2</v>
      </c>
      <c r="P2126" s="113"/>
      <c r="Q2126" s="108" t="s">
        <v>17619</v>
      </c>
      <c r="R2126" s="117">
        <v>2</v>
      </c>
      <c r="S2126" s="111" t="s">
        <v>40</v>
      </c>
      <c r="T2126" s="108" t="s">
        <v>17620</v>
      </c>
      <c r="U2126" s="117">
        <v>2</v>
      </c>
      <c r="V2126" s="111" t="s">
        <v>40</v>
      </c>
      <c r="W2126" s="108" t="s">
        <v>17621</v>
      </c>
      <c r="X2126" s="110">
        <v>3</v>
      </c>
      <c r="Y2126" s="113"/>
      <c r="Z2126" s="108" t="s">
        <v>47</v>
      </c>
      <c r="AA2126" s="114"/>
      <c r="AB2126" s="113"/>
      <c r="AC2126" s="105" t="s">
        <v>4777</v>
      </c>
      <c r="AD2126" s="115" t="s">
        <v>49</v>
      </c>
    </row>
    <row r="2127" spans="1:30" x14ac:dyDescent="0.2">
      <c r="A2127" s="104" t="s">
        <v>4778</v>
      </c>
      <c r="B2127" s="105" t="s">
        <v>4033</v>
      </c>
      <c r="C2127" s="105" t="s">
        <v>4779</v>
      </c>
      <c r="D2127" s="106"/>
      <c r="E2127" s="107"/>
      <c r="F2127" s="108" t="s">
        <v>4780</v>
      </c>
      <c r="G2127" s="109">
        <v>4</v>
      </c>
      <c r="H2127" s="108" t="s">
        <v>4781</v>
      </c>
      <c r="I2127" s="117">
        <v>2</v>
      </c>
      <c r="J2127" s="111" t="s">
        <v>40</v>
      </c>
      <c r="K2127" s="108" t="s">
        <v>4782</v>
      </c>
      <c r="L2127" s="110">
        <v>3</v>
      </c>
      <c r="M2127" s="111" t="s">
        <v>40</v>
      </c>
      <c r="N2127" s="108" t="s">
        <v>4780</v>
      </c>
      <c r="O2127" s="112">
        <v>4</v>
      </c>
      <c r="P2127" s="113"/>
      <c r="Q2127" s="108" t="s">
        <v>4783</v>
      </c>
      <c r="R2127" s="112">
        <v>4</v>
      </c>
      <c r="S2127" s="113"/>
      <c r="T2127" s="108" t="s">
        <v>4784</v>
      </c>
      <c r="U2127" s="110">
        <v>3</v>
      </c>
      <c r="V2127" s="113"/>
      <c r="W2127" s="108" t="s">
        <v>2570</v>
      </c>
      <c r="X2127" s="110">
        <v>3</v>
      </c>
      <c r="Y2127" s="113"/>
      <c r="Z2127" s="108" t="s">
        <v>4785</v>
      </c>
      <c r="AA2127" s="112">
        <v>4</v>
      </c>
      <c r="AB2127" s="113"/>
      <c r="AC2127" s="105" t="s">
        <v>4786</v>
      </c>
      <c r="AD2127" s="115" t="s">
        <v>180</v>
      </c>
    </row>
    <row r="2128" spans="1:30" x14ac:dyDescent="0.2">
      <c r="A2128" s="104" t="s">
        <v>4787</v>
      </c>
      <c r="B2128" s="105" t="s">
        <v>4033</v>
      </c>
      <c r="C2128" s="105" t="s">
        <v>4788</v>
      </c>
      <c r="D2128" s="106"/>
      <c r="E2128" s="107"/>
      <c r="F2128" s="108" t="s">
        <v>17622</v>
      </c>
      <c r="G2128" s="120">
        <v>2</v>
      </c>
      <c r="H2128" s="108" t="s">
        <v>4789</v>
      </c>
      <c r="I2128" s="117">
        <v>2</v>
      </c>
      <c r="J2128" s="113"/>
      <c r="K2128" s="108" t="s">
        <v>17623</v>
      </c>
      <c r="L2128" s="116">
        <v>1</v>
      </c>
      <c r="M2128" s="113"/>
      <c r="N2128" s="108" t="s">
        <v>17622</v>
      </c>
      <c r="O2128" s="117">
        <v>2</v>
      </c>
      <c r="P2128" s="113"/>
      <c r="Q2128" s="108" t="s">
        <v>17624</v>
      </c>
      <c r="R2128" s="117">
        <v>2</v>
      </c>
      <c r="S2128" s="113"/>
      <c r="T2128" s="108" t="s">
        <v>17625</v>
      </c>
      <c r="U2128" s="117">
        <v>2</v>
      </c>
      <c r="V2128" s="113"/>
      <c r="W2128" s="108" t="s">
        <v>17626</v>
      </c>
      <c r="X2128" s="117">
        <v>2</v>
      </c>
      <c r="Y2128" s="113"/>
      <c r="Z2128" s="108" t="s">
        <v>2577</v>
      </c>
      <c r="AA2128" s="110">
        <v>3</v>
      </c>
      <c r="AB2128" s="113"/>
      <c r="AC2128" s="105" t="s">
        <v>4790</v>
      </c>
      <c r="AD2128" s="115" t="s">
        <v>180</v>
      </c>
    </row>
    <row r="2129" spans="1:30" x14ac:dyDescent="0.2">
      <c r="A2129" s="104" t="s">
        <v>4791</v>
      </c>
      <c r="B2129" s="105" t="s">
        <v>4033</v>
      </c>
      <c r="C2129" s="105" t="s">
        <v>332</v>
      </c>
      <c r="D2129" s="106"/>
      <c r="E2129" s="107"/>
      <c r="F2129" s="108" t="s">
        <v>17627</v>
      </c>
      <c r="G2129" s="119">
        <v>1</v>
      </c>
      <c r="H2129" s="108" t="s">
        <v>17628</v>
      </c>
      <c r="I2129" s="117">
        <v>2</v>
      </c>
      <c r="J2129" s="111" t="s">
        <v>46</v>
      </c>
      <c r="K2129" s="108" t="s">
        <v>17629</v>
      </c>
      <c r="L2129" s="116">
        <v>1</v>
      </c>
      <c r="M2129" s="113"/>
      <c r="N2129" s="108" t="s">
        <v>17627</v>
      </c>
      <c r="O2129" s="116">
        <v>1</v>
      </c>
      <c r="P2129" s="113"/>
      <c r="Q2129" s="108" t="s">
        <v>17630</v>
      </c>
      <c r="R2129" s="116">
        <v>1</v>
      </c>
      <c r="S2129" s="111" t="s">
        <v>40</v>
      </c>
      <c r="T2129" s="108" t="s">
        <v>17631</v>
      </c>
      <c r="U2129" s="110">
        <v>3</v>
      </c>
      <c r="V2129" s="113"/>
      <c r="W2129" s="108" t="s">
        <v>17632</v>
      </c>
      <c r="X2129" s="117">
        <v>2</v>
      </c>
      <c r="Y2129" s="113"/>
      <c r="Z2129" s="108" t="s">
        <v>17633</v>
      </c>
      <c r="AA2129" s="112">
        <v>4</v>
      </c>
      <c r="AB2129" s="113"/>
      <c r="AC2129" s="105" t="s">
        <v>4792</v>
      </c>
      <c r="AD2129" s="115" t="s">
        <v>180</v>
      </c>
    </row>
    <row r="2130" spans="1:30" x14ac:dyDescent="0.2">
      <c r="A2130" s="104" t="s">
        <v>4793</v>
      </c>
      <c r="B2130" s="105" t="s">
        <v>4033</v>
      </c>
      <c r="C2130" s="105" t="s">
        <v>2741</v>
      </c>
      <c r="D2130" s="106" t="s">
        <v>105</v>
      </c>
      <c r="E2130" s="107"/>
      <c r="F2130" s="108" t="s">
        <v>17634</v>
      </c>
      <c r="G2130" s="109">
        <v>4</v>
      </c>
      <c r="H2130" s="108" t="s">
        <v>17635</v>
      </c>
      <c r="I2130" s="117">
        <v>2</v>
      </c>
      <c r="J2130" s="111" t="s">
        <v>53</v>
      </c>
      <c r="K2130" s="108" t="s">
        <v>17636</v>
      </c>
      <c r="L2130" s="112">
        <v>4</v>
      </c>
      <c r="M2130" s="113"/>
      <c r="N2130" s="108" t="s">
        <v>17634</v>
      </c>
      <c r="O2130" s="112">
        <v>4</v>
      </c>
      <c r="P2130" s="113"/>
      <c r="Q2130" s="108" t="s">
        <v>17637</v>
      </c>
      <c r="R2130" s="112">
        <v>4</v>
      </c>
      <c r="S2130" s="113"/>
      <c r="T2130" s="108" t="s">
        <v>17638</v>
      </c>
      <c r="U2130" s="112">
        <v>4</v>
      </c>
      <c r="V2130" s="113"/>
      <c r="W2130" s="108" t="s">
        <v>17639</v>
      </c>
      <c r="X2130" s="112">
        <v>4</v>
      </c>
      <c r="Y2130" s="113"/>
      <c r="Z2130" s="108" t="s">
        <v>17640</v>
      </c>
      <c r="AA2130" s="112">
        <v>4</v>
      </c>
      <c r="AB2130" s="113"/>
      <c r="AC2130" s="105" t="s">
        <v>4794</v>
      </c>
      <c r="AD2130" s="115" t="s">
        <v>49</v>
      </c>
    </row>
    <row r="2131" spans="1:30" x14ac:dyDescent="0.2">
      <c r="A2131" s="104" t="s">
        <v>4795</v>
      </c>
      <c r="B2131" s="105" t="s">
        <v>4033</v>
      </c>
      <c r="C2131" s="105" t="s">
        <v>4796</v>
      </c>
      <c r="D2131" s="106" t="s">
        <v>125</v>
      </c>
      <c r="E2131" s="107" t="s">
        <v>99</v>
      </c>
      <c r="F2131" s="108" t="s">
        <v>16374</v>
      </c>
      <c r="G2131" s="119">
        <v>1</v>
      </c>
      <c r="H2131" s="108" t="s">
        <v>17641</v>
      </c>
      <c r="I2131" s="112">
        <v>4</v>
      </c>
      <c r="J2131" s="111" t="s">
        <v>44</v>
      </c>
      <c r="K2131" s="108" t="s">
        <v>3901</v>
      </c>
      <c r="L2131" s="116">
        <v>1</v>
      </c>
      <c r="M2131" s="113"/>
      <c r="N2131" s="108" t="s">
        <v>16374</v>
      </c>
      <c r="O2131" s="116">
        <v>1</v>
      </c>
      <c r="P2131" s="113"/>
      <c r="Q2131" s="108" t="s">
        <v>17642</v>
      </c>
      <c r="R2131" s="117">
        <v>2</v>
      </c>
      <c r="S2131" s="113"/>
      <c r="T2131" s="108" t="s">
        <v>17643</v>
      </c>
      <c r="U2131" s="117">
        <v>2</v>
      </c>
      <c r="V2131" s="113"/>
      <c r="W2131" s="108" t="s">
        <v>4797</v>
      </c>
      <c r="X2131" s="117">
        <v>2</v>
      </c>
      <c r="Y2131" s="113"/>
      <c r="Z2131" s="108" t="s">
        <v>15605</v>
      </c>
      <c r="AA2131" s="117">
        <v>2</v>
      </c>
      <c r="AB2131" s="113"/>
      <c r="AC2131" s="105" t="s">
        <v>4798</v>
      </c>
      <c r="AD2131" s="115" t="s">
        <v>49</v>
      </c>
    </row>
    <row r="2132" spans="1:30" x14ac:dyDescent="0.2">
      <c r="A2132" s="104" t="s">
        <v>4799</v>
      </c>
      <c r="B2132" s="105" t="s">
        <v>4033</v>
      </c>
      <c r="C2132" s="105" t="s">
        <v>3433</v>
      </c>
      <c r="D2132" s="106"/>
      <c r="E2132" s="107"/>
      <c r="F2132" s="108" t="s">
        <v>17644</v>
      </c>
      <c r="G2132" s="120">
        <v>2</v>
      </c>
      <c r="H2132" s="108" t="s">
        <v>17645</v>
      </c>
      <c r="I2132" s="117">
        <v>2</v>
      </c>
      <c r="J2132" s="111" t="s">
        <v>40</v>
      </c>
      <c r="K2132" s="108" t="s">
        <v>10194</v>
      </c>
      <c r="L2132" s="117">
        <v>2</v>
      </c>
      <c r="M2132" s="113"/>
      <c r="N2132" s="108" t="s">
        <v>17644</v>
      </c>
      <c r="O2132" s="117">
        <v>2</v>
      </c>
      <c r="P2132" s="113"/>
      <c r="Q2132" s="108" t="s">
        <v>17646</v>
      </c>
      <c r="R2132" s="117">
        <v>2</v>
      </c>
      <c r="S2132" s="113"/>
      <c r="T2132" s="108" t="s">
        <v>17647</v>
      </c>
      <c r="U2132" s="117">
        <v>2</v>
      </c>
      <c r="V2132" s="113"/>
      <c r="W2132" s="108" t="s">
        <v>17648</v>
      </c>
      <c r="X2132" s="117">
        <v>2</v>
      </c>
      <c r="Y2132" s="113"/>
      <c r="Z2132" s="108" t="s">
        <v>17649</v>
      </c>
      <c r="AA2132" s="110">
        <v>3</v>
      </c>
      <c r="AB2132" s="113"/>
      <c r="AC2132" s="105" t="s">
        <v>4800</v>
      </c>
      <c r="AD2132" s="115" t="s">
        <v>49</v>
      </c>
    </row>
    <row r="2133" spans="1:30" x14ac:dyDescent="0.2">
      <c r="A2133" s="104" t="s">
        <v>4801</v>
      </c>
      <c r="B2133" s="105" t="s">
        <v>4033</v>
      </c>
      <c r="C2133" s="105" t="s">
        <v>3433</v>
      </c>
      <c r="D2133" s="106"/>
      <c r="E2133" s="107"/>
      <c r="F2133" s="108" t="s">
        <v>17650</v>
      </c>
      <c r="G2133" s="120">
        <v>2</v>
      </c>
      <c r="H2133" s="108" t="s">
        <v>17651</v>
      </c>
      <c r="I2133" s="116">
        <v>1</v>
      </c>
      <c r="J2133" s="111" t="s">
        <v>40</v>
      </c>
      <c r="K2133" s="108" t="s">
        <v>17652</v>
      </c>
      <c r="L2133" s="117">
        <v>2</v>
      </c>
      <c r="M2133" s="113"/>
      <c r="N2133" s="108" t="s">
        <v>17650</v>
      </c>
      <c r="O2133" s="117">
        <v>2</v>
      </c>
      <c r="P2133" s="113"/>
      <c r="Q2133" s="108" t="s">
        <v>17653</v>
      </c>
      <c r="R2133" s="117">
        <v>2</v>
      </c>
      <c r="S2133" s="113"/>
      <c r="T2133" s="108" t="s">
        <v>17654</v>
      </c>
      <c r="U2133" s="116">
        <v>1</v>
      </c>
      <c r="V2133" s="113"/>
      <c r="W2133" s="108" t="s">
        <v>17655</v>
      </c>
      <c r="X2133" s="116">
        <v>1</v>
      </c>
      <c r="Y2133" s="113"/>
      <c r="Z2133" s="108" t="s">
        <v>17656</v>
      </c>
      <c r="AA2133" s="117">
        <v>2</v>
      </c>
      <c r="AB2133" s="113"/>
      <c r="AC2133" s="105" t="s">
        <v>4802</v>
      </c>
      <c r="AD2133" s="115" t="s">
        <v>49</v>
      </c>
    </row>
    <row r="2134" spans="1:30" x14ac:dyDescent="0.2">
      <c r="A2134" s="104" t="s">
        <v>4803</v>
      </c>
      <c r="B2134" s="105" t="s">
        <v>4033</v>
      </c>
      <c r="C2134" s="105" t="s">
        <v>3433</v>
      </c>
      <c r="D2134" s="106"/>
      <c r="E2134" s="107"/>
      <c r="F2134" s="108" t="s">
        <v>17657</v>
      </c>
      <c r="G2134" s="120">
        <v>2</v>
      </c>
      <c r="H2134" s="108" t="s">
        <v>17658</v>
      </c>
      <c r="I2134" s="116">
        <v>1</v>
      </c>
      <c r="J2134" s="111" t="s">
        <v>40</v>
      </c>
      <c r="K2134" s="108" t="s">
        <v>17659</v>
      </c>
      <c r="L2134" s="117">
        <v>2</v>
      </c>
      <c r="M2134" s="113"/>
      <c r="N2134" s="108" t="s">
        <v>17657</v>
      </c>
      <c r="O2134" s="117">
        <v>2</v>
      </c>
      <c r="P2134" s="113"/>
      <c r="Q2134" s="108" t="s">
        <v>17660</v>
      </c>
      <c r="R2134" s="117">
        <v>2</v>
      </c>
      <c r="S2134" s="113"/>
      <c r="T2134" s="108" t="s">
        <v>17661</v>
      </c>
      <c r="U2134" s="116">
        <v>1</v>
      </c>
      <c r="V2134" s="113"/>
      <c r="W2134" s="108" t="s">
        <v>17662</v>
      </c>
      <c r="X2134" s="116">
        <v>1</v>
      </c>
      <c r="Y2134" s="113"/>
      <c r="Z2134" s="108" t="s">
        <v>17663</v>
      </c>
      <c r="AA2134" s="116">
        <v>1</v>
      </c>
      <c r="AB2134" s="113"/>
      <c r="AC2134" s="105" t="s">
        <v>4804</v>
      </c>
      <c r="AD2134" s="115" t="s">
        <v>49</v>
      </c>
    </row>
    <row r="2135" spans="1:30" x14ac:dyDescent="0.2">
      <c r="A2135" s="104" t="s">
        <v>4805</v>
      </c>
      <c r="B2135" s="105" t="s">
        <v>4033</v>
      </c>
      <c r="C2135" s="105" t="s">
        <v>3433</v>
      </c>
      <c r="D2135" s="106"/>
      <c r="E2135" s="107"/>
      <c r="F2135" s="108" t="s">
        <v>17664</v>
      </c>
      <c r="G2135" s="119">
        <v>1</v>
      </c>
      <c r="H2135" s="108" t="s">
        <v>17665</v>
      </c>
      <c r="I2135" s="116">
        <v>1</v>
      </c>
      <c r="J2135" s="111" t="s">
        <v>40</v>
      </c>
      <c r="K2135" s="108" t="s">
        <v>4806</v>
      </c>
      <c r="L2135" s="116">
        <v>1</v>
      </c>
      <c r="M2135" s="111" t="s">
        <v>40</v>
      </c>
      <c r="N2135" s="108" t="s">
        <v>17664</v>
      </c>
      <c r="O2135" s="116">
        <v>1</v>
      </c>
      <c r="P2135" s="113"/>
      <c r="Q2135" s="108" t="s">
        <v>17666</v>
      </c>
      <c r="R2135" s="116">
        <v>1</v>
      </c>
      <c r="S2135" s="113"/>
      <c r="T2135" s="108" t="s">
        <v>17667</v>
      </c>
      <c r="U2135" s="116">
        <v>1</v>
      </c>
      <c r="V2135" s="113"/>
      <c r="W2135" s="108" t="s">
        <v>17668</v>
      </c>
      <c r="X2135" s="116">
        <v>1</v>
      </c>
      <c r="Y2135" s="113"/>
      <c r="Z2135" s="108" t="s">
        <v>17669</v>
      </c>
      <c r="AA2135" s="116">
        <v>1</v>
      </c>
      <c r="AB2135" s="113"/>
      <c r="AC2135" s="105" t="s">
        <v>4807</v>
      </c>
      <c r="AD2135" s="115" t="s">
        <v>49</v>
      </c>
    </row>
    <row r="2136" spans="1:30" x14ac:dyDescent="0.2">
      <c r="A2136" s="104" t="s">
        <v>4808</v>
      </c>
      <c r="B2136" s="105" t="s">
        <v>4033</v>
      </c>
      <c r="C2136" s="105" t="s">
        <v>3433</v>
      </c>
      <c r="D2136" s="106"/>
      <c r="E2136" s="107"/>
      <c r="F2136" s="108" t="s">
        <v>4809</v>
      </c>
      <c r="G2136" s="120">
        <v>2</v>
      </c>
      <c r="H2136" s="108" t="s">
        <v>17670</v>
      </c>
      <c r="I2136" s="116">
        <v>1</v>
      </c>
      <c r="J2136" s="111" t="s">
        <v>40</v>
      </c>
      <c r="K2136" s="108" t="s">
        <v>17671</v>
      </c>
      <c r="L2136" s="117">
        <v>2</v>
      </c>
      <c r="M2136" s="113"/>
      <c r="N2136" s="108" t="s">
        <v>4809</v>
      </c>
      <c r="O2136" s="117">
        <v>2</v>
      </c>
      <c r="P2136" s="113"/>
      <c r="Q2136" s="108" t="s">
        <v>17672</v>
      </c>
      <c r="R2136" s="117">
        <v>2</v>
      </c>
      <c r="S2136" s="113"/>
      <c r="T2136" s="108" t="s">
        <v>17673</v>
      </c>
      <c r="U2136" s="116">
        <v>1</v>
      </c>
      <c r="V2136" s="113"/>
      <c r="W2136" s="108" t="s">
        <v>17674</v>
      </c>
      <c r="X2136" s="116">
        <v>1</v>
      </c>
      <c r="Y2136" s="113"/>
      <c r="Z2136" s="108" t="s">
        <v>17675</v>
      </c>
      <c r="AA2136" s="116">
        <v>1</v>
      </c>
      <c r="AB2136" s="111" t="s">
        <v>53</v>
      </c>
      <c r="AC2136" s="105" t="s">
        <v>4810</v>
      </c>
      <c r="AD2136" s="115" t="s">
        <v>49</v>
      </c>
    </row>
    <row r="2137" spans="1:30" x14ac:dyDescent="0.2">
      <c r="A2137" s="104" t="s">
        <v>4811</v>
      </c>
      <c r="B2137" s="105" t="s">
        <v>4033</v>
      </c>
      <c r="C2137" s="105" t="s">
        <v>3433</v>
      </c>
      <c r="D2137" s="106"/>
      <c r="E2137" s="107"/>
      <c r="F2137" s="108" t="s">
        <v>17676</v>
      </c>
      <c r="G2137" s="120">
        <v>2</v>
      </c>
      <c r="H2137" s="108" t="s">
        <v>17677</v>
      </c>
      <c r="I2137" s="117">
        <v>2</v>
      </c>
      <c r="J2137" s="111" t="s">
        <v>40</v>
      </c>
      <c r="K2137" s="108" t="s">
        <v>17678</v>
      </c>
      <c r="L2137" s="117">
        <v>2</v>
      </c>
      <c r="M2137" s="113"/>
      <c r="N2137" s="108" t="s">
        <v>17676</v>
      </c>
      <c r="O2137" s="117">
        <v>2</v>
      </c>
      <c r="P2137" s="113"/>
      <c r="Q2137" s="108" t="s">
        <v>17679</v>
      </c>
      <c r="R2137" s="117">
        <v>2</v>
      </c>
      <c r="S2137" s="113"/>
      <c r="T2137" s="108" t="s">
        <v>17680</v>
      </c>
      <c r="U2137" s="117">
        <v>2</v>
      </c>
      <c r="V2137" s="113"/>
      <c r="W2137" s="108" t="s">
        <v>17681</v>
      </c>
      <c r="X2137" s="117">
        <v>2</v>
      </c>
      <c r="Y2137" s="111" t="s">
        <v>40</v>
      </c>
      <c r="Z2137" s="108" t="s">
        <v>17682</v>
      </c>
      <c r="AA2137" s="110">
        <v>3</v>
      </c>
      <c r="AB2137" s="111" t="s">
        <v>40</v>
      </c>
      <c r="AC2137" s="105" t="s">
        <v>4812</v>
      </c>
      <c r="AD2137" s="115" t="s">
        <v>49</v>
      </c>
    </row>
    <row r="2138" spans="1:30" x14ac:dyDescent="0.2">
      <c r="A2138" s="104" t="s">
        <v>4813</v>
      </c>
      <c r="B2138" s="105" t="s">
        <v>4033</v>
      </c>
      <c r="C2138" s="105" t="s">
        <v>3433</v>
      </c>
      <c r="D2138" s="106"/>
      <c r="E2138" s="107"/>
      <c r="F2138" s="108" t="s">
        <v>17683</v>
      </c>
      <c r="G2138" s="120">
        <v>2</v>
      </c>
      <c r="H2138" s="108" t="s">
        <v>17684</v>
      </c>
      <c r="I2138" s="117">
        <v>2</v>
      </c>
      <c r="J2138" s="113"/>
      <c r="K2138" s="108" t="s">
        <v>17685</v>
      </c>
      <c r="L2138" s="117">
        <v>2</v>
      </c>
      <c r="M2138" s="113"/>
      <c r="N2138" s="108" t="s">
        <v>17683</v>
      </c>
      <c r="O2138" s="117">
        <v>2</v>
      </c>
      <c r="P2138" s="113"/>
      <c r="Q2138" s="108" t="s">
        <v>17686</v>
      </c>
      <c r="R2138" s="117">
        <v>2</v>
      </c>
      <c r="S2138" s="113"/>
      <c r="T2138" s="108" t="s">
        <v>17687</v>
      </c>
      <c r="U2138" s="117">
        <v>2</v>
      </c>
      <c r="V2138" s="113"/>
      <c r="W2138" s="108" t="s">
        <v>17688</v>
      </c>
      <c r="X2138" s="117">
        <v>2</v>
      </c>
      <c r="Y2138" s="113"/>
      <c r="Z2138" s="108" t="s">
        <v>17689</v>
      </c>
      <c r="AA2138" s="117">
        <v>2</v>
      </c>
      <c r="AB2138" s="113"/>
      <c r="AC2138" s="105" t="s">
        <v>4814</v>
      </c>
      <c r="AD2138" s="115" t="s">
        <v>49</v>
      </c>
    </row>
    <row r="2139" spans="1:30" x14ac:dyDescent="0.2">
      <c r="A2139" s="104" t="s">
        <v>4815</v>
      </c>
      <c r="B2139" s="105" t="s">
        <v>4033</v>
      </c>
      <c r="C2139" s="105" t="s">
        <v>338</v>
      </c>
      <c r="D2139" s="106"/>
      <c r="E2139" s="107" t="s">
        <v>99</v>
      </c>
      <c r="F2139" s="108" t="s">
        <v>17690</v>
      </c>
      <c r="G2139" s="118">
        <v>3</v>
      </c>
      <c r="H2139" s="108" t="s">
        <v>17691</v>
      </c>
      <c r="I2139" s="117">
        <v>2</v>
      </c>
      <c r="J2139" s="113"/>
      <c r="K2139" s="108" t="s">
        <v>17692</v>
      </c>
      <c r="L2139" s="116">
        <v>1</v>
      </c>
      <c r="M2139" s="113"/>
      <c r="N2139" s="108" t="s">
        <v>17690</v>
      </c>
      <c r="O2139" s="110">
        <v>3</v>
      </c>
      <c r="P2139" s="113"/>
      <c r="Q2139" s="108" t="s">
        <v>47</v>
      </c>
      <c r="R2139" s="114"/>
      <c r="S2139" s="113"/>
      <c r="T2139" s="108" t="s">
        <v>47</v>
      </c>
      <c r="U2139" s="114"/>
      <c r="V2139" s="113"/>
      <c r="W2139" s="108" t="s">
        <v>47</v>
      </c>
      <c r="X2139" s="114"/>
      <c r="Y2139" s="113"/>
      <c r="Z2139" s="108" t="s">
        <v>47</v>
      </c>
      <c r="AA2139" s="114"/>
      <c r="AB2139" s="113"/>
      <c r="AC2139" s="105" t="s">
        <v>4816</v>
      </c>
      <c r="AD2139" s="115" t="s">
        <v>49</v>
      </c>
    </row>
    <row r="2140" spans="1:30" x14ac:dyDescent="0.2">
      <c r="A2140" s="104" t="s">
        <v>4817</v>
      </c>
      <c r="B2140" s="105" t="s">
        <v>4033</v>
      </c>
      <c r="C2140" s="105" t="s">
        <v>384</v>
      </c>
      <c r="D2140" s="106"/>
      <c r="E2140" s="107"/>
      <c r="F2140" s="108" t="s">
        <v>17693</v>
      </c>
      <c r="G2140" s="118">
        <v>3</v>
      </c>
      <c r="H2140" s="108" t="s">
        <v>17694</v>
      </c>
      <c r="I2140" s="110">
        <v>3</v>
      </c>
      <c r="J2140" s="113"/>
      <c r="K2140" s="108" t="s">
        <v>17695</v>
      </c>
      <c r="L2140" s="110">
        <v>3</v>
      </c>
      <c r="M2140" s="111" t="s">
        <v>46</v>
      </c>
      <c r="N2140" s="108" t="s">
        <v>17693</v>
      </c>
      <c r="O2140" s="110">
        <v>3</v>
      </c>
      <c r="P2140" s="113"/>
      <c r="Q2140" s="108" t="s">
        <v>17696</v>
      </c>
      <c r="R2140" s="110">
        <v>3</v>
      </c>
      <c r="S2140" s="113"/>
      <c r="T2140" s="108" t="s">
        <v>47</v>
      </c>
      <c r="U2140" s="114"/>
      <c r="V2140" s="113"/>
      <c r="W2140" s="108" t="s">
        <v>47</v>
      </c>
      <c r="X2140" s="114"/>
      <c r="Y2140" s="113"/>
      <c r="Z2140" s="108" t="s">
        <v>47</v>
      </c>
      <c r="AA2140" s="114"/>
      <c r="AB2140" s="113"/>
      <c r="AC2140" s="105" t="s">
        <v>4818</v>
      </c>
      <c r="AD2140" s="115" t="s">
        <v>49</v>
      </c>
    </row>
    <row r="2141" spans="1:30" x14ac:dyDescent="0.2">
      <c r="A2141" s="104" t="s">
        <v>4819</v>
      </c>
      <c r="B2141" s="105" t="s">
        <v>4033</v>
      </c>
      <c r="C2141" s="105" t="s">
        <v>384</v>
      </c>
      <c r="D2141" s="106" t="s">
        <v>125</v>
      </c>
      <c r="E2141" s="107"/>
      <c r="F2141" s="108" t="s">
        <v>17697</v>
      </c>
      <c r="G2141" s="118">
        <v>3</v>
      </c>
      <c r="H2141" s="108" t="s">
        <v>17698</v>
      </c>
      <c r="I2141" s="110">
        <v>3</v>
      </c>
      <c r="J2141" s="113"/>
      <c r="K2141" s="108" t="s">
        <v>17699</v>
      </c>
      <c r="L2141" s="110">
        <v>3</v>
      </c>
      <c r="M2141" s="111" t="s">
        <v>46</v>
      </c>
      <c r="N2141" s="108" t="s">
        <v>17697</v>
      </c>
      <c r="O2141" s="110">
        <v>3</v>
      </c>
      <c r="P2141" s="113"/>
      <c r="Q2141" s="108" t="s">
        <v>17700</v>
      </c>
      <c r="R2141" s="110">
        <v>3</v>
      </c>
      <c r="S2141" s="113"/>
      <c r="T2141" s="108" t="s">
        <v>17701</v>
      </c>
      <c r="U2141" s="112">
        <v>4</v>
      </c>
      <c r="V2141" s="113"/>
      <c r="W2141" s="108" t="s">
        <v>17702</v>
      </c>
      <c r="X2141" s="110">
        <v>3</v>
      </c>
      <c r="Y2141" s="113"/>
      <c r="Z2141" s="108" t="s">
        <v>17703</v>
      </c>
      <c r="AA2141" s="117">
        <v>2</v>
      </c>
      <c r="AB2141" s="113"/>
      <c r="AC2141" s="105" t="s">
        <v>4820</v>
      </c>
      <c r="AD2141" s="115" t="s">
        <v>49</v>
      </c>
    </row>
    <row r="2142" spans="1:30" x14ac:dyDescent="0.2">
      <c r="A2142" s="104" t="s">
        <v>4821</v>
      </c>
      <c r="B2142" s="105" t="s">
        <v>4033</v>
      </c>
      <c r="C2142" s="105" t="s">
        <v>98</v>
      </c>
      <c r="D2142" s="106" t="s">
        <v>125</v>
      </c>
      <c r="E2142" s="107"/>
      <c r="F2142" s="108" t="s">
        <v>17704</v>
      </c>
      <c r="G2142" s="118">
        <v>3</v>
      </c>
      <c r="H2142" s="108" t="s">
        <v>17705</v>
      </c>
      <c r="I2142" s="117">
        <v>2</v>
      </c>
      <c r="J2142" s="111" t="s">
        <v>40</v>
      </c>
      <c r="K2142" s="108" t="s">
        <v>17706</v>
      </c>
      <c r="L2142" s="117">
        <v>2</v>
      </c>
      <c r="M2142" s="111" t="s">
        <v>40</v>
      </c>
      <c r="N2142" s="108" t="s">
        <v>17704</v>
      </c>
      <c r="O2142" s="110">
        <v>3</v>
      </c>
      <c r="P2142" s="111" t="s">
        <v>40</v>
      </c>
      <c r="Q2142" s="108" t="s">
        <v>17707</v>
      </c>
      <c r="R2142" s="112">
        <v>4</v>
      </c>
      <c r="S2142" s="113"/>
      <c r="T2142" s="108" t="s">
        <v>17708</v>
      </c>
      <c r="U2142" s="112">
        <v>4</v>
      </c>
      <c r="V2142" s="113"/>
      <c r="W2142" s="108" t="s">
        <v>17709</v>
      </c>
      <c r="X2142" s="112">
        <v>4</v>
      </c>
      <c r="Y2142" s="113"/>
      <c r="Z2142" s="108" t="s">
        <v>17710</v>
      </c>
      <c r="AA2142" s="110">
        <v>3</v>
      </c>
      <c r="AB2142" s="113"/>
      <c r="AC2142" s="105" t="s">
        <v>4822</v>
      </c>
      <c r="AD2142" s="115" t="s">
        <v>49</v>
      </c>
    </row>
    <row r="2143" spans="1:30" x14ac:dyDescent="0.2">
      <c r="A2143" s="104" t="s">
        <v>4823</v>
      </c>
      <c r="B2143" s="105" t="s">
        <v>4033</v>
      </c>
      <c r="C2143" s="105" t="s">
        <v>2592</v>
      </c>
      <c r="D2143" s="106"/>
      <c r="E2143" s="107"/>
      <c r="F2143" s="108" t="s">
        <v>17711</v>
      </c>
      <c r="G2143" s="120">
        <v>2</v>
      </c>
      <c r="H2143" s="108" t="s">
        <v>17712</v>
      </c>
      <c r="I2143" s="117">
        <v>2</v>
      </c>
      <c r="J2143" s="111" t="s">
        <v>46</v>
      </c>
      <c r="K2143" s="108" t="s">
        <v>17713</v>
      </c>
      <c r="L2143" s="116">
        <v>1</v>
      </c>
      <c r="M2143" s="113"/>
      <c r="N2143" s="108" t="s">
        <v>17711</v>
      </c>
      <c r="O2143" s="117">
        <v>2</v>
      </c>
      <c r="P2143" s="113"/>
      <c r="Q2143" s="108" t="s">
        <v>17714</v>
      </c>
      <c r="R2143" s="110">
        <v>3</v>
      </c>
      <c r="S2143" s="113"/>
      <c r="T2143" s="108" t="s">
        <v>17715</v>
      </c>
      <c r="U2143" s="117">
        <v>2</v>
      </c>
      <c r="V2143" s="113"/>
      <c r="W2143" s="108" t="s">
        <v>17716</v>
      </c>
      <c r="X2143" s="117">
        <v>2</v>
      </c>
      <c r="Y2143" s="113"/>
      <c r="Z2143" s="108" t="s">
        <v>4824</v>
      </c>
      <c r="AA2143" s="117">
        <v>2</v>
      </c>
      <c r="AB2143" s="113"/>
      <c r="AC2143" s="105" t="s">
        <v>4825</v>
      </c>
      <c r="AD2143" s="115" t="s">
        <v>49</v>
      </c>
    </row>
    <row r="2144" spans="1:30" x14ac:dyDescent="0.2">
      <c r="A2144" s="104" t="s">
        <v>4826</v>
      </c>
      <c r="B2144" s="105" t="s">
        <v>4033</v>
      </c>
      <c r="C2144" s="105" t="s">
        <v>279</v>
      </c>
      <c r="D2144" s="106" t="s">
        <v>125</v>
      </c>
      <c r="E2144" s="107" t="s">
        <v>146</v>
      </c>
      <c r="F2144" s="108" t="s">
        <v>17717</v>
      </c>
      <c r="G2144" s="118">
        <v>3</v>
      </c>
      <c r="H2144" s="108" t="s">
        <v>17718</v>
      </c>
      <c r="I2144" s="110">
        <v>3</v>
      </c>
      <c r="J2144" s="113"/>
      <c r="K2144" s="108" t="s">
        <v>17719</v>
      </c>
      <c r="L2144" s="110">
        <v>3</v>
      </c>
      <c r="M2144" s="113"/>
      <c r="N2144" s="108" t="s">
        <v>17717</v>
      </c>
      <c r="O2144" s="110">
        <v>3</v>
      </c>
      <c r="P2144" s="113"/>
      <c r="Q2144" s="108" t="s">
        <v>17720</v>
      </c>
      <c r="R2144" s="117">
        <v>2</v>
      </c>
      <c r="S2144" s="113"/>
      <c r="T2144" s="108" t="s">
        <v>17721</v>
      </c>
      <c r="U2144" s="110">
        <v>3</v>
      </c>
      <c r="V2144" s="113"/>
      <c r="W2144" s="108" t="s">
        <v>17722</v>
      </c>
      <c r="X2144" s="117">
        <v>2</v>
      </c>
      <c r="Y2144" s="113"/>
      <c r="Z2144" s="108" t="s">
        <v>17723</v>
      </c>
      <c r="AA2144" s="110">
        <v>3</v>
      </c>
      <c r="AB2144" s="113"/>
      <c r="AC2144" s="105" t="s">
        <v>4827</v>
      </c>
      <c r="AD2144" s="115" t="s">
        <v>49</v>
      </c>
    </row>
    <row r="2145" spans="1:30" x14ac:dyDescent="0.2">
      <c r="A2145" s="104" t="s">
        <v>4828</v>
      </c>
      <c r="B2145" s="105" t="s">
        <v>4033</v>
      </c>
      <c r="C2145" s="105" t="s">
        <v>306</v>
      </c>
      <c r="D2145" s="106" t="s">
        <v>125</v>
      </c>
      <c r="E2145" s="107"/>
      <c r="F2145" s="108" t="s">
        <v>17724</v>
      </c>
      <c r="G2145" s="120">
        <v>2</v>
      </c>
      <c r="H2145" s="108" t="s">
        <v>17725</v>
      </c>
      <c r="I2145" s="110">
        <v>3</v>
      </c>
      <c r="J2145" s="111" t="s">
        <v>46</v>
      </c>
      <c r="K2145" s="108" t="s">
        <v>17726</v>
      </c>
      <c r="L2145" s="110">
        <v>3</v>
      </c>
      <c r="M2145" s="111" t="s">
        <v>46</v>
      </c>
      <c r="N2145" s="108" t="s">
        <v>17724</v>
      </c>
      <c r="O2145" s="117">
        <v>2</v>
      </c>
      <c r="P2145" s="111" t="s">
        <v>46</v>
      </c>
      <c r="Q2145" s="108" t="s">
        <v>17727</v>
      </c>
      <c r="R2145" s="116">
        <v>1</v>
      </c>
      <c r="S2145" s="113"/>
      <c r="T2145" s="108" t="s">
        <v>8875</v>
      </c>
      <c r="U2145" s="117">
        <v>2</v>
      </c>
      <c r="V2145" s="113"/>
      <c r="W2145" s="108" t="s">
        <v>47</v>
      </c>
      <c r="X2145" s="114"/>
      <c r="Y2145" s="113"/>
      <c r="Z2145" s="108" t="s">
        <v>47</v>
      </c>
      <c r="AA2145" s="114"/>
      <c r="AB2145" s="113"/>
      <c r="AC2145" s="105" t="s">
        <v>4829</v>
      </c>
      <c r="AD2145" s="115" t="s">
        <v>49</v>
      </c>
    </row>
    <row r="2146" spans="1:30" x14ac:dyDescent="0.2">
      <c r="A2146" s="104" t="s">
        <v>4830</v>
      </c>
      <c r="B2146" s="105" t="s">
        <v>4033</v>
      </c>
      <c r="C2146" s="105" t="s">
        <v>332</v>
      </c>
      <c r="D2146" s="106" t="s">
        <v>125</v>
      </c>
      <c r="E2146" s="107"/>
      <c r="F2146" s="108" t="s">
        <v>17728</v>
      </c>
      <c r="G2146" s="120">
        <v>2</v>
      </c>
      <c r="H2146" s="108" t="s">
        <v>17729</v>
      </c>
      <c r="I2146" s="117">
        <v>2</v>
      </c>
      <c r="J2146" s="113"/>
      <c r="K2146" s="108" t="s">
        <v>17730</v>
      </c>
      <c r="L2146" s="117">
        <v>2</v>
      </c>
      <c r="M2146" s="113"/>
      <c r="N2146" s="108" t="s">
        <v>17728</v>
      </c>
      <c r="O2146" s="117">
        <v>2</v>
      </c>
      <c r="P2146" s="111" t="s">
        <v>40</v>
      </c>
      <c r="Q2146" s="108" t="s">
        <v>17731</v>
      </c>
      <c r="R2146" s="117">
        <v>2</v>
      </c>
      <c r="S2146" s="111" t="s">
        <v>46</v>
      </c>
      <c r="T2146" s="108" t="s">
        <v>17732</v>
      </c>
      <c r="U2146" s="110">
        <v>3</v>
      </c>
      <c r="V2146" s="113"/>
      <c r="W2146" s="108" t="s">
        <v>17733</v>
      </c>
      <c r="X2146" s="112">
        <v>4</v>
      </c>
      <c r="Y2146" s="113"/>
      <c r="Z2146" s="108" t="s">
        <v>17734</v>
      </c>
      <c r="AA2146" s="110">
        <v>3</v>
      </c>
      <c r="AB2146" s="111" t="s">
        <v>46</v>
      </c>
      <c r="AC2146" s="105" t="s">
        <v>4831</v>
      </c>
      <c r="AD2146" s="115" t="s">
        <v>49</v>
      </c>
    </row>
    <row r="2147" spans="1:30" x14ac:dyDescent="0.2">
      <c r="A2147" s="104" t="s">
        <v>4832</v>
      </c>
      <c r="B2147" s="105" t="s">
        <v>4033</v>
      </c>
      <c r="C2147" s="105" t="s">
        <v>2592</v>
      </c>
      <c r="D2147" s="106"/>
      <c r="E2147" s="107" t="s">
        <v>99</v>
      </c>
      <c r="F2147" s="108" t="s">
        <v>17735</v>
      </c>
      <c r="G2147" s="120">
        <v>2</v>
      </c>
      <c r="H2147" s="108" t="s">
        <v>17736</v>
      </c>
      <c r="I2147" s="117">
        <v>2</v>
      </c>
      <c r="J2147" s="111" t="s">
        <v>46</v>
      </c>
      <c r="K2147" s="108" t="s">
        <v>17737</v>
      </c>
      <c r="L2147" s="116">
        <v>1</v>
      </c>
      <c r="M2147" s="113"/>
      <c r="N2147" s="108" t="s">
        <v>17735</v>
      </c>
      <c r="O2147" s="117">
        <v>2</v>
      </c>
      <c r="P2147" s="113"/>
      <c r="Q2147" s="108" t="s">
        <v>17738</v>
      </c>
      <c r="R2147" s="117">
        <v>2</v>
      </c>
      <c r="S2147" s="111" t="s">
        <v>40</v>
      </c>
      <c r="T2147" s="108" t="s">
        <v>47</v>
      </c>
      <c r="U2147" s="114"/>
      <c r="V2147" s="113"/>
      <c r="W2147" s="108" t="s">
        <v>47</v>
      </c>
      <c r="X2147" s="114"/>
      <c r="Y2147" s="113"/>
      <c r="Z2147" s="108" t="s">
        <v>47</v>
      </c>
      <c r="AA2147" s="114"/>
      <c r="AB2147" s="113"/>
      <c r="AC2147" s="105" t="s">
        <v>4833</v>
      </c>
      <c r="AD2147" s="115" t="s">
        <v>49</v>
      </c>
    </row>
    <row r="2148" spans="1:30" x14ac:dyDescent="0.2">
      <c r="A2148" s="104" t="s">
        <v>4834</v>
      </c>
      <c r="B2148" s="105" t="s">
        <v>4033</v>
      </c>
      <c r="C2148" s="105" t="s">
        <v>375</v>
      </c>
      <c r="D2148" s="106" t="s">
        <v>105</v>
      </c>
      <c r="E2148" s="107" t="s">
        <v>99</v>
      </c>
      <c r="F2148" s="108" t="s">
        <v>17739</v>
      </c>
      <c r="G2148" s="120">
        <v>2</v>
      </c>
      <c r="H2148" s="108" t="s">
        <v>17740</v>
      </c>
      <c r="I2148" s="117">
        <v>2</v>
      </c>
      <c r="J2148" s="111" t="s">
        <v>46</v>
      </c>
      <c r="K2148" s="108" t="s">
        <v>17741</v>
      </c>
      <c r="L2148" s="117">
        <v>2</v>
      </c>
      <c r="M2148" s="113"/>
      <c r="N2148" s="108" t="s">
        <v>17739</v>
      </c>
      <c r="O2148" s="117">
        <v>2</v>
      </c>
      <c r="P2148" s="113"/>
      <c r="Q2148" s="108" t="s">
        <v>17742</v>
      </c>
      <c r="R2148" s="110">
        <v>3</v>
      </c>
      <c r="S2148" s="113"/>
      <c r="T2148" s="108" t="s">
        <v>17743</v>
      </c>
      <c r="U2148" s="110">
        <v>3</v>
      </c>
      <c r="V2148" s="113"/>
      <c r="W2148" s="108" t="s">
        <v>17744</v>
      </c>
      <c r="X2148" s="112">
        <v>4</v>
      </c>
      <c r="Y2148" s="113"/>
      <c r="Z2148" s="108" t="s">
        <v>17745</v>
      </c>
      <c r="AA2148" s="110">
        <v>3</v>
      </c>
      <c r="AB2148" s="113"/>
      <c r="AC2148" s="105" t="s">
        <v>4835</v>
      </c>
      <c r="AD2148" s="115" t="s">
        <v>49</v>
      </c>
    </row>
    <row r="2149" spans="1:30" x14ac:dyDescent="0.2">
      <c r="A2149" s="104" t="s">
        <v>4836</v>
      </c>
      <c r="B2149" s="105" t="s">
        <v>4033</v>
      </c>
      <c r="C2149" s="105" t="s">
        <v>122</v>
      </c>
      <c r="D2149" s="106" t="s">
        <v>94</v>
      </c>
      <c r="E2149" s="107"/>
      <c r="F2149" s="108" t="s">
        <v>17746</v>
      </c>
      <c r="G2149" s="120">
        <v>2</v>
      </c>
      <c r="H2149" s="108" t="s">
        <v>17747</v>
      </c>
      <c r="I2149" s="117">
        <v>2</v>
      </c>
      <c r="J2149" s="113"/>
      <c r="K2149" s="108" t="s">
        <v>17748</v>
      </c>
      <c r="L2149" s="117">
        <v>2</v>
      </c>
      <c r="M2149" s="113"/>
      <c r="N2149" s="108" t="s">
        <v>17746</v>
      </c>
      <c r="O2149" s="117">
        <v>2</v>
      </c>
      <c r="P2149" s="113"/>
      <c r="Q2149" s="108" t="s">
        <v>17749</v>
      </c>
      <c r="R2149" s="117">
        <v>2</v>
      </c>
      <c r="S2149" s="113"/>
      <c r="T2149" s="108" t="s">
        <v>17750</v>
      </c>
      <c r="U2149" s="117">
        <v>2</v>
      </c>
      <c r="V2149" s="113"/>
      <c r="W2149" s="108" t="s">
        <v>17751</v>
      </c>
      <c r="X2149" s="116">
        <v>1</v>
      </c>
      <c r="Y2149" s="113"/>
      <c r="Z2149" s="108" t="s">
        <v>17752</v>
      </c>
      <c r="AA2149" s="117">
        <v>2</v>
      </c>
      <c r="AB2149" s="111" t="s">
        <v>46</v>
      </c>
      <c r="AC2149" s="105" t="s">
        <v>4837</v>
      </c>
      <c r="AD2149" s="115" t="s">
        <v>49</v>
      </c>
    </row>
    <row r="2150" spans="1:30" x14ac:dyDescent="0.2">
      <c r="A2150" s="104" t="s">
        <v>4838</v>
      </c>
      <c r="B2150" s="105" t="s">
        <v>4033</v>
      </c>
      <c r="C2150" s="105" t="s">
        <v>582</v>
      </c>
      <c r="D2150" s="106" t="s">
        <v>514</v>
      </c>
      <c r="E2150" s="107"/>
      <c r="F2150" s="108" t="s">
        <v>17753</v>
      </c>
      <c r="G2150" s="120">
        <v>2</v>
      </c>
      <c r="H2150" s="108" t="s">
        <v>17754</v>
      </c>
      <c r="I2150" s="116">
        <v>1</v>
      </c>
      <c r="J2150" s="111" t="s">
        <v>40</v>
      </c>
      <c r="K2150" s="108" t="s">
        <v>17755</v>
      </c>
      <c r="L2150" s="116">
        <v>1</v>
      </c>
      <c r="M2150" s="113"/>
      <c r="N2150" s="108" t="s">
        <v>17753</v>
      </c>
      <c r="O2150" s="117">
        <v>2</v>
      </c>
      <c r="P2150" s="113"/>
      <c r="Q2150" s="108" t="s">
        <v>17756</v>
      </c>
      <c r="R2150" s="117">
        <v>2</v>
      </c>
      <c r="S2150" s="113"/>
      <c r="T2150" s="108" t="s">
        <v>17757</v>
      </c>
      <c r="U2150" s="116">
        <v>1</v>
      </c>
      <c r="V2150" s="113"/>
      <c r="W2150" s="108" t="s">
        <v>17758</v>
      </c>
      <c r="X2150" s="116">
        <v>1</v>
      </c>
      <c r="Y2150" s="113"/>
      <c r="Z2150" s="108" t="s">
        <v>17759</v>
      </c>
      <c r="AA2150" s="116">
        <v>1</v>
      </c>
      <c r="AB2150" s="113"/>
      <c r="AC2150" s="105" t="s">
        <v>4839</v>
      </c>
      <c r="AD2150" s="115" t="s">
        <v>49</v>
      </c>
    </row>
    <row r="2151" spans="1:30" x14ac:dyDescent="0.2">
      <c r="A2151" s="104" t="s">
        <v>4840</v>
      </c>
      <c r="B2151" s="105" t="s">
        <v>4033</v>
      </c>
      <c r="C2151" s="105" t="s">
        <v>4841</v>
      </c>
      <c r="D2151" s="106" t="s">
        <v>125</v>
      </c>
      <c r="E2151" s="107"/>
      <c r="F2151" s="108" t="s">
        <v>17760</v>
      </c>
      <c r="G2151" s="119">
        <v>1</v>
      </c>
      <c r="H2151" s="108" t="s">
        <v>4842</v>
      </c>
      <c r="I2151" s="116">
        <v>1</v>
      </c>
      <c r="J2151" s="111" t="s">
        <v>53</v>
      </c>
      <c r="K2151" s="108" t="s">
        <v>9813</v>
      </c>
      <c r="L2151" s="116">
        <v>1</v>
      </c>
      <c r="M2151" s="113"/>
      <c r="N2151" s="108" t="s">
        <v>17760</v>
      </c>
      <c r="O2151" s="116">
        <v>1</v>
      </c>
      <c r="P2151" s="113"/>
      <c r="Q2151" s="108" t="s">
        <v>17761</v>
      </c>
      <c r="R2151" s="116">
        <v>1</v>
      </c>
      <c r="S2151" s="113"/>
      <c r="T2151" s="108" t="s">
        <v>17762</v>
      </c>
      <c r="U2151" s="112">
        <v>4</v>
      </c>
      <c r="V2151" s="113"/>
      <c r="W2151" s="108" t="s">
        <v>11134</v>
      </c>
      <c r="X2151" s="112">
        <v>4</v>
      </c>
      <c r="Y2151" s="111" t="s">
        <v>46</v>
      </c>
      <c r="Z2151" s="108" t="s">
        <v>4843</v>
      </c>
      <c r="AA2151" s="110">
        <v>3</v>
      </c>
      <c r="AB2151" s="111" t="s">
        <v>46</v>
      </c>
      <c r="AC2151" s="105" t="s">
        <v>4844</v>
      </c>
      <c r="AD2151" s="115" t="s">
        <v>49</v>
      </c>
    </row>
    <row r="2152" spans="1:30" x14ac:dyDescent="0.2">
      <c r="A2152" s="104" t="s">
        <v>4845</v>
      </c>
      <c r="B2152" s="105" t="s">
        <v>4033</v>
      </c>
      <c r="C2152" s="105" t="s">
        <v>582</v>
      </c>
      <c r="D2152" s="106" t="s">
        <v>298</v>
      </c>
      <c r="E2152" s="107"/>
      <c r="F2152" s="108" t="s">
        <v>17763</v>
      </c>
      <c r="G2152" s="118">
        <v>3</v>
      </c>
      <c r="H2152" s="108" t="s">
        <v>17764</v>
      </c>
      <c r="I2152" s="116">
        <v>1</v>
      </c>
      <c r="J2152" s="111" t="s">
        <v>157</v>
      </c>
      <c r="K2152" s="108" t="s">
        <v>17765</v>
      </c>
      <c r="L2152" s="116">
        <v>1</v>
      </c>
      <c r="M2152" s="111" t="s">
        <v>40</v>
      </c>
      <c r="N2152" s="108" t="s">
        <v>17763</v>
      </c>
      <c r="O2152" s="110">
        <v>3</v>
      </c>
      <c r="P2152" s="111" t="s">
        <v>40</v>
      </c>
      <c r="Q2152" s="108" t="s">
        <v>17766</v>
      </c>
      <c r="R2152" s="110">
        <v>3</v>
      </c>
      <c r="S2152" s="111" t="s">
        <v>40</v>
      </c>
      <c r="T2152" s="108" t="s">
        <v>17767</v>
      </c>
      <c r="U2152" s="112">
        <v>4</v>
      </c>
      <c r="V2152" s="113"/>
      <c r="W2152" s="108" t="s">
        <v>17768</v>
      </c>
      <c r="X2152" s="112">
        <v>4</v>
      </c>
      <c r="Y2152" s="113"/>
      <c r="Z2152" s="108" t="s">
        <v>17769</v>
      </c>
      <c r="AA2152" s="112">
        <v>4</v>
      </c>
      <c r="AB2152" s="113"/>
      <c r="AC2152" s="105" t="s">
        <v>4846</v>
      </c>
      <c r="AD2152" s="115" t="s">
        <v>49</v>
      </c>
    </row>
    <row r="2153" spans="1:30" x14ac:dyDescent="0.2">
      <c r="A2153" s="104" t="s">
        <v>4847</v>
      </c>
      <c r="B2153" s="105" t="s">
        <v>4033</v>
      </c>
      <c r="C2153" s="105" t="s">
        <v>154</v>
      </c>
      <c r="D2153" s="106"/>
      <c r="E2153" s="107"/>
      <c r="F2153" s="108" t="s">
        <v>17770</v>
      </c>
      <c r="G2153" s="120">
        <v>2</v>
      </c>
      <c r="H2153" s="108" t="s">
        <v>17771</v>
      </c>
      <c r="I2153" s="117">
        <v>2</v>
      </c>
      <c r="J2153" s="111" t="s">
        <v>46</v>
      </c>
      <c r="K2153" s="108" t="s">
        <v>17772</v>
      </c>
      <c r="L2153" s="116">
        <v>1</v>
      </c>
      <c r="M2153" s="111" t="s">
        <v>40</v>
      </c>
      <c r="N2153" s="108" t="s">
        <v>17770</v>
      </c>
      <c r="O2153" s="117">
        <v>2</v>
      </c>
      <c r="P2153" s="113"/>
      <c r="Q2153" s="108" t="s">
        <v>17773</v>
      </c>
      <c r="R2153" s="110">
        <v>3</v>
      </c>
      <c r="S2153" s="111" t="s">
        <v>46</v>
      </c>
      <c r="T2153" s="108" t="s">
        <v>17774</v>
      </c>
      <c r="U2153" s="117">
        <v>2</v>
      </c>
      <c r="V2153" s="113"/>
      <c r="W2153" s="108" t="s">
        <v>17775</v>
      </c>
      <c r="X2153" s="116">
        <v>1</v>
      </c>
      <c r="Y2153" s="113"/>
      <c r="Z2153" s="108" t="s">
        <v>4848</v>
      </c>
      <c r="AA2153" s="117">
        <v>2</v>
      </c>
      <c r="AB2153" s="113"/>
      <c r="AC2153" s="105" t="s">
        <v>4849</v>
      </c>
      <c r="AD2153" s="115" t="s">
        <v>49</v>
      </c>
    </row>
    <row r="2154" spans="1:30" x14ac:dyDescent="0.2">
      <c r="A2154" s="104" t="s">
        <v>4850</v>
      </c>
      <c r="B2154" s="105" t="s">
        <v>4033</v>
      </c>
      <c r="C2154" s="105" t="s">
        <v>2741</v>
      </c>
      <c r="D2154" s="106" t="s">
        <v>105</v>
      </c>
      <c r="E2154" s="107"/>
      <c r="F2154" s="108" t="s">
        <v>17776</v>
      </c>
      <c r="G2154" s="118">
        <v>3</v>
      </c>
      <c r="H2154" s="108" t="s">
        <v>17777</v>
      </c>
      <c r="I2154" s="117">
        <v>2</v>
      </c>
      <c r="J2154" s="111" t="s">
        <v>40</v>
      </c>
      <c r="K2154" s="108" t="s">
        <v>17778</v>
      </c>
      <c r="L2154" s="110">
        <v>3</v>
      </c>
      <c r="M2154" s="113"/>
      <c r="N2154" s="108" t="s">
        <v>17776</v>
      </c>
      <c r="O2154" s="110">
        <v>3</v>
      </c>
      <c r="P2154" s="113"/>
      <c r="Q2154" s="108" t="s">
        <v>17779</v>
      </c>
      <c r="R2154" s="110">
        <v>3</v>
      </c>
      <c r="S2154" s="113"/>
      <c r="T2154" s="108" t="s">
        <v>17780</v>
      </c>
      <c r="U2154" s="112">
        <v>4</v>
      </c>
      <c r="V2154" s="113"/>
      <c r="W2154" s="108" t="s">
        <v>17781</v>
      </c>
      <c r="X2154" s="112">
        <v>4</v>
      </c>
      <c r="Y2154" s="111" t="s">
        <v>46</v>
      </c>
      <c r="Z2154" s="108" t="s">
        <v>17782</v>
      </c>
      <c r="AA2154" s="112">
        <v>4</v>
      </c>
      <c r="AB2154" s="113"/>
      <c r="AC2154" s="105" t="s">
        <v>4851</v>
      </c>
      <c r="AD2154" s="115" t="s">
        <v>49</v>
      </c>
    </row>
    <row r="2155" spans="1:30" x14ac:dyDescent="0.2">
      <c r="A2155" s="104" t="s">
        <v>4852</v>
      </c>
      <c r="B2155" s="105" t="s">
        <v>4033</v>
      </c>
      <c r="C2155" s="105" t="s">
        <v>2741</v>
      </c>
      <c r="D2155" s="106" t="s">
        <v>105</v>
      </c>
      <c r="E2155" s="107"/>
      <c r="F2155" s="108" t="s">
        <v>17783</v>
      </c>
      <c r="G2155" s="118">
        <v>3</v>
      </c>
      <c r="H2155" s="108" t="s">
        <v>17784</v>
      </c>
      <c r="I2155" s="117">
        <v>2</v>
      </c>
      <c r="J2155" s="111" t="s">
        <v>40</v>
      </c>
      <c r="K2155" s="108" t="s">
        <v>17785</v>
      </c>
      <c r="L2155" s="117">
        <v>2</v>
      </c>
      <c r="M2155" s="111" t="s">
        <v>40</v>
      </c>
      <c r="N2155" s="108" t="s">
        <v>17783</v>
      </c>
      <c r="O2155" s="110">
        <v>3</v>
      </c>
      <c r="P2155" s="113"/>
      <c r="Q2155" s="108" t="s">
        <v>17786</v>
      </c>
      <c r="R2155" s="110">
        <v>3</v>
      </c>
      <c r="S2155" s="113"/>
      <c r="T2155" s="108" t="s">
        <v>4853</v>
      </c>
      <c r="U2155" s="112">
        <v>4</v>
      </c>
      <c r="V2155" s="113"/>
      <c r="W2155" s="108" t="s">
        <v>17787</v>
      </c>
      <c r="X2155" s="112">
        <v>4</v>
      </c>
      <c r="Y2155" s="111" t="s">
        <v>46</v>
      </c>
      <c r="Z2155" s="108" t="s">
        <v>17788</v>
      </c>
      <c r="AA2155" s="112">
        <v>4</v>
      </c>
      <c r="AB2155" s="113"/>
      <c r="AC2155" s="105" t="s">
        <v>4854</v>
      </c>
      <c r="AD2155" s="115" t="s">
        <v>49</v>
      </c>
    </row>
    <row r="2156" spans="1:30" x14ac:dyDescent="0.2">
      <c r="A2156" s="104" t="s">
        <v>4855</v>
      </c>
      <c r="B2156" s="105" t="s">
        <v>4033</v>
      </c>
      <c r="C2156" s="105" t="s">
        <v>93</v>
      </c>
      <c r="D2156" s="106" t="s">
        <v>125</v>
      </c>
      <c r="E2156" s="107"/>
      <c r="F2156" s="108" t="s">
        <v>17789</v>
      </c>
      <c r="G2156" s="118">
        <v>3</v>
      </c>
      <c r="H2156" s="108" t="s">
        <v>17790</v>
      </c>
      <c r="I2156" s="110">
        <v>3</v>
      </c>
      <c r="J2156" s="111" t="s">
        <v>46</v>
      </c>
      <c r="K2156" s="108" t="s">
        <v>17791</v>
      </c>
      <c r="L2156" s="117">
        <v>2</v>
      </c>
      <c r="M2156" s="113"/>
      <c r="N2156" s="108" t="s">
        <v>17789</v>
      </c>
      <c r="O2156" s="110">
        <v>3</v>
      </c>
      <c r="P2156" s="113"/>
      <c r="Q2156" s="108" t="s">
        <v>17792</v>
      </c>
      <c r="R2156" s="110">
        <v>3</v>
      </c>
      <c r="S2156" s="113"/>
      <c r="T2156" s="108" t="s">
        <v>17793</v>
      </c>
      <c r="U2156" s="110">
        <v>3</v>
      </c>
      <c r="V2156" s="113"/>
      <c r="W2156" s="108" t="s">
        <v>17794</v>
      </c>
      <c r="X2156" s="110">
        <v>3</v>
      </c>
      <c r="Y2156" s="113"/>
      <c r="Z2156" s="108" t="s">
        <v>17795</v>
      </c>
      <c r="AA2156" s="110">
        <v>3</v>
      </c>
      <c r="AB2156" s="113"/>
      <c r="AC2156" s="105" t="s">
        <v>4856</v>
      </c>
      <c r="AD2156" s="115" t="s">
        <v>107</v>
      </c>
    </row>
    <row r="2157" spans="1:30" x14ac:dyDescent="0.2">
      <c r="A2157" s="104" t="s">
        <v>4857</v>
      </c>
      <c r="B2157" s="105" t="s">
        <v>4033</v>
      </c>
      <c r="C2157" s="105" t="s">
        <v>93</v>
      </c>
      <c r="D2157" s="106" t="s">
        <v>125</v>
      </c>
      <c r="E2157" s="107"/>
      <c r="F2157" s="108" t="s">
        <v>17796</v>
      </c>
      <c r="G2157" s="118">
        <v>3</v>
      </c>
      <c r="H2157" s="108" t="s">
        <v>17797</v>
      </c>
      <c r="I2157" s="110">
        <v>3</v>
      </c>
      <c r="J2157" s="111" t="s">
        <v>46</v>
      </c>
      <c r="K2157" s="108" t="s">
        <v>17798</v>
      </c>
      <c r="L2157" s="117">
        <v>2</v>
      </c>
      <c r="M2157" s="113"/>
      <c r="N2157" s="108" t="s">
        <v>17796</v>
      </c>
      <c r="O2157" s="110">
        <v>3</v>
      </c>
      <c r="P2157" s="113"/>
      <c r="Q2157" s="108" t="s">
        <v>17799</v>
      </c>
      <c r="R2157" s="110">
        <v>3</v>
      </c>
      <c r="S2157" s="113"/>
      <c r="T2157" s="108" t="s">
        <v>17800</v>
      </c>
      <c r="U2157" s="110">
        <v>3</v>
      </c>
      <c r="V2157" s="113"/>
      <c r="W2157" s="108" t="s">
        <v>17801</v>
      </c>
      <c r="X2157" s="110">
        <v>3</v>
      </c>
      <c r="Y2157" s="113"/>
      <c r="Z2157" s="108" t="s">
        <v>17802</v>
      </c>
      <c r="AA2157" s="110">
        <v>3</v>
      </c>
      <c r="AB2157" s="113"/>
      <c r="AC2157" s="105" t="s">
        <v>4858</v>
      </c>
      <c r="AD2157" s="115" t="s">
        <v>107</v>
      </c>
    </row>
    <row r="2158" spans="1:30" x14ac:dyDescent="0.2">
      <c r="A2158" s="104" t="s">
        <v>4859</v>
      </c>
      <c r="B2158" s="105" t="s">
        <v>4033</v>
      </c>
      <c r="C2158" s="105" t="s">
        <v>3326</v>
      </c>
      <c r="D2158" s="106" t="s">
        <v>125</v>
      </c>
      <c r="E2158" s="107"/>
      <c r="F2158" s="108" t="s">
        <v>17803</v>
      </c>
      <c r="G2158" s="118">
        <v>3</v>
      </c>
      <c r="H2158" s="108" t="s">
        <v>17804</v>
      </c>
      <c r="I2158" s="110">
        <v>3</v>
      </c>
      <c r="J2158" s="111" t="s">
        <v>46</v>
      </c>
      <c r="K2158" s="108" t="s">
        <v>17805</v>
      </c>
      <c r="L2158" s="117">
        <v>2</v>
      </c>
      <c r="M2158" s="113"/>
      <c r="N2158" s="108" t="s">
        <v>17803</v>
      </c>
      <c r="O2158" s="110">
        <v>3</v>
      </c>
      <c r="P2158" s="113"/>
      <c r="Q2158" s="108" t="s">
        <v>17806</v>
      </c>
      <c r="R2158" s="110">
        <v>3</v>
      </c>
      <c r="S2158" s="113"/>
      <c r="T2158" s="108" t="s">
        <v>17807</v>
      </c>
      <c r="U2158" s="110">
        <v>3</v>
      </c>
      <c r="V2158" s="111" t="s">
        <v>40</v>
      </c>
      <c r="W2158" s="108" t="s">
        <v>17808</v>
      </c>
      <c r="X2158" s="110">
        <v>3</v>
      </c>
      <c r="Y2158" s="113"/>
      <c r="Z2158" s="108" t="s">
        <v>17809</v>
      </c>
      <c r="AA2158" s="110">
        <v>3</v>
      </c>
      <c r="AB2158" s="113"/>
      <c r="AC2158" s="105" t="s">
        <v>4860</v>
      </c>
      <c r="AD2158" s="115" t="s">
        <v>49</v>
      </c>
    </row>
    <row r="2159" spans="1:30" x14ac:dyDescent="0.2">
      <c r="A2159" s="104" t="s">
        <v>4861</v>
      </c>
      <c r="B2159" s="105" t="s">
        <v>4033</v>
      </c>
      <c r="C2159" s="105" t="s">
        <v>3326</v>
      </c>
      <c r="D2159" s="106" t="s">
        <v>125</v>
      </c>
      <c r="E2159" s="107"/>
      <c r="F2159" s="108" t="s">
        <v>17810</v>
      </c>
      <c r="G2159" s="118">
        <v>3</v>
      </c>
      <c r="H2159" s="108" t="s">
        <v>17811</v>
      </c>
      <c r="I2159" s="117">
        <v>2</v>
      </c>
      <c r="J2159" s="111" t="s">
        <v>40</v>
      </c>
      <c r="K2159" s="108" t="s">
        <v>17812</v>
      </c>
      <c r="L2159" s="117">
        <v>2</v>
      </c>
      <c r="M2159" s="113"/>
      <c r="N2159" s="108" t="s">
        <v>17810</v>
      </c>
      <c r="O2159" s="110">
        <v>3</v>
      </c>
      <c r="P2159" s="113"/>
      <c r="Q2159" s="108" t="s">
        <v>17813</v>
      </c>
      <c r="R2159" s="110">
        <v>3</v>
      </c>
      <c r="S2159" s="113"/>
      <c r="T2159" s="108" t="s">
        <v>17814</v>
      </c>
      <c r="U2159" s="110">
        <v>3</v>
      </c>
      <c r="V2159" s="111" t="s">
        <v>40</v>
      </c>
      <c r="W2159" s="108" t="s">
        <v>17815</v>
      </c>
      <c r="X2159" s="110">
        <v>3</v>
      </c>
      <c r="Y2159" s="113"/>
      <c r="Z2159" s="108" t="s">
        <v>17816</v>
      </c>
      <c r="AA2159" s="110">
        <v>3</v>
      </c>
      <c r="AB2159" s="113"/>
      <c r="AC2159" s="105" t="s">
        <v>4862</v>
      </c>
      <c r="AD2159" s="115" t="s">
        <v>49</v>
      </c>
    </row>
    <row r="2160" spans="1:30" x14ac:dyDescent="0.2">
      <c r="A2160" s="104" t="s">
        <v>4863</v>
      </c>
      <c r="B2160" s="105" t="s">
        <v>4033</v>
      </c>
      <c r="C2160" s="105" t="s">
        <v>43</v>
      </c>
      <c r="D2160" s="106"/>
      <c r="E2160" s="107"/>
      <c r="F2160" s="108" t="s">
        <v>17817</v>
      </c>
      <c r="G2160" s="119">
        <v>1</v>
      </c>
      <c r="H2160" s="108" t="s">
        <v>17818</v>
      </c>
      <c r="I2160" s="112">
        <v>4</v>
      </c>
      <c r="J2160" s="111" t="s">
        <v>55</v>
      </c>
      <c r="K2160" s="108" t="s">
        <v>17819</v>
      </c>
      <c r="L2160" s="116">
        <v>1</v>
      </c>
      <c r="M2160" s="113"/>
      <c r="N2160" s="108" t="s">
        <v>17817</v>
      </c>
      <c r="O2160" s="116">
        <v>1</v>
      </c>
      <c r="P2160" s="113"/>
      <c r="Q2160" s="108" t="s">
        <v>17820</v>
      </c>
      <c r="R2160" s="116">
        <v>1</v>
      </c>
      <c r="S2160" s="113"/>
      <c r="T2160" s="108" t="s">
        <v>17821</v>
      </c>
      <c r="U2160" s="116">
        <v>1</v>
      </c>
      <c r="V2160" s="113"/>
      <c r="W2160" s="108" t="s">
        <v>17822</v>
      </c>
      <c r="X2160" s="116">
        <v>1</v>
      </c>
      <c r="Y2160" s="113"/>
      <c r="Z2160" s="108" t="s">
        <v>47</v>
      </c>
      <c r="AA2160" s="114"/>
      <c r="AB2160" s="113"/>
      <c r="AC2160" s="105" t="s">
        <v>4864</v>
      </c>
      <c r="AD2160" s="115" t="s">
        <v>49</v>
      </c>
    </row>
    <row r="2161" spans="1:30" x14ac:dyDescent="0.2">
      <c r="A2161" s="104" t="s">
        <v>4865</v>
      </c>
      <c r="B2161" s="105" t="s">
        <v>42</v>
      </c>
      <c r="C2161" s="105" t="s">
        <v>3841</v>
      </c>
      <c r="D2161" s="106"/>
      <c r="E2161" s="107"/>
      <c r="F2161" s="108" t="s">
        <v>704</v>
      </c>
      <c r="G2161" s="109">
        <v>4</v>
      </c>
      <c r="H2161" s="108" t="s">
        <v>4866</v>
      </c>
      <c r="I2161" s="112">
        <v>4</v>
      </c>
      <c r="J2161" s="113"/>
      <c r="K2161" s="108" t="s">
        <v>8853</v>
      </c>
      <c r="L2161" s="112">
        <v>4</v>
      </c>
      <c r="M2161" s="113"/>
      <c r="N2161" s="108" t="s">
        <v>704</v>
      </c>
      <c r="O2161" s="112">
        <v>4</v>
      </c>
      <c r="P2161" s="113"/>
      <c r="Q2161" s="108" t="s">
        <v>4867</v>
      </c>
      <c r="R2161" s="112">
        <v>4</v>
      </c>
      <c r="S2161" s="113"/>
      <c r="T2161" s="108" t="s">
        <v>4868</v>
      </c>
      <c r="U2161" s="112">
        <v>4</v>
      </c>
      <c r="V2161" s="113"/>
      <c r="W2161" s="108" t="s">
        <v>17823</v>
      </c>
      <c r="X2161" s="112">
        <v>4</v>
      </c>
      <c r="Y2161" s="113"/>
      <c r="Z2161" s="108" t="s">
        <v>4869</v>
      </c>
      <c r="AA2161" s="112">
        <v>4</v>
      </c>
      <c r="AB2161" s="111" t="s">
        <v>46</v>
      </c>
      <c r="AC2161" s="105" t="s">
        <v>4870</v>
      </c>
      <c r="AD2161" s="115" t="s">
        <v>49</v>
      </c>
    </row>
    <row r="2162" spans="1:30" x14ac:dyDescent="0.2">
      <c r="A2162" s="104" t="s">
        <v>4871</v>
      </c>
      <c r="B2162" s="105" t="s">
        <v>4033</v>
      </c>
      <c r="C2162" s="105" t="s">
        <v>355</v>
      </c>
      <c r="D2162" s="106" t="s">
        <v>94</v>
      </c>
      <c r="E2162" s="107"/>
      <c r="F2162" s="108" t="s">
        <v>4872</v>
      </c>
      <c r="G2162" s="119">
        <v>1</v>
      </c>
      <c r="H2162" s="108" t="s">
        <v>17824</v>
      </c>
      <c r="I2162" s="112">
        <v>4</v>
      </c>
      <c r="J2162" s="111" t="s">
        <v>44</v>
      </c>
      <c r="K2162" s="108" t="s">
        <v>17825</v>
      </c>
      <c r="L2162" s="117">
        <v>2</v>
      </c>
      <c r="M2162" s="111" t="s">
        <v>46</v>
      </c>
      <c r="N2162" s="108" t="s">
        <v>4872</v>
      </c>
      <c r="O2162" s="116">
        <v>1</v>
      </c>
      <c r="P2162" s="113"/>
      <c r="Q2162" s="108" t="s">
        <v>17826</v>
      </c>
      <c r="R2162" s="117">
        <v>2</v>
      </c>
      <c r="S2162" s="111" t="s">
        <v>46</v>
      </c>
      <c r="T2162" s="108" t="s">
        <v>17827</v>
      </c>
      <c r="U2162" s="116">
        <v>1</v>
      </c>
      <c r="V2162" s="113"/>
      <c r="W2162" s="108" t="s">
        <v>47</v>
      </c>
      <c r="X2162" s="114"/>
      <c r="Y2162" s="113"/>
      <c r="Z2162" s="108" t="s">
        <v>47</v>
      </c>
      <c r="AA2162" s="114"/>
      <c r="AB2162" s="113"/>
      <c r="AC2162" s="105" t="s">
        <v>4873</v>
      </c>
      <c r="AD2162" s="115" t="s">
        <v>49</v>
      </c>
    </row>
    <row r="2163" spans="1:30" x14ac:dyDescent="0.2">
      <c r="A2163" s="104" t="s">
        <v>4874</v>
      </c>
      <c r="B2163" s="105" t="s">
        <v>4033</v>
      </c>
      <c r="C2163" s="105" t="s">
        <v>4875</v>
      </c>
      <c r="D2163" s="106" t="s">
        <v>125</v>
      </c>
      <c r="E2163" s="107" t="s">
        <v>376</v>
      </c>
      <c r="F2163" s="108" t="s">
        <v>17828</v>
      </c>
      <c r="G2163" s="119">
        <v>1</v>
      </c>
      <c r="H2163" s="108" t="s">
        <v>17829</v>
      </c>
      <c r="I2163" s="112">
        <v>4</v>
      </c>
      <c r="J2163" s="111" t="s">
        <v>44</v>
      </c>
      <c r="K2163" s="108" t="s">
        <v>17830</v>
      </c>
      <c r="L2163" s="116">
        <v>1</v>
      </c>
      <c r="M2163" s="113"/>
      <c r="N2163" s="108" t="s">
        <v>17828</v>
      </c>
      <c r="O2163" s="116">
        <v>1</v>
      </c>
      <c r="P2163" s="113"/>
      <c r="Q2163" s="108" t="s">
        <v>17831</v>
      </c>
      <c r="R2163" s="117">
        <v>2</v>
      </c>
      <c r="S2163" s="111" t="s">
        <v>46</v>
      </c>
      <c r="T2163" s="108" t="s">
        <v>17726</v>
      </c>
      <c r="U2163" s="110">
        <v>3</v>
      </c>
      <c r="V2163" s="111" t="s">
        <v>46</v>
      </c>
      <c r="W2163" s="108" t="s">
        <v>17832</v>
      </c>
      <c r="X2163" s="110">
        <v>3</v>
      </c>
      <c r="Y2163" s="111" t="s">
        <v>46</v>
      </c>
      <c r="Z2163" s="108" t="s">
        <v>17833</v>
      </c>
      <c r="AA2163" s="112">
        <v>4</v>
      </c>
      <c r="AB2163" s="113"/>
      <c r="AC2163" s="105" t="s">
        <v>4876</v>
      </c>
      <c r="AD2163" s="115" t="s">
        <v>49</v>
      </c>
    </row>
    <row r="2164" spans="1:30" x14ac:dyDescent="0.2">
      <c r="A2164" s="104" t="s">
        <v>4877</v>
      </c>
      <c r="B2164" s="105" t="s">
        <v>4033</v>
      </c>
      <c r="C2164" s="105" t="s">
        <v>279</v>
      </c>
      <c r="D2164" s="106" t="s">
        <v>125</v>
      </c>
      <c r="E2164" s="107"/>
      <c r="F2164" s="108" t="s">
        <v>17834</v>
      </c>
      <c r="G2164" s="120">
        <v>2</v>
      </c>
      <c r="H2164" s="108" t="s">
        <v>17835</v>
      </c>
      <c r="I2164" s="117">
        <v>2</v>
      </c>
      <c r="J2164" s="113"/>
      <c r="K2164" s="108" t="s">
        <v>17836</v>
      </c>
      <c r="L2164" s="117">
        <v>2</v>
      </c>
      <c r="M2164" s="113"/>
      <c r="N2164" s="108" t="s">
        <v>17834</v>
      </c>
      <c r="O2164" s="117">
        <v>2</v>
      </c>
      <c r="P2164" s="113"/>
      <c r="Q2164" s="108" t="s">
        <v>17837</v>
      </c>
      <c r="R2164" s="116">
        <v>1</v>
      </c>
      <c r="S2164" s="111" t="s">
        <v>40</v>
      </c>
      <c r="T2164" s="108" t="s">
        <v>17838</v>
      </c>
      <c r="U2164" s="110">
        <v>3</v>
      </c>
      <c r="V2164" s="113"/>
      <c r="W2164" s="108" t="s">
        <v>17839</v>
      </c>
      <c r="X2164" s="110">
        <v>3</v>
      </c>
      <c r="Y2164" s="113"/>
      <c r="Z2164" s="108" t="s">
        <v>17840</v>
      </c>
      <c r="AA2164" s="110">
        <v>3</v>
      </c>
      <c r="AB2164" s="113"/>
      <c r="AC2164" s="105" t="s">
        <v>4878</v>
      </c>
      <c r="AD2164" s="115" t="s">
        <v>49</v>
      </c>
    </row>
    <row r="2165" spans="1:30" x14ac:dyDescent="0.2">
      <c r="A2165" s="104" t="s">
        <v>4879</v>
      </c>
      <c r="B2165" s="105" t="s">
        <v>4033</v>
      </c>
      <c r="C2165" s="105" t="s">
        <v>279</v>
      </c>
      <c r="D2165" s="106" t="s">
        <v>105</v>
      </c>
      <c r="E2165" s="107"/>
      <c r="F2165" s="108" t="s">
        <v>17841</v>
      </c>
      <c r="G2165" s="118">
        <v>3</v>
      </c>
      <c r="H2165" s="108" t="s">
        <v>17842</v>
      </c>
      <c r="I2165" s="117">
        <v>2</v>
      </c>
      <c r="J2165" s="111" t="s">
        <v>40</v>
      </c>
      <c r="K2165" s="108" t="s">
        <v>17843</v>
      </c>
      <c r="L2165" s="110">
        <v>3</v>
      </c>
      <c r="M2165" s="111" t="s">
        <v>46</v>
      </c>
      <c r="N2165" s="108" t="s">
        <v>17841</v>
      </c>
      <c r="O2165" s="110">
        <v>3</v>
      </c>
      <c r="P2165" s="111" t="s">
        <v>46</v>
      </c>
      <c r="Q2165" s="108" t="s">
        <v>17844</v>
      </c>
      <c r="R2165" s="117">
        <v>2</v>
      </c>
      <c r="S2165" s="113"/>
      <c r="T2165" s="108" t="s">
        <v>17845</v>
      </c>
      <c r="U2165" s="112">
        <v>4</v>
      </c>
      <c r="V2165" s="113"/>
      <c r="W2165" s="108" t="s">
        <v>17846</v>
      </c>
      <c r="X2165" s="112">
        <v>4</v>
      </c>
      <c r="Y2165" s="113"/>
      <c r="Z2165" s="108" t="s">
        <v>17847</v>
      </c>
      <c r="AA2165" s="112">
        <v>4</v>
      </c>
      <c r="AB2165" s="113"/>
      <c r="AC2165" s="105" t="s">
        <v>4880</v>
      </c>
      <c r="AD2165" s="115" t="s">
        <v>49</v>
      </c>
    </row>
    <row r="2166" spans="1:30" x14ac:dyDescent="0.2">
      <c r="A2166" s="104" t="s">
        <v>4881</v>
      </c>
      <c r="B2166" s="105" t="s">
        <v>4033</v>
      </c>
      <c r="C2166" s="105" t="s">
        <v>98</v>
      </c>
      <c r="D2166" s="106"/>
      <c r="E2166" s="107"/>
      <c r="F2166" s="108" t="s">
        <v>17848</v>
      </c>
      <c r="G2166" s="119">
        <v>1</v>
      </c>
      <c r="H2166" s="108" t="s">
        <v>17849</v>
      </c>
      <c r="I2166" s="112">
        <v>4</v>
      </c>
      <c r="J2166" s="111" t="s">
        <v>44</v>
      </c>
      <c r="K2166" s="108" t="s">
        <v>17850</v>
      </c>
      <c r="L2166" s="116">
        <v>1</v>
      </c>
      <c r="M2166" s="113"/>
      <c r="N2166" s="108" t="s">
        <v>17848</v>
      </c>
      <c r="O2166" s="116">
        <v>1</v>
      </c>
      <c r="P2166" s="113"/>
      <c r="Q2166" s="108" t="s">
        <v>17851</v>
      </c>
      <c r="R2166" s="117">
        <v>2</v>
      </c>
      <c r="S2166" s="113"/>
      <c r="T2166" s="108" t="s">
        <v>17852</v>
      </c>
      <c r="U2166" s="110">
        <v>3</v>
      </c>
      <c r="V2166" s="111" t="s">
        <v>40</v>
      </c>
      <c r="W2166" s="108" t="s">
        <v>17853</v>
      </c>
      <c r="X2166" s="110">
        <v>3</v>
      </c>
      <c r="Y2166" s="113"/>
      <c r="Z2166" s="108" t="s">
        <v>17854</v>
      </c>
      <c r="AA2166" s="112">
        <v>4</v>
      </c>
      <c r="AB2166" s="113"/>
      <c r="AC2166" s="105" t="s">
        <v>4882</v>
      </c>
      <c r="AD2166" s="115" t="s">
        <v>180</v>
      </c>
    </row>
    <row r="2167" spans="1:30" x14ac:dyDescent="0.2">
      <c r="A2167" s="104" t="s">
        <v>4883</v>
      </c>
      <c r="B2167" s="105" t="s">
        <v>4033</v>
      </c>
      <c r="C2167" s="105" t="s">
        <v>384</v>
      </c>
      <c r="D2167" s="106"/>
      <c r="E2167" s="107"/>
      <c r="F2167" s="108" t="s">
        <v>17855</v>
      </c>
      <c r="G2167" s="120">
        <v>2</v>
      </c>
      <c r="H2167" s="108" t="s">
        <v>17856</v>
      </c>
      <c r="I2167" s="117">
        <v>2</v>
      </c>
      <c r="J2167" s="111" t="s">
        <v>46</v>
      </c>
      <c r="K2167" s="108" t="s">
        <v>17857</v>
      </c>
      <c r="L2167" s="116">
        <v>1</v>
      </c>
      <c r="M2167" s="111" t="s">
        <v>40</v>
      </c>
      <c r="N2167" s="108" t="s">
        <v>17855</v>
      </c>
      <c r="O2167" s="117">
        <v>2</v>
      </c>
      <c r="P2167" s="111" t="s">
        <v>40</v>
      </c>
      <c r="Q2167" s="108" t="s">
        <v>17858</v>
      </c>
      <c r="R2167" s="110">
        <v>3</v>
      </c>
      <c r="S2167" s="113"/>
      <c r="T2167" s="108" t="s">
        <v>17859</v>
      </c>
      <c r="U2167" s="117">
        <v>2</v>
      </c>
      <c r="V2167" s="113"/>
      <c r="W2167" s="108" t="s">
        <v>17860</v>
      </c>
      <c r="X2167" s="116">
        <v>1</v>
      </c>
      <c r="Y2167" s="113"/>
      <c r="Z2167" s="108" t="s">
        <v>17861</v>
      </c>
      <c r="AA2167" s="110">
        <v>3</v>
      </c>
      <c r="AB2167" s="113"/>
      <c r="AC2167" s="105"/>
      <c r="AD2167" s="115" t="s">
        <v>180</v>
      </c>
    </row>
    <row r="2168" spans="1:30" x14ac:dyDescent="0.2">
      <c r="A2168" s="104" t="s">
        <v>4884</v>
      </c>
      <c r="B2168" s="105" t="s">
        <v>4033</v>
      </c>
      <c r="C2168" s="105" t="s">
        <v>160</v>
      </c>
      <c r="D2168" s="106"/>
      <c r="E2168" s="107"/>
      <c r="F2168" s="108" t="s">
        <v>17862</v>
      </c>
      <c r="G2168" s="118">
        <v>3</v>
      </c>
      <c r="H2168" s="108" t="s">
        <v>17863</v>
      </c>
      <c r="I2168" s="112">
        <v>4</v>
      </c>
      <c r="J2168" s="111" t="s">
        <v>46</v>
      </c>
      <c r="K2168" s="108" t="s">
        <v>17864</v>
      </c>
      <c r="L2168" s="112">
        <v>4</v>
      </c>
      <c r="M2168" s="111" t="s">
        <v>46</v>
      </c>
      <c r="N2168" s="108" t="s">
        <v>17862</v>
      </c>
      <c r="O2168" s="110">
        <v>3</v>
      </c>
      <c r="P2168" s="111" t="s">
        <v>40</v>
      </c>
      <c r="Q2168" s="108" t="s">
        <v>17865</v>
      </c>
      <c r="R2168" s="112">
        <v>4</v>
      </c>
      <c r="S2168" s="113"/>
      <c r="T2168" s="108" t="s">
        <v>17866</v>
      </c>
      <c r="U2168" s="112">
        <v>4</v>
      </c>
      <c r="V2168" s="113"/>
      <c r="W2168" s="108" t="s">
        <v>17867</v>
      </c>
      <c r="X2168" s="112">
        <v>4</v>
      </c>
      <c r="Y2168" s="113"/>
      <c r="Z2168" s="108" t="s">
        <v>17868</v>
      </c>
      <c r="AA2168" s="110">
        <v>3</v>
      </c>
      <c r="AB2168" s="113"/>
      <c r="AC2168" s="105" t="s">
        <v>4885</v>
      </c>
      <c r="AD2168" s="115" t="s">
        <v>180</v>
      </c>
    </row>
    <row r="2169" spans="1:30" x14ac:dyDescent="0.2">
      <c r="A2169" s="104" t="s">
        <v>4886</v>
      </c>
      <c r="B2169" s="105" t="s">
        <v>4033</v>
      </c>
      <c r="C2169" s="105" t="s">
        <v>98</v>
      </c>
      <c r="D2169" s="106"/>
      <c r="E2169" s="107"/>
      <c r="F2169" s="108" t="s">
        <v>17869</v>
      </c>
      <c r="G2169" s="118">
        <v>3</v>
      </c>
      <c r="H2169" s="108" t="s">
        <v>17870</v>
      </c>
      <c r="I2169" s="117">
        <v>2</v>
      </c>
      <c r="J2169" s="111" t="s">
        <v>40</v>
      </c>
      <c r="K2169" s="108" t="s">
        <v>17871</v>
      </c>
      <c r="L2169" s="117">
        <v>2</v>
      </c>
      <c r="M2169" s="111" t="s">
        <v>40</v>
      </c>
      <c r="N2169" s="108" t="s">
        <v>17869</v>
      </c>
      <c r="O2169" s="110">
        <v>3</v>
      </c>
      <c r="P2169" s="111" t="s">
        <v>40</v>
      </c>
      <c r="Q2169" s="108" t="s">
        <v>17872</v>
      </c>
      <c r="R2169" s="112">
        <v>4</v>
      </c>
      <c r="S2169" s="113"/>
      <c r="T2169" s="108" t="s">
        <v>17873</v>
      </c>
      <c r="U2169" s="112">
        <v>4</v>
      </c>
      <c r="V2169" s="113"/>
      <c r="W2169" s="108" t="s">
        <v>17874</v>
      </c>
      <c r="X2169" s="112">
        <v>4</v>
      </c>
      <c r="Y2169" s="113"/>
      <c r="Z2169" s="108" t="s">
        <v>17875</v>
      </c>
      <c r="AA2169" s="110">
        <v>3</v>
      </c>
      <c r="AB2169" s="113"/>
      <c r="AC2169" s="105" t="s">
        <v>4887</v>
      </c>
      <c r="AD2169" s="115" t="s">
        <v>180</v>
      </c>
    </row>
    <row r="2170" spans="1:30" x14ac:dyDescent="0.2">
      <c r="A2170" s="104" t="s">
        <v>4888</v>
      </c>
      <c r="B2170" s="105" t="s">
        <v>4033</v>
      </c>
      <c r="C2170" s="105" t="s">
        <v>98</v>
      </c>
      <c r="D2170" s="106"/>
      <c r="E2170" s="107"/>
      <c r="F2170" s="108" t="s">
        <v>17876</v>
      </c>
      <c r="G2170" s="119">
        <v>1</v>
      </c>
      <c r="H2170" s="108" t="s">
        <v>17877</v>
      </c>
      <c r="I2170" s="117">
        <v>2</v>
      </c>
      <c r="J2170" s="111" t="s">
        <v>46</v>
      </c>
      <c r="K2170" s="108" t="s">
        <v>4889</v>
      </c>
      <c r="L2170" s="116">
        <v>1</v>
      </c>
      <c r="M2170" s="113"/>
      <c r="N2170" s="108" t="s">
        <v>17876</v>
      </c>
      <c r="O2170" s="116">
        <v>1</v>
      </c>
      <c r="P2170" s="113"/>
      <c r="Q2170" s="108" t="s">
        <v>17878</v>
      </c>
      <c r="R2170" s="116">
        <v>1</v>
      </c>
      <c r="S2170" s="111" t="s">
        <v>53</v>
      </c>
      <c r="T2170" s="108" t="s">
        <v>17879</v>
      </c>
      <c r="U2170" s="110">
        <v>3</v>
      </c>
      <c r="V2170" s="113"/>
      <c r="W2170" s="108" t="s">
        <v>17880</v>
      </c>
      <c r="X2170" s="110">
        <v>3</v>
      </c>
      <c r="Y2170" s="113"/>
      <c r="Z2170" s="108" t="s">
        <v>17881</v>
      </c>
      <c r="AA2170" s="110">
        <v>3</v>
      </c>
      <c r="AB2170" s="113"/>
      <c r="AC2170" s="105"/>
      <c r="AD2170" s="115" t="s">
        <v>180</v>
      </c>
    </row>
    <row r="2171" spans="1:30" x14ac:dyDescent="0.2">
      <c r="A2171" s="104" t="s">
        <v>4890</v>
      </c>
      <c r="B2171" s="105" t="s">
        <v>4033</v>
      </c>
      <c r="C2171" s="105" t="s">
        <v>439</v>
      </c>
      <c r="D2171" s="106"/>
      <c r="E2171" s="107"/>
      <c r="F2171" s="108" t="s">
        <v>17882</v>
      </c>
      <c r="G2171" s="120">
        <v>2</v>
      </c>
      <c r="H2171" s="108" t="s">
        <v>17883</v>
      </c>
      <c r="I2171" s="116">
        <v>1</v>
      </c>
      <c r="J2171" s="111" t="s">
        <v>40</v>
      </c>
      <c r="K2171" s="108" t="s">
        <v>17884</v>
      </c>
      <c r="L2171" s="117">
        <v>2</v>
      </c>
      <c r="M2171" s="113"/>
      <c r="N2171" s="108" t="s">
        <v>17882</v>
      </c>
      <c r="O2171" s="117">
        <v>2</v>
      </c>
      <c r="P2171" s="111" t="s">
        <v>40</v>
      </c>
      <c r="Q2171" s="108" t="s">
        <v>17885</v>
      </c>
      <c r="R2171" s="112">
        <v>4</v>
      </c>
      <c r="S2171" s="113"/>
      <c r="T2171" s="108" t="s">
        <v>17886</v>
      </c>
      <c r="U2171" s="112">
        <v>4</v>
      </c>
      <c r="V2171" s="113"/>
      <c r="W2171" s="108" t="s">
        <v>17887</v>
      </c>
      <c r="X2171" s="110">
        <v>3</v>
      </c>
      <c r="Y2171" s="113"/>
      <c r="Z2171" s="108" t="s">
        <v>17888</v>
      </c>
      <c r="AA2171" s="112">
        <v>4</v>
      </c>
      <c r="AB2171" s="113"/>
      <c r="AC2171" s="105" t="s">
        <v>4891</v>
      </c>
      <c r="AD2171" s="115" t="s">
        <v>180</v>
      </c>
    </row>
    <row r="2172" spans="1:30" x14ac:dyDescent="0.2">
      <c r="A2172" s="104" t="s">
        <v>4892</v>
      </c>
      <c r="B2172" s="105" t="s">
        <v>4033</v>
      </c>
      <c r="C2172" s="105" t="s">
        <v>582</v>
      </c>
      <c r="D2172" s="106" t="s">
        <v>105</v>
      </c>
      <c r="E2172" s="107" t="s">
        <v>376</v>
      </c>
      <c r="F2172" s="108" t="s">
        <v>17889</v>
      </c>
      <c r="G2172" s="118">
        <v>3</v>
      </c>
      <c r="H2172" s="108" t="s">
        <v>17890</v>
      </c>
      <c r="I2172" s="116">
        <v>1</v>
      </c>
      <c r="J2172" s="111" t="s">
        <v>157</v>
      </c>
      <c r="K2172" s="108" t="s">
        <v>17891</v>
      </c>
      <c r="L2172" s="110">
        <v>3</v>
      </c>
      <c r="M2172" s="111" t="s">
        <v>40</v>
      </c>
      <c r="N2172" s="108" t="s">
        <v>17889</v>
      </c>
      <c r="O2172" s="110">
        <v>3</v>
      </c>
      <c r="P2172" s="111" t="s">
        <v>40</v>
      </c>
      <c r="Q2172" s="108" t="s">
        <v>17892</v>
      </c>
      <c r="R2172" s="110">
        <v>3</v>
      </c>
      <c r="S2172" s="111" t="s">
        <v>40</v>
      </c>
      <c r="T2172" s="108" t="s">
        <v>17893</v>
      </c>
      <c r="U2172" s="112">
        <v>4</v>
      </c>
      <c r="V2172" s="113"/>
      <c r="W2172" s="108" t="s">
        <v>17894</v>
      </c>
      <c r="X2172" s="112">
        <v>4</v>
      </c>
      <c r="Y2172" s="113"/>
      <c r="Z2172" s="108" t="s">
        <v>17895</v>
      </c>
      <c r="AA2172" s="112">
        <v>4</v>
      </c>
      <c r="AB2172" s="113"/>
      <c r="AC2172" s="105" t="s">
        <v>4893</v>
      </c>
      <c r="AD2172" s="115" t="s">
        <v>49</v>
      </c>
    </row>
    <row r="2173" spans="1:30" x14ac:dyDescent="0.2">
      <c r="A2173" s="104" t="s">
        <v>4894</v>
      </c>
      <c r="B2173" s="105" t="s">
        <v>4033</v>
      </c>
      <c r="C2173" s="105" t="s">
        <v>4895</v>
      </c>
      <c r="D2173" s="106" t="s">
        <v>94</v>
      </c>
      <c r="E2173" s="107" t="s">
        <v>376</v>
      </c>
      <c r="F2173" s="108" t="s">
        <v>4896</v>
      </c>
      <c r="G2173" s="119">
        <v>1</v>
      </c>
      <c r="H2173" s="108" t="s">
        <v>17896</v>
      </c>
      <c r="I2173" s="110">
        <v>3</v>
      </c>
      <c r="J2173" s="111" t="s">
        <v>55</v>
      </c>
      <c r="K2173" s="108" t="s">
        <v>17897</v>
      </c>
      <c r="L2173" s="116">
        <v>1</v>
      </c>
      <c r="M2173" s="113"/>
      <c r="N2173" s="108" t="s">
        <v>4896</v>
      </c>
      <c r="O2173" s="116">
        <v>1</v>
      </c>
      <c r="P2173" s="113"/>
      <c r="Q2173" s="108" t="s">
        <v>4896</v>
      </c>
      <c r="R2173" s="116">
        <v>1</v>
      </c>
      <c r="S2173" s="113"/>
      <c r="T2173" s="108" t="s">
        <v>4897</v>
      </c>
      <c r="U2173" s="116">
        <v>1</v>
      </c>
      <c r="V2173" s="113"/>
      <c r="W2173" s="108" t="s">
        <v>17898</v>
      </c>
      <c r="X2173" s="116">
        <v>1</v>
      </c>
      <c r="Y2173" s="113"/>
      <c r="Z2173" s="108" t="s">
        <v>4898</v>
      </c>
      <c r="AA2173" s="116">
        <v>1</v>
      </c>
      <c r="AB2173" s="111" t="s">
        <v>53</v>
      </c>
      <c r="AC2173" s="105" t="s">
        <v>4899</v>
      </c>
      <c r="AD2173" s="115" t="s">
        <v>49</v>
      </c>
    </row>
    <row r="2174" spans="1:30" x14ac:dyDescent="0.2">
      <c r="A2174" s="104" t="s">
        <v>4900</v>
      </c>
      <c r="B2174" s="105" t="s">
        <v>4033</v>
      </c>
      <c r="C2174" s="105" t="s">
        <v>160</v>
      </c>
      <c r="D2174" s="106"/>
      <c r="E2174" s="107"/>
      <c r="F2174" s="108" t="s">
        <v>17899</v>
      </c>
      <c r="G2174" s="118">
        <v>3</v>
      </c>
      <c r="H2174" s="108" t="s">
        <v>17900</v>
      </c>
      <c r="I2174" s="117">
        <v>2</v>
      </c>
      <c r="J2174" s="111" t="s">
        <v>40</v>
      </c>
      <c r="K2174" s="108" t="s">
        <v>17901</v>
      </c>
      <c r="L2174" s="110">
        <v>3</v>
      </c>
      <c r="M2174" s="113"/>
      <c r="N2174" s="108" t="s">
        <v>17899</v>
      </c>
      <c r="O2174" s="110">
        <v>3</v>
      </c>
      <c r="P2174" s="113"/>
      <c r="Q2174" s="108" t="s">
        <v>17902</v>
      </c>
      <c r="R2174" s="110">
        <v>3</v>
      </c>
      <c r="S2174" s="113"/>
      <c r="T2174" s="108" t="s">
        <v>17903</v>
      </c>
      <c r="U2174" s="110">
        <v>3</v>
      </c>
      <c r="V2174" s="113"/>
      <c r="W2174" s="108" t="s">
        <v>47</v>
      </c>
      <c r="X2174" s="114"/>
      <c r="Y2174" s="113"/>
      <c r="Z2174" s="108" t="s">
        <v>47</v>
      </c>
      <c r="AA2174" s="114"/>
      <c r="AB2174" s="113"/>
      <c r="AC2174" s="105" t="s">
        <v>4901</v>
      </c>
      <c r="AD2174" s="115" t="s">
        <v>49</v>
      </c>
    </row>
    <row r="2175" spans="1:30" x14ac:dyDescent="0.2">
      <c r="A2175" s="104" t="s">
        <v>4902</v>
      </c>
      <c r="B2175" s="105" t="s">
        <v>4033</v>
      </c>
      <c r="C2175" s="105" t="s">
        <v>160</v>
      </c>
      <c r="D2175" s="106"/>
      <c r="E2175" s="107"/>
      <c r="F2175" s="108" t="s">
        <v>4903</v>
      </c>
      <c r="G2175" s="118">
        <v>3</v>
      </c>
      <c r="H2175" s="108" t="s">
        <v>17904</v>
      </c>
      <c r="I2175" s="117">
        <v>2</v>
      </c>
      <c r="J2175" s="111" t="s">
        <v>40</v>
      </c>
      <c r="K2175" s="108" t="s">
        <v>17905</v>
      </c>
      <c r="L2175" s="110">
        <v>3</v>
      </c>
      <c r="M2175" s="113"/>
      <c r="N2175" s="108" t="s">
        <v>4903</v>
      </c>
      <c r="O2175" s="110">
        <v>3</v>
      </c>
      <c r="P2175" s="113"/>
      <c r="Q2175" s="108" t="s">
        <v>17906</v>
      </c>
      <c r="R2175" s="110">
        <v>3</v>
      </c>
      <c r="S2175" s="113"/>
      <c r="T2175" s="108" t="s">
        <v>17907</v>
      </c>
      <c r="U2175" s="110">
        <v>3</v>
      </c>
      <c r="V2175" s="113"/>
      <c r="W2175" s="108" t="s">
        <v>47</v>
      </c>
      <c r="X2175" s="114"/>
      <c r="Y2175" s="113"/>
      <c r="Z2175" s="108" t="s">
        <v>47</v>
      </c>
      <c r="AA2175" s="114"/>
      <c r="AB2175" s="113"/>
      <c r="AC2175" s="105" t="s">
        <v>4904</v>
      </c>
      <c r="AD2175" s="115" t="s">
        <v>49</v>
      </c>
    </row>
    <row r="2176" spans="1:30" x14ac:dyDescent="0.2">
      <c r="A2176" s="104" t="s">
        <v>4905</v>
      </c>
      <c r="B2176" s="105" t="s">
        <v>4033</v>
      </c>
      <c r="C2176" s="105" t="s">
        <v>160</v>
      </c>
      <c r="D2176" s="106"/>
      <c r="E2176" s="107"/>
      <c r="F2176" s="108" t="s">
        <v>17908</v>
      </c>
      <c r="G2176" s="118">
        <v>3</v>
      </c>
      <c r="H2176" s="108" t="s">
        <v>17909</v>
      </c>
      <c r="I2176" s="117">
        <v>2</v>
      </c>
      <c r="J2176" s="111" t="s">
        <v>40</v>
      </c>
      <c r="K2176" s="108" t="s">
        <v>17910</v>
      </c>
      <c r="L2176" s="110">
        <v>3</v>
      </c>
      <c r="M2176" s="113"/>
      <c r="N2176" s="108" t="s">
        <v>17908</v>
      </c>
      <c r="O2176" s="110">
        <v>3</v>
      </c>
      <c r="P2176" s="113"/>
      <c r="Q2176" s="108" t="s">
        <v>17911</v>
      </c>
      <c r="R2176" s="110">
        <v>3</v>
      </c>
      <c r="S2176" s="113"/>
      <c r="T2176" s="108" t="s">
        <v>17912</v>
      </c>
      <c r="U2176" s="110">
        <v>3</v>
      </c>
      <c r="V2176" s="113"/>
      <c r="W2176" s="108" t="s">
        <v>47</v>
      </c>
      <c r="X2176" s="114"/>
      <c r="Y2176" s="113"/>
      <c r="Z2176" s="108" t="s">
        <v>47</v>
      </c>
      <c r="AA2176" s="114"/>
      <c r="AB2176" s="113"/>
      <c r="AC2176" s="105" t="s">
        <v>4906</v>
      </c>
      <c r="AD2176" s="115" t="s">
        <v>49</v>
      </c>
    </row>
    <row r="2177" spans="1:30" x14ac:dyDescent="0.2">
      <c r="A2177" s="104" t="s">
        <v>4907</v>
      </c>
      <c r="B2177" s="105" t="s">
        <v>4033</v>
      </c>
      <c r="C2177" s="105" t="s">
        <v>4235</v>
      </c>
      <c r="D2177" s="106" t="s">
        <v>125</v>
      </c>
      <c r="E2177" s="107" t="s">
        <v>182</v>
      </c>
      <c r="F2177" s="108" t="s">
        <v>17913</v>
      </c>
      <c r="G2177" s="120">
        <v>2</v>
      </c>
      <c r="H2177" s="108" t="s">
        <v>17914</v>
      </c>
      <c r="I2177" s="112">
        <v>4</v>
      </c>
      <c r="J2177" s="111" t="s">
        <v>46</v>
      </c>
      <c r="K2177" s="108" t="s">
        <v>17915</v>
      </c>
      <c r="L2177" s="117">
        <v>2</v>
      </c>
      <c r="M2177" s="111" t="s">
        <v>46</v>
      </c>
      <c r="N2177" s="108" t="s">
        <v>17913</v>
      </c>
      <c r="O2177" s="117">
        <v>2</v>
      </c>
      <c r="P2177" s="113"/>
      <c r="Q2177" s="108" t="s">
        <v>4908</v>
      </c>
      <c r="R2177" s="110">
        <v>3</v>
      </c>
      <c r="S2177" s="113"/>
      <c r="T2177" s="108" t="s">
        <v>17916</v>
      </c>
      <c r="U2177" s="117">
        <v>2</v>
      </c>
      <c r="V2177" s="113"/>
      <c r="W2177" s="108" t="s">
        <v>17917</v>
      </c>
      <c r="X2177" s="117">
        <v>2</v>
      </c>
      <c r="Y2177" s="113"/>
      <c r="Z2177" s="108" t="s">
        <v>4909</v>
      </c>
      <c r="AA2177" s="117">
        <v>2</v>
      </c>
      <c r="AB2177" s="113"/>
      <c r="AC2177" s="105" t="s">
        <v>4910</v>
      </c>
      <c r="AD2177" s="115" t="s">
        <v>49</v>
      </c>
    </row>
    <row r="2178" spans="1:30" x14ac:dyDescent="0.2">
      <c r="A2178" s="104" t="s">
        <v>4911</v>
      </c>
      <c r="B2178" s="105" t="s">
        <v>111</v>
      </c>
      <c r="C2178" s="105" t="s">
        <v>112</v>
      </c>
      <c r="D2178" s="106"/>
      <c r="E2178" s="107"/>
      <c r="F2178" s="108" t="s">
        <v>17918</v>
      </c>
      <c r="G2178" s="120">
        <v>2</v>
      </c>
      <c r="H2178" s="108" t="s">
        <v>17919</v>
      </c>
      <c r="I2178" s="110">
        <v>3</v>
      </c>
      <c r="J2178" s="113"/>
      <c r="K2178" s="108" t="s">
        <v>17920</v>
      </c>
      <c r="L2178" s="110">
        <v>3</v>
      </c>
      <c r="M2178" s="111" t="s">
        <v>46</v>
      </c>
      <c r="N2178" s="108" t="s">
        <v>17918</v>
      </c>
      <c r="O2178" s="117">
        <v>2</v>
      </c>
      <c r="P2178" s="113"/>
      <c r="Q2178" s="108" t="s">
        <v>17921</v>
      </c>
      <c r="R2178" s="110">
        <v>3</v>
      </c>
      <c r="S2178" s="113"/>
      <c r="T2178" s="108" t="s">
        <v>17922</v>
      </c>
      <c r="U2178" s="112">
        <v>4</v>
      </c>
      <c r="V2178" s="113"/>
      <c r="W2178" s="108" t="s">
        <v>17923</v>
      </c>
      <c r="X2178" s="112">
        <v>4</v>
      </c>
      <c r="Y2178" s="113"/>
      <c r="Z2178" s="108" t="s">
        <v>17924</v>
      </c>
      <c r="AA2178" s="112">
        <v>4</v>
      </c>
      <c r="AB2178" s="113"/>
      <c r="AC2178" s="105" t="s">
        <v>4912</v>
      </c>
      <c r="AD2178" s="115" t="s">
        <v>114</v>
      </c>
    </row>
    <row r="2179" spans="1:30" x14ac:dyDescent="0.2">
      <c r="A2179" s="104" t="s">
        <v>4913</v>
      </c>
      <c r="B2179" s="105" t="s">
        <v>97</v>
      </c>
      <c r="C2179" s="105" t="s">
        <v>4914</v>
      </c>
      <c r="D2179" s="106" t="s">
        <v>105</v>
      </c>
      <c r="E2179" s="107"/>
      <c r="F2179" s="108" t="s">
        <v>4915</v>
      </c>
      <c r="G2179" s="109">
        <v>4</v>
      </c>
      <c r="H2179" s="108" t="s">
        <v>10454</v>
      </c>
      <c r="I2179" s="116">
        <v>1</v>
      </c>
      <c r="J2179" s="111" t="s">
        <v>157</v>
      </c>
      <c r="K2179" s="108" t="s">
        <v>2115</v>
      </c>
      <c r="L2179" s="110">
        <v>3</v>
      </c>
      <c r="M2179" s="111" t="s">
        <v>40</v>
      </c>
      <c r="N2179" s="108" t="s">
        <v>4915</v>
      </c>
      <c r="O2179" s="112">
        <v>4</v>
      </c>
      <c r="P2179" s="113"/>
      <c r="Q2179" s="108" t="s">
        <v>4916</v>
      </c>
      <c r="R2179" s="110">
        <v>3</v>
      </c>
      <c r="S2179" s="111" t="s">
        <v>40</v>
      </c>
      <c r="T2179" s="108" t="s">
        <v>4917</v>
      </c>
      <c r="U2179" s="112">
        <v>4</v>
      </c>
      <c r="V2179" s="113"/>
      <c r="W2179" s="108" t="s">
        <v>17925</v>
      </c>
      <c r="X2179" s="112">
        <v>4</v>
      </c>
      <c r="Y2179" s="113"/>
      <c r="Z2179" s="108" t="s">
        <v>4918</v>
      </c>
      <c r="AA2179" s="112">
        <v>4</v>
      </c>
      <c r="AB2179" s="113"/>
      <c r="AC2179" s="105" t="s">
        <v>4919</v>
      </c>
      <c r="AD2179" s="115" t="s">
        <v>101</v>
      </c>
    </row>
    <row r="2180" spans="1:30" x14ac:dyDescent="0.2">
      <c r="A2180" s="104" t="s">
        <v>4920</v>
      </c>
      <c r="B2180" s="105" t="s">
        <v>97</v>
      </c>
      <c r="C2180" s="105" t="s">
        <v>4914</v>
      </c>
      <c r="D2180" s="106" t="s">
        <v>105</v>
      </c>
      <c r="E2180" s="107"/>
      <c r="F2180" s="108" t="s">
        <v>4921</v>
      </c>
      <c r="G2180" s="109">
        <v>4</v>
      </c>
      <c r="H2180" s="108" t="s">
        <v>10447</v>
      </c>
      <c r="I2180" s="116">
        <v>1</v>
      </c>
      <c r="J2180" s="111" t="s">
        <v>157</v>
      </c>
      <c r="K2180" s="108" t="s">
        <v>4922</v>
      </c>
      <c r="L2180" s="110">
        <v>3</v>
      </c>
      <c r="M2180" s="111" t="s">
        <v>40</v>
      </c>
      <c r="N2180" s="108" t="s">
        <v>4921</v>
      </c>
      <c r="O2180" s="112">
        <v>4</v>
      </c>
      <c r="P2180" s="113"/>
      <c r="Q2180" s="108" t="s">
        <v>2091</v>
      </c>
      <c r="R2180" s="110">
        <v>3</v>
      </c>
      <c r="S2180" s="111" t="s">
        <v>40</v>
      </c>
      <c r="T2180" s="108" t="s">
        <v>17926</v>
      </c>
      <c r="U2180" s="110">
        <v>3</v>
      </c>
      <c r="V2180" s="111" t="s">
        <v>40</v>
      </c>
      <c r="W2180" s="108" t="s">
        <v>17927</v>
      </c>
      <c r="X2180" s="112">
        <v>4</v>
      </c>
      <c r="Y2180" s="113"/>
      <c r="Z2180" s="108" t="s">
        <v>4923</v>
      </c>
      <c r="AA2180" s="112">
        <v>4</v>
      </c>
      <c r="AB2180" s="113"/>
      <c r="AC2180" s="105" t="s">
        <v>4924</v>
      </c>
      <c r="AD2180" s="115" t="s">
        <v>101</v>
      </c>
    </row>
    <row r="2181" spans="1:30" x14ac:dyDescent="0.2">
      <c r="A2181" s="104" t="s">
        <v>4925</v>
      </c>
      <c r="B2181" s="105" t="s">
        <v>42</v>
      </c>
      <c r="C2181" s="105" t="s">
        <v>43</v>
      </c>
      <c r="D2181" s="106"/>
      <c r="E2181" s="107"/>
      <c r="F2181" s="108" t="s">
        <v>17928</v>
      </c>
      <c r="G2181" s="118">
        <v>3</v>
      </c>
      <c r="H2181" s="108" t="s">
        <v>17929</v>
      </c>
      <c r="I2181" s="110">
        <v>3</v>
      </c>
      <c r="J2181" s="111" t="s">
        <v>46</v>
      </c>
      <c r="K2181" s="108" t="s">
        <v>17930</v>
      </c>
      <c r="L2181" s="112">
        <v>4</v>
      </c>
      <c r="M2181" s="111" t="s">
        <v>55</v>
      </c>
      <c r="N2181" s="108" t="s">
        <v>17928</v>
      </c>
      <c r="O2181" s="110">
        <v>3</v>
      </c>
      <c r="P2181" s="111" t="s">
        <v>46</v>
      </c>
      <c r="Q2181" s="108" t="s">
        <v>17931</v>
      </c>
      <c r="R2181" s="117">
        <v>2</v>
      </c>
      <c r="S2181" s="111" t="s">
        <v>40</v>
      </c>
      <c r="T2181" s="108" t="s">
        <v>17932</v>
      </c>
      <c r="U2181" s="112">
        <v>4</v>
      </c>
      <c r="V2181" s="113"/>
      <c r="W2181" s="108" t="s">
        <v>17933</v>
      </c>
      <c r="X2181" s="112">
        <v>4</v>
      </c>
      <c r="Y2181" s="113"/>
      <c r="Z2181" s="108" t="s">
        <v>47</v>
      </c>
      <c r="AA2181" s="114"/>
      <c r="AB2181" s="113"/>
      <c r="AC2181" s="105" t="s">
        <v>4926</v>
      </c>
      <c r="AD2181" s="115" t="s">
        <v>49</v>
      </c>
    </row>
    <row r="2182" spans="1:30" x14ac:dyDescent="0.2">
      <c r="A2182" s="104" t="s">
        <v>4927</v>
      </c>
      <c r="B2182" s="105" t="s">
        <v>42</v>
      </c>
      <c r="C2182" s="105" t="s">
        <v>43</v>
      </c>
      <c r="D2182" s="106"/>
      <c r="E2182" s="107"/>
      <c r="F2182" s="108" t="s">
        <v>17934</v>
      </c>
      <c r="G2182" s="120">
        <v>2</v>
      </c>
      <c r="H2182" s="108" t="s">
        <v>17935</v>
      </c>
      <c r="I2182" s="112">
        <v>4</v>
      </c>
      <c r="J2182" s="111" t="s">
        <v>55</v>
      </c>
      <c r="K2182" s="108" t="s">
        <v>17936</v>
      </c>
      <c r="L2182" s="112">
        <v>4</v>
      </c>
      <c r="M2182" s="111" t="s">
        <v>44</v>
      </c>
      <c r="N2182" s="108" t="s">
        <v>17934</v>
      </c>
      <c r="O2182" s="117">
        <v>2</v>
      </c>
      <c r="P2182" s="111" t="s">
        <v>46</v>
      </c>
      <c r="Q2182" s="108" t="s">
        <v>17937</v>
      </c>
      <c r="R2182" s="116">
        <v>1</v>
      </c>
      <c r="S2182" s="111" t="s">
        <v>40</v>
      </c>
      <c r="T2182" s="108" t="s">
        <v>17938</v>
      </c>
      <c r="U2182" s="112">
        <v>4</v>
      </c>
      <c r="V2182" s="113"/>
      <c r="W2182" s="108" t="s">
        <v>17939</v>
      </c>
      <c r="X2182" s="110">
        <v>3</v>
      </c>
      <c r="Y2182" s="113"/>
      <c r="Z2182" s="108" t="s">
        <v>47</v>
      </c>
      <c r="AA2182" s="114"/>
      <c r="AB2182" s="113"/>
      <c r="AC2182" s="105" t="s">
        <v>4928</v>
      </c>
      <c r="AD2182" s="115" t="s">
        <v>49</v>
      </c>
    </row>
    <row r="2183" spans="1:30" x14ac:dyDescent="0.2">
      <c r="A2183" s="104" t="s">
        <v>4929</v>
      </c>
      <c r="B2183" s="105" t="s">
        <v>42</v>
      </c>
      <c r="C2183" s="105" t="s">
        <v>43</v>
      </c>
      <c r="D2183" s="106"/>
      <c r="E2183" s="107"/>
      <c r="F2183" s="108" t="s">
        <v>17940</v>
      </c>
      <c r="G2183" s="120">
        <v>2</v>
      </c>
      <c r="H2183" s="108" t="s">
        <v>17941</v>
      </c>
      <c r="I2183" s="112">
        <v>4</v>
      </c>
      <c r="J2183" s="111" t="s">
        <v>55</v>
      </c>
      <c r="K2183" s="108" t="s">
        <v>17942</v>
      </c>
      <c r="L2183" s="112">
        <v>4</v>
      </c>
      <c r="M2183" s="111" t="s">
        <v>44</v>
      </c>
      <c r="N2183" s="108" t="s">
        <v>17940</v>
      </c>
      <c r="O2183" s="117">
        <v>2</v>
      </c>
      <c r="P2183" s="111" t="s">
        <v>46</v>
      </c>
      <c r="Q2183" s="108" t="s">
        <v>17943</v>
      </c>
      <c r="R2183" s="117">
        <v>2</v>
      </c>
      <c r="S2183" s="113"/>
      <c r="T2183" s="108" t="s">
        <v>17944</v>
      </c>
      <c r="U2183" s="112">
        <v>4</v>
      </c>
      <c r="V2183" s="113"/>
      <c r="W2183" s="108" t="s">
        <v>17945</v>
      </c>
      <c r="X2183" s="110">
        <v>3</v>
      </c>
      <c r="Y2183" s="111" t="s">
        <v>46</v>
      </c>
      <c r="Z2183" s="108" t="s">
        <v>47</v>
      </c>
      <c r="AA2183" s="114"/>
      <c r="AB2183" s="113"/>
      <c r="AC2183" s="105" t="s">
        <v>4930</v>
      </c>
      <c r="AD2183" s="115" t="s">
        <v>49</v>
      </c>
    </row>
    <row r="2184" spans="1:30" x14ac:dyDescent="0.2">
      <c r="A2184" s="104" t="s">
        <v>4931</v>
      </c>
      <c r="B2184" s="105" t="s">
        <v>42</v>
      </c>
      <c r="C2184" s="105" t="s">
        <v>43</v>
      </c>
      <c r="D2184" s="106"/>
      <c r="E2184" s="107"/>
      <c r="F2184" s="108" t="s">
        <v>17946</v>
      </c>
      <c r="G2184" s="118">
        <v>3</v>
      </c>
      <c r="H2184" s="108" t="s">
        <v>17947</v>
      </c>
      <c r="I2184" s="112">
        <v>4</v>
      </c>
      <c r="J2184" s="111" t="s">
        <v>55</v>
      </c>
      <c r="K2184" s="108" t="s">
        <v>17948</v>
      </c>
      <c r="L2184" s="112">
        <v>4</v>
      </c>
      <c r="M2184" s="111" t="s">
        <v>55</v>
      </c>
      <c r="N2184" s="108" t="s">
        <v>17946</v>
      </c>
      <c r="O2184" s="110">
        <v>3</v>
      </c>
      <c r="P2184" s="111" t="s">
        <v>46</v>
      </c>
      <c r="Q2184" s="108" t="s">
        <v>17949</v>
      </c>
      <c r="R2184" s="117">
        <v>2</v>
      </c>
      <c r="S2184" s="111" t="s">
        <v>40</v>
      </c>
      <c r="T2184" s="108" t="s">
        <v>17950</v>
      </c>
      <c r="U2184" s="112">
        <v>4</v>
      </c>
      <c r="V2184" s="113"/>
      <c r="W2184" s="108" t="s">
        <v>17951</v>
      </c>
      <c r="X2184" s="110">
        <v>3</v>
      </c>
      <c r="Y2184" s="113"/>
      <c r="Z2184" s="108" t="s">
        <v>47</v>
      </c>
      <c r="AA2184" s="114"/>
      <c r="AB2184" s="113"/>
      <c r="AC2184" s="105" t="s">
        <v>4932</v>
      </c>
      <c r="AD2184" s="115" t="s">
        <v>49</v>
      </c>
    </row>
    <row r="2185" spans="1:30" x14ac:dyDescent="0.2">
      <c r="A2185" s="104" t="s">
        <v>4933</v>
      </c>
      <c r="B2185" s="105" t="s">
        <v>42</v>
      </c>
      <c r="C2185" s="105" t="s">
        <v>3498</v>
      </c>
      <c r="D2185" s="106" t="s">
        <v>125</v>
      </c>
      <c r="E2185" s="107"/>
      <c r="F2185" s="108" t="s">
        <v>17952</v>
      </c>
      <c r="G2185" s="109">
        <v>4</v>
      </c>
      <c r="H2185" s="108" t="s">
        <v>4934</v>
      </c>
      <c r="I2185" s="112">
        <v>4</v>
      </c>
      <c r="J2185" s="113"/>
      <c r="K2185" s="108" t="s">
        <v>17953</v>
      </c>
      <c r="L2185" s="112">
        <v>4</v>
      </c>
      <c r="M2185" s="113"/>
      <c r="N2185" s="108" t="s">
        <v>17952</v>
      </c>
      <c r="O2185" s="112">
        <v>4</v>
      </c>
      <c r="P2185" s="111" t="s">
        <v>46</v>
      </c>
      <c r="Q2185" s="108" t="s">
        <v>17954</v>
      </c>
      <c r="R2185" s="112">
        <v>4</v>
      </c>
      <c r="S2185" s="113"/>
      <c r="T2185" s="108" t="s">
        <v>4935</v>
      </c>
      <c r="U2185" s="117">
        <v>2</v>
      </c>
      <c r="V2185" s="113"/>
      <c r="W2185" s="108" t="s">
        <v>17955</v>
      </c>
      <c r="X2185" s="110">
        <v>3</v>
      </c>
      <c r="Y2185" s="113"/>
      <c r="Z2185" s="108" t="s">
        <v>47</v>
      </c>
      <c r="AA2185" s="114"/>
      <c r="AB2185" s="113"/>
      <c r="AC2185" s="105" t="s">
        <v>4936</v>
      </c>
      <c r="AD2185" s="115" t="s">
        <v>49</v>
      </c>
    </row>
    <row r="2186" spans="1:30" x14ac:dyDescent="0.2">
      <c r="A2186" s="104" t="s">
        <v>4937</v>
      </c>
      <c r="B2186" s="105" t="s">
        <v>42</v>
      </c>
      <c r="C2186" s="105" t="s">
        <v>3498</v>
      </c>
      <c r="D2186" s="106" t="s">
        <v>125</v>
      </c>
      <c r="E2186" s="107"/>
      <c r="F2186" s="108" t="s">
        <v>17956</v>
      </c>
      <c r="G2186" s="109">
        <v>4</v>
      </c>
      <c r="H2186" s="108" t="s">
        <v>4938</v>
      </c>
      <c r="I2186" s="112">
        <v>4</v>
      </c>
      <c r="J2186" s="113"/>
      <c r="K2186" s="108" t="s">
        <v>17957</v>
      </c>
      <c r="L2186" s="112">
        <v>4</v>
      </c>
      <c r="M2186" s="113"/>
      <c r="N2186" s="108" t="s">
        <v>17956</v>
      </c>
      <c r="O2186" s="112">
        <v>4</v>
      </c>
      <c r="P2186" s="111" t="s">
        <v>46</v>
      </c>
      <c r="Q2186" s="108" t="s">
        <v>4939</v>
      </c>
      <c r="R2186" s="112">
        <v>4</v>
      </c>
      <c r="S2186" s="113"/>
      <c r="T2186" s="108" t="s">
        <v>17958</v>
      </c>
      <c r="U2186" s="117">
        <v>2</v>
      </c>
      <c r="V2186" s="113"/>
      <c r="W2186" s="108" t="s">
        <v>17959</v>
      </c>
      <c r="X2186" s="110">
        <v>3</v>
      </c>
      <c r="Y2186" s="113"/>
      <c r="Z2186" s="108" t="s">
        <v>47</v>
      </c>
      <c r="AA2186" s="114"/>
      <c r="AB2186" s="113"/>
      <c r="AC2186" s="105" t="s">
        <v>4940</v>
      </c>
      <c r="AD2186" s="115" t="s">
        <v>49</v>
      </c>
    </row>
    <row r="2187" spans="1:30" x14ac:dyDescent="0.2">
      <c r="A2187" s="104" t="s">
        <v>4941</v>
      </c>
      <c r="B2187" s="105" t="s">
        <v>4312</v>
      </c>
      <c r="C2187" s="105" t="s">
        <v>1787</v>
      </c>
      <c r="D2187" s="106"/>
      <c r="E2187" s="107"/>
      <c r="F2187" s="108" t="s">
        <v>47</v>
      </c>
      <c r="G2187" s="113"/>
      <c r="H2187" s="108" t="s">
        <v>47</v>
      </c>
      <c r="I2187" s="114"/>
      <c r="J2187" s="113"/>
      <c r="K2187" s="108" t="s">
        <v>47</v>
      </c>
      <c r="L2187" s="114"/>
      <c r="M2187" s="113"/>
      <c r="N2187" s="108" t="s">
        <v>47</v>
      </c>
      <c r="O2187" s="114"/>
      <c r="P2187" s="113"/>
      <c r="Q2187" s="108" t="s">
        <v>47</v>
      </c>
      <c r="R2187" s="114"/>
      <c r="S2187" s="113"/>
      <c r="T2187" s="108" t="s">
        <v>47</v>
      </c>
      <c r="U2187" s="114"/>
      <c r="V2187" s="113"/>
      <c r="W2187" s="108" t="s">
        <v>47</v>
      </c>
      <c r="X2187" s="114"/>
      <c r="Y2187" s="113"/>
      <c r="Z2187" s="108" t="s">
        <v>47</v>
      </c>
      <c r="AA2187" s="114"/>
      <c r="AB2187" s="113"/>
      <c r="AC2187" s="105" t="s">
        <v>4942</v>
      </c>
      <c r="AD2187" s="115" t="s">
        <v>4314</v>
      </c>
    </row>
    <row r="2188" spans="1:30" x14ac:dyDescent="0.2">
      <c r="A2188" s="104" t="s">
        <v>4943</v>
      </c>
      <c r="B2188" s="105" t="s">
        <v>4312</v>
      </c>
      <c r="C2188" s="105" t="s">
        <v>1787</v>
      </c>
      <c r="D2188" s="106"/>
      <c r="E2188" s="107"/>
      <c r="F2188" s="108" t="s">
        <v>47</v>
      </c>
      <c r="G2188" s="113"/>
      <c r="H2188" s="108" t="s">
        <v>47</v>
      </c>
      <c r="I2188" s="114"/>
      <c r="J2188" s="113"/>
      <c r="K2188" s="108" t="s">
        <v>47</v>
      </c>
      <c r="L2188" s="114"/>
      <c r="M2188" s="113"/>
      <c r="N2188" s="108" t="s">
        <v>47</v>
      </c>
      <c r="O2188" s="114"/>
      <c r="P2188" s="113"/>
      <c r="Q2188" s="108" t="s">
        <v>47</v>
      </c>
      <c r="R2188" s="114"/>
      <c r="S2188" s="113"/>
      <c r="T2188" s="108" t="s">
        <v>47</v>
      </c>
      <c r="U2188" s="114"/>
      <c r="V2188" s="113"/>
      <c r="W2188" s="108" t="s">
        <v>47</v>
      </c>
      <c r="X2188" s="114"/>
      <c r="Y2188" s="113"/>
      <c r="Z2188" s="108" t="s">
        <v>47</v>
      </c>
      <c r="AA2188" s="114"/>
      <c r="AB2188" s="113"/>
      <c r="AC2188" s="105" t="s">
        <v>4944</v>
      </c>
      <c r="AD2188" s="115" t="s">
        <v>4314</v>
      </c>
    </row>
    <row r="2189" spans="1:30" x14ac:dyDescent="0.2">
      <c r="A2189" s="104" t="s">
        <v>4945</v>
      </c>
      <c r="B2189" s="105" t="s">
        <v>4312</v>
      </c>
      <c r="C2189" s="105" t="s">
        <v>1787</v>
      </c>
      <c r="D2189" s="106"/>
      <c r="E2189" s="107"/>
      <c r="F2189" s="108" t="s">
        <v>47</v>
      </c>
      <c r="G2189" s="113"/>
      <c r="H2189" s="108" t="s">
        <v>47</v>
      </c>
      <c r="I2189" s="114"/>
      <c r="J2189" s="113"/>
      <c r="K2189" s="108" t="s">
        <v>47</v>
      </c>
      <c r="L2189" s="114"/>
      <c r="M2189" s="113"/>
      <c r="N2189" s="108" t="s">
        <v>47</v>
      </c>
      <c r="O2189" s="114"/>
      <c r="P2189" s="113"/>
      <c r="Q2189" s="108" t="s">
        <v>47</v>
      </c>
      <c r="R2189" s="114"/>
      <c r="S2189" s="113"/>
      <c r="T2189" s="108" t="s">
        <v>47</v>
      </c>
      <c r="U2189" s="114"/>
      <c r="V2189" s="113"/>
      <c r="W2189" s="108" t="s">
        <v>47</v>
      </c>
      <c r="X2189" s="114"/>
      <c r="Y2189" s="113"/>
      <c r="Z2189" s="108" t="s">
        <v>47</v>
      </c>
      <c r="AA2189" s="114"/>
      <c r="AB2189" s="113"/>
      <c r="AC2189" s="105" t="s">
        <v>4946</v>
      </c>
      <c r="AD2189" s="115" t="s">
        <v>4314</v>
      </c>
    </row>
    <row r="2190" spans="1:30" x14ac:dyDescent="0.2">
      <c r="A2190" s="104" t="s">
        <v>4947</v>
      </c>
      <c r="B2190" s="105" t="s">
        <v>4312</v>
      </c>
      <c r="C2190" s="105" t="s">
        <v>1787</v>
      </c>
      <c r="D2190" s="106"/>
      <c r="E2190" s="107"/>
      <c r="F2190" s="108" t="s">
        <v>47</v>
      </c>
      <c r="G2190" s="113"/>
      <c r="H2190" s="108" t="s">
        <v>47</v>
      </c>
      <c r="I2190" s="114"/>
      <c r="J2190" s="113"/>
      <c r="K2190" s="108" t="s">
        <v>47</v>
      </c>
      <c r="L2190" s="114"/>
      <c r="M2190" s="113"/>
      <c r="N2190" s="108" t="s">
        <v>47</v>
      </c>
      <c r="O2190" s="114"/>
      <c r="P2190" s="113"/>
      <c r="Q2190" s="108" t="s">
        <v>47</v>
      </c>
      <c r="R2190" s="114"/>
      <c r="S2190" s="113"/>
      <c r="T2190" s="108" t="s">
        <v>47</v>
      </c>
      <c r="U2190" s="114"/>
      <c r="V2190" s="113"/>
      <c r="W2190" s="108" t="s">
        <v>47</v>
      </c>
      <c r="X2190" s="114"/>
      <c r="Y2190" s="113"/>
      <c r="Z2190" s="108" t="s">
        <v>47</v>
      </c>
      <c r="AA2190" s="114"/>
      <c r="AB2190" s="113"/>
      <c r="AC2190" s="105" t="s">
        <v>4948</v>
      </c>
      <c r="AD2190" s="115" t="s">
        <v>4314</v>
      </c>
    </row>
    <row r="2191" spans="1:30" x14ac:dyDescent="0.2">
      <c r="A2191" s="104" t="s">
        <v>4949</v>
      </c>
      <c r="B2191" s="105" t="s">
        <v>42</v>
      </c>
      <c r="C2191" s="105" t="s">
        <v>1449</v>
      </c>
      <c r="D2191" s="106" t="s">
        <v>105</v>
      </c>
      <c r="E2191" s="107"/>
      <c r="F2191" s="108" t="s">
        <v>17960</v>
      </c>
      <c r="G2191" s="109">
        <v>4</v>
      </c>
      <c r="H2191" s="108" t="s">
        <v>17961</v>
      </c>
      <c r="I2191" s="116">
        <v>1</v>
      </c>
      <c r="J2191" s="111" t="s">
        <v>157</v>
      </c>
      <c r="K2191" s="108" t="s">
        <v>17962</v>
      </c>
      <c r="L2191" s="110">
        <v>3</v>
      </c>
      <c r="M2191" s="111" t="s">
        <v>40</v>
      </c>
      <c r="N2191" s="108" t="s">
        <v>17960</v>
      </c>
      <c r="O2191" s="112">
        <v>4</v>
      </c>
      <c r="P2191" s="113"/>
      <c r="Q2191" s="108" t="s">
        <v>17963</v>
      </c>
      <c r="R2191" s="110">
        <v>3</v>
      </c>
      <c r="S2191" s="111" t="s">
        <v>40</v>
      </c>
      <c r="T2191" s="108" t="s">
        <v>17964</v>
      </c>
      <c r="U2191" s="112">
        <v>4</v>
      </c>
      <c r="V2191" s="113"/>
      <c r="W2191" s="108" t="s">
        <v>17965</v>
      </c>
      <c r="X2191" s="112">
        <v>4</v>
      </c>
      <c r="Y2191" s="113"/>
      <c r="Z2191" s="108" t="s">
        <v>47</v>
      </c>
      <c r="AA2191" s="114"/>
      <c r="AB2191" s="113"/>
      <c r="AC2191" s="105" t="s">
        <v>4950</v>
      </c>
      <c r="AD2191" s="115" t="s">
        <v>49</v>
      </c>
    </row>
    <row r="2192" spans="1:30" x14ac:dyDescent="0.2">
      <c r="A2192" s="104" t="s">
        <v>4951</v>
      </c>
      <c r="B2192" s="105" t="s">
        <v>42</v>
      </c>
      <c r="C2192" s="105" t="s">
        <v>4952</v>
      </c>
      <c r="D2192" s="106"/>
      <c r="E2192" s="107"/>
      <c r="F2192" s="108" t="s">
        <v>17966</v>
      </c>
      <c r="G2192" s="118">
        <v>3</v>
      </c>
      <c r="H2192" s="108" t="s">
        <v>17967</v>
      </c>
      <c r="I2192" s="117">
        <v>2</v>
      </c>
      <c r="J2192" s="113"/>
      <c r="K2192" s="108" t="s">
        <v>17968</v>
      </c>
      <c r="L2192" s="117">
        <v>2</v>
      </c>
      <c r="M2192" s="113"/>
      <c r="N2192" s="108" t="s">
        <v>17966</v>
      </c>
      <c r="O2192" s="110">
        <v>3</v>
      </c>
      <c r="P2192" s="113"/>
      <c r="Q2192" s="108" t="s">
        <v>17969</v>
      </c>
      <c r="R2192" s="110">
        <v>3</v>
      </c>
      <c r="S2192" s="113"/>
      <c r="T2192" s="108" t="s">
        <v>17970</v>
      </c>
      <c r="U2192" s="110">
        <v>3</v>
      </c>
      <c r="V2192" s="111" t="s">
        <v>40</v>
      </c>
      <c r="W2192" s="108" t="s">
        <v>17971</v>
      </c>
      <c r="X2192" s="112">
        <v>4</v>
      </c>
      <c r="Y2192" s="113"/>
      <c r="Z2192" s="108" t="s">
        <v>47</v>
      </c>
      <c r="AA2192" s="114"/>
      <c r="AB2192" s="113"/>
      <c r="AC2192" s="105" t="s">
        <v>4953</v>
      </c>
      <c r="AD2192" s="115" t="s">
        <v>49</v>
      </c>
    </row>
    <row r="2193" spans="1:30" x14ac:dyDescent="0.2">
      <c r="A2193" s="104" t="s">
        <v>4954</v>
      </c>
      <c r="B2193" s="105" t="s">
        <v>42</v>
      </c>
      <c r="C2193" s="105" t="s">
        <v>4955</v>
      </c>
      <c r="D2193" s="106"/>
      <c r="E2193" s="107"/>
      <c r="F2193" s="108" t="s">
        <v>17621</v>
      </c>
      <c r="G2193" s="118">
        <v>3</v>
      </c>
      <c r="H2193" s="108" t="s">
        <v>17972</v>
      </c>
      <c r="I2193" s="116">
        <v>1</v>
      </c>
      <c r="J2193" s="111" t="s">
        <v>40</v>
      </c>
      <c r="K2193" s="108" t="s">
        <v>17973</v>
      </c>
      <c r="L2193" s="117">
        <v>2</v>
      </c>
      <c r="M2193" s="111" t="s">
        <v>40</v>
      </c>
      <c r="N2193" s="108" t="s">
        <v>17621</v>
      </c>
      <c r="O2193" s="110">
        <v>3</v>
      </c>
      <c r="P2193" s="113"/>
      <c r="Q2193" s="108" t="s">
        <v>11158</v>
      </c>
      <c r="R2193" s="110">
        <v>3</v>
      </c>
      <c r="S2193" s="113"/>
      <c r="T2193" s="108" t="s">
        <v>17974</v>
      </c>
      <c r="U2193" s="112">
        <v>4</v>
      </c>
      <c r="V2193" s="113"/>
      <c r="W2193" s="108" t="s">
        <v>17975</v>
      </c>
      <c r="X2193" s="112">
        <v>4</v>
      </c>
      <c r="Y2193" s="113"/>
      <c r="Z2193" s="108" t="s">
        <v>47</v>
      </c>
      <c r="AA2193" s="114"/>
      <c r="AB2193" s="113"/>
      <c r="AC2193" s="105" t="s">
        <v>4956</v>
      </c>
      <c r="AD2193" s="115" t="s">
        <v>49</v>
      </c>
    </row>
    <row r="2194" spans="1:30" x14ac:dyDescent="0.2">
      <c r="A2194" s="104" t="s">
        <v>17976</v>
      </c>
      <c r="B2194" s="105" t="s">
        <v>42</v>
      </c>
      <c r="C2194" s="105" t="s">
        <v>4957</v>
      </c>
      <c r="D2194" s="106"/>
      <c r="E2194" s="107"/>
      <c r="F2194" s="108" t="s">
        <v>17977</v>
      </c>
      <c r="G2194" s="119">
        <v>1</v>
      </c>
      <c r="H2194" s="108" t="s">
        <v>17978</v>
      </c>
      <c r="I2194" s="116">
        <v>1</v>
      </c>
      <c r="J2194" s="113"/>
      <c r="K2194" s="108" t="s">
        <v>17979</v>
      </c>
      <c r="L2194" s="116">
        <v>1</v>
      </c>
      <c r="M2194" s="113"/>
      <c r="N2194" s="108" t="s">
        <v>17977</v>
      </c>
      <c r="O2194" s="116">
        <v>1</v>
      </c>
      <c r="P2194" s="113"/>
      <c r="Q2194" s="108" t="s">
        <v>17980</v>
      </c>
      <c r="R2194" s="116">
        <v>1</v>
      </c>
      <c r="S2194" s="113"/>
      <c r="T2194" s="108" t="s">
        <v>17981</v>
      </c>
      <c r="U2194" s="110">
        <v>3</v>
      </c>
      <c r="V2194" s="113"/>
      <c r="W2194" s="108" t="s">
        <v>17982</v>
      </c>
      <c r="X2194" s="116">
        <v>1</v>
      </c>
      <c r="Y2194" s="113"/>
      <c r="Z2194" s="108" t="s">
        <v>47</v>
      </c>
      <c r="AA2194" s="114"/>
      <c r="AB2194" s="113"/>
      <c r="AC2194" s="105" t="s">
        <v>4958</v>
      </c>
      <c r="AD2194" s="115" t="s">
        <v>49</v>
      </c>
    </row>
    <row r="2195" spans="1:30" x14ac:dyDescent="0.2">
      <c r="A2195" s="104" t="s">
        <v>4959</v>
      </c>
      <c r="B2195" s="105" t="s">
        <v>42</v>
      </c>
      <c r="C2195" s="105" t="s">
        <v>4960</v>
      </c>
      <c r="D2195" s="106"/>
      <c r="E2195" s="107"/>
      <c r="F2195" s="108" t="s">
        <v>17983</v>
      </c>
      <c r="G2195" s="119">
        <v>1</v>
      </c>
      <c r="H2195" s="108" t="s">
        <v>17984</v>
      </c>
      <c r="I2195" s="117">
        <v>2</v>
      </c>
      <c r="J2195" s="111" t="s">
        <v>46</v>
      </c>
      <c r="K2195" s="108" t="s">
        <v>17985</v>
      </c>
      <c r="L2195" s="116">
        <v>1</v>
      </c>
      <c r="M2195" s="113"/>
      <c r="N2195" s="108" t="s">
        <v>17983</v>
      </c>
      <c r="O2195" s="116">
        <v>1</v>
      </c>
      <c r="P2195" s="113"/>
      <c r="Q2195" s="108" t="s">
        <v>17986</v>
      </c>
      <c r="R2195" s="117">
        <v>2</v>
      </c>
      <c r="S2195" s="113"/>
      <c r="T2195" s="108" t="s">
        <v>4961</v>
      </c>
      <c r="U2195" s="117">
        <v>2</v>
      </c>
      <c r="V2195" s="113"/>
      <c r="W2195" s="108" t="s">
        <v>17987</v>
      </c>
      <c r="X2195" s="110">
        <v>3</v>
      </c>
      <c r="Y2195" s="113"/>
      <c r="Z2195" s="108" t="s">
        <v>47</v>
      </c>
      <c r="AA2195" s="114"/>
      <c r="AB2195" s="113"/>
      <c r="AC2195" s="105" t="s">
        <v>4962</v>
      </c>
      <c r="AD2195" s="115" t="s">
        <v>49</v>
      </c>
    </row>
    <row r="2196" spans="1:30" x14ac:dyDescent="0.2">
      <c r="A2196" s="104" t="s">
        <v>4963</v>
      </c>
      <c r="B2196" s="105" t="s">
        <v>42</v>
      </c>
      <c r="C2196" s="105" t="s">
        <v>4955</v>
      </c>
      <c r="D2196" s="106"/>
      <c r="E2196" s="107"/>
      <c r="F2196" s="108" t="s">
        <v>17988</v>
      </c>
      <c r="G2196" s="119">
        <v>1</v>
      </c>
      <c r="H2196" s="108" t="s">
        <v>17989</v>
      </c>
      <c r="I2196" s="112">
        <v>4</v>
      </c>
      <c r="J2196" s="111" t="s">
        <v>44</v>
      </c>
      <c r="K2196" s="108" t="s">
        <v>17990</v>
      </c>
      <c r="L2196" s="116">
        <v>1</v>
      </c>
      <c r="M2196" s="113"/>
      <c r="N2196" s="108" t="s">
        <v>17988</v>
      </c>
      <c r="O2196" s="116">
        <v>1</v>
      </c>
      <c r="P2196" s="113"/>
      <c r="Q2196" s="108" t="s">
        <v>17991</v>
      </c>
      <c r="R2196" s="116">
        <v>1</v>
      </c>
      <c r="S2196" s="113"/>
      <c r="T2196" s="108" t="s">
        <v>17992</v>
      </c>
      <c r="U2196" s="117">
        <v>2</v>
      </c>
      <c r="V2196" s="113"/>
      <c r="W2196" s="108" t="s">
        <v>17993</v>
      </c>
      <c r="X2196" s="117">
        <v>2</v>
      </c>
      <c r="Y2196" s="113"/>
      <c r="Z2196" s="108" t="s">
        <v>47</v>
      </c>
      <c r="AA2196" s="114"/>
      <c r="AB2196" s="113"/>
      <c r="AC2196" s="105" t="s">
        <v>4964</v>
      </c>
      <c r="AD2196" s="115" t="s">
        <v>49</v>
      </c>
    </row>
    <row r="2197" spans="1:30" x14ac:dyDescent="0.2">
      <c r="A2197" s="104" t="s">
        <v>4965</v>
      </c>
      <c r="B2197" s="105" t="s">
        <v>42</v>
      </c>
      <c r="C2197" s="105" t="s">
        <v>200</v>
      </c>
      <c r="D2197" s="106"/>
      <c r="E2197" s="107"/>
      <c r="F2197" s="108" t="s">
        <v>17994</v>
      </c>
      <c r="G2197" s="119">
        <v>1</v>
      </c>
      <c r="H2197" s="108" t="s">
        <v>17995</v>
      </c>
      <c r="I2197" s="116">
        <v>1</v>
      </c>
      <c r="J2197" s="113"/>
      <c r="K2197" s="108" t="s">
        <v>17996</v>
      </c>
      <c r="L2197" s="116">
        <v>1</v>
      </c>
      <c r="M2197" s="113"/>
      <c r="N2197" s="108" t="s">
        <v>17994</v>
      </c>
      <c r="O2197" s="116">
        <v>1</v>
      </c>
      <c r="P2197" s="113"/>
      <c r="Q2197" s="108" t="s">
        <v>17997</v>
      </c>
      <c r="R2197" s="116">
        <v>1</v>
      </c>
      <c r="S2197" s="113"/>
      <c r="T2197" s="108" t="s">
        <v>17998</v>
      </c>
      <c r="U2197" s="116">
        <v>1</v>
      </c>
      <c r="V2197" s="113"/>
      <c r="W2197" s="108" t="s">
        <v>17999</v>
      </c>
      <c r="X2197" s="116">
        <v>1</v>
      </c>
      <c r="Y2197" s="113"/>
      <c r="Z2197" s="108" t="s">
        <v>47</v>
      </c>
      <c r="AA2197" s="114"/>
      <c r="AB2197" s="113"/>
      <c r="AC2197" s="105" t="s">
        <v>4966</v>
      </c>
      <c r="AD2197" s="115" t="s">
        <v>49</v>
      </c>
    </row>
    <row r="2198" spans="1:30" x14ac:dyDescent="0.2">
      <c r="A2198" s="104" t="s">
        <v>4967</v>
      </c>
      <c r="B2198" s="105" t="s">
        <v>42</v>
      </c>
      <c r="C2198" s="105" t="s">
        <v>4968</v>
      </c>
      <c r="D2198" s="106"/>
      <c r="E2198" s="107"/>
      <c r="F2198" s="108" t="s">
        <v>1963</v>
      </c>
      <c r="G2198" s="119">
        <v>1</v>
      </c>
      <c r="H2198" s="108" t="s">
        <v>4969</v>
      </c>
      <c r="I2198" s="116">
        <v>1</v>
      </c>
      <c r="J2198" s="113"/>
      <c r="K2198" s="108" t="s">
        <v>1932</v>
      </c>
      <c r="L2198" s="117">
        <v>2</v>
      </c>
      <c r="M2198" s="111" t="s">
        <v>46</v>
      </c>
      <c r="N2198" s="108" t="s">
        <v>1963</v>
      </c>
      <c r="O2198" s="116">
        <v>1</v>
      </c>
      <c r="P2198" s="111" t="s">
        <v>40</v>
      </c>
      <c r="Q2198" s="108" t="s">
        <v>9990</v>
      </c>
      <c r="R2198" s="116">
        <v>1</v>
      </c>
      <c r="S2198" s="113"/>
      <c r="T2198" s="108" t="s">
        <v>18000</v>
      </c>
      <c r="U2198" s="110">
        <v>3</v>
      </c>
      <c r="V2198" s="113"/>
      <c r="W2198" s="108" t="s">
        <v>15195</v>
      </c>
      <c r="X2198" s="110">
        <v>3</v>
      </c>
      <c r="Y2198" s="113"/>
      <c r="Z2198" s="108" t="s">
        <v>47</v>
      </c>
      <c r="AA2198" s="114"/>
      <c r="AB2198" s="113"/>
      <c r="AC2198" s="105" t="s">
        <v>4970</v>
      </c>
      <c r="AD2198" s="115" t="s">
        <v>49</v>
      </c>
    </row>
    <row r="2199" spans="1:30" x14ac:dyDescent="0.2">
      <c r="A2199" s="104" t="s">
        <v>4971</v>
      </c>
      <c r="B2199" s="105" t="s">
        <v>42</v>
      </c>
      <c r="C2199" s="105" t="s">
        <v>4968</v>
      </c>
      <c r="D2199" s="106"/>
      <c r="E2199" s="107"/>
      <c r="F2199" s="108" t="s">
        <v>18001</v>
      </c>
      <c r="G2199" s="119">
        <v>1</v>
      </c>
      <c r="H2199" s="108" t="s">
        <v>18002</v>
      </c>
      <c r="I2199" s="117">
        <v>2</v>
      </c>
      <c r="J2199" s="113"/>
      <c r="K2199" s="108" t="s">
        <v>4972</v>
      </c>
      <c r="L2199" s="117">
        <v>2</v>
      </c>
      <c r="M2199" s="113"/>
      <c r="N2199" s="108" t="s">
        <v>18001</v>
      </c>
      <c r="O2199" s="116">
        <v>1</v>
      </c>
      <c r="P2199" s="111" t="s">
        <v>40</v>
      </c>
      <c r="Q2199" s="108" t="s">
        <v>9856</v>
      </c>
      <c r="R2199" s="117">
        <v>2</v>
      </c>
      <c r="S2199" s="111" t="s">
        <v>46</v>
      </c>
      <c r="T2199" s="108" t="s">
        <v>2459</v>
      </c>
      <c r="U2199" s="117">
        <v>2</v>
      </c>
      <c r="V2199" s="113"/>
      <c r="W2199" s="108" t="s">
        <v>15198</v>
      </c>
      <c r="X2199" s="117">
        <v>2</v>
      </c>
      <c r="Y2199" s="111" t="s">
        <v>40</v>
      </c>
      <c r="Z2199" s="108" t="s">
        <v>47</v>
      </c>
      <c r="AA2199" s="114"/>
      <c r="AB2199" s="113"/>
      <c r="AC2199" s="105" t="s">
        <v>4973</v>
      </c>
      <c r="AD2199" s="115" t="s">
        <v>49</v>
      </c>
    </row>
    <row r="2200" spans="1:30" x14ac:dyDescent="0.2">
      <c r="A2200" s="104" t="s">
        <v>4974</v>
      </c>
      <c r="B2200" s="105" t="s">
        <v>42</v>
      </c>
      <c r="C2200" s="105" t="s">
        <v>4955</v>
      </c>
      <c r="D2200" s="106"/>
      <c r="E2200" s="107"/>
      <c r="F2200" s="108" t="s">
        <v>18003</v>
      </c>
      <c r="G2200" s="119">
        <v>1</v>
      </c>
      <c r="H2200" s="108" t="s">
        <v>18004</v>
      </c>
      <c r="I2200" s="112">
        <v>4</v>
      </c>
      <c r="J2200" s="111" t="s">
        <v>44</v>
      </c>
      <c r="K2200" s="108" t="s">
        <v>18005</v>
      </c>
      <c r="L2200" s="116">
        <v>1</v>
      </c>
      <c r="M2200" s="113"/>
      <c r="N2200" s="108" t="s">
        <v>18003</v>
      </c>
      <c r="O2200" s="116">
        <v>1</v>
      </c>
      <c r="P2200" s="113"/>
      <c r="Q2200" s="108" t="s">
        <v>18006</v>
      </c>
      <c r="R2200" s="117">
        <v>2</v>
      </c>
      <c r="S2200" s="113"/>
      <c r="T2200" s="108" t="s">
        <v>18007</v>
      </c>
      <c r="U2200" s="110">
        <v>3</v>
      </c>
      <c r="V2200" s="113"/>
      <c r="W2200" s="108" t="s">
        <v>18008</v>
      </c>
      <c r="X2200" s="110">
        <v>3</v>
      </c>
      <c r="Y2200" s="113"/>
      <c r="Z2200" s="108" t="s">
        <v>47</v>
      </c>
      <c r="AA2200" s="114"/>
      <c r="AB2200" s="113"/>
      <c r="AC2200" s="105" t="s">
        <v>4975</v>
      </c>
      <c r="AD2200" s="115" t="s">
        <v>49</v>
      </c>
    </row>
    <row r="2201" spans="1:30" x14ac:dyDescent="0.2">
      <c r="A2201" s="104" t="s">
        <v>4976</v>
      </c>
      <c r="B2201" s="105" t="s">
        <v>371</v>
      </c>
      <c r="C2201" s="105" t="s">
        <v>2716</v>
      </c>
      <c r="D2201" s="106" t="s">
        <v>514</v>
      </c>
      <c r="E2201" s="107"/>
      <c r="F2201" s="108" t="s">
        <v>18009</v>
      </c>
      <c r="G2201" s="119">
        <v>1</v>
      </c>
      <c r="H2201" s="108" t="s">
        <v>18010</v>
      </c>
      <c r="I2201" s="116">
        <v>1</v>
      </c>
      <c r="J2201" s="111" t="s">
        <v>40</v>
      </c>
      <c r="K2201" s="108" t="s">
        <v>18011</v>
      </c>
      <c r="L2201" s="116">
        <v>1</v>
      </c>
      <c r="M2201" s="111" t="s">
        <v>53</v>
      </c>
      <c r="N2201" s="108" t="s">
        <v>18009</v>
      </c>
      <c r="O2201" s="116">
        <v>1</v>
      </c>
      <c r="P2201" s="111" t="s">
        <v>40</v>
      </c>
      <c r="Q2201" s="108" t="s">
        <v>18012</v>
      </c>
      <c r="R2201" s="116">
        <v>1</v>
      </c>
      <c r="S2201" s="113"/>
      <c r="T2201" s="108" t="s">
        <v>18013</v>
      </c>
      <c r="U2201" s="116">
        <v>1</v>
      </c>
      <c r="V2201" s="113"/>
      <c r="W2201" s="108" t="s">
        <v>18014</v>
      </c>
      <c r="X2201" s="116">
        <v>1</v>
      </c>
      <c r="Y2201" s="113"/>
      <c r="Z2201" s="108" t="s">
        <v>47</v>
      </c>
      <c r="AA2201" s="114"/>
      <c r="AB2201" s="113"/>
      <c r="AC2201" s="105" t="s">
        <v>4977</v>
      </c>
      <c r="AD2201" s="115" t="s">
        <v>49</v>
      </c>
    </row>
    <row r="2202" spans="1:30" x14ac:dyDescent="0.2">
      <c r="A2202" s="104" t="s">
        <v>4978</v>
      </c>
      <c r="B2202" s="105" t="s">
        <v>371</v>
      </c>
      <c r="C2202" s="105" t="s">
        <v>2716</v>
      </c>
      <c r="D2202" s="106" t="s">
        <v>94</v>
      </c>
      <c r="E2202" s="107"/>
      <c r="F2202" s="108" t="s">
        <v>18015</v>
      </c>
      <c r="G2202" s="119">
        <v>1</v>
      </c>
      <c r="H2202" s="108" t="s">
        <v>18016</v>
      </c>
      <c r="I2202" s="112">
        <v>4</v>
      </c>
      <c r="J2202" s="111" t="s">
        <v>44</v>
      </c>
      <c r="K2202" s="108" t="s">
        <v>18017</v>
      </c>
      <c r="L2202" s="116">
        <v>1</v>
      </c>
      <c r="M2202" s="113"/>
      <c r="N2202" s="108" t="s">
        <v>18015</v>
      </c>
      <c r="O2202" s="116">
        <v>1</v>
      </c>
      <c r="P2202" s="113"/>
      <c r="Q2202" s="108" t="s">
        <v>18018</v>
      </c>
      <c r="R2202" s="116">
        <v>1</v>
      </c>
      <c r="S2202" s="113"/>
      <c r="T2202" s="108" t="s">
        <v>18019</v>
      </c>
      <c r="U2202" s="116">
        <v>1</v>
      </c>
      <c r="V2202" s="113"/>
      <c r="W2202" s="108" t="s">
        <v>18020</v>
      </c>
      <c r="X2202" s="116">
        <v>1</v>
      </c>
      <c r="Y2202" s="113"/>
      <c r="Z2202" s="108" t="s">
        <v>47</v>
      </c>
      <c r="AA2202" s="114"/>
      <c r="AB2202" s="113"/>
      <c r="AC2202" s="105" t="s">
        <v>4979</v>
      </c>
      <c r="AD2202" s="115" t="s">
        <v>49</v>
      </c>
    </row>
    <row r="2203" spans="1:30" x14ac:dyDescent="0.2">
      <c r="A2203" s="104" t="s">
        <v>4980</v>
      </c>
      <c r="B2203" s="105" t="s">
        <v>371</v>
      </c>
      <c r="C2203" s="105" t="s">
        <v>2716</v>
      </c>
      <c r="D2203" s="106" t="s">
        <v>514</v>
      </c>
      <c r="E2203" s="107"/>
      <c r="F2203" s="108" t="s">
        <v>18021</v>
      </c>
      <c r="G2203" s="119">
        <v>1</v>
      </c>
      <c r="H2203" s="108" t="s">
        <v>18022</v>
      </c>
      <c r="I2203" s="117">
        <v>2</v>
      </c>
      <c r="J2203" s="111" t="s">
        <v>46</v>
      </c>
      <c r="K2203" s="108" t="s">
        <v>18023</v>
      </c>
      <c r="L2203" s="116">
        <v>1</v>
      </c>
      <c r="M2203" s="113"/>
      <c r="N2203" s="108" t="s">
        <v>18021</v>
      </c>
      <c r="O2203" s="116">
        <v>1</v>
      </c>
      <c r="P2203" s="113"/>
      <c r="Q2203" s="108" t="s">
        <v>18024</v>
      </c>
      <c r="R2203" s="116">
        <v>1</v>
      </c>
      <c r="S2203" s="113"/>
      <c r="T2203" s="108" t="s">
        <v>18025</v>
      </c>
      <c r="U2203" s="116">
        <v>1</v>
      </c>
      <c r="V2203" s="113"/>
      <c r="W2203" s="108" t="s">
        <v>18026</v>
      </c>
      <c r="X2203" s="116">
        <v>1</v>
      </c>
      <c r="Y2203" s="113"/>
      <c r="Z2203" s="108" t="s">
        <v>47</v>
      </c>
      <c r="AA2203" s="114"/>
      <c r="AB2203" s="113"/>
      <c r="AC2203" s="105" t="s">
        <v>4981</v>
      </c>
      <c r="AD2203" s="115" t="s">
        <v>49</v>
      </c>
    </row>
    <row r="2204" spans="1:30" x14ac:dyDescent="0.2">
      <c r="A2204" s="104" t="s">
        <v>4982</v>
      </c>
      <c r="B2204" s="105" t="s">
        <v>371</v>
      </c>
      <c r="C2204" s="105" t="s">
        <v>2716</v>
      </c>
      <c r="D2204" s="106" t="s">
        <v>105</v>
      </c>
      <c r="E2204" s="107"/>
      <c r="F2204" s="108" t="s">
        <v>18027</v>
      </c>
      <c r="G2204" s="109">
        <v>4</v>
      </c>
      <c r="H2204" s="108" t="s">
        <v>18028</v>
      </c>
      <c r="I2204" s="116">
        <v>1</v>
      </c>
      <c r="J2204" s="111" t="s">
        <v>53</v>
      </c>
      <c r="K2204" s="108" t="s">
        <v>18029</v>
      </c>
      <c r="L2204" s="117">
        <v>2</v>
      </c>
      <c r="M2204" s="111" t="s">
        <v>40</v>
      </c>
      <c r="N2204" s="108" t="s">
        <v>18027</v>
      </c>
      <c r="O2204" s="112">
        <v>4</v>
      </c>
      <c r="P2204" s="113"/>
      <c r="Q2204" s="108" t="s">
        <v>18030</v>
      </c>
      <c r="R2204" s="112">
        <v>4</v>
      </c>
      <c r="S2204" s="113"/>
      <c r="T2204" s="108" t="s">
        <v>18031</v>
      </c>
      <c r="U2204" s="112">
        <v>4</v>
      </c>
      <c r="V2204" s="113"/>
      <c r="W2204" s="108" t="s">
        <v>18032</v>
      </c>
      <c r="X2204" s="112">
        <v>4</v>
      </c>
      <c r="Y2204" s="113"/>
      <c r="Z2204" s="108" t="s">
        <v>47</v>
      </c>
      <c r="AA2204" s="114"/>
      <c r="AB2204" s="113"/>
      <c r="AC2204" s="105" t="s">
        <v>4983</v>
      </c>
      <c r="AD2204" s="115" t="s">
        <v>49</v>
      </c>
    </row>
    <row r="2205" spans="1:30" x14ac:dyDescent="0.2">
      <c r="A2205" s="104" t="s">
        <v>4984</v>
      </c>
      <c r="B2205" s="105" t="s">
        <v>4312</v>
      </c>
      <c r="C2205" s="105" t="s">
        <v>1787</v>
      </c>
      <c r="D2205" s="106"/>
      <c r="E2205" s="107"/>
      <c r="F2205" s="108" t="s">
        <v>47</v>
      </c>
      <c r="G2205" s="113"/>
      <c r="H2205" s="108" t="s">
        <v>47</v>
      </c>
      <c r="I2205" s="114"/>
      <c r="J2205" s="113"/>
      <c r="K2205" s="108" t="s">
        <v>47</v>
      </c>
      <c r="L2205" s="114"/>
      <c r="M2205" s="113"/>
      <c r="N2205" s="108" t="s">
        <v>47</v>
      </c>
      <c r="O2205" s="114"/>
      <c r="P2205" s="113"/>
      <c r="Q2205" s="108" t="s">
        <v>47</v>
      </c>
      <c r="R2205" s="114"/>
      <c r="S2205" s="113"/>
      <c r="T2205" s="108" t="s">
        <v>47</v>
      </c>
      <c r="U2205" s="114"/>
      <c r="V2205" s="113"/>
      <c r="W2205" s="108" t="s">
        <v>47</v>
      </c>
      <c r="X2205" s="114"/>
      <c r="Y2205" s="113"/>
      <c r="Z2205" s="108" t="s">
        <v>47</v>
      </c>
      <c r="AA2205" s="114"/>
      <c r="AB2205" s="113"/>
      <c r="AC2205" s="105" t="s">
        <v>4985</v>
      </c>
      <c r="AD2205" s="115" t="s">
        <v>4986</v>
      </c>
    </row>
    <row r="2206" spans="1:30" x14ac:dyDescent="0.2">
      <c r="A2206" s="104" t="s">
        <v>4987</v>
      </c>
      <c r="B2206" s="105" t="s">
        <v>4312</v>
      </c>
      <c r="C2206" s="105" t="s">
        <v>1787</v>
      </c>
      <c r="D2206" s="106"/>
      <c r="E2206" s="107"/>
      <c r="F2206" s="108" t="s">
        <v>47</v>
      </c>
      <c r="G2206" s="113"/>
      <c r="H2206" s="108" t="s">
        <v>47</v>
      </c>
      <c r="I2206" s="114"/>
      <c r="J2206" s="113"/>
      <c r="K2206" s="108" t="s">
        <v>47</v>
      </c>
      <c r="L2206" s="114"/>
      <c r="M2206" s="113"/>
      <c r="N2206" s="108" t="s">
        <v>47</v>
      </c>
      <c r="O2206" s="114"/>
      <c r="P2206" s="113"/>
      <c r="Q2206" s="108" t="s">
        <v>47</v>
      </c>
      <c r="R2206" s="114"/>
      <c r="S2206" s="113"/>
      <c r="T2206" s="108" t="s">
        <v>47</v>
      </c>
      <c r="U2206" s="114"/>
      <c r="V2206" s="113"/>
      <c r="W2206" s="108" t="s">
        <v>47</v>
      </c>
      <c r="X2206" s="114"/>
      <c r="Y2206" s="113"/>
      <c r="Z2206" s="108" t="s">
        <v>47</v>
      </c>
      <c r="AA2206" s="114"/>
      <c r="AB2206" s="113"/>
      <c r="AC2206" s="105" t="s">
        <v>4988</v>
      </c>
      <c r="AD2206" s="115" t="s">
        <v>4986</v>
      </c>
    </row>
    <row r="2207" spans="1:30" x14ac:dyDescent="0.2">
      <c r="A2207" s="104" t="s">
        <v>4989</v>
      </c>
      <c r="B2207" s="105" t="s">
        <v>4312</v>
      </c>
      <c r="C2207" s="105" t="s">
        <v>1787</v>
      </c>
      <c r="D2207" s="106"/>
      <c r="E2207" s="107"/>
      <c r="F2207" s="108" t="s">
        <v>47</v>
      </c>
      <c r="G2207" s="113"/>
      <c r="H2207" s="108" t="s">
        <v>47</v>
      </c>
      <c r="I2207" s="114"/>
      <c r="J2207" s="113"/>
      <c r="K2207" s="108" t="s">
        <v>47</v>
      </c>
      <c r="L2207" s="114"/>
      <c r="M2207" s="113"/>
      <c r="N2207" s="108" t="s">
        <v>47</v>
      </c>
      <c r="O2207" s="114"/>
      <c r="P2207" s="113"/>
      <c r="Q2207" s="108" t="s">
        <v>47</v>
      </c>
      <c r="R2207" s="114"/>
      <c r="S2207" s="113"/>
      <c r="T2207" s="108" t="s">
        <v>47</v>
      </c>
      <c r="U2207" s="114"/>
      <c r="V2207" s="113"/>
      <c r="W2207" s="108" t="s">
        <v>47</v>
      </c>
      <c r="X2207" s="114"/>
      <c r="Y2207" s="113"/>
      <c r="Z2207" s="108" t="s">
        <v>47</v>
      </c>
      <c r="AA2207" s="114"/>
      <c r="AB2207" s="113"/>
      <c r="AC2207" s="105" t="s">
        <v>4990</v>
      </c>
      <c r="AD2207" s="115" t="s">
        <v>4986</v>
      </c>
    </row>
    <row r="2208" spans="1:30" x14ac:dyDescent="0.2">
      <c r="A2208" s="104" t="s">
        <v>4991</v>
      </c>
      <c r="B2208" s="105" t="s">
        <v>4312</v>
      </c>
      <c r="C2208" s="105" t="s">
        <v>1787</v>
      </c>
      <c r="D2208" s="106"/>
      <c r="E2208" s="107"/>
      <c r="F2208" s="108" t="s">
        <v>47</v>
      </c>
      <c r="G2208" s="113"/>
      <c r="H2208" s="108" t="s">
        <v>47</v>
      </c>
      <c r="I2208" s="114"/>
      <c r="J2208" s="113"/>
      <c r="K2208" s="108" t="s">
        <v>47</v>
      </c>
      <c r="L2208" s="114"/>
      <c r="M2208" s="113"/>
      <c r="N2208" s="108" t="s">
        <v>47</v>
      </c>
      <c r="O2208" s="114"/>
      <c r="P2208" s="113"/>
      <c r="Q2208" s="108" t="s">
        <v>47</v>
      </c>
      <c r="R2208" s="114"/>
      <c r="S2208" s="113"/>
      <c r="T2208" s="108" t="s">
        <v>47</v>
      </c>
      <c r="U2208" s="114"/>
      <c r="V2208" s="113"/>
      <c r="W2208" s="108" t="s">
        <v>47</v>
      </c>
      <c r="X2208" s="114"/>
      <c r="Y2208" s="113"/>
      <c r="Z2208" s="108" t="s">
        <v>47</v>
      </c>
      <c r="AA2208" s="114"/>
      <c r="AB2208" s="113"/>
      <c r="AC2208" s="105" t="s">
        <v>4992</v>
      </c>
      <c r="AD2208" s="115" t="s">
        <v>4986</v>
      </c>
    </row>
    <row r="2209" spans="1:30" x14ac:dyDescent="0.2">
      <c r="A2209" s="104" t="s">
        <v>4993</v>
      </c>
      <c r="B2209" s="105" t="s">
        <v>4312</v>
      </c>
      <c r="C2209" s="105" t="s">
        <v>1787</v>
      </c>
      <c r="D2209" s="106"/>
      <c r="E2209" s="107"/>
      <c r="F2209" s="108" t="s">
        <v>47</v>
      </c>
      <c r="G2209" s="113"/>
      <c r="H2209" s="108" t="s">
        <v>47</v>
      </c>
      <c r="I2209" s="114"/>
      <c r="J2209" s="113"/>
      <c r="K2209" s="108" t="s">
        <v>47</v>
      </c>
      <c r="L2209" s="114"/>
      <c r="M2209" s="113"/>
      <c r="N2209" s="108" t="s">
        <v>47</v>
      </c>
      <c r="O2209" s="114"/>
      <c r="P2209" s="113"/>
      <c r="Q2209" s="108" t="s">
        <v>47</v>
      </c>
      <c r="R2209" s="114"/>
      <c r="S2209" s="113"/>
      <c r="T2209" s="108" t="s">
        <v>47</v>
      </c>
      <c r="U2209" s="114"/>
      <c r="V2209" s="113"/>
      <c r="W2209" s="108" t="s">
        <v>47</v>
      </c>
      <c r="X2209" s="114"/>
      <c r="Y2209" s="113"/>
      <c r="Z2209" s="108" t="s">
        <v>47</v>
      </c>
      <c r="AA2209" s="114"/>
      <c r="AB2209" s="113"/>
      <c r="AC2209" s="105" t="s">
        <v>4994</v>
      </c>
      <c r="AD2209" s="115" t="s">
        <v>4986</v>
      </c>
    </row>
    <row r="2210" spans="1:30" x14ac:dyDescent="0.2">
      <c r="A2210" s="104" t="s">
        <v>4995</v>
      </c>
      <c r="B2210" s="105" t="s">
        <v>4312</v>
      </c>
      <c r="C2210" s="105" t="s">
        <v>1787</v>
      </c>
      <c r="D2210" s="106"/>
      <c r="E2210" s="107"/>
      <c r="F2210" s="108" t="s">
        <v>47</v>
      </c>
      <c r="G2210" s="113"/>
      <c r="H2210" s="108" t="s">
        <v>47</v>
      </c>
      <c r="I2210" s="114"/>
      <c r="J2210" s="113"/>
      <c r="K2210" s="108" t="s">
        <v>47</v>
      </c>
      <c r="L2210" s="114"/>
      <c r="M2210" s="113"/>
      <c r="N2210" s="108" t="s">
        <v>47</v>
      </c>
      <c r="O2210" s="114"/>
      <c r="P2210" s="113"/>
      <c r="Q2210" s="108" t="s">
        <v>47</v>
      </c>
      <c r="R2210" s="114"/>
      <c r="S2210" s="113"/>
      <c r="T2210" s="108" t="s">
        <v>47</v>
      </c>
      <c r="U2210" s="114"/>
      <c r="V2210" s="113"/>
      <c r="W2210" s="108" t="s">
        <v>47</v>
      </c>
      <c r="X2210" s="114"/>
      <c r="Y2210" s="113"/>
      <c r="Z2210" s="108" t="s">
        <v>47</v>
      </c>
      <c r="AA2210" s="114"/>
      <c r="AB2210" s="113"/>
      <c r="AC2210" s="105" t="s">
        <v>4996</v>
      </c>
      <c r="AD2210" s="115" t="s">
        <v>4986</v>
      </c>
    </row>
    <row r="2211" spans="1:30" x14ac:dyDescent="0.2">
      <c r="A2211" s="104" t="s">
        <v>4997</v>
      </c>
      <c r="B2211" s="105" t="s">
        <v>4312</v>
      </c>
      <c r="C2211" s="105" t="s">
        <v>1787</v>
      </c>
      <c r="D2211" s="106"/>
      <c r="E2211" s="107"/>
      <c r="F2211" s="108" t="s">
        <v>47</v>
      </c>
      <c r="G2211" s="113"/>
      <c r="H2211" s="108" t="s">
        <v>47</v>
      </c>
      <c r="I2211" s="114"/>
      <c r="J2211" s="113"/>
      <c r="K2211" s="108" t="s">
        <v>47</v>
      </c>
      <c r="L2211" s="114"/>
      <c r="M2211" s="113"/>
      <c r="N2211" s="108" t="s">
        <v>47</v>
      </c>
      <c r="O2211" s="114"/>
      <c r="P2211" s="113"/>
      <c r="Q2211" s="108" t="s">
        <v>47</v>
      </c>
      <c r="R2211" s="114"/>
      <c r="S2211" s="113"/>
      <c r="T2211" s="108" t="s">
        <v>47</v>
      </c>
      <c r="U2211" s="114"/>
      <c r="V2211" s="113"/>
      <c r="W2211" s="108" t="s">
        <v>47</v>
      </c>
      <c r="X2211" s="114"/>
      <c r="Y2211" s="113"/>
      <c r="Z2211" s="108" t="s">
        <v>47</v>
      </c>
      <c r="AA2211" s="114"/>
      <c r="AB2211" s="113"/>
      <c r="AC2211" s="105" t="s">
        <v>4998</v>
      </c>
      <c r="AD2211" s="115" t="s">
        <v>4986</v>
      </c>
    </row>
    <row r="2212" spans="1:30" x14ac:dyDescent="0.2">
      <c r="A2212" s="104" t="s">
        <v>4999</v>
      </c>
      <c r="B2212" s="105" t="s">
        <v>4312</v>
      </c>
      <c r="C2212" s="105" t="s">
        <v>1787</v>
      </c>
      <c r="D2212" s="106"/>
      <c r="E2212" s="107"/>
      <c r="F2212" s="108" t="s">
        <v>47</v>
      </c>
      <c r="G2212" s="113"/>
      <c r="H2212" s="108" t="s">
        <v>47</v>
      </c>
      <c r="I2212" s="114"/>
      <c r="J2212" s="113"/>
      <c r="K2212" s="108" t="s">
        <v>47</v>
      </c>
      <c r="L2212" s="114"/>
      <c r="M2212" s="113"/>
      <c r="N2212" s="108" t="s">
        <v>47</v>
      </c>
      <c r="O2212" s="114"/>
      <c r="P2212" s="113"/>
      <c r="Q2212" s="108" t="s">
        <v>47</v>
      </c>
      <c r="R2212" s="114"/>
      <c r="S2212" s="113"/>
      <c r="T2212" s="108" t="s">
        <v>47</v>
      </c>
      <c r="U2212" s="114"/>
      <c r="V2212" s="113"/>
      <c r="W2212" s="108" t="s">
        <v>47</v>
      </c>
      <c r="X2212" s="114"/>
      <c r="Y2212" s="113"/>
      <c r="Z2212" s="108" t="s">
        <v>47</v>
      </c>
      <c r="AA2212" s="114"/>
      <c r="AB2212" s="113"/>
      <c r="AC2212" s="105" t="s">
        <v>5000</v>
      </c>
      <c r="AD2212" s="115" t="s">
        <v>4986</v>
      </c>
    </row>
    <row r="2213" spans="1:30" x14ac:dyDescent="0.2">
      <c r="A2213" s="104" t="s">
        <v>5001</v>
      </c>
      <c r="B2213" s="105" t="s">
        <v>4312</v>
      </c>
      <c r="C2213" s="105" t="s">
        <v>1787</v>
      </c>
      <c r="D2213" s="106"/>
      <c r="E2213" s="107"/>
      <c r="F2213" s="108" t="s">
        <v>47</v>
      </c>
      <c r="G2213" s="113"/>
      <c r="H2213" s="108" t="s">
        <v>47</v>
      </c>
      <c r="I2213" s="114"/>
      <c r="J2213" s="113"/>
      <c r="K2213" s="108" t="s">
        <v>47</v>
      </c>
      <c r="L2213" s="114"/>
      <c r="M2213" s="113"/>
      <c r="N2213" s="108" t="s">
        <v>47</v>
      </c>
      <c r="O2213" s="114"/>
      <c r="P2213" s="113"/>
      <c r="Q2213" s="108" t="s">
        <v>47</v>
      </c>
      <c r="R2213" s="114"/>
      <c r="S2213" s="113"/>
      <c r="T2213" s="108" t="s">
        <v>47</v>
      </c>
      <c r="U2213" s="114"/>
      <c r="V2213" s="113"/>
      <c r="W2213" s="108" t="s">
        <v>47</v>
      </c>
      <c r="X2213" s="114"/>
      <c r="Y2213" s="113"/>
      <c r="Z2213" s="108" t="s">
        <v>47</v>
      </c>
      <c r="AA2213" s="114"/>
      <c r="AB2213" s="113"/>
      <c r="AC2213" s="105" t="s">
        <v>5002</v>
      </c>
      <c r="AD2213" s="115" t="s">
        <v>4986</v>
      </c>
    </row>
    <row r="2214" spans="1:30" x14ac:dyDescent="0.2">
      <c r="A2214" s="104" t="s">
        <v>5003</v>
      </c>
      <c r="B2214" s="105" t="s">
        <v>4312</v>
      </c>
      <c r="C2214" s="105" t="s">
        <v>1787</v>
      </c>
      <c r="D2214" s="106"/>
      <c r="E2214" s="107"/>
      <c r="F2214" s="108" t="s">
        <v>47</v>
      </c>
      <c r="G2214" s="113"/>
      <c r="H2214" s="108" t="s">
        <v>47</v>
      </c>
      <c r="I2214" s="114"/>
      <c r="J2214" s="113"/>
      <c r="K2214" s="108" t="s">
        <v>47</v>
      </c>
      <c r="L2214" s="114"/>
      <c r="M2214" s="113"/>
      <c r="N2214" s="108" t="s">
        <v>47</v>
      </c>
      <c r="O2214" s="114"/>
      <c r="P2214" s="113"/>
      <c r="Q2214" s="108" t="s">
        <v>47</v>
      </c>
      <c r="R2214" s="114"/>
      <c r="S2214" s="113"/>
      <c r="T2214" s="108" t="s">
        <v>47</v>
      </c>
      <c r="U2214" s="114"/>
      <c r="V2214" s="113"/>
      <c r="W2214" s="108" t="s">
        <v>47</v>
      </c>
      <c r="X2214" s="114"/>
      <c r="Y2214" s="113"/>
      <c r="Z2214" s="108" t="s">
        <v>47</v>
      </c>
      <c r="AA2214" s="114"/>
      <c r="AB2214" s="113"/>
      <c r="AC2214" s="105" t="s">
        <v>5004</v>
      </c>
      <c r="AD2214" s="115" t="s">
        <v>4986</v>
      </c>
    </row>
    <row r="2215" spans="1:30" x14ac:dyDescent="0.2">
      <c r="A2215" s="104" t="s">
        <v>5005</v>
      </c>
      <c r="B2215" s="105" t="s">
        <v>4312</v>
      </c>
      <c r="C2215" s="105" t="s">
        <v>1787</v>
      </c>
      <c r="D2215" s="106"/>
      <c r="E2215" s="107"/>
      <c r="F2215" s="108" t="s">
        <v>47</v>
      </c>
      <c r="G2215" s="113"/>
      <c r="H2215" s="108" t="s">
        <v>47</v>
      </c>
      <c r="I2215" s="114"/>
      <c r="J2215" s="113"/>
      <c r="K2215" s="108" t="s">
        <v>47</v>
      </c>
      <c r="L2215" s="114"/>
      <c r="M2215" s="113"/>
      <c r="N2215" s="108" t="s">
        <v>47</v>
      </c>
      <c r="O2215" s="114"/>
      <c r="P2215" s="113"/>
      <c r="Q2215" s="108" t="s">
        <v>47</v>
      </c>
      <c r="R2215" s="114"/>
      <c r="S2215" s="113"/>
      <c r="T2215" s="108" t="s">
        <v>47</v>
      </c>
      <c r="U2215" s="114"/>
      <c r="V2215" s="113"/>
      <c r="W2215" s="108" t="s">
        <v>47</v>
      </c>
      <c r="X2215" s="114"/>
      <c r="Y2215" s="113"/>
      <c r="Z2215" s="108" t="s">
        <v>47</v>
      </c>
      <c r="AA2215" s="114"/>
      <c r="AB2215" s="113"/>
      <c r="AC2215" s="105" t="s">
        <v>5006</v>
      </c>
      <c r="AD2215" s="115" t="s">
        <v>4986</v>
      </c>
    </row>
    <row r="2216" spans="1:30" x14ac:dyDescent="0.2">
      <c r="A2216" s="104" t="s">
        <v>5007</v>
      </c>
      <c r="B2216" s="105" t="s">
        <v>4312</v>
      </c>
      <c r="C2216" s="105" t="s">
        <v>1787</v>
      </c>
      <c r="D2216" s="106"/>
      <c r="E2216" s="107"/>
      <c r="F2216" s="108" t="s">
        <v>47</v>
      </c>
      <c r="G2216" s="113"/>
      <c r="H2216" s="108" t="s">
        <v>47</v>
      </c>
      <c r="I2216" s="114"/>
      <c r="J2216" s="113"/>
      <c r="K2216" s="108" t="s">
        <v>47</v>
      </c>
      <c r="L2216" s="114"/>
      <c r="M2216" s="113"/>
      <c r="N2216" s="108" t="s">
        <v>47</v>
      </c>
      <c r="O2216" s="114"/>
      <c r="P2216" s="113"/>
      <c r="Q2216" s="108" t="s">
        <v>47</v>
      </c>
      <c r="R2216" s="114"/>
      <c r="S2216" s="113"/>
      <c r="T2216" s="108" t="s">
        <v>47</v>
      </c>
      <c r="U2216" s="114"/>
      <c r="V2216" s="113"/>
      <c r="W2216" s="108" t="s">
        <v>47</v>
      </c>
      <c r="X2216" s="114"/>
      <c r="Y2216" s="113"/>
      <c r="Z2216" s="108" t="s">
        <v>47</v>
      </c>
      <c r="AA2216" s="114"/>
      <c r="AB2216" s="113"/>
      <c r="AC2216" s="105" t="s">
        <v>5008</v>
      </c>
      <c r="AD2216" s="115" t="s">
        <v>4986</v>
      </c>
    </row>
    <row r="2217" spans="1:30" x14ac:dyDescent="0.2">
      <c r="A2217" s="104" t="s">
        <v>5009</v>
      </c>
      <c r="B2217" s="105" t="s">
        <v>4312</v>
      </c>
      <c r="C2217" s="105" t="s">
        <v>1787</v>
      </c>
      <c r="D2217" s="106"/>
      <c r="E2217" s="107"/>
      <c r="F2217" s="108" t="s">
        <v>47</v>
      </c>
      <c r="G2217" s="113"/>
      <c r="H2217" s="108" t="s">
        <v>47</v>
      </c>
      <c r="I2217" s="114"/>
      <c r="J2217" s="113"/>
      <c r="K2217" s="108" t="s">
        <v>47</v>
      </c>
      <c r="L2217" s="114"/>
      <c r="M2217" s="113"/>
      <c r="N2217" s="108" t="s">
        <v>47</v>
      </c>
      <c r="O2217" s="114"/>
      <c r="P2217" s="113"/>
      <c r="Q2217" s="108" t="s">
        <v>47</v>
      </c>
      <c r="R2217" s="114"/>
      <c r="S2217" s="113"/>
      <c r="T2217" s="108" t="s">
        <v>47</v>
      </c>
      <c r="U2217" s="114"/>
      <c r="V2217" s="113"/>
      <c r="W2217" s="108" t="s">
        <v>47</v>
      </c>
      <c r="X2217" s="114"/>
      <c r="Y2217" s="113"/>
      <c r="Z2217" s="108" t="s">
        <v>47</v>
      </c>
      <c r="AA2217" s="114"/>
      <c r="AB2217" s="113"/>
      <c r="AC2217" s="105" t="s">
        <v>5010</v>
      </c>
      <c r="AD2217" s="115" t="s">
        <v>4986</v>
      </c>
    </row>
    <row r="2218" spans="1:30" x14ac:dyDescent="0.2">
      <c r="A2218" s="104" t="s">
        <v>5011</v>
      </c>
      <c r="B2218" s="105" t="s">
        <v>4312</v>
      </c>
      <c r="C2218" s="105" t="s">
        <v>1787</v>
      </c>
      <c r="D2218" s="106"/>
      <c r="E2218" s="107"/>
      <c r="F2218" s="108" t="s">
        <v>47</v>
      </c>
      <c r="G2218" s="113"/>
      <c r="H2218" s="108" t="s">
        <v>47</v>
      </c>
      <c r="I2218" s="114"/>
      <c r="J2218" s="113"/>
      <c r="K2218" s="108" t="s">
        <v>47</v>
      </c>
      <c r="L2218" s="114"/>
      <c r="M2218" s="113"/>
      <c r="N2218" s="108" t="s">
        <v>47</v>
      </c>
      <c r="O2218" s="114"/>
      <c r="P2218" s="113"/>
      <c r="Q2218" s="108" t="s">
        <v>47</v>
      </c>
      <c r="R2218" s="114"/>
      <c r="S2218" s="113"/>
      <c r="T2218" s="108" t="s">
        <v>47</v>
      </c>
      <c r="U2218" s="114"/>
      <c r="V2218" s="113"/>
      <c r="W2218" s="108" t="s">
        <v>47</v>
      </c>
      <c r="X2218" s="114"/>
      <c r="Y2218" s="113"/>
      <c r="Z2218" s="108" t="s">
        <v>47</v>
      </c>
      <c r="AA2218" s="114"/>
      <c r="AB2218" s="113"/>
      <c r="AC2218" s="105" t="s">
        <v>5012</v>
      </c>
      <c r="AD2218" s="115" t="s">
        <v>4986</v>
      </c>
    </row>
    <row r="2219" spans="1:30" x14ac:dyDescent="0.2">
      <c r="A2219" s="104" t="s">
        <v>5013</v>
      </c>
      <c r="B2219" s="105" t="s">
        <v>4312</v>
      </c>
      <c r="C2219" s="105" t="s">
        <v>1787</v>
      </c>
      <c r="D2219" s="106"/>
      <c r="E2219" s="107"/>
      <c r="F2219" s="108" t="s">
        <v>47</v>
      </c>
      <c r="G2219" s="113"/>
      <c r="H2219" s="108" t="s">
        <v>47</v>
      </c>
      <c r="I2219" s="114"/>
      <c r="J2219" s="113"/>
      <c r="K2219" s="108" t="s">
        <v>47</v>
      </c>
      <c r="L2219" s="114"/>
      <c r="M2219" s="113"/>
      <c r="N2219" s="108" t="s">
        <v>47</v>
      </c>
      <c r="O2219" s="114"/>
      <c r="P2219" s="113"/>
      <c r="Q2219" s="108" t="s">
        <v>47</v>
      </c>
      <c r="R2219" s="114"/>
      <c r="S2219" s="113"/>
      <c r="T2219" s="108" t="s">
        <v>47</v>
      </c>
      <c r="U2219" s="114"/>
      <c r="V2219" s="113"/>
      <c r="W2219" s="108" t="s">
        <v>47</v>
      </c>
      <c r="X2219" s="114"/>
      <c r="Y2219" s="113"/>
      <c r="Z2219" s="108" t="s">
        <v>47</v>
      </c>
      <c r="AA2219" s="114"/>
      <c r="AB2219" s="113"/>
      <c r="AC2219" s="105" t="s">
        <v>5014</v>
      </c>
      <c r="AD2219" s="115" t="s">
        <v>4986</v>
      </c>
    </row>
    <row r="2220" spans="1:30" x14ac:dyDescent="0.2">
      <c r="A2220" s="104" t="s">
        <v>18033</v>
      </c>
      <c r="B2220" s="105" t="s">
        <v>805</v>
      </c>
      <c r="C2220" s="105" t="s">
        <v>112</v>
      </c>
      <c r="D2220" s="106"/>
      <c r="E2220" s="107" t="s">
        <v>146</v>
      </c>
      <c r="F2220" s="108" t="s">
        <v>18034</v>
      </c>
      <c r="G2220" s="120">
        <v>2</v>
      </c>
      <c r="H2220" s="108" t="s">
        <v>18035</v>
      </c>
      <c r="I2220" s="110">
        <v>3</v>
      </c>
      <c r="J2220" s="111" t="s">
        <v>40</v>
      </c>
      <c r="K2220" s="108" t="s">
        <v>18036</v>
      </c>
      <c r="L2220" s="112">
        <v>4</v>
      </c>
      <c r="M2220" s="113"/>
      <c r="N2220" s="108" t="s">
        <v>18034</v>
      </c>
      <c r="O2220" s="117">
        <v>2</v>
      </c>
      <c r="P2220" s="113"/>
      <c r="Q2220" s="108" t="s">
        <v>47</v>
      </c>
      <c r="R2220" s="114"/>
      <c r="S2220" s="113"/>
      <c r="T2220" s="108" t="s">
        <v>47</v>
      </c>
      <c r="U2220" s="114"/>
      <c r="V2220" s="113"/>
      <c r="W2220" s="108" t="s">
        <v>47</v>
      </c>
      <c r="X2220" s="114"/>
      <c r="Y2220" s="113"/>
      <c r="Z2220" s="108" t="s">
        <v>47</v>
      </c>
      <c r="AA2220" s="114"/>
      <c r="AB2220" s="113"/>
      <c r="AC2220" s="105" t="s">
        <v>18037</v>
      </c>
      <c r="AD2220" s="115" t="s">
        <v>107</v>
      </c>
    </row>
    <row r="2221" spans="1:30" x14ac:dyDescent="0.2">
      <c r="A2221" s="104" t="s">
        <v>18038</v>
      </c>
      <c r="B2221" s="105" t="s">
        <v>805</v>
      </c>
      <c r="C2221" s="105" t="s">
        <v>2893</v>
      </c>
      <c r="D2221" s="106"/>
      <c r="E2221" s="107" t="s">
        <v>146</v>
      </c>
      <c r="F2221" s="108" t="s">
        <v>18039</v>
      </c>
      <c r="G2221" s="120">
        <v>2</v>
      </c>
      <c r="H2221" s="108" t="s">
        <v>18040</v>
      </c>
      <c r="I2221" s="110">
        <v>3</v>
      </c>
      <c r="J2221" s="111" t="s">
        <v>46</v>
      </c>
      <c r="K2221" s="108" t="s">
        <v>18041</v>
      </c>
      <c r="L2221" s="117">
        <v>2</v>
      </c>
      <c r="M2221" s="113"/>
      <c r="N2221" s="108" t="s">
        <v>18039</v>
      </c>
      <c r="O2221" s="117">
        <v>2</v>
      </c>
      <c r="P2221" s="113"/>
      <c r="Q2221" s="108" t="s">
        <v>47</v>
      </c>
      <c r="R2221" s="114"/>
      <c r="S2221" s="113"/>
      <c r="T2221" s="108" t="s">
        <v>47</v>
      </c>
      <c r="U2221" s="114"/>
      <c r="V2221" s="113"/>
      <c r="W2221" s="108" t="s">
        <v>47</v>
      </c>
      <c r="X2221" s="114"/>
      <c r="Y2221" s="113"/>
      <c r="Z2221" s="108" t="s">
        <v>47</v>
      </c>
      <c r="AA2221" s="114"/>
      <c r="AB2221" s="113"/>
      <c r="AC2221" s="105" t="s">
        <v>18042</v>
      </c>
      <c r="AD2221" s="115" t="s">
        <v>107</v>
      </c>
    </row>
    <row r="2222" spans="1:30" x14ac:dyDescent="0.2">
      <c r="A2222" s="104" t="s">
        <v>18043</v>
      </c>
      <c r="B2222" s="105" t="s">
        <v>805</v>
      </c>
      <c r="C2222" s="105" t="s">
        <v>2893</v>
      </c>
      <c r="D2222" s="106"/>
      <c r="E2222" s="107" t="s">
        <v>146</v>
      </c>
      <c r="F2222" s="108" t="s">
        <v>18044</v>
      </c>
      <c r="G2222" s="120">
        <v>2</v>
      </c>
      <c r="H2222" s="108" t="s">
        <v>18045</v>
      </c>
      <c r="I2222" s="110">
        <v>3</v>
      </c>
      <c r="J2222" s="111" t="s">
        <v>46</v>
      </c>
      <c r="K2222" s="108" t="s">
        <v>5015</v>
      </c>
      <c r="L2222" s="117">
        <v>2</v>
      </c>
      <c r="M2222" s="113"/>
      <c r="N2222" s="108" t="s">
        <v>18044</v>
      </c>
      <c r="O2222" s="117">
        <v>2</v>
      </c>
      <c r="P2222" s="113"/>
      <c r="Q2222" s="108" t="s">
        <v>47</v>
      </c>
      <c r="R2222" s="114"/>
      <c r="S2222" s="113"/>
      <c r="T2222" s="108" t="s">
        <v>47</v>
      </c>
      <c r="U2222" s="114"/>
      <c r="V2222" s="113"/>
      <c r="W2222" s="108" t="s">
        <v>47</v>
      </c>
      <c r="X2222" s="114"/>
      <c r="Y2222" s="113"/>
      <c r="Z2222" s="108" t="s">
        <v>47</v>
      </c>
      <c r="AA2222" s="114"/>
      <c r="AB2222" s="113"/>
      <c r="AC2222" s="105" t="s">
        <v>18046</v>
      </c>
      <c r="AD2222" s="115" t="s">
        <v>107</v>
      </c>
    </row>
    <row r="2223" spans="1:30" x14ac:dyDescent="0.2">
      <c r="A2223" s="104" t="s">
        <v>5016</v>
      </c>
      <c r="B2223" s="105" t="s">
        <v>805</v>
      </c>
      <c r="C2223" s="105" t="s">
        <v>2893</v>
      </c>
      <c r="D2223" s="106"/>
      <c r="E2223" s="107" t="s">
        <v>146</v>
      </c>
      <c r="F2223" s="108" t="s">
        <v>18047</v>
      </c>
      <c r="G2223" s="120">
        <v>2</v>
      </c>
      <c r="H2223" s="108" t="s">
        <v>18048</v>
      </c>
      <c r="I2223" s="110">
        <v>3</v>
      </c>
      <c r="J2223" s="111" t="s">
        <v>46</v>
      </c>
      <c r="K2223" s="108" t="s">
        <v>18049</v>
      </c>
      <c r="L2223" s="117">
        <v>2</v>
      </c>
      <c r="M2223" s="113"/>
      <c r="N2223" s="108" t="s">
        <v>18047</v>
      </c>
      <c r="O2223" s="117">
        <v>2</v>
      </c>
      <c r="P2223" s="113"/>
      <c r="Q2223" s="108" t="s">
        <v>18050</v>
      </c>
      <c r="R2223" s="110">
        <v>3</v>
      </c>
      <c r="S2223" s="113"/>
      <c r="T2223" s="108" t="s">
        <v>47</v>
      </c>
      <c r="U2223" s="114"/>
      <c r="V2223" s="113"/>
      <c r="W2223" s="108" t="s">
        <v>47</v>
      </c>
      <c r="X2223" s="114"/>
      <c r="Y2223" s="113"/>
      <c r="Z2223" s="108" t="s">
        <v>47</v>
      </c>
      <c r="AA2223" s="114"/>
      <c r="AB2223" s="113"/>
      <c r="AC2223" s="105" t="s">
        <v>5017</v>
      </c>
      <c r="AD2223" s="115" t="s">
        <v>107</v>
      </c>
    </row>
    <row r="2224" spans="1:30" x14ac:dyDescent="0.2">
      <c r="A2224" s="104" t="s">
        <v>5018</v>
      </c>
      <c r="B2224" s="105" t="s">
        <v>805</v>
      </c>
      <c r="C2224" s="105" t="s">
        <v>2893</v>
      </c>
      <c r="D2224" s="106"/>
      <c r="E2224" s="107" t="s">
        <v>146</v>
      </c>
      <c r="F2224" s="108" t="s">
        <v>18051</v>
      </c>
      <c r="G2224" s="118">
        <v>3</v>
      </c>
      <c r="H2224" s="108" t="s">
        <v>18052</v>
      </c>
      <c r="I2224" s="110">
        <v>3</v>
      </c>
      <c r="J2224" s="111" t="s">
        <v>46</v>
      </c>
      <c r="K2224" s="108" t="s">
        <v>18053</v>
      </c>
      <c r="L2224" s="110">
        <v>3</v>
      </c>
      <c r="M2224" s="111" t="s">
        <v>46</v>
      </c>
      <c r="N2224" s="108" t="s">
        <v>18051</v>
      </c>
      <c r="O2224" s="110">
        <v>3</v>
      </c>
      <c r="P2224" s="111" t="s">
        <v>46</v>
      </c>
      <c r="Q2224" s="108" t="s">
        <v>18054</v>
      </c>
      <c r="R2224" s="110">
        <v>3</v>
      </c>
      <c r="S2224" s="113"/>
      <c r="T2224" s="108" t="s">
        <v>47</v>
      </c>
      <c r="U2224" s="114"/>
      <c r="V2224" s="113"/>
      <c r="W2224" s="108" t="s">
        <v>47</v>
      </c>
      <c r="X2224" s="114"/>
      <c r="Y2224" s="113"/>
      <c r="Z2224" s="108" t="s">
        <v>47</v>
      </c>
      <c r="AA2224" s="114"/>
      <c r="AB2224" s="113"/>
      <c r="AC2224" s="105" t="s">
        <v>5019</v>
      </c>
      <c r="AD2224" s="115" t="s">
        <v>107</v>
      </c>
    </row>
    <row r="2225" spans="1:30" x14ac:dyDescent="0.2">
      <c r="A2225" s="104" t="s">
        <v>5020</v>
      </c>
      <c r="B2225" s="105" t="s">
        <v>805</v>
      </c>
      <c r="C2225" s="105" t="s">
        <v>439</v>
      </c>
      <c r="D2225" s="106"/>
      <c r="E2225" s="107" t="s">
        <v>146</v>
      </c>
      <c r="F2225" s="108" t="s">
        <v>18055</v>
      </c>
      <c r="G2225" s="119">
        <v>1</v>
      </c>
      <c r="H2225" s="108" t="s">
        <v>18056</v>
      </c>
      <c r="I2225" s="116">
        <v>1</v>
      </c>
      <c r="J2225" s="113"/>
      <c r="K2225" s="108" t="s">
        <v>18057</v>
      </c>
      <c r="L2225" s="116">
        <v>1</v>
      </c>
      <c r="M2225" s="113"/>
      <c r="N2225" s="108" t="s">
        <v>18055</v>
      </c>
      <c r="O2225" s="116">
        <v>1</v>
      </c>
      <c r="P2225" s="113"/>
      <c r="Q2225" s="108" t="s">
        <v>18058</v>
      </c>
      <c r="R2225" s="117">
        <v>2</v>
      </c>
      <c r="S2225" s="113"/>
      <c r="T2225" s="108" t="s">
        <v>47</v>
      </c>
      <c r="U2225" s="114"/>
      <c r="V2225" s="113"/>
      <c r="W2225" s="108" t="s">
        <v>47</v>
      </c>
      <c r="X2225" s="114"/>
      <c r="Y2225" s="113"/>
      <c r="Z2225" s="108" t="s">
        <v>47</v>
      </c>
      <c r="AA2225" s="114"/>
      <c r="AB2225" s="113"/>
      <c r="AC2225" s="105" t="s">
        <v>5021</v>
      </c>
      <c r="AD2225" s="115" t="s">
        <v>107</v>
      </c>
    </row>
    <row r="2226" spans="1:30" x14ac:dyDescent="0.2">
      <c r="A2226" s="104" t="s">
        <v>5022</v>
      </c>
      <c r="B2226" s="105" t="s">
        <v>805</v>
      </c>
      <c r="C2226" s="105" t="s">
        <v>439</v>
      </c>
      <c r="D2226" s="106"/>
      <c r="E2226" s="107" t="s">
        <v>146</v>
      </c>
      <c r="F2226" s="108" t="s">
        <v>18059</v>
      </c>
      <c r="G2226" s="119">
        <v>1</v>
      </c>
      <c r="H2226" s="108" t="s">
        <v>18060</v>
      </c>
      <c r="I2226" s="116">
        <v>1</v>
      </c>
      <c r="J2226" s="113"/>
      <c r="K2226" s="108" t="s">
        <v>18061</v>
      </c>
      <c r="L2226" s="116">
        <v>1</v>
      </c>
      <c r="M2226" s="113"/>
      <c r="N2226" s="108" t="s">
        <v>18059</v>
      </c>
      <c r="O2226" s="116">
        <v>1</v>
      </c>
      <c r="P2226" s="113"/>
      <c r="Q2226" s="108" t="s">
        <v>18062</v>
      </c>
      <c r="R2226" s="117">
        <v>2</v>
      </c>
      <c r="S2226" s="113"/>
      <c r="T2226" s="108" t="s">
        <v>47</v>
      </c>
      <c r="U2226" s="114"/>
      <c r="V2226" s="113"/>
      <c r="W2226" s="108" t="s">
        <v>47</v>
      </c>
      <c r="X2226" s="114"/>
      <c r="Y2226" s="113"/>
      <c r="Z2226" s="108" t="s">
        <v>47</v>
      </c>
      <c r="AA2226" s="114"/>
      <c r="AB2226" s="113"/>
      <c r="AC2226" s="105" t="s">
        <v>5023</v>
      </c>
      <c r="AD2226" s="115" t="s">
        <v>107</v>
      </c>
    </row>
    <row r="2227" spans="1:30" x14ac:dyDescent="0.2">
      <c r="A2227" s="104" t="s">
        <v>5024</v>
      </c>
      <c r="B2227" s="105" t="s">
        <v>805</v>
      </c>
      <c r="C2227" s="105" t="s">
        <v>112</v>
      </c>
      <c r="D2227" s="106"/>
      <c r="E2227" s="107" t="s">
        <v>182</v>
      </c>
      <c r="F2227" s="108" t="s">
        <v>18063</v>
      </c>
      <c r="G2227" s="120">
        <v>2</v>
      </c>
      <c r="H2227" s="108" t="s">
        <v>18064</v>
      </c>
      <c r="I2227" s="110">
        <v>3</v>
      </c>
      <c r="J2227" s="111" t="s">
        <v>40</v>
      </c>
      <c r="K2227" s="108" t="s">
        <v>18065</v>
      </c>
      <c r="L2227" s="110">
        <v>3</v>
      </c>
      <c r="M2227" s="113"/>
      <c r="N2227" s="108" t="s">
        <v>18063</v>
      </c>
      <c r="O2227" s="117">
        <v>2</v>
      </c>
      <c r="P2227" s="111" t="s">
        <v>40</v>
      </c>
      <c r="Q2227" s="108" t="s">
        <v>18066</v>
      </c>
      <c r="R2227" s="112">
        <v>4</v>
      </c>
      <c r="S2227" s="113"/>
      <c r="T2227" s="108" t="s">
        <v>47</v>
      </c>
      <c r="U2227" s="114"/>
      <c r="V2227" s="113"/>
      <c r="W2227" s="108" t="s">
        <v>47</v>
      </c>
      <c r="X2227" s="114"/>
      <c r="Y2227" s="113"/>
      <c r="Z2227" s="108" t="s">
        <v>47</v>
      </c>
      <c r="AA2227" s="114"/>
      <c r="AB2227" s="113"/>
      <c r="AC2227" s="105" t="s">
        <v>5025</v>
      </c>
      <c r="AD2227" s="115" t="s">
        <v>107</v>
      </c>
    </row>
    <row r="2228" spans="1:30" x14ac:dyDescent="0.2">
      <c r="A2228" s="104" t="s">
        <v>5026</v>
      </c>
      <c r="B2228" s="105" t="s">
        <v>805</v>
      </c>
      <c r="C2228" s="105" t="s">
        <v>112</v>
      </c>
      <c r="D2228" s="106"/>
      <c r="E2228" s="107" t="s">
        <v>182</v>
      </c>
      <c r="F2228" s="108" t="s">
        <v>18067</v>
      </c>
      <c r="G2228" s="119">
        <v>1</v>
      </c>
      <c r="H2228" s="108" t="s">
        <v>18068</v>
      </c>
      <c r="I2228" s="116">
        <v>1</v>
      </c>
      <c r="J2228" s="113"/>
      <c r="K2228" s="108" t="s">
        <v>18069</v>
      </c>
      <c r="L2228" s="116">
        <v>1</v>
      </c>
      <c r="M2228" s="113"/>
      <c r="N2228" s="108" t="s">
        <v>18067</v>
      </c>
      <c r="O2228" s="116">
        <v>1</v>
      </c>
      <c r="P2228" s="113"/>
      <c r="Q2228" s="108" t="s">
        <v>18070</v>
      </c>
      <c r="R2228" s="117">
        <v>2</v>
      </c>
      <c r="S2228" s="113"/>
      <c r="T2228" s="108" t="s">
        <v>47</v>
      </c>
      <c r="U2228" s="114"/>
      <c r="V2228" s="113"/>
      <c r="W2228" s="108" t="s">
        <v>47</v>
      </c>
      <c r="X2228" s="114"/>
      <c r="Y2228" s="113"/>
      <c r="Z2228" s="108" t="s">
        <v>47</v>
      </c>
      <c r="AA2228" s="114"/>
      <c r="AB2228" s="113"/>
      <c r="AC2228" s="105" t="s">
        <v>5027</v>
      </c>
      <c r="AD2228" s="115" t="s">
        <v>107</v>
      </c>
    </row>
    <row r="2229" spans="1:30" x14ac:dyDescent="0.2">
      <c r="A2229" s="104" t="s">
        <v>5028</v>
      </c>
      <c r="B2229" s="105" t="s">
        <v>805</v>
      </c>
      <c r="C2229" s="105" t="s">
        <v>112</v>
      </c>
      <c r="D2229" s="106"/>
      <c r="E2229" s="107" t="s">
        <v>182</v>
      </c>
      <c r="F2229" s="108" t="s">
        <v>18071</v>
      </c>
      <c r="G2229" s="120">
        <v>2</v>
      </c>
      <c r="H2229" s="108" t="s">
        <v>18072</v>
      </c>
      <c r="I2229" s="112">
        <v>4</v>
      </c>
      <c r="J2229" s="113"/>
      <c r="K2229" s="108" t="s">
        <v>18073</v>
      </c>
      <c r="L2229" s="112">
        <v>4</v>
      </c>
      <c r="M2229" s="113"/>
      <c r="N2229" s="108" t="s">
        <v>18071</v>
      </c>
      <c r="O2229" s="117">
        <v>2</v>
      </c>
      <c r="P2229" s="113"/>
      <c r="Q2229" s="108" t="s">
        <v>18074</v>
      </c>
      <c r="R2229" s="112">
        <v>4</v>
      </c>
      <c r="S2229" s="111" t="s">
        <v>55</v>
      </c>
      <c r="T2229" s="108" t="s">
        <v>47</v>
      </c>
      <c r="U2229" s="114"/>
      <c r="V2229" s="113"/>
      <c r="W2229" s="108" t="s">
        <v>47</v>
      </c>
      <c r="X2229" s="114"/>
      <c r="Y2229" s="113"/>
      <c r="Z2229" s="108" t="s">
        <v>47</v>
      </c>
      <c r="AA2229" s="114"/>
      <c r="AB2229" s="113"/>
      <c r="AC2229" s="105" t="s">
        <v>5029</v>
      </c>
      <c r="AD2229" s="115" t="s">
        <v>107</v>
      </c>
    </row>
    <row r="2230" spans="1:30" x14ac:dyDescent="0.2">
      <c r="A2230" s="104" t="s">
        <v>5030</v>
      </c>
      <c r="B2230" s="105" t="s">
        <v>805</v>
      </c>
      <c r="C2230" s="105" t="s">
        <v>2893</v>
      </c>
      <c r="D2230" s="106"/>
      <c r="E2230" s="107" t="s">
        <v>146</v>
      </c>
      <c r="F2230" s="108" t="s">
        <v>18075</v>
      </c>
      <c r="G2230" s="120">
        <v>2</v>
      </c>
      <c r="H2230" s="108" t="s">
        <v>18076</v>
      </c>
      <c r="I2230" s="110">
        <v>3</v>
      </c>
      <c r="J2230" s="111" t="s">
        <v>46</v>
      </c>
      <c r="K2230" s="108" t="s">
        <v>18077</v>
      </c>
      <c r="L2230" s="117">
        <v>2</v>
      </c>
      <c r="M2230" s="113"/>
      <c r="N2230" s="108" t="s">
        <v>18075</v>
      </c>
      <c r="O2230" s="117">
        <v>2</v>
      </c>
      <c r="P2230" s="113"/>
      <c r="Q2230" s="108" t="s">
        <v>18078</v>
      </c>
      <c r="R2230" s="110">
        <v>3</v>
      </c>
      <c r="S2230" s="113"/>
      <c r="T2230" s="108" t="s">
        <v>47</v>
      </c>
      <c r="U2230" s="114"/>
      <c r="V2230" s="113"/>
      <c r="W2230" s="108" t="s">
        <v>47</v>
      </c>
      <c r="X2230" s="114"/>
      <c r="Y2230" s="113"/>
      <c r="Z2230" s="108" t="s">
        <v>47</v>
      </c>
      <c r="AA2230" s="114"/>
      <c r="AB2230" s="113"/>
      <c r="AC2230" s="105" t="s">
        <v>5031</v>
      </c>
      <c r="AD2230" s="115" t="s">
        <v>107</v>
      </c>
    </row>
    <row r="2231" spans="1:30" x14ac:dyDescent="0.2">
      <c r="A2231" s="104" t="s">
        <v>5032</v>
      </c>
      <c r="B2231" s="105" t="s">
        <v>805</v>
      </c>
      <c r="C2231" s="105" t="s">
        <v>2893</v>
      </c>
      <c r="D2231" s="106"/>
      <c r="E2231" s="107" t="s">
        <v>146</v>
      </c>
      <c r="F2231" s="108" t="s">
        <v>18079</v>
      </c>
      <c r="G2231" s="120">
        <v>2</v>
      </c>
      <c r="H2231" s="108" t="s">
        <v>18080</v>
      </c>
      <c r="I2231" s="110">
        <v>3</v>
      </c>
      <c r="J2231" s="111" t="s">
        <v>46</v>
      </c>
      <c r="K2231" s="108" t="s">
        <v>18081</v>
      </c>
      <c r="L2231" s="117">
        <v>2</v>
      </c>
      <c r="M2231" s="113"/>
      <c r="N2231" s="108" t="s">
        <v>18079</v>
      </c>
      <c r="O2231" s="117">
        <v>2</v>
      </c>
      <c r="P2231" s="113"/>
      <c r="Q2231" s="108" t="s">
        <v>18082</v>
      </c>
      <c r="R2231" s="110">
        <v>3</v>
      </c>
      <c r="S2231" s="113"/>
      <c r="T2231" s="108" t="s">
        <v>47</v>
      </c>
      <c r="U2231" s="114"/>
      <c r="V2231" s="113"/>
      <c r="W2231" s="108" t="s">
        <v>47</v>
      </c>
      <c r="X2231" s="114"/>
      <c r="Y2231" s="113"/>
      <c r="Z2231" s="108" t="s">
        <v>47</v>
      </c>
      <c r="AA2231" s="114"/>
      <c r="AB2231" s="113"/>
      <c r="AC2231" s="105" t="s">
        <v>5033</v>
      </c>
      <c r="AD2231" s="115" t="s">
        <v>107</v>
      </c>
    </row>
    <row r="2232" spans="1:30" x14ac:dyDescent="0.2">
      <c r="A2232" s="104" t="s">
        <v>5034</v>
      </c>
      <c r="B2232" s="105" t="s">
        <v>805</v>
      </c>
      <c r="C2232" s="105" t="s">
        <v>2893</v>
      </c>
      <c r="D2232" s="106"/>
      <c r="E2232" s="107" t="s">
        <v>146</v>
      </c>
      <c r="F2232" s="108" t="s">
        <v>18083</v>
      </c>
      <c r="G2232" s="118">
        <v>3</v>
      </c>
      <c r="H2232" s="108" t="s">
        <v>18084</v>
      </c>
      <c r="I2232" s="110">
        <v>3</v>
      </c>
      <c r="J2232" s="111" t="s">
        <v>46</v>
      </c>
      <c r="K2232" s="108" t="s">
        <v>18085</v>
      </c>
      <c r="L2232" s="110">
        <v>3</v>
      </c>
      <c r="M2232" s="111" t="s">
        <v>46</v>
      </c>
      <c r="N2232" s="108" t="s">
        <v>18083</v>
      </c>
      <c r="O2232" s="110">
        <v>3</v>
      </c>
      <c r="P2232" s="111" t="s">
        <v>46</v>
      </c>
      <c r="Q2232" s="108" t="s">
        <v>18086</v>
      </c>
      <c r="R2232" s="110">
        <v>3</v>
      </c>
      <c r="S2232" s="113"/>
      <c r="T2232" s="108" t="s">
        <v>47</v>
      </c>
      <c r="U2232" s="114"/>
      <c r="V2232" s="113"/>
      <c r="W2232" s="108" t="s">
        <v>47</v>
      </c>
      <c r="X2232" s="114"/>
      <c r="Y2232" s="113"/>
      <c r="Z2232" s="108" t="s">
        <v>47</v>
      </c>
      <c r="AA2232" s="114"/>
      <c r="AB2232" s="113"/>
      <c r="AC2232" s="105" t="s">
        <v>5035</v>
      </c>
      <c r="AD2232" s="115" t="s">
        <v>107</v>
      </c>
    </row>
    <row r="2233" spans="1:30" x14ac:dyDescent="0.2">
      <c r="A2233" s="104" t="s">
        <v>5036</v>
      </c>
      <c r="B2233" s="105" t="s">
        <v>805</v>
      </c>
      <c r="C2233" s="105" t="s">
        <v>2893</v>
      </c>
      <c r="D2233" s="106"/>
      <c r="E2233" s="107" t="s">
        <v>146</v>
      </c>
      <c r="F2233" s="108" t="s">
        <v>18087</v>
      </c>
      <c r="G2233" s="118">
        <v>3</v>
      </c>
      <c r="H2233" s="108" t="s">
        <v>18088</v>
      </c>
      <c r="I2233" s="110">
        <v>3</v>
      </c>
      <c r="J2233" s="111" t="s">
        <v>46</v>
      </c>
      <c r="K2233" s="108" t="s">
        <v>18089</v>
      </c>
      <c r="L2233" s="110">
        <v>3</v>
      </c>
      <c r="M2233" s="111" t="s">
        <v>46</v>
      </c>
      <c r="N2233" s="108" t="s">
        <v>18087</v>
      </c>
      <c r="O2233" s="110">
        <v>3</v>
      </c>
      <c r="P2233" s="111" t="s">
        <v>46</v>
      </c>
      <c r="Q2233" s="108" t="s">
        <v>18090</v>
      </c>
      <c r="R2233" s="110">
        <v>3</v>
      </c>
      <c r="S2233" s="111" t="s">
        <v>46</v>
      </c>
      <c r="T2233" s="108" t="s">
        <v>47</v>
      </c>
      <c r="U2233" s="114"/>
      <c r="V2233" s="113"/>
      <c r="W2233" s="108" t="s">
        <v>47</v>
      </c>
      <c r="X2233" s="114"/>
      <c r="Y2233" s="113"/>
      <c r="Z2233" s="108" t="s">
        <v>47</v>
      </c>
      <c r="AA2233" s="114"/>
      <c r="AB2233" s="113"/>
      <c r="AC2233" s="105" t="s">
        <v>5037</v>
      </c>
      <c r="AD2233" s="115" t="s">
        <v>107</v>
      </c>
    </row>
    <row r="2234" spans="1:30" x14ac:dyDescent="0.2">
      <c r="A2234" s="104" t="s">
        <v>5038</v>
      </c>
      <c r="B2234" s="105" t="s">
        <v>805</v>
      </c>
      <c r="C2234" s="105" t="s">
        <v>2893</v>
      </c>
      <c r="D2234" s="106"/>
      <c r="E2234" s="107" t="s">
        <v>146</v>
      </c>
      <c r="F2234" s="108" t="s">
        <v>18091</v>
      </c>
      <c r="G2234" s="118">
        <v>3</v>
      </c>
      <c r="H2234" s="108" t="s">
        <v>18092</v>
      </c>
      <c r="I2234" s="112">
        <v>4</v>
      </c>
      <c r="J2234" s="111" t="s">
        <v>55</v>
      </c>
      <c r="K2234" s="108" t="s">
        <v>18093</v>
      </c>
      <c r="L2234" s="110">
        <v>3</v>
      </c>
      <c r="M2234" s="111" t="s">
        <v>46</v>
      </c>
      <c r="N2234" s="108" t="s">
        <v>18091</v>
      </c>
      <c r="O2234" s="110">
        <v>3</v>
      </c>
      <c r="P2234" s="111" t="s">
        <v>46</v>
      </c>
      <c r="Q2234" s="108" t="s">
        <v>18094</v>
      </c>
      <c r="R2234" s="110">
        <v>3</v>
      </c>
      <c r="S2234" s="111" t="s">
        <v>46</v>
      </c>
      <c r="T2234" s="108" t="s">
        <v>47</v>
      </c>
      <c r="U2234" s="114"/>
      <c r="V2234" s="113"/>
      <c r="W2234" s="108" t="s">
        <v>47</v>
      </c>
      <c r="X2234" s="114"/>
      <c r="Y2234" s="113"/>
      <c r="Z2234" s="108" t="s">
        <v>47</v>
      </c>
      <c r="AA2234" s="114"/>
      <c r="AB2234" s="113"/>
      <c r="AC2234" s="105" t="s">
        <v>5039</v>
      </c>
      <c r="AD2234" s="115" t="s">
        <v>107</v>
      </c>
    </row>
    <row r="2235" spans="1:30" x14ac:dyDescent="0.2">
      <c r="A2235" s="104" t="s">
        <v>5040</v>
      </c>
      <c r="B2235" s="105" t="s">
        <v>805</v>
      </c>
      <c r="C2235" s="105" t="s">
        <v>2893</v>
      </c>
      <c r="D2235" s="106"/>
      <c r="E2235" s="107" t="s">
        <v>146</v>
      </c>
      <c r="F2235" s="108" t="s">
        <v>47</v>
      </c>
      <c r="G2235" s="113"/>
      <c r="H2235" s="108" t="s">
        <v>18095</v>
      </c>
      <c r="I2235" s="110">
        <v>3</v>
      </c>
      <c r="J2235" s="111" t="s">
        <v>46</v>
      </c>
      <c r="K2235" s="108" t="s">
        <v>18096</v>
      </c>
      <c r="L2235" s="110">
        <v>3</v>
      </c>
      <c r="M2235" s="111" t="s">
        <v>46</v>
      </c>
      <c r="N2235" s="108" t="s">
        <v>47</v>
      </c>
      <c r="O2235" s="114"/>
      <c r="P2235" s="113"/>
      <c r="Q2235" s="108" t="s">
        <v>47</v>
      </c>
      <c r="R2235" s="114"/>
      <c r="S2235" s="113"/>
      <c r="T2235" s="108" t="s">
        <v>47</v>
      </c>
      <c r="U2235" s="114"/>
      <c r="V2235" s="113"/>
      <c r="W2235" s="108" t="s">
        <v>47</v>
      </c>
      <c r="X2235" s="114"/>
      <c r="Y2235" s="113"/>
      <c r="Z2235" s="108" t="s">
        <v>47</v>
      </c>
      <c r="AA2235" s="114"/>
      <c r="AB2235" s="113"/>
      <c r="AC2235" s="105" t="s">
        <v>5041</v>
      </c>
      <c r="AD2235" s="115" t="s">
        <v>107</v>
      </c>
    </row>
    <row r="2236" spans="1:30" x14ac:dyDescent="0.2">
      <c r="A2236" s="104" t="s">
        <v>5042</v>
      </c>
      <c r="B2236" s="105" t="s">
        <v>805</v>
      </c>
      <c r="C2236" s="105" t="s">
        <v>439</v>
      </c>
      <c r="D2236" s="106"/>
      <c r="E2236" s="107" t="s">
        <v>146</v>
      </c>
      <c r="F2236" s="108" t="s">
        <v>18097</v>
      </c>
      <c r="G2236" s="119">
        <v>1</v>
      </c>
      <c r="H2236" s="108" t="s">
        <v>18098</v>
      </c>
      <c r="I2236" s="116">
        <v>1</v>
      </c>
      <c r="J2236" s="113"/>
      <c r="K2236" s="108" t="s">
        <v>18099</v>
      </c>
      <c r="L2236" s="116">
        <v>1</v>
      </c>
      <c r="M2236" s="113"/>
      <c r="N2236" s="108" t="s">
        <v>18097</v>
      </c>
      <c r="O2236" s="116">
        <v>1</v>
      </c>
      <c r="P2236" s="111" t="s">
        <v>40</v>
      </c>
      <c r="Q2236" s="108" t="s">
        <v>18100</v>
      </c>
      <c r="R2236" s="110">
        <v>3</v>
      </c>
      <c r="S2236" s="113"/>
      <c r="T2236" s="108" t="s">
        <v>47</v>
      </c>
      <c r="U2236" s="114"/>
      <c r="V2236" s="113"/>
      <c r="W2236" s="108" t="s">
        <v>47</v>
      </c>
      <c r="X2236" s="114"/>
      <c r="Y2236" s="113"/>
      <c r="Z2236" s="108" t="s">
        <v>47</v>
      </c>
      <c r="AA2236" s="114"/>
      <c r="AB2236" s="113"/>
      <c r="AC2236" s="105" t="s">
        <v>5043</v>
      </c>
      <c r="AD2236" s="115" t="s">
        <v>107</v>
      </c>
    </row>
    <row r="2237" spans="1:30" x14ac:dyDescent="0.2">
      <c r="A2237" s="104" t="s">
        <v>5044</v>
      </c>
      <c r="B2237" s="105" t="s">
        <v>805</v>
      </c>
      <c r="C2237" s="105" t="s">
        <v>439</v>
      </c>
      <c r="D2237" s="106"/>
      <c r="E2237" s="107" t="s">
        <v>146</v>
      </c>
      <c r="F2237" s="108" t="s">
        <v>18101</v>
      </c>
      <c r="G2237" s="119">
        <v>1</v>
      </c>
      <c r="H2237" s="108" t="s">
        <v>18102</v>
      </c>
      <c r="I2237" s="116">
        <v>1</v>
      </c>
      <c r="J2237" s="113"/>
      <c r="K2237" s="108" t="s">
        <v>18103</v>
      </c>
      <c r="L2237" s="116">
        <v>1</v>
      </c>
      <c r="M2237" s="113"/>
      <c r="N2237" s="108" t="s">
        <v>18101</v>
      </c>
      <c r="O2237" s="116">
        <v>1</v>
      </c>
      <c r="P2237" s="111" t="s">
        <v>40</v>
      </c>
      <c r="Q2237" s="108" t="s">
        <v>18104</v>
      </c>
      <c r="R2237" s="110">
        <v>3</v>
      </c>
      <c r="S2237" s="113"/>
      <c r="T2237" s="108" t="s">
        <v>47</v>
      </c>
      <c r="U2237" s="114"/>
      <c r="V2237" s="113"/>
      <c r="W2237" s="108" t="s">
        <v>47</v>
      </c>
      <c r="X2237" s="114"/>
      <c r="Y2237" s="113"/>
      <c r="Z2237" s="108" t="s">
        <v>47</v>
      </c>
      <c r="AA2237" s="114"/>
      <c r="AB2237" s="113"/>
      <c r="AC2237" s="105" t="s">
        <v>5045</v>
      </c>
      <c r="AD2237" s="115" t="s">
        <v>107</v>
      </c>
    </row>
    <row r="2238" spans="1:30" x14ac:dyDescent="0.2">
      <c r="A2238" s="104" t="s">
        <v>5046</v>
      </c>
      <c r="B2238" s="105" t="s">
        <v>805</v>
      </c>
      <c r="C2238" s="105" t="s">
        <v>2893</v>
      </c>
      <c r="D2238" s="106"/>
      <c r="E2238" s="107" t="s">
        <v>146</v>
      </c>
      <c r="F2238" s="108" t="s">
        <v>18105</v>
      </c>
      <c r="G2238" s="118">
        <v>3</v>
      </c>
      <c r="H2238" s="108" t="s">
        <v>18106</v>
      </c>
      <c r="I2238" s="110">
        <v>3</v>
      </c>
      <c r="J2238" s="111" t="s">
        <v>46</v>
      </c>
      <c r="K2238" s="108" t="s">
        <v>18107</v>
      </c>
      <c r="L2238" s="110">
        <v>3</v>
      </c>
      <c r="M2238" s="111" t="s">
        <v>46</v>
      </c>
      <c r="N2238" s="108" t="s">
        <v>18105</v>
      </c>
      <c r="O2238" s="110">
        <v>3</v>
      </c>
      <c r="P2238" s="113"/>
      <c r="Q2238" s="108" t="s">
        <v>18108</v>
      </c>
      <c r="R2238" s="110">
        <v>3</v>
      </c>
      <c r="S2238" s="113"/>
      <c r="T2238" s="108" t="s">
        <v>47</v>
      </c>
      <c r="U2238" s="114"/>
      <c r="V2238" s="113"/>
      <c r="W2238" s="108" t="s">
        <v>47</v>
      </c>
      <c r="X2238" s="114"/>
      <c r="Y2238" s="113"/>
      <c r="Z2238" s="108" t="s">
        <v>47</v>
      </c>
      <c r="AA2238" s="114"/>
      <c r="AB2238" s="113"/>
      <c r="AC2238" s="105" t="s">
        <v>5047</v>
      </c>
      <c r="AD2238" s="115" t="s">
        <v>107</v>
      </c>
    </row>
    <row r="2239" spans="1:30" x14ac:dyDescent="0.2">
      <c r="A2239" s="104" t="s">
        <v>5048</v>
      </c>
      <c r="B2239" s="105" t="s">
        <v>805</v>
      </c>
      <c r="C2239" s="105" t="s">
        <v>2893</v>
      </c>
      <c r="D2239" s="106"/>
      <c r="E2239" s="107" t="s">
        <v>146</v>
      </c>
      <c r="F2239" s="108" t="s">
        <v>18109</v>
      </c>
      <c r="G2239" s="118">
        <v>3</v>
      </c>
      <c r="H2239" s="108" t="s">
        <v>18110</v>
      </c>
      <c r="I2239" s="110">
        <v>3</v>
      </c>
      <c r="J2239" s="111" t="s">
        <v>46</v>
      </c>
      <c r="K2239" s="108" t="s">
        <v>18111</v>
      </c>
      <c r="L2239" s="110">
        <v>3</v>
      </c>
      <c r="M2239" s="111" t="s">
        <v>46</v>
      </c>
      <c r="N2239" s="108" t="s">
        <v>18109</v>
      </c>
      <c r="O2239" s="110">
        <v>3</v>
      </c>
      <c r="P2239" s="113"/>
      <c r="Q2239" s="108" t="s">
        <v>47</v>
      </c>
      <c r="R2239" s="114"/>
      <c r="S2239" s="113"/>
      <c r="T2239" s="108" t="s">
        <v>47</v>
      </c>
      <c r="U2239" s="114"/>
      <c r="V2239" s="113"/>
      <c r="W2239" s="108" t="s">
        <v>47</v>
      </c>
      <c r="X2239" s="114"/>
      <c r="Y2239" s="113"/>
      <c r="Z2239" s="108" t="s">
        <v>47</v>
      </c>
      <c r="AA2239" s="114"/>
      <c r="AB2239" s="113"/>
      <c r="AC2239" s="105" t="s">
        <v>5049</v>
      </c>
      <c r="AD2239" s="115" t="s">
        <v>107</v>
      </c>
    </row>
    <row r="2240" spans="1:30" x14ac:dyDescent="0.2">
      <c r="A2240" s="104" t="s">
        <v>5050</v>
      </c>
      <c r="B2240" s="105" t="s">
        <v>805</v>
      </c>
      <c r="C2240" s="105" t="s">
        <v>2893</v>
      </c>
      <c r="D2240" s="106"/>
      <c r="E2240" s="107" t="s">
        <v>146</v>
      </c>
      <c r="F2240" s="108" t="s">
        <v>47</v>
      </c>
      <c r="G2240" s="113"/>
      <c r="H2240" s="108" t="s">
        <v>18112</v>
      </c>
      <c r="I2240" s="110">
        <v>3</v>
      </c>
      <c r="J2240" s="111" t="s">
        <v>46</v>
      </c>
      <c r="K2240" s="108" t="s">
        <v>18113</v>
      </c>
      <c r="L2240" s="110">
        <v>3</v>
      </c>
      <c r="M2240" s="111" t="s">
        <v>46</v>
      </c>
      <c r="N2240" s="108" t="s">
        <v>47</v>
      </c>
      <c r="O2240" s="114"/>
      <c r="P2240" s="113"/>
      <c r="Q2240" s="108" t="s">
        <v>47</v>
      </c>
      <c r="R2240" s="114"/>
      <c r="S2240" s="113"/>
      <c r="T2240" s="108" t="s">
        <v>47</v>
      </c>
      <c r="U2240" s="114"/>
      <c r="V2240" s="113"/>
      <c r="W2240" s="108" t="s">
        <v>47</v>
      </c>
      <c r="X2240" s="114"/>
      <c r="Y2240" s="113"/>
      <c r="Z2240" s="108" t="s">
        <v>47</v>
      </c>
      <c r="AA2240" s="114"/>
      <c r="AB2240" s="113"/>
      <c r="AC2240" s="105" t="s">
        <v>5051</v>
      </c>
      <c r="AD2240" s="115" t="s">
        <v>107</v>
      </c>
    </row>
    <row r="2241" spans="1:30" x14ac:dyDescent="0.2">
      <c r="A2241" s="104" t="s">
        <v>5052</v>
      </c>
      <c r="B2241" s="105" t="s">
        <v>805</v>
      </c>
      <c r="C2241" s="105" t="s">
        <v>439</v>
      </c>
      <c r="D2241" s="106"/>
      <c r="E2241" s="107" t="s">
        <v>146</v>
      </c>
      <c r="F2241" s="108" t="s">
        <v>18114</v>
      </c>
      <c r="G2241" s="119">
        <v>1</v>
      </c>
      <c r="H2241" s="108" t="s">
        <v>18115</v>
      </c>
      <c r="I2241" s="116">
        <v>1</v>
      </c>
      <c r="J2241" s="113"/>
      <c r="K2241" s="108" t="s">
        <v>18116</v>
      </c>
      <c r="L2241" s="116">
        <v>1</v>
      </c>
      <c r="M2241" s="113"/>
      <c r="N2241" s="108" t="s">
        <v>18114</v>
      </c>
      <c r="O2241" s="116">
        <v>1</v>
      </c>
      <c r="P2241" s="113"/>
      <c r="Q2241" s="108" t="s">
        <v>18117</v>
      </c>
      <c r="R2241" s="117">
        <v>2</v>
      </c>
      <c r="S2241" s="113"/>
      <c r="T2241" s="108" t="s">
        <v>47</v>
      </c>
      <c r="U2241" s="114"/>
      <c r="V2241" s="113"/>
      <c r="W2241" s="108" t="s">
        <v>47</v>
      </c>
      <c r="X2241" s="114"/>
      <c r="Y2241" s="113"/>
      <c r="Z2241" s="108" t="s">
        <v>47</v>
      </c>
      <c r="AA2241" s="114"/>
      <c r="AB2241" s="113"/>
      <c r="AC2241" s="105" t="s">
        <v>5053</v>
      </c>
      <c r="AD2241" s="115" t="s">
        <v>107</v>
      </c>
    </row>
    <row r="2242" spans="1:30" x14ac:dyDescent="0.2">
      <c r="A2242" s="104" t="s">
        <v>5054</v>
      </c>
      <c r="B2242" s="105" t="s">
        <v>805</v>
      </c>
      <c r="C2242" s="105" t="s">
        <v>439</v>
      </c>
      <c r="D2242" s="106"/>
      <c r="E2242" s="107" t="s">
        <v>146</v>
      </c>
      <c r="F2242" s="108" t="s">
        <v>18118</v>
      </c>
      <c r="G2242" s="119">
        <v>1</v>
      </c>
      <c r="H2242" s="108" t="s">
        <v>18119</v>
      </c>
      <c r="I2242" s="116">
        <v>1</v>
      </c>
      <c r="J2242" s="113"/>
      <c r="K2242" s="108" t="s">
        <v>18120</v>
      </c>
      <c r="L2242" s="116">
        <v>1</v>
      </c>
      <c r="M2242" s="113"/>
      <c r="N2242" s="108" t="s">
        <v>18118</v>
      </c>
      <c r="O2242" s="116">
        <v>1</v>
      </c>
      <c r="P2242" s="113"/>
      <c r="Q2242" s="108" t="s">
        <v>18121</v>
      </c>
      <c r="R2242" s="117">
        <v>2</v>
      </c>
      <c r="S2242" s="113"/>
      <c r="T2242" s="108" t="s">
        <v>47</v>
      </c>
      <c r="U2242" s="114"/>
      <c r="V2242" s="113"/>
      <c r="W2242" s="108" t="s">
        <v>47</v>
      </c>
      <c r="X2242" s="114"/>
      <c r="Y2242" s="113"/>
      <c r="Z2242" s="108" t="s">
        <v>47</v>
      </c>
      <c r="AA2242" s="114"/>
      <c r="AB2242" s="113"/>
      <c r="AC2242" s="105" t="s">
        <v>5055</v>
      </c>
      <c r="AD2242" s="115" t="s">
        <v>107</v>
      </c>
    </row>
    <row r="2243" spans="1:30" x14ac:dyDescent="0.2">
      <c r="A2243" s="104" t="s">
        <v>5056</v>
      </c>
      <c r="B2243" s="105" t="s">
        <v>805</v>
      </c>
      <c r="C2243" s="105" t="s">
        <v>2893</v>
      </c>
      <c r="D2243" s="106"/>
      <c r="E2243" s="107" t="s">
        <v>146</v>
      </c>
      <c r="F2243" s="108" t="s">
        <v>18122</v>
      </c>
      <c r="G2243" s="120">
        <v>2</v>
      </c>
      <c r="H2243" s="108" t="s">
        <v>18123</v>
      </c>
      <c r="I2243" s="110">
        <v>3</v>
      </c>
      <c r="J2243" s="111" t="s">
        <v>46</v>
      </c>
      <c r="K2243" s="108" t="s">
        <v>5057</v>
      </c>
      <c r="L2243" s="117">
        <v>2</v>
      </c>
      <c r="M2243" s="113"/>
      <c r="N2243" s="108" t="s">
        <v>18122</v>
      </c>
      <c r="O2243" s="117">
        <v>2</v>
      </c>
      <c r="P2243" s="113"/>
      <c r="Q2243" s="108" t="s">
        <v>18124</v>
      </c>
      <c r="R2243" s="117">
        <v>2</v>
      </c>
      <c r="S2243" s="113"/>
      <c r="T2243" s="108" t="s">
        <v>47</v>
      </c>
      <c r="U2243" s="114"/>
      <c r="V2243" s="113"/>
      <c r="W2243" s="108" t="s">
        <v>47</v>
      </c>
      <c r="X2243" s="114"/>
      <c r="Y2243" s="113"/>
      <c r="Z2243" s="108" t="s">
        <v>47</v>
      </c>
      <c r="AA2243" s="114"/>
      <c r="AB2243" s="113"/>
      <c r="AC2243" s="105" t="s">
        <v>5058</v>
      </c>
      <c r="AD2243" s="115" t="s">
        <v>107</v>
      </c>
    </row>
    <row r="2244" spans="1:30" x14ac:dyDescent="0.2">
      <c r="A2244" s="104" t="s">
        <v>5059</v>
      </c>
      <c r="B2244" s="105" t="s">
        <v>805</v>
      </c>
      <c r="C2244" s="105" t="s">
        <v>2893</v>
      </c>
      <c r="D2244" s="106"/>
      <c r="E2244" s="107" t="s">
        <v>146</v>
      </c>
      <c r="F2244" s="108" t="s">
        <v>18125</v>
      </c>
      <c r="G2244" s="120">
        <v>2</v>
      </c>
      <c r="H2244" s="108" t="s">
        <v>18126</v>
      </c>
      <c r="I2244" s="110">
        <v>3</v>
      </c>
      <c r="J2244" s="111" t="s">
        <v>46</v>
      </c>
      <c r="K2244" s="108" t="s">
        <v>18127</v>
      </c>
      <c r="L2244" s="117">
        <v>2</v>
      </c>
      <c r="M2244" s="113"/>
      <c r="N2244" s="108" t="s">
        <v>18125</v>
      </c>
      <c r="O2244" s="117">
        <v>2</v>
      </c>
      <c r="P2244" s="113"/>
      <c r="Q2244" s="108" t="s">
        <v>18128</v>
      </c>
      <c r="R2244" s="117">
        <v>2</v>
      </c>
      <c r="S2244" s="113"/>
      <c r="T2244" s="108" t="s">
        <v>47</v>
      </c>
      <c r="U2244" s="114"/>
      <c r="V2244" s="113"/>
      <c r="W2244" s="108" t="s">
        <v>47</v>
      </c>
      <c r="X2244" s="114"/>
      <c r="Y2244" s="113"/>
      <c r="Z2244" s="108" t="s">
        <v>47</v>
      </c>
      <c r="AA2244" s="114"/>
      <c r="AB2244" s="113"/>
      <c r="AC2244" s="105" t="s">
        <v>5060</v>
      </c>
      <c r="AD2244" s="115" t="s">
        <v>107</v>
      </c>
    </row>
    <row r="2245" spans="1:30" x14ac:dyDescent="0.2">
      <c r="A2245" s="104" t="s">
        <v>5061</v>
      </c>
      <c r="B2245" s="105" t="s">
        <v>805</v>
      </c>
      <c r="C2245" s="105" t="s">
        <v>2978</v>
      </c>
      <c r="D2245" s="106" t="s">
        <v>125</v>
      </c>
      <c r="E2245" s="107" t="s">
        <v>146</v>
      </c>
      <c r="F2245" s="108" t="s">
        <v>18129</v>
      </c>
      <c r="G2245" s="109">
        <v>4</v>
      </c>
      <c r="H2245" s="108" t="s">
        <v>18130</v>
      </c>
      <c r="I2245" s="110">
        <v>3</v>
      </c>
      <c r="J2245" s="113"/>
      <c r="K2245" s="108" t="s">
        <v>16579</v>
      </c>
      <c r="L2245" s="112">
        <v>4</v>
      </c>
      <c r="M2245" s="113"/>
      <c r="N2245" s="108" t="s">
        <v>18129</v>
      </c>
      <c r="O2245" s="112">
        <v>4</v>
      </c>
      <c r="P2245" s="113"/>
      <c r="Q2245" s="108" t="s">
        <v>18131</v>
      </c>
      <c r="R2245" s="110">
        <v>3</v>
      </c>
      <c r="S2245" s="113"/>
      <c r="T2245" s="108" t="s">
        <v>18132</v>
      </c>
      <c r="U2245" s="110">
        <v>3</v>
      </c>
      <c r="V2245" s="113"/>
      <c r="W2245" s="108" t="s">
        <v>18133</v>
      </c>
      <c r="X2245" s="110">
        <v>3</v>
      </c>
      <c r="Y2245" s="113"/>
      <c r="Z2245" s="108" t="s">
        <v>47</v>
      </c>
      <c r="AA2245" s="114"/>
      <c r="AB2245" s="113"/>
      <c r="AC2245" s="105" t="s">
        <v>5062</v>
      </c>
      <c r="AD2245" s="115" t="s">
        <v>107</v>
      </c>
    </row>
    <row r="2246" spans="1:30" x14ac:dyDescent="0.2">
      <c r="A2246" s="104" t="s">
        <v>5063</v>
      </c>
      <c r="B2246" s="105" t="s">
        <v>805</v>
      </c>
      <c r="C2246" s="105" t="s">
        <v>2978</v>
      </c>
      <c r="D2246" s="106" t="s">
        <v>125</v>
      </c>
      <c r="E2246" s="107" t="s">
        <v>146</v>
      </c>
      <c r="F2246" s="108" t="s">
        <v>18134</v>
      </c>
      <c r="G2246" s="109">
        <v>4</v>
      </c>
      <c r="H2246" s="108" t="s">
        <v>18135</v>
      </c>
      <c r="I2246" s="110">
        <v>3</v>
      </c>
      <c r="J2246" s="113"/>
      <c r="K2246" s="108" t="s">
        <v>18136</v>
      </c>
      <c r="L2246" s="112">
        <v>4</v>
      </c>
      <c r="M2246" s="113"/>
      <c r="N2246" s="108" t="s">
        <v>18134</v>
      </c>
      <c r="O2246" s="112">
        <v>4</v>
      </c>
      <c r="P2246" s="113"/>
      <c r="Q2246" s="108" t="s">
        <v>10767</v>
      </c>
      <c r="R2246" s="110">
        <v>3</v>
      </c>
      <c r="S2246" s="113"/>
      <c r="T2246" s="108" t="s">
        <v>18137</v>
      </c>
      <c r="U2246" s="110">
        <v>3</v>
      </c>
      <c r="V2246" s="113"/>
      <c r="W2246" s="108" t="s">
        <v>18138</v>
      </c>
      <c r="X2246" s="110">
        <v>3</v>
      </c>
      <c r="Y2246" s="113"/>
      <c r="Z2246" s="108" t="s">
        <v>47</v>
      </c>
      <c r="AA2246" s="114"/>
      <c r="AB2246" s="113"/>
      <c r="AC2246" s="105" t="s">
        <v>5064</v>
      </c>
      <c r="AD2246" s="115" t="s">
        <v>107</v>
      </c>
    </row>
    <row r="2247" spans="1:30" x14ac:dyDescent="0.2">
      <c r="A2247" s="104" t="s">
        <v>5065</v>
      </c>
      <c r="B2247" s="105" t="s">
        <v>805</v>
      </c>
      <c r="C2247" s="105" t="s">
        <v>5066</v>
      </c>
      <c r="D2247" s="106" t="s">
        <v>125</v>
      </c>
      <c r="E2247" s="107" t="s">
        <v>182</v>
      </c>
      <c r="F2247" s="108" t="s">
        <v>18139</v>
      </c>
      <c r="G2247" s="118">
        <v>3</v>
      </c>
      <c r="H2247" s="108" t="s">
        <v>18140</v>
      </c>
      <c r="I2247" s="116">
        <v>1</v>
      </c>
      <c r="J2247" s="111" t="s">
        <v>40</v>
      </c>
      <c r="K2247" s="108" t="s">
        <v>18141</v>
      </c>
      <c r="L2247" s="110">
        <v>3</v>
      </c>
      <c r="M2247" s="111" t="s">
        <v>40</v>
      </c>
      <c r="N2247" s="108" t="s">
        <v>18139</v>
      </c>
      <c r="O2247" s="110">
        <v>3</v>
      </c>
      <c r="P2247" s="111" t="s">
        <v>40</v>
      </c>
      <c r="Q2247" s="108" t="s">
        <v>18142</v>
      </c>
      <c r="R2247" s="112">
        <v>4</v>
      </c>
      <c r="S2247" s="113"/>
      <c r="T2247" s="108" t="s">
        <v>18143</v>
      </c>
      <c r="U2247" s="112">
        <v>4</v>
      </c>
      <c r="V2247" s="113"/>
      <c r="W2247" s="108" t="s">
        <v>18144</v>
      </c>
      <c r="X2247" s="110">
        <v>3</v>
      </c>
      <c r="Y2247" s="113"/>
      <c r="Z2247" s="108" t="s">
        <v>47</v>
      </c>
      <c r="AA2247" s="114"/>
      <c r="AB2247" s="113"/>
      <c r="AC2247" s="105" t="s">
        <v>5067</v>
      </c>
      <c r="AD2247" s="115" t="s">
        <v>107</v>
      </c>
    </row>
    <row r="2248" spans="1:30" x14ac:dyDescent="0.2">
      <c r="A2248" s="104" t="s">
        <v>5068</v>
      </c>
      <c r="B2248" s="105" t="s">
        <v>805</v>
      </c>
      <c r="C2248" s="105" t="s">
        <v>98</v>
      </c>
      <c r="D2248" s="106" t="s">
        <v>105</v>
      </c>
      <c r="E2248" s="107" t="s">
        <v>182</v>
      </c>
      <c r="F2248" s="108" t="s">
        <v>18145</v>
      </c>
      <c r="G2248" s="120">
        <v>2</v>
      </c>
      <c r="H2248" s="108" t="s">
        <v>18146</v>
      </c>
      <c r="I2248" s="116">
        <v>1</v>
      </c>
      <c r="J2248" s="113"/>
      <c r="K2248" s="108" t="s">
        <v>18147</v>
      </c>
      <c r="L2248" s="117">
        <v>2</v>
      </c>
      <c r="M2248" s="111" t="s">
        <v>40</v>
      </c>
      <c r="N2248" s="108" t="s">
        <v>18145</v>
      </c>
      <c r="O2248" s="117">
        <v>2</v>
      </c>
      <c r="P2248" s="111" t="s">
        <v>53</v>
      </c>
      <c r="Q2248" s="108" t="s">
        <v>18148</v>
      </c>
      <c r="R2248" s="112">
        <v>4</v>
      </c>
      <c r="S2248" s="113"/>
      <c r="T2248" s="108" t="s">
        <v>18149</v>
      </c>
      <c r="U2248" s="112">
        <v>4</v>
      </c>
      <c r="V2248" s="113"/>
      <c r="W2248" s="108" t="s">
        <v>18150</v>
      </c>
      <c r="X2248" s="112">
        <v>4</v>
      </c>
      <c r="Y2248" s="113"/>
      <c r="Z2248" s="108" t="s">
        <v>47</v>
      </c>
      <c r="AA2248" s="114"/>
      <c r="AB2248" s="113"/>
      <c r="AC2248" s="105" t="s">
        <v>5069</v>
      </c>
      <c r="AD2248" s="115" t="s">
        <v>107</v>
      </c>
    </row>
    <row r="2249" spans="1:30" x14ac:dyDescent="0.2">
      <c r="A2249" s="104" t="s">
        <v>5070</v>
      </c>
      <c r="B2249" s="105" t="s">
        <v>805</v>
      </c>
      <c r="C2249" s="105" t="s">
        <v>98</v>
      </c>
      <c r="D2249" s="106" t="s">
        <v>105</v>
      </c>
      <c r="E2249" s="107" t="s">
        <v>182</v>
      </c>
      <c r="F2249" s="108" t="s">
        <v>18151</v>
      </c>
      <c r="G2249" s="120">
        <v>2</v>
      </c>
      <c r="H2249" s="108" t="s">
        <v>18152</v>
      </c>
      <c r="I2249" s="116">
        <v>1</v>
      </c>
      <c r="J2249" s="113"/>
      <c r="K2249" s="108" t="s">
        <v>18153</v>
      </c>
      <c r="L2249" s="117">
        <v>2</v>
      </c>
      <c r="M2249" s="111" t="s">
        <v>40</v>
      </c>
      <c r="N2249" s="108" t="s">
        <v>18151</v>
      </c>
      <c r="O2249" s="117">
        <v>2</v>
      </c>
      <c r="P2249" s="111" t="s">
        <v>53</v>
      </c>
      <c r="Q2249" s="108" t="s">
        <v>18154</v>
      </c>
      <c r="R2249" s="112">
        <v>4</v>
      </c>
      <c r="S2249" s="113"/>
      <c r="T2249" s="108" t="s">
        <v>18155</v>
      </c>
      <c r="U2249" s="112">
        <v>4</v>
      </c>
      <c r="V2249" s="113"/>
      <c r="W2249" s="108" t="s">
        <v>18156</v>
      </c>
      <c r="X2249" s="112">
        <v>4</v>
      </c>
      <c r="Y2249" s="113"/>
      <c r="Z2249" s="108" t="s">
        <v>47</v>
      </c>
      <c r="AA2249" s="114"/>
      <c r="AB2249" s="113"/>
      <c r="AC2249" s="105" t="s">
        <v>5071</v>
      </c>
      <c r="AD2249" s="115" t="s">
        <v>107</v>
      </c>
    </row>
    <row r="2250" spans="1:30" x14ac:dyDescent="0.2">
      <c r="A2250" s="104" t="s">
        <v>5072</v>
      </c>
      <c r="B2250" s="105" t="s">
        <v>805</v>
      </c>
      <c r="C2250" s="105" t="s">
        <v>112</v>
      </c>
      <c r="D2250" s="106"/>
      <c r="E2250" s="107" t="s">
        <v>119</v>
      </c>
      <c r="F2250" s="108" t="s">
        <v>18157</v>
      </c>
      <c r="G2250" s="120">
        <v>2</v>
      </c>
      <c r="H2250" s="108" t="s">
        <v>18158</v>
      </c>
      <c r="I2250" s="110">
        <v>3</v>
      </c>
      <c r="J2250" s="111" t="s">
        <v>40</v>
      </c>
      <c r="K2250" s="108" t="s">
        <v>18159</v>
      </c>
      <c r="L2250" s="112">
        <v>4</v>
      </c>
      <c r="M2250" s="113"/>
      <c r="N2250" s="108" t="s">
        <v>18157</v>
      </c>
      <c r="O2250" s="117">
        <v>2</v>
      </c>
      <c r="P2250" s="111" t="s">
        <v>40</v>
      </c>
      <c r="Q2250" s="108" t="s">
        <v>18160</v>
      </c>
      <c r="R2250" s="112">
        <v>4</v>
      </c>
      <c r="S2250" s="113"/>
      <c r="T2250" s="108" t="s">
        <v>18161</v>
      </c>
      <c r="U2250" s="112">
        <v>4</v>
      </c>
      <c r="V2250" s="113"/>
      <c r="W2250" s="108" t="s">
        <v>18162</v>
      </c>
      <c r="X2250" s="110">
        <v>3</v>
      </c>
      <c r="Y2250" s="113"/>
      <c r="Z2250" s="108" t="s">
        <v>47</v>
      </c>
      <c r="AA2250" s="114"/>
      <c r="AB2250" s="113"/>
      <c r="AC2250" s="105" t="s">
        <v>5073</v>
      </c>
      <c r="AD2250" s="115" t="s">
        <v>107</v>
      </c>
    </row>
    <row r="2251" spans="1:30" x14ac:dyDescent="0.2">
      <c r="A2251" s="104" t="s">
        <v>5074</v>
      </c>
      <c r="B2251" s="105" t="s">
        <v>805</v>
      </c>
      <c r="C2251" s="105" t="s">
        <v>112</v>
      </c>
      <c r="D2251" s="106"/>
      <c r="E2251" s="107" t="s">
        <v>119</v>
      </c>
      <c r="F2251" s="108" t="s">
        <v>18163</v>
      </c>
      <c r="G2251" s="118">
        <v>3</v>
      </c>
      <c r="H2251" s="108" t="s">
        <v>18164</v>
      </c>
      <c r="I2251" s="110">
        <v>3</v>
      </c>
      <c r="J2251" s="111" t="s">
        <v>40</v>
      </c>
      <c r="K2251" s="108" t="s">
        <v>18165</v>
      </c>
      <c r="L2251" s="112">
        <v>4</v>
      </c>
      <c r="M2251" s="113"/>
      <c r="N2251" s="108" t="s">
        <v>18163</v>
      </c>
      <c r="O2251" s="110">
        <v>3</v>
      </c>
      <c r="P2251" s="113"/>
      <c r="Q2251" s="108" t="s">
        <v>18166</v>
      </c>
      <c r="R2251" s="112">
        <v>4</v>
      </c>
      <c r="S2251" s="113"/>
      <c r="T2251" s="108" t="s">
        <v>18167</v>
      </c>
      <c r="U2251" s="112">
        <v>4</v>
      </c>
      <c r="V2251" s="113"/>
      <c r="W2251" s="108" t="s">
        <v>18168</v>
      </c>
      <c r="X2251" s="110">
        <v>3</v>
      </c>
      <c r="Y2251" s="113"/>
      <c r="Z2251" s="108" t="s">
        <v>47</v>
      </c>
      <c r="AA2251" s="114"/>
      <c r="AB2251" s="113"/>
      <c r="AC2251" s="105" t="s">
        <v>5075</v>
      </c>
      <c r="AD2251" s="115" t="s">
        <v>107</v>
      </c>
    </row>
    <row r="2252" spans="1:30" x14ac:dyDescent="0.2">
      <c r="A2252" s="104" t="s">
        <v>5076</v>
      </c>
      <c r="B2252" s="105" t="s">
        <v>805</v>
      </c>
      <c r="C2252" s="105" t="s">
        <v>112</v>
      </c>
      <c r="D2252" s="106"/>
      <c r="E2252" s="107" t="s">
        <v>119</v>
      </c>
      <c r="F2252" s="108" t="s">
        <v>18169</v>
      </c>
      <c r="G2252" s="119">
        <v>1</v>
      </c>
      <c r="H2252" s="108" t="s">
        <v>18170</v>
      </c>
      <c r="I2252" s="116">
        <v>1</v>
      </c>
      <c r="J2252" s="113"/>
      <c r="K2252" s="108" t="s">
        <v>18171</v>
      </c>
      <c r="L2252" s="116">
        <v>1</v>
      </c>
      <c r="M2252" s="113"/>
      <c r="N2252" s="108" t="s">
        <v>18169</v>
      </c>
      <c r="O2252" s="116">
        <v>1</v>
      </c>
      <c r="P2252" s="113"/>
      <c r="Q2252" s="108" t="s">
        <v>18172</v>
      </c>
      <c r="R2252" s="117">
        <v>2</v>
      </c>
      <c r="S2252" s="113"/>
      <c r="T2252" s="108" t="s">
        <v>47</v>
      </c>
      <c r="U2252" s="114"/>
      <c r="V2252" s="113"/>
      <c r="W2252" s="108" t="s">
        <v>47</v>
      </c>
      <c r="X2252" s="114"/>
      <c r="Y2252" s="113"/>
      <c r="Z2252" s="108" t="s">
        <v>47</v>
      </c>
      <c r="AA2252" s="114"/>
      <c r="AB2252" s="113"/>
      <c r="AC2252" s="105" t="s">
        <v>5077</v>
      </c>
      <c r="AD2252" s="115" t="s">
        <v>107</v>
      </c>
    </row>
    <row r="2253" spans="1:30" x14ac:dyDescent="0.2">
      <c r="A2253" s="104" t="s">
        <v>5078</v>
      </c>
      <c r="B2253" s="105" t="s">
        <v>805</v>
      </c>
      <c r="C2253" s="105" t="s">
        <v>112</v>
      </c>
      <c r="D2253" s="106"/>
      <c r="E2253" s="107" t="s">
        <v>119</v>
      </c>
      <c r="F2253" s="108" t="s">
        <v>18173</v>
      </c>
      <c r="G2253" s="120">
        <v>2</v>
      </c>
      <c r="H2253" s="108" t="s">
        <v>18174</v>
      </c>
      <c r="I2253" s="110">
        <v>3</v>
      </c>
      <c r="J2253" s="111" t="s">
        <v>40</v>
      </c>
      <c r="K2253" s="108" t="s">
        <v>18175</v>
      </c>
      <c r="L2253" s="112">
        <v>4</v>
      </c>
      <c r="M2253" s="113"/>
      <c r="N2253" s="108" t="s">
        <v>18173</v>
      </c>
      <c r="O2253" s="117">
        <v>2</v>
      </c>
      <c r="P2253" s="111" t="s">
        <v>40</v>
      </c>
      <c r="Q2253" s="108" t="s">
        <v>18176</v>
      </c>
      <c r="R2253" s="110">
        <v>3</v>
      </c>
      <c r="S2253" s="111" t="s">
        <v>46</v>
      </c>
      <c r="T2253" s="108" t="s">
        <v>18177</v>
      </c>
      <c r="U2253" s="116">
        <v>1</v>
      </c>
      <c r="V2253" s="113"/>
      <c r="W2253" s="108" t="s">
        <v>47</v>
      </c>
      <c r="X2253" s="114"/>
      <c r="Y2253" s="113"/>
      <c r="Z2253" s="108" t="s">
        <v>47</v>
      </c>
      <c r="AA2253" s="114"/>
      <c r="AB2253" s="113"/>
      <c r="AC2253" s="105" t="s">
        <v>5079</v>
      </c>
      <c r="AD2253" s="115" t="s">
        <v>107</v>
      </c>
    </row>
    <row r="2254" spans="1:30" x14ac:dyDescent="0.2">
      <c r="A2254" s="104" t="s">
        <v>5080</v>
      </c>
      <c r="B2254" s="105" t="s">
        <v>805</v>
      </c>
      <c r="C2254" s="105" t="s">
        <v>2978</v>
      </c>
      <c r="D2254" s="106"/>
      <c r="E2254" s="107" t="s">
        <v>146</v>
      </c>
      <c r="F2254" s="108" t="s">
        <v>47</v>
      </c>
      <c r="G2254" s="113"/>
      <c r="H2254" s="108" t="s">
        <v>47</v>
      </c>
      <c r="I2254" s="114"/>
      <c r="J2254" s="113"/>
      <c r="K2254" s="108" t="s">
        <v>47</v>
      </c>
      <c r="L2254" s="114"/>
      <c r="M2254" s="113"/>
      <c r="N2254" s="108" t="s">
        <v>47</v>
      </c>
      <c r="O2254" s="114"/>
      <c r="P2254" s="113"/>
      <c r="Q2254" s="108" t="s">
        <v>47</v>
      </c>
      <c r="R2254" s="114"/>
      <c r="S2254" s="113"/>
      <c r="T2254" s="108" t="s">
        <v>47</v>
      </c>
      <c r="U2254" s="114"/>
      <c r="V2254" s="113"/>
      <c r="W2254" s="108" t="s">
        <v>47</v>
      </c>
      <c r="X2254" s="114"/>
      <c r="Y2254" s="113"/>
      <c r="Z2254" s="108" t="s">
        <v>47</v>
      </c>
      <c r="AA2254" s="114"/>
      <c r="AB2254" s="113"/>
      <c r="AC2254" s="105" t="s">
        <v>5081</v>
      </c>
      <c r="AD2254" s="115" t="s">
        <v>107</v>
      </c>
    </row>
    <row r="2255" spans="1:30" x14ac:dyDescent="0.2">
      <c r="A2255" s="104" t="s">
        <v>5082</v>
      </c>
      <c r="B2255" s="105" t="s">
        <v>805</v>
      </c>
      <c r="C2255" s="105" t="s">
        <v>112</v>
      </c>
      <c r="D2255" s="106"/>
      <c r="E2255" s="107" t="s">
        <v>119</v>
      </c>
      <c r="F2255" s="108" t="s">
        <v>18178</v>
      </c>
      <c r="G2255" s="120">
        <v>2</v>
      </c>
      <c r="H2255" s="108" t="s">
        <v>18179</v>
      </c>
      <c r="I2255" s="110">
        <v>3</v>
      </c>
      <c r="J2255" s="111" t="s">
        <v>40</v>
      </c>
      <c r="K2255" s="108" t="s">
        <v>18180</v>
      </c>
      <c r="L2255" s="112">
        <v>4</v>
      </c>
      <c r="M2255" s="113"/>
      <c r="N2255" s="108" t="s">
        <v>18178</v>
      </c>
      <c r="O2255" s="117">
        <v>2</v>
      </c>
      <c r="P2255" s="111" t="s">
        <v>40</v>
      </c>
      <c r="Q2255" s="108" t="s">
        <v>18181</v>
      </c>
      <c r="R2255" s="110">
        <v>3</v>
      </c>
      <c r="S2255" s="111" t="s">
        <v>46</v>
      </c>
      <c r="T2255" s="108" t="s">
        <v>18182</v>
      </c>
      <c r="U2255" s="116">
        <v>1</v>
      </c>
      <c r="V2255" s="113"/>
      <c r="W2255" s="108" t="s">
        <v>47</v>
      </c>
      <c r="X2255" s="114"/>
      <c r="Y2255" s="113"/>
      <c r="Z2255" s="108" t="s">
        <v>47</v>
      </c>
      <c r="AA2255" s="114"/>
      <c r="AB2255" s="113"/>
      <c r="AC2255" s="105" t="s">
        <v>5083</v>
      </c>
      <c r="AD2255" s="115" t="s">
        <v>107</v>
      </c>
    </row>
    <row r="2256" spans="1:30" x14ac:dyDescent="0.2">
      <c r="A2256" s="104" t="s">
        <v>5084</v>
      </c>
      <c r="B2256" s="105" t="s">
        <v>805</v>
      </c>
      <c r="C2256" s="105" t="s">
        <v>2978</v>
      </c>
      <c r="D2256" s="106" t="s">
        <v>125</v>
      </c>
      <c r="E2256" s="107" t="s">
        <v>146</v>
      </c>
      <c r="F2256" s="108" t="s">
        <v>18183</v>
      </c>
      <c r="G2256" s="109">
        <v>4</v>
      </c>
      <c r="H2256" s="108" t="s">
        <v>18184</v>
      </c>
      <c r="I2256" s="110">
        <v>3</v>
      </c>
      <c r="J2256" s="113"/>
      <c r="K2256" s="108" t="s">
        <v>16572</v>
      </c>
      <c r="L2256" s="112">
        <v>4</v>
      </c>
      <c r="M2256" s="113"/>
      <c r="N2256" s="108" t="s">
        <v>18183</v>
      </c>
      <c r="O2256" s="112">
        <v>4</v>
      </c>
      <c r="P2256" s="113"/>
      <c r="Q2256" s="108" t="s">
        <v>18185</v>
      </c>
      <c r="R2256" s="110">
        <v>3</v>
      </c>
      <c r="S2256" s="113"/>
      <c r="T2256" s="108" t="s">
        <v>18186</v>
      </c>
      <c r="U2256" s="110">
        <v>3</v>
      </c>
      <c r="V2256" s="111" t="s">
        <v>46</v>
      </c>
      <c r="W2256" s="108" t="s">
        <v>18187</v>
      </c>
      <c r="X2256" s="110">
        <v>3</v>
      </c>
      <c r="Y2256" s="113"/>
      <c r="Z2256" s="108" t="s">
        <v>47</v>
      </c>
      <c r="AA2256" s="114"/>
      <c r="AB2256" s="113"/>
      <c r="AC2256" s="105" t="s">
        <v>5085</v>
      </c>
      <c r="AD2256" s="115" t="s">
        <v>107</v>
      </c>
    </row>
    <row r="2257" spans="1:30" x14ac:dyDescent="0.2">
      <c r="A2257" s="104" t="s">
        <v>5086</v>
      </c>
      <c r="B2257" s="105" t="s">
        <v>805</v>
      </c>
      <c r="C2257" s="105" t="s">
        <v>2978</v>
      </c>
      <c r="D2257" s="106" t="s">
        <v>94</v>
      </c>
      <c r="E2257" s="107" t="s">
        <v>146</v>
      </c>
      <c r="F2257" s="108" t="s">
        <v>18188</v>
      </c>
      <c r="G2257" s="109">
        <v>4</v>
      </c>
      <c r="H2257" s="108" t="s">
        <v>18189</v>
      </c>
      <c r="I2257" s="110">
        <v>3</v>
      </c>
      <c r="J2257" s="113"/>
      <c r="K2257" s="108" t="s">
        <v>18190</v>
      </c>
      <c r="L2257" s="112">
        <v>4</v>
      </c>
      <c r="M2257" s="113"/>
      <c r="N2257" s="108" t="s">
        <v>18188</v>
      </c>
      <c r="O2257" s="112">
        <v>4</v>
      </c>
      <c r="P2257" s="113"/>
      <c r="Q2257" s="108" t="s">
        <v>18191</v>
      </c>
      <c r="R2257" s="110">
        <v>3</v>
      </c>
      <c r="S2257" s="113"/>
      <c r="T2257" s="108" t="s">
        <v>18192</v>
      </c>
      <c r="U2257" s="110">
        <v>3</v>
      </c>
      <c r="V2257" s="113"/>
      <c r="W2257" s="108" t="s">
        <v>18193</v>
      </c>
      <c r="X2257" s="110">
        <v>3</v>
      </c>
      <c r="Y2257" s="113"/>
      <c r="Z2257" s="108" t="s">
        <v>18194</v>
      </c>
      <c r="AA2257" s="117">
        <v>2</v>
      </c>
      <c r="AB2257" s="111" t="s">
        <v>46</v>
      </c>
      <c r="AC2257" s="105" t="s">
        <v>5087</v>
      </c>
      <c r="AD2257" s="115" t="s">
        <v>107</v>
      </c>
    </row>
    <row r="2258" spans="1:30" x14ac:dyDescent="0.2">
      <c r="A2258" s="104" t="s">
        <v>5088</v>
      </c>
      <c r="B2258" s="105" t="s">
        <v>805</v>
      </c>
      <c r="C2258" s="105" t="s">
        <v>2978</v>
      </c>
      <c r="D2258" s="106" t="s">
        <v>125</v>
      </c>
      <c r="E2258" s="107" t="s">
        <v>146</v>
      </c>
      <c r="F2258" s="108" t="s">
        <v>18195</v>
      </c>
      <c r="G2258" s="109">
        <v>4</v>
      </c>
      <c r="H2258" s="108" t="s">
        <v>18196</v>
      </c>
      <c r="I2258" s="110">
        <v>3</v>
      </c>
      <c r="J2258" s="113"/>
      <c r="K2258" s="108" t="s">
        <v>18197</v>
      </c>
      <c r="L2258" s="112">
        <v>4</v>
      </c>
      <c r="M2258" s="113"/>
      <c r="N2258" s="108" t="s">
        <v>18195</v>
      </c>
      <c r="O2258" s="112">
        <v>4</v>
      </c>
      <c r="P2258" s="113"/>
      <c r="Q2258" s="108" t="s">
        <v>10797</v>
      </c>
      <c r="R2258" s="110">
        <v>3</v>
      </c>
      <c r="S2258" s="113"/>
      <c r="T2258" s="108" t="s">
        <v>18198</v>
      </c>
      <c r="U2258" s="110">
        <v>3</v>
      </c>
      <c r="V2258" s="111" t="s">
        <v>46</v>
      </c>
      <c r="W2258" s="108" t="s">
        <v>47</v>
      </c>
      <c r="X2258" s="114"/>
      <c r="Y2258" s="113"/>
      <c r="Z2258" s="108" t="s">
        <v>47</v>
      </c>
      <c r="AA2258" s="114"/>
      <c r="AB2258" s="113"/>
      <c r="AC2258" s="105" t="s">
        <v>5089</v>
      </c>
      <c r="AD2258" s="115" t="s">
        <v>107</v>
      </c>
    </row>
    <row r="2259" spans="1:30" x14ac:dyDescent="0.2">
      <c r="A2259" s="104" t="s">
        <v>5090</v>
      </c>
      <c r="B2259" s="105" t="s">
        <v>805</v>
      </c>
      <c r="C2259" s="105" t="s">
        <v>2978</v>
      </c>
      <c r="D2259" s="106"/>
      <c r="E2259" s="107" t="s">
        <v>146</v>
      </c>
      <c r="F2259" s="108" t="s">
        <v>18199</v>
      </c>
      <c r="G2259" s="109">
        <v>4</v>
      </c>
      <c r="H2259" s="108" t="s">
        <v>18200</v>
      </c>
      <c r="I2259" s="110">
        <v>3</v>
      </c>
      <c r="J2259" s="113"/>
      <c r="K2259" s="108" t="s">
        <v>18201</v>
      </c>
      <c r="L2259" s="112">
        <v>4</v>
      </c>
      <c r="M2259" s="113"/>
      <c r="N2259" s="108" t="s">
        <v>18199</v>
      </c>
      <c r="O2259" s="112">
        <v>4</v>
      </c>
      <c r="P2259" s="113"/>
      <c r="Q2259" s="108" t="s">
        <v>16735</v>
      </c>
      <c r="R2259" s="112">
        <v>4</v>
      </c>
      <c r="S2259" s="113"/>
      <c r="T2259" s="108" t="s">
        <v>47</v>
      </c>
      <c r="U2259" s="114"/>
      <c r="V2259" s="113"/>
      <c r="W2259" s="108" t="s">
        <v>47</v>
      </c>
      <c r="X2259" s="114"/>
      <c r="Y2259" s="113"/>
      <c r="Z2259" s="108" t="s">
        <v>47</v>
      </c>
      <c r="AA2259" s="114"/>
      <c r="AB2259" s="113"/>
      <c r="AC2259" s="105" t="s">
        <v>5091</v>
      </c>
      <c r="AD2259" s="115" t="s">
        <v>107</v>
      </c>
    </row>
    <row r="2260" spans="1:30" x14ac:dyDescent="0.2">
      <c r="A2260" s="104" t="s">
        <v>5092</v>
      </c>
      <c r="B2260" s="105" t="s">
        <v>805</v>
      </c>
      <c r="C2260" s="105" t="s">
        <v>2978</v>
      </c>
      <c r="D2260" s="106"/>
      <c r="E2260" s="107" t="s">
        <v>146</v>
      </c>
      <c r="F2260" s="108" t="s">
        <v>18202</v>
      </c>
      <c r="G2260" s="109">
        <v>4</v>
      </c>
      <c r="H2260" s="108" t="s">
        <v>18203</v>
      </c>
      <c r="I2260" s="110">
        <v>3</v>
      </c>
      <c r="J2260" s="113"/>
      <c r="K2260" s="108" t="s">
        <v>18204</v>
      </c>
      <c r="L2260" s="112">
        <v>4</v>
      </c>
      <c r="M2260" s="113"/>
      <c r="N2260" s="108" t="s">
        <v>18202</v>
      </c>
      <c r="O2260" s="112">
        <v>4</v>
      </c>
      <c r="P2260" s="113"/>
      <c r="Q2260" s="108" t="s">
        <v>18205</v>
      </c>
      <c r="R2260" s="112">
        <v>4</v>
      </c>
      <c r="S2260" s="111" t="s">
        <v>46</v>
      </c>
      <c r="T2260" s="108" t="s">
        <v>47</v>
      </c>
      <c r="U2260" s="114"/>
      <c r="V2260" s="113"/>
      <c r="W2260" s="108" t="s">
        <v>47</v>
      </c>
      <c r="X2260" s="114"/>
      <c r="Y2260" s="113"/>
      <c r="Z2260" s="108" t="s">
        <v>47</v>
      </c>
      <c r="AA2260" s="114"/>
      <c r="AB2260" s="113"/>
      <c r="AC2260" s="105" t="s">
        <v>5093</v>
      </c>
      <c r="AD2260" s="115" t="s">
        <v>107</v>
      </c>
    </row>
    <row r="2261" spans="1:30" x14ac:dyDescent="0.2">
      <c r="A2261" s="104" t="s">
        <v>5094</v>
      </c>
      <c r="B2261" s="105" t="s">
        <v>805</v>
      </c>
      <c r="C2261" s="105" t="s">
        <v>2978</v>
      </c>
      <c r="D2261" s="106" t="s">
        <v>105</v>
      </c>
      <c r="E2261" s="107" t="s">
        <v>146</v>
      </c>
      <c r="F2261" s="108" t="s">
        <v>18206</v>
      </c>
      <c r="G2261" s="109">
        <v>4</v>
      </c>
      <c r="H2261" s="108" t="s">
        <v>18207</v>
      </c>
      <c r="I2261" s="110">
        <v>3</v>
      </c>
      <c r="J2261" s="113"/>
      <c r="K2261" s="108" t="s">
        <v>18208</v>
      </c>
      <c r="L2261" s="112">
        <v>4</v>
      </c>
      <c r="M2261" s="113"/>
      <c r="N2261" s="108" t="s">
        <v>18206</v>
      </c>
      <c r="O2261" s="112">
        <v>4</v>
      </c>
      <c r="P2261" s="113"/>
      <c r="Q2261" s="108" t="s">
        <v>18209</v>
      </c>
      <c r="R2261" s="112">
        <v>4</v>
      </c>
      <c r="S2261" s="111" t="s">
        <v>46</v>
      </c>
      <c r="T2261" s="108" t="s">
        <v>18210</v>
      </c>
      <c r="U2261" s="110">
        <v>3</v>
      </c>
      <c r="V2261" s="113"/>
      <c r="W2261" s="108" t="s">
        <v>18211</v>
      </c>
      <c r="X2261" s="112">
        <v>4</v>
      </c>
      <c r="Y2261" s="111" t="s">
        <v>46</v>
      </c>
      <c r="Z2261" s="108" t="s">
        <v>47</v>
      </c>
      <c r="AA2261" s="114"/>
      <c r="AB2261" s="113"/>
      <c r="AC2261" s="105" t="s">
        <v>5095</v>
      </c>
      <c r="AD2261" s="115" t="s">
        <v>107</v>
      </c>
    </row>
    <row r="2262" spans="1:30" x14ac:dyDescent="0.2">
      <c r="A2262" s="104" t="s">
        <v>5096</v>
      </c>
      <c r="B2262" s="105" t="s">
        <v>805</v>
      </c>
      <c r="C2262" s="105" t="s">
        <v>98</v>
      </c>
      <c r="D2262" s="106" t="s">
        <v>105</v>
      </c>
      <c r="E2262" s="107" t="s">
        <v>182</v>
      </c>
      <c r="F2262" s="108" t="s">
        <v>18212</v>
      </c>
      <c r="G2262" s="120">
        <v>2</v>
      </c>
      <c r="H2262" s="108" t="s">
        <v>18213</v>
      </c>
      <c r="I2262" s="116">
        <v>1</v>
      </c>
      <c r="J2262" s="113"/>
      <c r="K2262" s="108" t="s">
        <v>18214</v>
      </c>
      <c r="L2262" s="117">
        <v>2</v>
      </c>
      <c r="M2262" s="111" t="s">
        <v>40</v>
      </c>
      <c r="N2262" s="108" t="s">
        <v>18212</v>
      </c>
      <c r="O2262" s="117">
        <v>2</v>
      </c>
      <c r="P2262" s="111" t="s">
        <v>53</v>
      </c>
      <c r="Q2262" s="108" t="s">
        <v>18215</v>
      </c>
      <c r="R2262" s="112">
        <v>4</v>
      </c>
      <c r="S2262" s="113"/>
      <c r="T2262" s="108" t="s">
        <v>18216</v>
      </c>
      <c r="U2262" s="112">
        <v>4</v>
      </c>
      <c r="V2262" s="113"/>
      <c r="W2262" s="108" t="s">
        <v>18217</v>
      </c>
      <c r="X2262" s="112">
        <v>4</v>
      </c>
      <c r="Y2262" s="113"/>
      <c r="Z2262" s="108" t="s">
        <v>47</v>
      </c>
      <c r="AA2262" s="114"/>
      <c r="AB2262" s="113"/>
      <c r="AC2262" s="105" t="s">
        <v>5097</v>
      </c>
      <c r="AD2262" s="115" t="s">
        <v>107</v>
      </c>
    </row>
    <row r="2263" spans="1:30" x14ac:dyDescent="0.2">
      <c r="A2263" s="104" t="s">
        <v>5098</v>
      </c>
      <c r="B2263" s="105" t="s">
        <v>805</v>
      </c>
      <c r="C2263" s="105" t="s">
        <v>2978</v>
      </c>
      <c r="D2263" s="106" t="s">
        <v>94</v>
      </c>
      <c r="E2263" s="107" t="s">
        <v>146</v>
      </c>
      <c r="F2263" s="108" t="s">
        <v>18218</v>
      </c>
      <c r="G2263" s="109">
        <v>4</v>
      </c>
      <c r="H2263" s="108" t="s">
        <v>18219</v>
      </c>
      <c r="I2263" s="110">
        <v>3</v>
      </c>
      <c r="J2263" s="113"/>
      <c r="K2263" s="108" t="s">
        <v>18220</v>
      </c>
      <c r="L2263" s="112">
        <v>4</v>
      </c>
      <c r="M2263" s="113"/>
      <c r="N2263" s="108" t="s">
        <v>18218</v>
      </c>
      <c r="O2263" s="112">
        <v>4</v>
      </c>
      <c r="P2263" s="113"/>
      <c r="Q2263" s="108" t="s">
        <v>16731</v>
      </c>
      <c r="R2263" s="112">
        <v>4</v>
      </c>
      <c r="S2263" s="111" t="s">
        <v>46</v>
      </c>
      <c r="T2263" s="108" t="s">
        <v>18221</v>
      </c>
      <c r="U2263" s="112">
        <v>4</v>
      </c>
      <c r="V2263" s="111" t="s">
        <v>46</v>
      </c>
      <c r="W2263" s="108" t="s">
        <v>18222</v>
      </c>
      <c r="X2263" s="112">
        <v>4</v>
      </c>
      <c r="Y2263" s="111" t="s">
        <v>46</v>
      </c>
      <c r="Z2263" s="108" t="s">
        <v>18223</v>
      </c>
      <c r="AA2263" s="110">
        <v>3</v>
      </c>
      <c r="AB2263" s="111" t="s">
        <v>55</v>
      </c>
      <c r="AC2263" s="105" t="s">
        <v>5099</v>
      </c>
      <c r="AD2263" s="115" t="s">
        <v>107</v>
      </c>
    </row>
    <row r="2264" spans="1:30" x14ac:dyDescent="0.2">
      <c r="A2264" s="104" t="s">
        <v>5100</v>
      </c>
      <c r="B2264" s="105" t="s">
        <v>805</v>
      </c>
      <c r="C2264" s="105" t="s">
        <v>2978</v>
      </c>
      <c r="D2264" s="106"/>
      <c r="E2264" s="107" t="s">
        <v>146</v>
      </c>
      <c r="F2264" s="108" t="s">
        <v>18224</v>
      </c>
      <c r="G2264" s="109">
        <v>4</v>
      </c>
      <c r="H2264" s="108" t="s">
        <v>18225</v>
      </c>
      <c r="I2264" s="110">
        <v>3</v>
      </c>
      <c r="J2264" s="113"/>
      <c r="K2264" s="108" t="s">
        <v>18226</v>
      </c>
      <c r="L2264" s="112">
        <v>4</v>
      </c>
      <c r="M2264" s="113"/>
      <c r="N2264" s="108" t="s">
        <v>18224</v>
      </c>
      <c r="O2264" s="112">
        <v>4</v>
      </c>
      <c r="P2264" s="113"/>
      <c r="Q2264" s="108" t="s">
        <v>18227</v>
      </c>
      <c r="R2264" s="112">
        <v>4</v>
      </c>
      <c r="S2264" s="111" t="s">
        <v>46</v>
      </c>
      <c r="T2264" s="108" t="s">
        <v>47</v>
      </c>
      <c r="U2264" s="114"/>
      <c r="V2264" s="113"/>
      <c r="W2264" s="108" t="s">
        <v>47</v>
      </c>
      <c r="X2264" s="114"/>
      <c r="Y2264" s="113"/>
      <c r="Z2264" s="108" t="s">
        <v>47</v>
      </c>
      <c r="AA2264" s="114"/>
      <c r="AB2264" s="113"/>
      <c r="AC2264" s="105" t="s">
        <v>5101</v>
      </c>
      <c r="AD2264" s="115" t="s">
        <v>107</v>
      </c>
    </row>
    <row r="2265" spans="1:30" x14ac:dyDescent="0.2">
      <c r="A2265" s="104" t="s">
        <v>5102</v>
      </c>
      <c r="B2265" s="105" t="s">
        <v>805</v>
      </c>
      <c r="C2265" s="105" t="s">
        <v>2978</v>
      </c>
      <c r="D2265" s="106" t="s">
        <v>125</v>
      </c>
      <c r="E2265" s="107" t="s">
        <v>146</v>
      </c>
      <c r="F2265" s="108" t="s">
        <v>18228</v>
      </c>
      <c r="G2265" s="109">
        <v>4</v>
      </c>
      <c r="H2265" s="108" t="s">
        <v>18229</v>
      </c>
      <c r="I2265" s="110">
        <v>3</v>
      </c>
      <c r="J2265" s="113"/>
      <c r="K2265" s="108" t="s">
        <v>18230</v>
      </c>
      <c r="L2265" s="112">
        <v>4</v>
      </c>
      <c r="M2265" s="113"/>
      <c r="N2265" s="108" t="s">
        <v>18228</v>
      </c>
      <c r="O2265" s="112">
        <v>4</v>
      </c>
      <c r="P2265" s="113"/>
      <c r="Q2265" s="108" t="s">
        <v>18231</v>
      </c>
      <c r="R2265" s="110">
        <v>3</v>
      </c>
      <c r="S2265" s="113"/>
      <c r="T2265" s="108" t="s">
        <v>18232</v>
      </c>
      <c r="U2265" s="117">
        <v>2</v>
      </c>
      <c r="V2265" s="111" t="s">
        <v>46</v>
      </c>
      <c r="W2265" s="108" t="s">
        <v>18233</v>
      </c>
      <c r="X2265" s="117">
        <v>2</v>
      </c>
      <c r="Y2265" s="113"/>
      <c r="Z2265" s="108" t="s">
        <v>47</v>
      </c>
      <c r="AA2265" s="114"/>
      <c r="AB2265" s="113"/>
      <c r="AC2265" s="105" t="s">
        <v>5103</v>
      </c>
      <c r="AD2265" s="115" t="s">
        <v>107</v>
      </c>
    </row>
    <row r="2266" spans="1:30" x14ac:dyDescent="0.2">
      <c r="A2266" s="104" t="s">
        <v>5104</v>
      </c>
      <c r="B2266" s="105" t="s">
        <v>805</v>
      </c>
      <c r="C2266" s="105" t="s">
        <v>5066</v>
      </c>
      <c r="D2266" s="106" t="s">
        <v>125</v>
      </c>
      <c r="E2266" s="107" t="s">
        <v>182</v>
      </c>
      <c r="F2266" s="108" t="s">
        <v>18234</v>
      </c>
      <c r="G2266" s="120">
        <v>2</v>
      </c>
      <c r="H2266" s="108" t="s">
        <v>18235</v>
      </c>
      <c r="I2266" s="116">
        <v>1</v>
      </c>
      <c r="J2266" s="113"/>
      <c r="K2266" s="108" t="s">
        <v>3885</v>
      </c>
      <c r="L2266" s="110">
        <v>3</v>
      </c>
      <c r="M2266" s="111" t="s">
        <v>40</v>
      </c>
      <c r="N2266" s="108" t="s">
        <v>18234</v>
      </c>
      <c r="O2266" s="117">
        <v>2</v>
      </c>
      <c r="P2266" s="111" t="s">
        <v>53</v>
      </c>
      <c r="Q2266" s="108" t="s">
        <v>18236</v>
      </c>
      <c r="R2266" s="110">
        <v>3</v>
      </c>
      <c r="S2266" s="113"/>
      <c r="T2266" s="108" t="s">
        <v>11127</v>
      </c>
      <c r="U2266" s="110">
        <v>3</v>
      </c>
      <c r="V2266" s="111" t="s">
        <v>46</v>
      </c>
      <c r="W2266" s="108" t="s">
        <v>47</v>
      </c>
      <c r="X2266" s="114"/>
      <c r="Y2266" s="113"/>
      <c r="Z2266" s="108" t="s">
        <v>47</v>
      </c>
      <c r="AA2266" s="114"/>
      <c r="AB2266" s="113"/>
      <c r="AC2266" s="105" t="s">
        <v>5105</v>
      </c>
      <c r="AD2266" s="115" t="s">
        <v>107</v>
      </c>
    </row>
    <row r="2267" spans="1:30" x14ac:dyDescent="0.2">
      <c r="A2267" s="104" t="s">
        <v>5106</v>
      </c>
      <c r="B2267" s="105" t="s">
        <v>805</v>
      </c>
      <c r="C2267" s="105" t="s">
        <v>98</v>
      </c>
      <c r="D2267" s="106" t="s">
        <v>125</v>
      </c>
      <c r="E2267" s="107" t="s">
        <v>182</v>
      </c>
      <c r="F2267" s="108" t="s">
        <v>18237</v>
      </c>
      <c r="G2267" s="120">
        <v>2</v>
      </c>
      <c r="H2267" s="108" t="s">
        <v>18238</v>
      </c>
      <c r="I2267" s="116">
        <v>1</v>
      </c>
      <c r="J2267" s="113"/>
      <c r="K2267" s="108" t="s">
        <v>18239</v>
      </c>
      <c r="L2267" s="116">
        <v>1</v>
      </c>
      <c r="M2267" s="111" t="s">
        <v>53</v>
      </c>
      <c r="N2267" s="108" t="s">
        <v>18237</v>
      </c>
      <c r="O2267" s="117">
        <v>2</v>
      </c>
      <c r="P2267" s="111" t="s">
        <v>40</v>
      </c>
      <c r="Q2267" s="108" t="s">
        <v>18240</v>
      </c>
      <c r="R2267" s="112">
        <v>4</v>
      </c>
      <c r="S2267" s="113"/>
      <c r="T2267" s="108" t="s">
        <v>18241</v>
      </c>
      <c r="U2267" s="112">
        <v>4</v>
      </c>
      <c r="V2267" s="113"/>
      <c r="W2267" s="108" t="s">
        <v>18242</v>
      </c>
      <c r="X2267" s="110">
        <v>3</v>
      </c>
      <c r="Y2267" s="113"/>
      <c r="Z2267" s="108" t="s">
        <v>47</v>
      </c>
      <c r="AA2267" s="114"/>
      <c r="AB2267" s="113"/>
      <c r="AC2267" s="105" t="s">
        <v>5107</v>
      </c>
      <c r="AD2267" s="115" t="s">
        <v>107</v>
      </c>
    </row>
    <row r="2268" spans="1:30" x14ac:dyDescent="0.2">
      <c r="A2268" s="104" t="s">
        <v>5108</v>
      </c>
      <c r="B2268" s="105" t="s">
        <v>805</v>
      </c>
      <c r="C2268" s="105" t="s">
        <v>112</v>
      </c>
      <c r="D2268" s="106"/>
      <c r="E2268" s="107" t="s">
        <v>119</v>
      </c>
      <c r="F2268" s="108" t="s">
        <v>18243</v>
      </c>
      <c r="G2268" s="120">
        <v>2</v>
      </c>
      <c r="H2268" s="108" t="s">
        <v>18244</v>
      </c>
      <c r="I2268" s="110">
        <v>3</v>
      </c>
      <c r="J2268" s="111" t="s">
        <v>40</v>
      </c>
      <c r="K2268" s="108" t="s">
        <v>18245</v>
      </c>
      <c r="L2268" s="110">
        <v>3</v>
      </c>
      <c r="M2268" s="111" t="s">
        <v>40</v>
      </c>
      <c r="N2268" s="108" t="s">
        <v>18243</v>
      </c>
      <c r="O2268" s="117">
        <v>2</v>
      </c>
      <c r="P2268" s="111" t="s">
        <v>40</v>
      </c>
      <c r="Q2268" s="108" t="s">
        <v>18246</v>
      </c>
      <c r="R2268" s="110">
        <v>3</v>
      </c>
      <c r="S2268" s="111" t="s">
        <v>40</v>
      </c>
      <c r="T2268" s="108" t="s">
        <v>18247</v>
      </c>
      <c r="U2268" s="112">
        <v>4</v>
      </c>
      <c r="V2268" s="111" t="s">
        <v>46</v>
      </c>
      <c r="W2268" s="108" t="s">
        <v>47</v>
      </c>
      <c r="X2268" s="114"/>
      <c r="Y2268" s="113"/>
      <c r="Z2268" s="108" t="s">
        <v>47</v>
      </c>
      <c r="AA2268" s="114"/>
      <c r="AB2268" s="113"/>
      <c r="AC2268" s="105" t="s">
        <v>5109</v>
      </c>
      <c r="AD2268" s="115" t="s">
        <v>107</v>
      </c>
    </row>
    <row r="2269" spans="1:30" x14ac:dyDescent="0.2">
      <c r="A2269" s="104" t="s">
        <v>5110</v>
      </c>
      <c r="B2269" s="105" t="s">
        <v>805</v>
      </c>
      <c r="C2269" s="105" t="s">
        <v>2978</v>
      </c>
      <c r="D2269" s="106" t="s">
        <v>94</v>
      </c>
      <c r="E2269" s="107" t="s">
        <v>146</v>
      </c>
      <c r="F2269" s="108" t="s">
        <v>18248</v>
      </c>
      <c r="G2269" s="109">
        <v>4</v>
      </c>
      <c r="H2269" s="108" t="s">
        <v>18249</v>
      </c>
      <c r="I2269" s="110">
        <v>3</v>
      </c>
      <c r="J2269" s="113"/>
      <c r="K2269" s="108" t="s">
        <v>18250</v>
      </c>
      <c r="L2269" s="112">
        <v>4</v>
      </c>
      <c r="M2269" s="113"/>
      <c r="N2269" s="108" t="s">
        <v>18248</v>
      </c>
      <c r="O2269" s="112">
        <v>4</v>
      </c>
      <c r="P2269" s="113"/>
      <c r="Q2269" s="108" t="s">
        <v>10782</v>
      </c>
      <c r="R2269" s="110">
        <v>3</v>
      </c>
      <c r="S2269" s="113"/>
      <c r="T2269" s="108" t="s">
        <v>9982</v>
      </c>
      <c r="U2269" s="117">
        <v>2</v>
      </c>
      <c r="V2269" s="111" t="s">
        <v>46</v>
      </c>
      <c r="W2269" s="108" t="s">
        <v>18251</v>
      </c>
      <c r="X2269" s="117">
        <v>2</v>
      </c>
      <c r="Y2269" s="113"/>
      <c r="Z2269" s="108" t="s">
        <v>47</v>
      </c>
      <c r="AA2269" s="114"/>
      <c r="AB2269" s="113"/>
      <c r="AC2269" s="105" t="s">
        <v>5111</v>
      </c>
      <c r="AD2269" s="115" t="s">
        <v>107</v>
      </c>
    </row>
    <row r="2270" spans="1:30" x14ac:dyDescent="0.2">
      <c r="A2270" s="104" t="s">
        <v>5112</v>
      </c>
      <c r="B2270" s="105" t="s">
        <v>805</v>
      </c>
      <c r="C2270" s="105" t="s">
        <v>2978</v>
      </c>
      <c r="D2270" s="106"/>
      <c r="E2270" s="107" t="s">
        <v>146</v>
      </c>
      <c r="F2270" s="108" t="s">
        <v>47</v>
      </c>
      <c r="G2270" s="113"/>
      <c r="H2270" s="108" t="s">
        <v>47</v>
      </c>
      <c r="I2270" s="114"/>
      <c r="J2270" s="113"/>
      <c r="K2270" s="108" t="s">
        <v>47</v>
      </c>
      <c r="L2270" s="114"/>
      <c r="M2270" s="113"/>
      <c r="N2270" s="108" t="s">
        <v>47</v>
      </c>
      <c r="O2270" s="114"/>
      <c r="P2270" s="113"/>
      <c r="Q2270" s="108" t="s">
        <v>47</v>
      </c>
      <c r="R2270" s="114"/>
      <c r="S2270" s="113"/>
      <c r="T2270" s="108" t="s">
        <v>47</v>
      </c>
      <c r="U2270" s="114"/>
      <c r="V2270" s="113"/>
      <c r="W2270" s="108" t="s">
        <v>47</v>
      </c>
      <c r="X2270" s="114"/>
      <c r="Y2270" s="113"/>
      <c r="Z2270" s="108" t="s">
        <v>47</v>
      </c>
      <c r="AA2270" s="114"/>
      <c r="AB2270" s="113"/>
      <c r="AC2270" s="105" t="s">
        <v>5113</v>
      </c>
      <c r="AD2270" s="115" t="s">
        <v>107</v>
      </c>
    </row>
    <row r="2271" spans="1:30" x14ac:dyDescent="0.2">
      <c r="A2271" s="104" t="s">
        <v>5114</v>
      </c>
      <c r="B2271" s="105" t="s">
        <v>805</v>
      </c>
      <c r="C2271" s="105" t="s">
        <v>2978</v>
      </c>
      <c r="D2271" s="106" t="s">
        <v>125</v>
      </c>
      <c r="E2271" s="107" t="s">
        <v>146</v>
      </c>
      <c r="F2271" s="108" t="s">
        <v>18252</v>
      </c>
      <c r="G2271" s="109">
        <v>4</v>
      </c>
      <c r="H2271" s="108" t="s">
        <v>18253</v>
      </c>
      <c r="I2271" s="110">
        <v>3</v>
      </c>
      <c r="J2271" s="113"/>
      <c r="K2271" s="108" t="s">
        <v>15262</v>
      </c>
      <c r="L2271" s="112">
        <v>4</v>
      </c>
      <c r="M2271" s="113"/>
      <c r="N2271" s="108" t="s">
        <v>18252</v>
      </c>
      <c r="O2271" s="112">
        <v>4</v>
      </c>
      <c r="P2271" s="113"/>
      <c r="Q2271" s="108" t="s">
        <v>18254</v>
      </c>
      <c r="R2271" s="110">
        <v>3</v>
      </c>
      <c r="S2271" s="113"/>
      <c r="T2271" s="108" t="s">
        <v>18255</v>
      </c>
      <c r="U2271" s="117">
        <v>2</v>
      </c>
      <c r="V2271" s="113"/>
      <c r="W2271" s="108" t="s">
        <v>18256</v>
      </c>
      <c r="X2271" s="117">
        <v>2</v>
      </c>
      <c r="Y2271" s="113"/>
      <c r="Z2271" s="108" t="s">
        <v>47</v>
      </c>
      <c r="AA2271" s="114"/>
      <c r="AB2271" s="113"/>
      <c r="AC2271" s="105" t="s">
        <v>5115</v>
      </c>
      <c r="AD2271" s="115" t="s">
        <v>107</v>
      </c>
    </row>
    <row r="2272" spans="1:30" x14ac:dyDescent="0.2">
      <c r="A2272" s="104" t="s">
        <v>5116</v>
      </c>
      <c r="B2272" s="105" t="s">
        <v>805</v>
      </c>
      <c r="C2272" s="105" t="s">
        <v>5066</v>
      </c>
      <c r="D2272" s="106"/>
      <c r="E2272" s="107" t="s">
        <v>182</v>
      </c>
      <c r="F2272" s="108" t="s">
        <v>18257</v>
      </c>
      <c r="G2272" s="118">
        <v>3</v>
      </c>
      <c r="H2272" s="108" t="s">
        <v>5117</v>
      </c>
      <c r="I2272" s="116">
        <v>1</v>
      </c>
      <c r="J2272" s="111" t="s">
        <v>40</v>
      </c>
      <c r="K2272" s="108" t="s">
        <v>18258</v>
      </c>
      <c r="L2272" s="110">
        <v>3</v>
      </c>
      <c r="M2272" s="111" t="s">
        <v>40</v>
      </c>
      <c r="N2272" s="108" t="s">
        <v>18257</v>
      </c>
      <c r="O2272" s="110">
        <v>3</v>
      </c>
      <c r="P2272" s="111" t="s">
        <v>40</v>
      </c>
      <c r="Q2272" s="108" t="s">
        <v>5118</v>
      </c>
      <c r="R2272" s="112">
        <v>4</v>
      </c>
      <c r="S2272" s="111" t="s">
        <v>46</v>
      </c>
      <c r="T2272" s="108" t="s">
        <v>47</v>
      </c>
      <c r="U2272" s="114"/>
      <c r="V2272" s="113"/>
      <c r="W2272" s="108" t="s">
        <v>47</v>
      </c>
      <c r="X2272" s="114"/>
      <c r="Y2272" s="113"/>
      <c r="Z2272" s="108" t="s">
        <v>47</v>
      </c>
      <c r="AA2272" s="114"/>
      <c r="AB2272" s="113"/>
      <c r="AC2272" s="105" t="s">
        <v>5119</v>
      </c>
      <c r="AD2272" s="115" t="s">
        <v>107</v>
      </c>
    </row>
    <row r="2273" spans="1:30" x14ac:dyDescent="0.2">
      <c r="A2273" s="104" t="s">
        <v>5120</v>
      </c>
      <c r="B2273" s="105" t="s">
        <v>805</v>
      </c>
      <c r="C2273" s="105" t="s">
        <v>98</v>
      </c>
      <c r="D2273" s="106" t="s">
        <v>105</v>
      </c>
      <c r="E2273" s="107" t="s">
        <v>182</v>
      </c>
      <c r="F2273" s="108" t="s">
        <v>18259</v>
      </c>
      <c r="G2273" s="120">
        <v>2</v>
      </c>
      <c r="H2273" s="108" t="s">
        <v>18260</v>
      </c>
      <c r="I2273" s="116">
        <v>1</v>
      </c>
      <c r="J2273" s="113"/>
      <c r="K2273" s="108" t="s">
        <v>18261</v>
      </c>
      <c r="L2273" s="116">
        <v>1</v>
      </c>
      <c r="M2273" s="111" t="s">
        <v>53</v>
      </c>
      <c r="N2273" s="108" t="s">
        <v>18259</v>
      </c>
      <c r="O2273" s="117">
        <v>2</v>
      </c>
      <c r="P2273" s="111" t="s">
        <v>40</v>
      </c>
      <c r="Q2273" s="108" t="s">
        <v>18262</v>
      </c>
      <c r="R2273" s="112">
        <v>4</v>
      </c>
      <c r="S2273" s="113"/>
      <c r="T2273" s="108" t="s">
        <v>18263</v>
      </c>
      <c r="U2273" s="112">
        <v>4</v>
      </c>
      <c r="V2273" s="113"/>
      <c r="W2273" s="108" t="s">
        <v>18264</v>
      </c>
      <c r="X2273" s="110">
        <v>3</v>
      </c>
      <c r="Y2273" s="113"/>
      <c r="Z2273" s="108" t="s">
        <v>47</v>
      </c>
      <c r="AA2273" s="114"/>
      <c r="AB2273" s="113"/>
      <c r="AC2273" s="105" t="s">
        <v>5121</v>
      </c>
      <c r="AD2273" s="115" t="s">
        <v>107</v>
      </c>
    </row>
    <row r="2274" spans="1:30" x14ac:dyDescent="0.2">
      <c r="A2274" s="104" t="s">
        <v>5122</v>
      </c>
      <c r="B2274" s="105" t="s">
        <v>805</v>
      </c>
      <c r="C2274" s="105" t="s">
        <v>98</v>
      </c>
      <c r="D2274" s="106" t="s">
        <v>105</v>
      </c>
      <c r="E2274" s="107" t="s">
        <v>182</v>
      </c>
      <c r="F2274" s="108" t="s">
        <v>18265</v>
      </c>
      <c r="G2274" s="120">
        <v>2</v>
      </c>
      <c r="H2274" s="108" t="s">
        <v>18266</v>
      </c>
      <c r="I2274" s="116">
        <v>1</v>
      </c>
      <c r="J2274" s="113"/>
      <c r="K2274" s="108" t="s">
        <v>18267</v>
      </c>
      <c r="L2274" s="116">
        <v>1</v>
      </c>
      <c r="M2274" s="111" t="s">
        <v>53</v>
      </c>
      <c r="N2274" s="108" t="s">
        <v>18265</v>
      </c>
      <c r="O2274" s="117">
        <v>2</v>
      </c>
      <c r="P2274" s="111" t="s">
        <v>40</v>
      </c>
      <c r="Q2274" s="108" t="s">
        <v>11441</v>
      </c>
      <c r="R2274" s="112">
        <v>4</v>
      </c>
      <c r="S2274" s="111" t="s">
        <v>46</v>
      </c>
      <c r="T2274" s="108" t="s">
        <v>18268</v>
      </c>
      <c r="U2274" s="112">
        <v>4</v>
      </c>
      <c r="V2274" s="113"/>
      <c r="W2274" s="108" t="s">
        <v>47</v>
      </c>
      <c r="X2274" s="114"/>
      <c r="Y2274" s="113"/>
      <c r="Z2274" s="108" t="s">
        <v>47</v>
      </c>
      <c r="AA2274" s="114"/>
      <c r="AB2274" s="113"/>
      <c r="AC2274" s="105" t="s">
        <v>5123</v>
      </c>
      <c r="AD2274" s="115" t="s">
        <v>107</v>
      </c>
    </row>
    <row r="2275" spans="1:30" x14ac:dyDescent="0.2">
      <c r="A2275" s="104" t="s">
        <v>5124</v>
      </c>
      <c r="B2275" s="105" t="s">
        <v>805</v>
      </c>
      <c r="C2275" s="105" t="s">
        <v>2978</v>
      </c>
      <c r="D2275" s="106" t="s">
        <v>94</v>
      </c>
      <c r="E2275" s="107" t="s">
        <v>146</v>
      </c>
      <c r="F2275" s="108" t="s">
        <v>18269</v>
      </c>
      <c r="G2275" s="109">
        <v>4</v>
      </c>
      <c r="H2275" s="108" t="s">
        <v>18270</v>
      </c>
      <c r="I2275" s="110">
        <v>3</v>
      </c>
      <c r="J2275" s="113"/>
      <c r="K2275" s="108" t="s">
        <v>18271</v>
      </c>
      <c r="L2275" s="112">
        <v>4</v>
      </c>
      <c r="M2275" s="113"/>
      <c r="N2275" s="108" t="s">
        <v>18269</v>
      </c>
      <c r="O2275" s="112">
        <v>4</v>
      </c>
      <c r="P2275" s="113"/>
      <c r="Q2275" s="108" t="s">
        <v>18272</v>
      </c>
      <c r="R2275" s="110">
        <v>3</v>
      </c>
      <c r="S2275" s="113"/>
      <c r="T2275" s="108" t="s">
        <v>10012</v>
      </c>
      <c r="U2275" s="117">
        <v>2</v>
      </c>
      <c r="V2275" s="113"/>
      <c r="W2275" s="108" t="s">
        <v>18273</v>
      </c>
      <c r="X2275" s="117">
        <v>2</v>
      </c>
      <c r="Y2275" s="113"/>
      <c r="Z2275" s="108" t="s">
        <v>18274</v>
      </c>
      <c r="AA2275" s="116">
        <v>1</v>
      </c>
      <c r="AB2275" s="113"/>
      <c r="AC2275" s="105" t="s">
        <v>5125</v>
      </c>
      <c r="AD2275" s="115" t="s">
        <v>107</v>
      </c>
    </row>
    <row r="2276" spans="1:30" x14ac:dyDescent="0.2">
      <c r="A2276" s="104" t="s">
        <v>5126</v>
      </c>
      <c r="B2276" s="105" t="s">
        <v>805</v>
      </c>
      <c r="C2276" s="105" t="s">
        <v>2978</v>
      </c>
      <c r="D2276" s="106" t="s">
        <v>94</v>
      </c>
      <c r="E2276" s="107" t="s">
        <v>146</v>
      </c>
      <c r="F2276" s="108" t="s">
        <v>18275</v>
      </c>
      <c r="G2276" s="109">
        <v>4</v>
      </c>
      <c r="H2276" s="108" t="s">
        <v>18276</v>
      </c>
      <c r="I2276" s="110">
        <v>3</v>
      </c>
      <c r="J2276" s="113"/>
      <c r="K2276" s="108" t="s">
        <v>10677</v>
      </c>
      <c r="L2276" s="112">
        <v>4</v>
      </c>
      <c r="M2276" s="113"/>
      <c r="N2276" s="108" t="s">
        <v>18275</v>
      </c>
      <c r="O2276" s="112">
        <v>4</v>
      </c>
      <c r="P2276" s="113"/>
      <c r="Q2276" s="108" t="s">
        <v>10752</v>
      </c>
      <c r="R2276" s="110">
        <v>3</v>
      </c>
      <c r="S2276" s="113"/>
      <c r="T2276" s="108" t="s">
        <v>18277</v>
      </c>
      <c r="U2276" s="117">
        <v>2</v>
      </c>
      <c r="V2276" s="113"/>
      <c r="W2276" s="108" t="s">
        <v>18278</v>
      </c>
      <c r="X2276" s="117">
        <v>2</v>
      </c>
      <c r="Y2276" s="113"/>
      <c r="Z2276" s="108" t="s">
        <v>18279</v>
      </c>
      <c r="AA2276" s="116">
        <v>1</v>
      </c>
      <c r="AB2276" s="113"/>
      <c r="AC2276" s="105" t="s">
        <v>5127</v>
      </c>
      <c r="AD2276" s="115" t="s">
        <v>107</v>
      </c>
    </row>
    <row r="2277" spans="1:30" x14ac:dyDescent="0.2">
      <c r="A2277" s="104" t="s">
        <v>5128</v>
      </c>
      <c r="B2277" s="105" t="s">
        <v>805</v>
      </c>
      <c r="C2277" s="105" t="s">
        <v>112</v>
      </c>
      <c r="D2277" s="106"/>
      <c r="E2277" s="107" t="s">
        <v>119</v>
      </c>
      <c r="F2277" s="108" t="s">
        <v>18280</v>
      </c>
      <c r="G2277" s="120">
        <v>2</v>
      </c>
      <c r="H2277" s="108" t="s">
        <v>18281</v>
      </c>
      <c r="I2277" s="110">
        <v>3</v>
      </c>
      <c r="J2277" s="111" t="s">
        <v>40</v>
      </c>
      <c r="K2277" s="108" t="s">
        <v>18282</v>
      </c>
      <c r="L2277" s="112">
        <v>4</v>
      </c>
      <c r="M2277" s="113"/>
      <c r="N2277" s="108" t="s">
        <v>18280</v>
      </c>
      <c r="O2277" s="117">
        <v>2</v>
      </c>
      <c r="P2277" s="111" t="s">
        <v>40</v>
      </c>
      <c r="Q2277" s="108" t="s">
        <v>18283</v>
      </c>
      <c r="R2277" s="112">
        <v>4</v>
      </c>
      <c r="S2277" s="113"/>
      <c r="T2277" s="108" t="s">
        <v>18284</v>
      </c>
      <c r="U2277" s="112">
        <v>4</v>
      </c>
      <c r="V2277" s="113"/>
      <c r="W2277" s="108" t="s">
        <v>47</v>
      </c>
      <c r="X2277" s="114"/>
      <c r="Y2277" s="113"/>
      <c r="Z2277" s="108" t="s">
        <v>47</v>
      </c>
      <c r="AA2277" s="114"/>
      <c r="AB2277" s="113"/>
      <c r="AC2277" s="105" t="s">
        <v>5129</v>
      </c>
      <c r="AD2277" s="115" t="s">
        <v>107</v>
      </c>
    </row>
    <row r="2278" spans="1:30" x14ac:dyDescent="0.2">
      <c r="A2278" s="104" t="s">
        <v>5130</v>
      </c>
      <c r="B2278" s="105" t="s">
        <v>805</v>
      </c>
      <c r="C2278" s="105" t="s">
        <v>2978</v>
      </c>
      <c r="D2278" s="106" t="s">
        <v>94</v>
      </c>
      <c r="E2278" s="107" t="s">
        <v>146</v>
      </c>
      <c r="F2278" s="108" t="s">
        <v>18285</v>
      </c>
      <c r="G2278" s="109">
        <v>4</v>
      </c>
      <c r="H2278" s="108" t="s">
        <v>18286</v>
      </c>
      <c r="I2278" s="110">
        <v>3</v>
      </c>
      <c r="J2278" s="113"/>
      <c r="K2278" s="108" t="s">
        <v>18287</v>
      </c>
      <c r="L2278" s="112">
        <v>4</v>
      </c>
      <c r="M2278" s="113"/>
      <c r="N2278" s="108" t="s">
        <v>18285</v>
      </c>
      <c r="O2278" s="112">
        <v>4</v>
      </c>
      <c r="P2278" s="113"/>
      <c r="Q2278" s="108" t="s">
        <v>18288</v>
      </c>
      <c r="R2278" s="110">
        <v>3</v>
      </c>
      <c r="S2278" s="113"/>
      <c r="T2278" s="108" t="s">
        <v>18289</v>
      </c>
      <c r="U2278" s="117">
        <v>2</v>
      </c>
      <c r="V2278" s="113"/>
      <c r="W2278" s="108" t="s">
        <v>18290</v>
      </c>
      <c r="X2278" s="117">
        <v>2</v>
      </c>
      <c r="Y2278" s="113"/>
      <c r="Z2278" s="108" t="s">
        <v>47</v>
      </c>
      <c r="AA2278" s="114"/>
      <c r="AB2278" s="113"/>
      <c r="AC2278" s="105" t="s">
        <v>5131</v>
      </c>
      <c r="AD2278" s="115" t="s">
        <v>107</v>
      </c>
    </row>
    <row r="2279" spans="1:30" x14ac:dyDescent="0.2">
      <c r="A2279" s="104" t="s">
        <v>5132</v>
      </c>
      <c r="B2279" s="105" t="s">
        <v>42</v>
      </c>
      <c r="C2279" s="105" t="s">
        <v>2821</v>
      </c>
      <c r="D2279" s="106"/>
      <c r="E2279" s="107"/>
      <c r="F2279" s="108" t="s">
        <v>18291</v>
      </c>
      <c r="G2279" s="118">
        <v>3</v>
      </c>
      <c r="H2279" s="108" t="s">
        <v>18292</v>
      </c>
      <c r="I2279" s="116">
        <v>1</v>
      </c>
      <c r="J2279" s="111" t="s">
        <v>53</v>
      </c>
      <c r="K2279" s="108" t="s">
        <v>18293</v>
      </c>
      <c r="L2279" s="117">
        <v>2</v>
      </c>
      <c r="M2279" s="111" t="s">
        <v>40</v>
      </c>
      <c r="N2279" s="108" t="s">
        <v>18291</v>
      </c>
      <c r="O2279" s="110">
        <v>3</v>
      </c>
      <c r="P2279" s="113"/>
      <c r="Q2279" s="108" t="s">
        <v>18294</v>
      </c>
      <c r="R2279" s="110">
        <v>3</v>
      </c>
      <c r="S2279" s="111" t="s">
        <v>40</v>
      </c>
      <c r="T2279" s="108" t="s">
        <v>18295</v>
      </c>
      <c r="U2279" s="112">
        <v>4</v>
      </c>
      <c r="V2279" s="113"/>
      <c r="W2279" s="108" t="s">
        <v>47</v>
      </c>
      <c r="X2279" s="114"/>
      <c r="Y2279" s="113"/>
      <c r="Z2279" s="108" t="s">
        <v>47</v>
      </c>
      <c r="AA2279" s="114"/>
      <c r="AB2279" s="113"/>
      <c r="AC2279" s="105" t="s">
        <v>5133</v>
      </c>
      <c r="AD2279" s="115" t="s">
        <v>49</v>
      </c>
    </row>
    <row r="2280" spans="1:30" x14ac:dyDescent="0.2">
      <c r="A2280" s="104" t="s">
        <v>5134</v>
      </c>
      <c r="B2280" s="105" t="s">
        <v>42</v>
      </c>
      <c r="C2280" s="105" t="s">
        <v>2821</v>
      </c>
      <c r="D2280" s="106"/>
      <c r="E2280" s="107"/>
      <c r="F2280" s="108" t="s">
        <v>18296</v>
      </c>
      <c r="G2280" s="118">
        <v>3</v>
      </c>
      <c r="H2280" s="108" t="s">
        <v>18297</v>
      </c>
      <c r="I2280" s="116">
        <v>1</v>
      </c>
      <c r="J2280" s="111" t="s">
        <v>53</v>
      </c>
      <c r="K2280" s="108" t="s">
        <v>18298</v>
      </c>
      <c r="L2280" s="117">
        <v>2</v>
      </c>
      <c r="M2280" s="111" t="s">
        <v>40</v>
      </c>
      <c r="N2280" s="108" t="s">
        <v>18296</v>
      </c>
      <c r="O2280" s="110">
        <v>3</v>
      </c>
      <c r="P2280" s="113"/>
      <c r="Q2280" s="108" t="s">
        <v>47</v>
      </c>
      <c r="R2280" s="114"/>
      <c r="S2280" s="113"/>
      <c r="T2280" s="108" t="s">
        <v>47</v>
      </c>
      <c r="U2280" s="114"/>
      <c r="V2280" s="113"/>
      <c r="W2280" s="108" t="s">
        <v>47</v>
      </c>
      <c r="X2280" s="114"/>
      <c r="Y2280" s="113"/>
      <c r="Z2280" s="108" t="s">
        <v>47</v>
      </c>
      <c r="AA2280" s="114"/>
      <c r="AB2280" s="113"/>
      <c r="AC2280" s="105" t="s">
        <v>5135</v>
      </c>
      <c r="AD2280" s="115" t="s">
        <v>49</v>
      </c>
    </row>
    <row r="2281" spans="1:30" x14ac:dyDescent="0.2">
      <c r="A2281" s="104" t="s">
        <v>18299</v>
      </c>
      <c r="B2281" s="105" t="s">
        <v>42</v>
      </c>
      <c r="C2281" s="105" t="s">
        <v>43</v>
      </c>
      <c r="D2281" s="106"/>
      <c r="E2281" s="107"/>
      <c r="F2281" s="108" t="s">
        <v>47</v>
      </c>
      <c r="G2281" s="113"/>
      <c r="H2281" s="108" t="s">
        <v>17445</v>
      </c>
      <c r="I2281" s="116">
        <v>1</v>
      </c>
      <c r="J2281" s="111" t="s">
        <v>53</v>
      </c>
      <c r="K2281" s="108" t="s">
        <v>47</v>
      </c>
      <c r="L2281" s="114"/>
      <c r="M2281" s="113"/>
      <c r="N2281" s="108" t="s">
        <v>47</v>
      </c>
      <c r="O2281" s="114"/>
      <c r="P2281" s="113"/>
      <c r="Q2281" s="108" t="s">
        <v>47</v>
      </c>
      <c r="R2281" s="114"/>
      <c r="S2281" s="113"/>
      <c r="T2281" s="108" t="s">
        <v>47</v>
      </c>
      <c r="U2281" s="114"/>
      <c r="V2281" s="113"/>
      <c r="W2281" s="108" t="s">
        <v>47</v>
      </c>
      <c r="X2281" s="114"/>
      <c r="Y2281" s="113"/>
      <c r="Z2281" s="108" t="s">
        <v>47</v>
      </c>
      <c r="AA2281" s="114"/>
      <c r="AB2281" s="113"/>
      <c r="AC2281" s="105" t="s">
        <v>18300</v>
      </c>
      <c r="AD2281" s="115" t="s">
        <v>49</v>
      </c>
    </row>
    <row r="2282" spans="1:30" x14ac:dyDescent="0.2">
      <c r="A2282" s="104" t="s">
        <v>5136</v>
      </c>
      <c r="B2282" s="105" t="s">
        <v>42</v>
      </c>
      <c r="C2282" s="105" t="s">
        <v>43</v>
      </c>
      <c r="D2282" s="106"/>
      <c r="E2282" s="107"/>
      <c r="F2282" s="108" t="s">
        <v>47</v>
      </c>
      <c r="G2282" s="113"/>
      <c r="H2282" s="108" t="s">
        <v>17445</v>
      </c>
      <c r="I2282" s="116">
        <v>1</v>
      </c>
      <c r="J2282" s="111" t="s">
        <v>53</v>
      </c>
      <c r="K2282" s="108" t="s">
        <v>4706</v>
      </c>
      <c r="L2282" s="117">
        <v>2</v>
      </c>
      <c r="M2282" s="111" t="s">
        <v>40</v>
      </c>
      <c r="N2282" s="108" t="s">
        <v>47</v>
      </c>
      <c r="O2282" s="114"/>
      <c r="P2282" s="113"/>
      <c r="Q2282" s="108" t="s">
        <v>47</v>
      </c>
      <c r="R2282" s="114"/>
      <c r="S2282" s="113"/>
      <c r="T2282" s="108" t="s">
        <v>47</v>
      </c>
      <c r="U2282" s="114"/>
      <c r="V2282" s="113"/>
      <c r="W2282" s="108" t="s">
        <v>47</v>
      </c>
      <c r="X2282" s="114"/>
      <c r="Y2282" s="113"/>
      <c r="Z2282" s="108" t="s">
        <v>47</v>
      </c>
      <c r="AA2282" s="114"/>
      <c r="AB2282" s="113"/>
      <c r="AC2282" s="105" t="s">
        <v>5137</v>
      </c>
      <c r="AD2282" s="115" t="s">
        <v>49</v>
      </c>
    </row>
    <row r="2283" spans="1:30" x14ac:dyDescent="0.2">
      <c r="A2283" s="104" t="s">
        <v>5138</v>
      </c>
      <c r="B2283" s="105" t="s">
        <v>42</v>
      </c>
      <c r="C2283" s="105" t="s">
        <v>2821</v>
      </c>
      <c r="D2283" s="106"/>
      <c r="E2283" s="107"/>
      <c r="F2283" s="108" t="s">
        <v>18301</v>
      </c>
      <c r="G2283" s="118">
        <v>3</v>
      </c>
      <c r="H2283" s="108" t="s">
        <v>18302</v>
      </c>
      <c r="I2283" s="116">
        <v>1</v>
      </c>
      <c r="J2283" s="111" t="s">
        <v>53</v>
      </c>
      <c r="K2283" s="108" t="s">
        <v>18303</v>
      </c>
      <c r="L2283" s="117">
        <v>2</v>
      </c>
      <c r="M2283" s="111" t="s">
        <v>40</v>
      </c>
      <c r="N2283" s="108" t="s">
        <v>18301</v>
      </c>
      <c r="O2283" s="110">
        <v>3</v>
      </c>
      <c r="P2283" s="113"/>
      <c r="Q2283" s="108" t="s">
        <v>47</v>
      </c>
      <c r="R2283" s="114"/>
      <c r="S2283" s="113"/>
      <c r="T2283" s="108" t="s">
        <v>47</v>
      </c>
      <c r="U2283" s="114"/>
      <c r="V2283" s="113"/>
      <c r="W2283" s="108" t="s">
        <v>47</v>
      </c>
      <c r="X2283" s="114"/>
      <c r="Y2283" s="113"/>
      <c r="Z2283" s="108" t="s">
        <v>47</v>
      </c>
      <c r="AA2283" s="114"/>
      <c r="AB2283" s="113"/>
      <c r="AC2283" s="105" t="s">
        <v>5139</v>
      </c>
      <c r="AD2283" s="115" t="s">
        <v>49</v>
      </c>
    </row>
    <row r="2284" spans="1:30" x14ac:dyDescent="0.2">
      <c r="A2284" s="104" t="s">
        <v>5140</v>
      </c>
      <c r="B2284" s="105" t="s">
        <v>42</v>
      </c>
      <c r="C2284" s="105" t="s">
        <v>2821</v>
      </c>
      <c r="D2284" s="106"/>
      <c r="E2284" s="107"/>
      <c r="F2284" s="108" t="s">
        <v>18304</v>
      </c>
      <c r="G2284" s="118">
        <v>3</v>
      </c>
      <c r="H2284" s="108" t="s">
        <v>18305</v>
      </c>
      <c r="I2284" s="116">
        <v>1</v>
      </c>
      <c r="J2284" s="111" t="s">
        <v>53</v>
      </c>
      <c r="K2284" s="108" t="s">
        <v>18306</v>
      </c>
      <c r="L2284" s="117">
        <v>2</v>
      </c>
      <c r="M2284" s="111" t="s">
        <v>40</v>
      </c>
      <c r="N2284" s="108" t="s">
        <v>18304</v>
      </c>
      <c r="O2284" s="110">
        <v>3</v>
      </c>
      <c r="P2284" s="113"/>
      <c r="Q2284" s="108" t="s">
        <v>18307</v>
      </c>
      <c r="R2284" s="110">
        <v>3</v>
      </c>
      <c r="S2284" s="111" t="s">
        <v>40</v>
      </c>
      <c r="T2284" s="108" t="s">
        <v>47</v>
      </c>
      <c r="U2284" s="114"/>
      <c r="V2284" s="113"/>
      <c r="W2284" s="108" t="s">
        <v>47</v>
      </c>
      <c r="X2284" s="114"/>
      <c r="Y2284" s="113"/>
      <c r="Z2284" s="108" t="s">
        <v>47</v>
      </c>
      <c r="AA2284" s="114"/>
      <c r="AB2284" s="113"/>
      <c r="AC2284" s="105" t="s">
        <v>5141</v>
      </c>
      <c r="AD2284" s="115" t="s">
        <v>49</v>
      </c>
    </row>
    <row r="2285" spans="1:30" x14ac:dyDescent="0.2">
      <c r="A2285" s="104" t="s">
        <v>5142</v>
      </c>
      <c r="B2285" s="105" t="s">
        <v>371</v>
      </c>
      <c r="C2285" s="105" t="s">
        <v>638</v>
      </c>
      <c r="D2285" s="106"/>
      <c r="E2285" s="107"/>
      <c r="F2285" s="108" t="s">
        <v>18308</v>
      </c>
      <c r="G2285" s="119">
        <v>1</v>
      </c>
      <c r="H2285" s="108" t="s">
        <v>18309</v>
      </c>
      <c r="I2285" s="116">
        <v>1</v>
      </c>
      <c r="J2285" s="111" t="s">
        <v>157</v>
      </c>
      <c r="K2285" s="108" t="s">
        <v>18310</v>
      </c>
      <c r="L2285" s="110">
        <v>3</v>
      </c>
      <c r="M2285" s="113"/>
      <c r="N2285" s="108" t="s">
        <v>18308</v>
      </c>
      <c r="O2285" s="116">
        <v>1</v>
      </c>
      <c r="P2285" s="111" t="s">
        <v>53</v>
      </c>
      <c r="Q2285" s="108" t="s">
        <v>18311</v>
      </c>
      <c r="R2285" s="116">
        <v>1</v>
      </c>
      <c r="S2285" s="113"/>
      <c r="T2285" s="108" t="s">
        <v>18312</v>
      </c>
      <c r="U2285" s="116">
        <v>1</v>
      </c>
      <c r="V2285" s="113"/>
      <c r="W2285" s="108" t="s">
        <v>18313</v>
      </c>
      <c r="X2285" s="116">
        <v>1</v>
      </c>
      <c r="Y2285" s="113"/>
      <c r="Z2285" s="108" t="s">
        <v>18314</v>
      </c>
      <c r="AA2285" s="116">
        <v>1</v>
      </c>
      <c r="AB2285" s="111" t="s">
        <v>53</v>
      </c>
      <c r="AC2285" s="105" t="s">
        <v>5143</v>
      </c>
      <c r="AD2285" s="115" t="s">
        <v>49</v>
      </c>
    </row>
    <row r="2286" spans="1:30" x14ac:dyDescent="0.2">
      <c r="A2286" s="104" t="s">
        <v>5144</v>
      </c>
      <c r="B2286" s="105" t="s">
        <v>42</v>
      </c>
      <c r="C2286" s="105" t="s">
        <v>122</v>
      </c>
      <c r="D2286" s="106" t="s">
        <v>105</v>
      </c>
      <c r="E2286" s="107"/>
      <c r="F2286" s="108" t="s">
        <v>18315</v>
      </c>
      <c r="G2286" s="120">
        <v>2</v>
      </c>
      <c r="H2286" s="108" t="s">
        <v>18316</v>
      </c>
      <c r="I2286" s="117">
        <v>2</v>
      </c>
      <c r="J2286" s="111" t="s">
        <v>40</v>
      </c>
      <c r="K2286" s="108" t="s">
        <v>18317</v>
      </c>
      <c r="L2286" s="110">
        <v>3</v>
      </c>
      <c r="M2286" s="111" t="s">
        <v>40</v>
      </c>
      <c r="N2286" s="108" t="s">
        <v>18315</v>
      </c>
      <c r="O2286" s="117">
        <v>2</v>
      </c>
      <c r="P2286" s="111" t="s">
        <v>53</v>
      </c>
      <c r="Q2286" s="108" t="s">
        <v>18318</v>
      </c>
      <c r="R2286" s="110">
        <v>3</v>
      </c>
      <c r="S2286" s="113"/>
      <c r="T2286" s="108" t="s">
        <v>18319</v>
      </c>
      <c r="U2286" s="110">
        <v>3</v>
      </c>
      <c r="V2286" s="113"/>
      <c r="W2286" s="108" t="s">
        <v>18320</v>
      </c>
      <c r="X2286" s="112">
        <v>4</v>
      </c>
      <c r="Y2286" s="113"/>
      <c r="Z2286" s="108" t="s">
        <v>18321</v>
      </c>
      <c r="AA2286" s="112">
        <v>4</v>
      </c>
      <c r="AB2286" s="113"/>
      <c r="AC2286" s="105" t="s">
        <v>5145</v>
      </c>
      <c r="AD2286" s="115" t="s">
        <v>49</v>
      </c>
    </row>
    <row r="2287" spans="1:30" x14ac:dyDescent="0.2">
      <c r="A2287" s="104" t="s">
        <v>5146</v>
      </c>
      <c r="B2287" s="105" t="s">
        <v>4312</v>
      </c>
      <c r="C2287" s="105" t="s">
        <v>1787</v>
      </c>
      <c r="D2287" s="106"/>
      <c r="E2287" s="107"/>
      <c r="F2287" s="108" t="s">
        <v>47</v>
      </c>
      <c r="G2287" s="113"/>
      <c r="H2287" s="108" t="s">
        <v>47</v>
      </c>
      <c r="I2287" s="114"/>
      <c r="J2287" s="113"/>
      <c r="K2287" s="108" t="s">
        <v>47</v>
      </c>
      <c r="L2287" s="114"/>
      <c r="M2287" s="113"/>
      <c r="N2287" s="108" t="s">
        <v>47</v>
      </c>
      <c r="O2287" s="114"/>
      <c r="P2287" s="113"/>
      <c r="Q2287" s="108" t="s">
        <v>47</v>
      </c>
      <c r="R2287" s="114"/>
      <c r="S2287" s="113"/>
      <c r="T2287" s="108" t="s">
        <v>47</v>
      </c>
      <c r="U2287" s="114"/>
      <c r="V2287" s="113"/>
      <c r="W2287" s="108" t="s">
        <v>47</v>
      </c>
      <c r="X2287" s="114"/>
      <c r="Y2287" s="113"/>
      <c r="Z2287" s="108" t="s">
        <v>47</v>
      </c>
      <c r="AA2287" s="114"/>
      <c r="AB2287" s="113"/>
      <c r="AC2287" s="105" t="s">
        <v>5147</v>
      </c>
      <c r="AD2287" s="115" t="s">
        <v>4314</v>
      </c>
    </row>
    <row r="2288" spans="1:30" x14ac:dyDescent="0.2">
      <c r="A2288" s="104" t="s">
        <v>5148</v>
      </c>
      <c r="B2288" s="105" t="s">
        <v>111</v>
      </c>
      <c r="C2288" s="105" t="s">
        <v>112</v>
      </c>
      <c r="D2288" s="106"/>
      <c r="E2288" s="107"/>
      <c r="F2288" s="108" t="s">
        <v>18322</v>
      </c>
      <c r="G2288" s="119">
        <v>1</v>
      </c>
      <c r="H2288" s="108" t="s">
        <v>18323</v>
      </c>
      <c r="I2288" s="112">
        <v>4</v>
      </c>
      <c r="J2288" s="111" t="s">
        <v>44</v>
      </c>
      <c r="K2288" s="108" t="s">
        <v>18324</v>
      </c>
      <c r="L2288" s="116">
        <v>1</v>
      </c>
      <c r="M2288" s="113"/>
      <c r="N2288" s="108" t="s">
        <v>18322</v>
      </c>
      <c r="O2288" s="116">
        <v>1</v>
      </c>
      <c r="P2288" s="113"/>
      <c r="Q2288" s="108" t="s">
        <v>18325</v>
      </c>
      <c r="R2288" s="116">
        <v>1</v>
      </c>
      <c r="S2288" s="113"/>
      <c r="T2288" s="108" t="s">
        <v>18326</v>
      </c>
      <c r="U2288" s="117">
        <v>2</v>
      </c>
      <c r="V2288" s="113"/>
      <c r="W2288" s="108" t="s">
        <v>18327</v>
      </c>
      <c r="X2288" s="117">
        <v>2</v>
      </c>
      <c r="Y2288" s="111" t="s">
        <v>46</v>
      </c>
      <c r="Z2288" s="108" t="s">
        <v>18328</v>
      </c>
      <c r="AA2288" s="110">
        <v>3</v>
      </c>
      <c r="AB2288" s="111" t="s">
        <v>40</v>
      </c>
      <c r="AC2288" s="105" t="s">
        <v>5149</v>
      </c>
      <c r="AD2288" s="115" t="s">
        <v>114</v>
      </c>
    </row>
    <row r="2289" spans="1:30" x14ac:dyDescent="0.2">
      <c r="A2289" s="104" t="s">
        <v>5150</v>
      </c>
      <c r="B2289" s="105" t="s">
        <v>42</v>
      </c>
      <c r="C2289" s="105" t="s">
        <v>582</v>
      </c>
      <c r="D2289" s="106" t="s">
        <v>514</v>
      </c>
      <c r="E2289" s="107"/>
      <c r="F2289" s="108" t="s">
        <v>18329</v>
      </c>
      <c r="G2289" s="119">
        <v>1</v>
      </c>
      <c r="H2289" s="108" t="s">
        <v>18330</v>
      </c>
      <c r="I2289" s="116">
        <v>1</v>
      </c>
      <c r="J2289" s="113"/>
      <c r="K2289" s="108" t="s">
        <v>18331</v>
      </c>
      <c r="L2289" s="116">
        <v>1</v>
      </c>
      <c r="M2289" s="113"/>
      <c r="N2289" s="108" t="s">
        <v>18329</v>
      </c>
      <c r="O2289" s="116">
        <v>1</v>
      </c>
      <c r="P2289" s="113"/>
      <c r="Q2289" s="108" t="s">
        <v>18332</v>
      </c>
      <c r="R2289" s="117">
        <v>2</v>
      </c>
      <c r="S2289" s="113"/>
      <c r="T2289" s="108" t="s">
        <v>18333</v>
      </c>
      <c r="U2289" s="117">
        <v>2</v>
      </c>
      <c r="V2289" s="113"/>
      <c r="W2289" s="108" t="s">
        <v>18334</v>
      </c>
      <c r="X2289" s="116">
        <v>1</v>
      </c>
      <c r="Y2289" s="113"/>
      <c r="Z2289" s="108" t="s">
        <v>47</v>
      </c>
      <c r="AA2289" s="114"/>
      <c r="AB2289" s="113"/>
      <c r="AC2289" s="105" t="s">
        <v>5151</v>
      </c>
      <c r="AD2289" s="115" t="s">
        <v>49</v>
      </c>
    </row>
    <row r="2290" spans="1:30" x14ac:dyDescent="0.2">
      <c r="A2290" s="104" t="s">
        <v>5152</v>
      </c>
      <c r="B2290" s="105" t="s">
        <v>42</v>
      </c>
      <c r="C2290" s="105" t="s">
        <v>582</v>
      </c>
      <c r="D2290" s="106" t="s">
        <v>94</v>
      </c>
      <c r="E2290" s="107"/>
      <c r="F2290" s="108" t="s">
        <v>18335</v>
      </c>
      <c r="G2290" s="120">
        <v>2</v>
      </c>
      <c r="H2290" s="108" t="s">
        <v>18336</v>
      </c>
      <c r="I2290" s="116">
        <v>1</v>
      </c>
      <c r="J2290" s="113"/>
      <c r="K2290" s="108" t="s">
        <v>18337</v>
      </c>
      <c r="L2290" s="116">
        <v>1</v>
      </c>
      <c r="M2290" s="113"/>
      <c r="N2290" s="108" t="s">
        <v>18335</v>
      </c>
      <c r="O2290" s="117">
        <v>2</v>
      </c>
      <c r="P2290" s="113"/>
      <c r="Q2290" s="108" t="s">
        <v>18338</v>
      </c>
      <c r="R2290" s="117">
        <v>2</v>
      </c>
      <c r="S2290" s="111" t="s">
        <v>40</v>
      </c>
      <c r="T2290" s="108" t="s">
        <v>18339</v>
      </c>
      <c r="U2290" s="117">
        <v>2</v>
      </c>
      <c r="V2290" s="113"/>
      <c r="W2290" s="108" t="s">
        <v>18340</v>
      </c>
      <c r="X2290" s="116">
        <v>1</v>
      </c>
      <c r="Y2290" s="113"/>
      <c r="Z2290" s="108" t="s">
        <v>18341</v>
      </c>
      <c r="AA2290" s="117">
        <v>2</v>
      </c>
      <c r="AB2290" s="111" t="s">
        <v>46</v>
      </c>
      <c r="AC2290" s="105" t="s">
        <v>5153</v>
      </c>
      <c r="AD2290" s="115" t="s">
        <v>49</v>
      </c>
    </row>
    <row r="2291" spans="1:30" x14ac:dyDescent="0.2">
      <c r="A2291" s="104" t="s">
        <v>5154</v>
      </c>
      <c r="B2291" s="105" t="s">
        <v>42</v>
      </c>
      <c r="C2291" s="105" t="s">
        <v>582</v>
      </c>
      <c r="D2291" s="106" t="s">
        <v>94</v>
      </c>
      <c r="E2291" s="107"/>
      <c r="F2291" s="108" t="s">
        <v>18342</v>
      </c>
      <c r="G2291" s="120">
        <v>2</v>
      </c>
      <c r="H2291" s="108" t="s">
        <v>18343</v>
      </c>
      <c r="I2291" s="116">
        <v>1</v>
      </c>
      <c r="J2291" s="113"/>
      <c r="K2291" s="108" t="s">
        <v>18344</v>
      </c>
      <c r="L2291" s="116">
        <v>1</v>
      </c>
      <c r="M2291" s="113"/>
      <c r="N2291" s="108" t="s">
        <v>18342</v>
      </c>
      <c r="O2291" s="117">
        <v>2</v>
      </c>
      <c r="P2291" s="113"/>
      <c r="Q2291" s="108" t="s">
        <v>18345</v>
      </c>
      <c r="R2291" s="117">
        <v>2</v>
      </c>
      <c r="S2291" s="113"/>
      <c r="T2291" s="108" t="s">
        <v>18346</v>
      </c>
      <c r="U2291" s="117">
        <v>2</v>
      </c>
      <c r="V2291" s="113"/>
      <c r="W2291" s="108" t="s">
        <v>18347</v>
      </c>
      <c r="X2291" s="116">
        <v>1</v>
      </c>
      <c r="Y2291" s="113"/>
      <c r="Z2291" s="108" t="s">
        <v>18348</v>
      </c>
      <c r="AA2291" s="117">
        <v>2</v>
      </c>
      <c r="AB2291" s="111" t="s">
        <v>46</v>
      </c>
      <c r="AC2291" s="105" t="s">
        <v>5155</v>
      </c>
      <c r="AD2291" s="115" t="s">
        <v>49</v>
      </c>
    </row>
    <row r="2292" spans="1:30" x14ac:dyDescent="0.2">
      <c r="A2292" s="104" t="s">
        <v>18349</v>
      </c>
      <c r="B2292" s="105" t="s">
        <v>111</v>
      </c>
      <c r="C2292" s="105" t="s">
        <v>112</v>
      </c>
      <c r="D2292" s="106"/>
      <c r="E2292" s="107" t="s">
        <v>146</v>
      </c>
      <c r="F2292" s="108" t="s">
        <v>47</v>
      </c>
      <c r="G2292" s="113"/>
      <c r="H2292" s="108" t="s">
        <v>47</v>
      </c>
      <c r="I2292" s="114"/>
      <c r="J2292" s="113"/>
      <c r="K2292" s="108" t="s">
        <v>47</v>
      </c>
      <c r="L2292" s="114"/>
      <c r="M2292" s="113"/>
      <c r="N2292" s="108" t="s">
        <v>47</v>
      </c>
      <c r="O2292" s="114"/>
      <c r="P2292" s="113"/>
      <c r="Q2292" s="108" t="s">
        <v>47</v>
      </c>
      <c r="R2292" s="114"/>
      <c r="S2292" s="113"/>
      <c r="T2292" s="108" t="s">
        <v>47</v>
      </c>
      <c r="U2292" s="114"/>
      <c r="V2292" s="113"/>
      <c r="W2292" s="108" t="s">
        <v>47</v>
      </c>
      <c r="X2292" s="114"/>
      <c r="Y2292" s="113"/>
      <c r="Z2292" s="108" t="s">
        <v>47</v>
      </c>
      <c r="AA2292" s="114"/>
      <c r="AB2292" s="113"/>
      <c r="AC2292" s="105" t="s">
        <v>18350</v>
      </c>
      <c r="AD2292" s="115" t="s">
        <v>114</v>
      </c>
    </row>
    <row r="2293" spans="1:30" x14ac:dyDescent="0.2">
      <c r="A2293" s="104" t="s">
        <v>5156</v>
      </c>
      <c r="B2293" s="105" t="s">
        <v>111</v>
      </c>
      <c r="C2293" s="105" t="s">
        <v>3692</v>
      </c>
      <c r="D2293" s="106" t="s">
        <v>125</v>
      </c>
      <c r="E2293" s="107"/>
      <c r="F2293" s="108" t="s">
        <v>18351</v>
      </c>
      <c r="G2293" s="120">
        <v>2</v>
      </c>
      <c r="H2293" s="108" t="s">
        <v>18352</v>
      </c>
      <c r="I2293" s="112">
        <v>4</v>
      </c>
      <c r="J2293" s="113"/>
      <c r="K2293" s="108" t="s">
        <v>18353</v>
      </c>
      <c r="L2293" s="112">
        <v>4</v>
      </c>
      <c r="M2293" s="111" t="s">
        <v>55</v>
      </c>
      <c r="N2293" s="108" t="s">
        <v>18351</v>
      </c>
      <c r="O2293" s="117">
        <v>2</v>
      </c>
      <c r="P2293" s="111" t="s">
        <v>46</v>
      </c>
      <c r="Q2293" s="108" t="s">
        <v>18354</v>
      </c>
      <c r="R2293" s="116">
        <v>1</v>
      </c>
      <c r="S2293" s="111" t="s">
        <v>40</v>
      </c>
      <c r="T2293" s="108" t="s">
        <v>18355</v>
      </c>
      <c r="U2293" s="112">
        <v>4</v>
      </c>
      <c r="V2293" s="111" t="s">
        <v>46</v>
      </c>
      <c r="W2293" s="108" t="s">
        <v>17275</v>
      </c>
      <c r="X2293" s="116">
        <v>1</v>
      </c>
      <c r="Y2293" s="113"/>
      <c r="Z2293" s="108" t="s">
        <v>18356</v>
      </c>
      <c r="AA2293" s="110">
        <v>3</v>
      </c>
      <c r="AB2293" s="113"/>
      <c r="AC2293" s="105" t="s">
        <v>5157</v>
      </c>
      <c r="AD2293" s="115" t="s">
        <v>114</v>
      </c>
    </row>
    <row r="2294" spans="1:30" x14ac:dyDescent="0.2">
      <c r="A2294" s="104" t="s">
        <v>5158</v>
      </c>
      <c r="B2294" s="105" t="s">
        <v>42</v>
      </c>
      <c r="C2294" s="105" t="s">
        <v>51</v>
      </c>
      <c r="D2294" s="106"/>
      <c r="E2294" s="107"/>
      <c r="F2294" s="108" t="s">
        <v>18357</v>
      </c>
      <c r="G2294" s="120">
        <v>2</v>
      </c>
      <c r="H2294" s="108" t="s">
        <v>18358</v>
      </c>
      <c r="I2294" s="117">
        <v>2</v>
      </c>
      <c r="J2294" s="113"/>
      <c r="K2294" s="108" t="s">
        <v>18359</v>
      </c>
      <c r="L2294" s="117">
        <v>2</v>
      </c>
      <c r="M2294" s="111" t="s">
        <v>46</v>
      </c>
      <c r="N2294" s="108" t="s">
        <v>18357</v>
      </c>
      <c r="O2294" s="117">
        <v>2</v>
      </c>
      <c r="P2294" s="111" t="s">
        <v>40</v>
      </c>
      <c r="Q2294" s="108" t="s">
        <v>47</v>
      </c>
      <c r="R2294" s="114"/>
      <c r="S2294" s="113"/>
      <c r="T2294" s="108" t="s">
        <v>47</v>
      </c>
      <c r="U2294" s="114"/>
      <c r="V2294" s="113"/>
      <c r="W2294" s="108" t="s">
        <v>47</v>
      </c>
      <c r="X2294" s="114"/>
      <c r="Y2294" s="113"/>
      <c r="Z2294" s="108" t="s">
        <v>47</v>
      </c>
      <c r="AA2294" s="114"/>
      <c r="AB2294" s="113"/>
      <c r="AC2294" s="105" t="s">
        <v>5159</v>
      </c>
      <c r="AD2294" s="115" t="s">
        <v>49</v>
      </c>
    </row>
    <row r="2295" spans="1:30" x14ac:dyDescent="0.2">
      <c r="A2295" s="104" t="s">
        <v>5160</v>
      </c>
      <c r="B2295" s="105" t="s">
        <v>255</v>
      </c>
      <c r="C2295" s="105" t="s">
        <v>384</v>
      </c>
      <c r="D2295" s="106" t="s">
        <v>94</v>
      </c>
      <c r="E2295" s="107"/>
      <c r="F2295" s="108" t="s">
        <v>18360</v>
      </c>
      <c r="G2295" s="120">
        <v>2</v>
      </c>
      <c r="H2295" s="108" t="s">
        <v>18361</v>
      </c>
      <c r="I2295" s="117">
        <v>2</v>
      </c>
      <c r="J2295" s="111" t="s">
        <v>46</v>
      </c>
      <c r="K2295" s="108" t="s">
        <v>18362</v>
      </c>
      <c r="L2295" s="117">
        <v>2</v>
      </c>
      <c r="M2295" s="111" t="s">
        <v>46</v>
      </c>
      <c r="N2295" s="108" t="s">
        <v>18360</v>
      </c>
      <c r="O2295" s="117">
        <v>2</v>
      </c>
      <c r="P2295" s="113"/>
      <c r="Q2295" s="108" t="s">
        <v>18363</v>
      </c>
      <c r="R2295" s="117">
        <v>2</v>
      </c>
      <c r="S2295" s="113"/>
      <c r="T2295" s="108" t="s">
        <v>18364</v>
      </c>
      <c r="U2295" s="116">
        <v>1</v>
      </c>
      <c r="V2295" s="111" t="s">
        <v>40</v>
      </c>
      <c r="W2295" s="108" t="s">
        <v>18365</v>
      </c>
      <c r="X2295" s="117">
        <v>2</v>
      </c>
      <c r="Y2295" s="113"/>
      <c r="Z2295" s="108" t="s">
        <v>18366</v>
      </c>
      <c r="AA2295" s="110">
        <v>3</v>
      </c>
      <c r="AB2295" s="113"/>
      <c r="AC2295" s="105" t="s">
        <v>5161</v>
      </c>
      <c r="AD2295" s="115" t="s">
        <v>49</v>
      </c>
    </row>
    <row r="2296" spans="1:30" x14ac:dyDescent="0.2">
      <c r="A2296" s="104" t="s">
        <v>5162</v>
      </c>
      <c r="B2296" s="105" t="s">
        <v>255</v>
      </c>
      <c r="C2296" s="105" t="s">
        <v>3326</v>
      </c>
      <c r="D2296" s="106" t="s">
        <v>125</v>
      </c>
      <c r="E2296" s="107"/>
      <c r="F2296" s="108" t="s">
        <v>5163</v>
      </c>
      <c r="G2296" s="119">
        <v>1</v>
      </c>
      <c r="H2296" s="108" t="s">
        <v>18356</v>
      </c>
      <c r="I2296" s="110">
        <v>3</v>
      </c>
      <c r="J2296" s="111" t="s">
        <v>46</v>
      </c>
      <c r="K2296" s="108" t="s">
        <v>18367</v>
      </c>
      <c r="L2296" s="117">
        <v>2</v>
      </c>
      <c r="M2296" s="113"/>
      <c r="N2296" s="108" t="s">
        <v>5163</v>
      </c>
      <c r="O2296" s="116">
        <v>1</v>
      </c>
      <c r="P2296" s="113"/>
      <c r="Q2296" s="108" t="s">
        <v>18368</v>
      </c>
      <c r="R2296" s="116">
        <v>1</v>
      </c>
      <c r="S2296" s="113"/>
      <c r="T2296" s="108" t="s">
        <v>18369</v>
      </c>
      <c r="U2296" s="116">
        <v>1</v>
      </c>
      <c r="V2296" s="113"/>
      <c r="W2296" s="108" t="s">
        <v>18370</v>
      </c>
      <c r="X2296" s="116">
        <v>1</v>
      </c>
      <c r="Y2296" s="113"/>
      <c r="Z2296" s="108" t="s">
        <v>18371</v>
      </c>
      <c r="AA2296" s="116">
        <v>1</v>
      </c>
      <c r="AB2296" s="111" t="s">
        <v>53</v>
      </c>
      <c r="AC2296" s="105" t="s">
        <v>5164</v>
      </c>
      <c r="AD2296" s="115" t="s">
        <v>49</v>
      </c>
    </row>
    <row r="2297" spans="1:30" x14ac:dyDescent="0.2">
      <c r="A2297" s="104" t="s">
        <v>5165</v>
      </c>
      <c r="B2297" s="105" t="s">
        <v>255</v>
      </c>
      <c r="C2297" s="105" t="s">
        <v>439</v>
      </c>
      <c r="D2297" s="106" t="s">
        <v>125</v>
      </c>
      <c r="E2297" s="107"/>
      <c r="F2297" s="108" t="s">
        <v>18372</v>
      </c>
      <c r="G2297" s="120">
        <v>2</v>
      </c>
      <c r="H2297" s="108" t="s">
        <v>18373</v>
      </c>
      <c r="I2297" s="112">
        <v>4</v>
      </c>
      <c r="J2297" s="111" t="s">
        <v>44</v>
      </c>
      <c r="K2297" s="108" t="s">
        <v>18374</v>
      </c>
      <c r="L2297" s="117">
        <v>2</v>
      </c>
      <c r="M2297" s="111" t="s">
        <v>46</v>
      </c>
      <c r="N2297" s="108" t="s">
        <v>18372</v>
      </c>
      <c r="O2297" s="117">
        <v>2</v>
      </c>
      <c r="P2297" s="111" t="s">
        <v>46</v>
      </c>
      <c r="Q2297" s="108" t="s">
        <v>18375</v>
      </c>
      <c r="R2297" s="116">
        <v>1</v>
      </c>
      <c r="S2297" s="113"/>
      <c r="T2297" s="108" t="s">
        <v>18376</v>
      </c>
      <c r="U2297" s="116">
        <v>1</v>
      </c>
      <c r="V2297" s="113"/>
      <c r="W2297" s="108" t="s">
        <v>18377</v>
      </c>
      <c r="X2297" s="116">
        <v>1</v>
      </c>
      <c r="Y2297" s="113"/>
      <c r="Z2297" s="108" t="s">
        <v>18378</v>
      </c>
      <c r="AA2297" s="117">
        <v>2</v>
      </c>
      <c r="AB2297" s="111" t="s">
        <v>40</v>
      </c>
      <c r="AC2297" s="105" t="s">
        <v>5166</v>
      </c>
      <c r="AD2297" s="115" t="s">
        <v>49</v>
      </c>
    </row>
    <row r="2298" spans="1:30" x14ac:dyDescent="0.2">
      <c r="A2298" s="104" t="s">
        <v>5167</v>
      </c>
      <c r="B2298" s="105" t="s">
        <v>111</v>
      </c>
      <c r="C2298" s="105" t="s">
        <v>3692</v>
      </c>
      <c r="D2298" s="106" t="s">
        <v>125</v>
      </c>
      <c r="E2298" s="107" t="s">
        <v>146</v>
      </c>
      <c r="F2298" s="108" t="s">
        <v>18379</v>
      </c>
      <c r="G2298" s="119">
        <v>1</v>
      </c>
      <c r="H2298" s="108" t="s">
        <v>18380</v>
      </c>
      <c r="I2298" s="112">
        <v>4</v>
      </c>
      <c r="J2298" s="111" t="s">
        <v>46</v>
      </c>
      <c r="K2298" s="108" t="s">
        <v>18381</v>
      </c>
      <c r="L2298" s="110">
        <v>3</v>
      </c>
      <c r="M2298" s="111" t="s">
        <v>55</v>
      </c>
      <c r="N2298" s="108" t="s">
        <v>18379</v>
      </c>
      <c r="O2298" s="116">
        <v>1</v>
      </c>
      <c r="P2298" s="113"/>
      <c r="Q2298" s="108" t="s">
        <v>18382</v>
      </c>
      <c r="R2298" s="116">
        <v>1</v>
      </c>
      <c r="S2298" s="113"/>
      <c r="T2298" s="108" t="s">
        <v>18383</v>
      </c>
      <c r="U2298" s="110">
        <v>3</v>
      </c>
      <c r="V2298" s="113"/>
      <c r="W2298" s="108" t="s">
        <v>18384</v>
      </c>
      <c r="X2298" s="116">
        <v>1</v>
      </c>
      <c r="Y2298" s="113"/>
      <c r="Z2298" s="108" t="s">
        <v>18385</v>
      </c>
      <c r="AA2298" s="117">
        <v>2</v>
      </c>
      <c r="AB2298" s="113"/>
      <c r="AC2298" s="105" t="s">
        <v>5168</v>
      </c>
      <c r="AD2298" s="115" t="s">
        <v>114</v>
      </c>
    </row>
    <row r="2299" spans="1:30" x14ac:dyDescent="0.2">
      <c r="A2299" s="104" t="s">
        <v>5169</v>
      </c>
      <c r="B2299" s="105" t="s">
        <v>42</v>
      </c>
      <c r="C2299" s="105" t="s">
        <v>93</v>
      </c>
      <c r="D2299" s="106" t="s">
        <v>125</v>
      </c>
      <c r="E2299" s="107" t="s">
        <v>376</v>
      </c>
      <c r="F2299" s="108" t="s">
        <v>18386</v>
      </c>
      <c r="G2299" s="120">
        <v>2</v>
      </c>
      <c r="H2299" s="108" t="s">
        <v>18387</v>
      </c>
      <c r="I2299" s="110">
        <v>3</v>
      </c>
      <c r="J2299" s="111" t="s">
        <v>46</v>
      </c>
      <c r="K2299" s="108" t="s">
        <v>18388</v>
      </c>
      <c r="L2299" s="117">
        <v>2</v>
      </c>
      <c r="M2299" s="113"/>
      <c r="N2299" s="108" t="s">
        <v>18386</v>
      </c>
      <c r="O2299" s="117">
        <v>2</v>
      </c>
      <c r="P2299" s="113"/>
      <c r="Q2299" s="108" t="s">
        <v>18389</v>
      </c>
      <c r="R2299" s="117">
        <v>2</v>
      </c>
      <c r="S2299" s="113"/>
      <c r="T2299" s="108" t="s">
        <v>18390</v>
      </c>
      <c r="U2299" s="117">
        <v>2</v>
      </c>
      <c r="V2299" s="113"/>
      <c r="W2299" s="108" t="s">
        <v>47</v>
      </c>
      <c r="X2299" s="114"/>
      <c r="Y2299" s="113"/>
      <c r="Z2299" s="108" t="s">
        <v>47</v>
      </c>
      <c r="AA2299" s="114"/>
      <c r="AB2299" s="113"/>
      <c r="AC2299" s="105" t="s">
        <v>5170</v>
      </c>
      <c r="AD2299" s="115" t="s">
        <v>49</v>
      </c>
    </row>
    <row r="2300" spans="1:30" x14ac:dyDescent="0.2">
      <c r="A2300" s="104" t="s">
        <v>5171</v>
      </c>
      <c r="B2300" s="105" t="s">
        <v>42</v>
      </c>
      <c r="C2300" s="105" t="s">
        <v>93</v>
      </c>
      <c r="D2300" s="106" t="s">
        <v>94</v>
      </c>
      <c r="E2300" s="107" t="s">
        <v>376</v>
      </c>
      <c r="F2300" s="108" t="s">
        <v>18391</v>
      </c>
      <c r="G2300" s="120">
        <v>2</v>
      </c>
      <c r="H2300" s="108" t="s">
        <v>18392</v>
      </c>
      <c r="I2300" s="110">
        <v>3</v>
      </c>
      <c r="J2300" s="111" t="s">
        <v>46</v>
      </c>
      <c r="K2300" s="108" t="s">
        <v>18393</v>
      </c>
      <c r="L2300" s="117">
        <v>2</v>
      </c>
      <c r="M2300" s="113"/>
      <c r="N2300" s="108" t="s">
        <v>18391</v>
      </c>
      <c r="O2300" s="117">
        <v>2</v>
      </c>
      <c r="P2300" s="113"/>
      <c r="Q2300" s="108" t="s">
        <v>18394</v>
      </c>
      <c r="R2300" s="117">
        <v>2</v>
      </c>
      <c r="S2300" s="111" t="s">
        <v>40</v>
      </c>
      <c r="T2300" s="108" t="s">
        <v>18395</v>
      </c>
      <c r="U2300" s="110">
        <v>3</v>
      </c>
      <c r="V2300" s="113"/>
      <c r="W2300" s="108" t="s">
        <v>18396</v>
      </c>
      <c r="X2300" s="117">
        <v>2</v>
      </c>
      <c r="Y2300" s="113"/>
      <c r="Z2300" s="108" t="s">
        <v>18397</v>
      </c>
      <c r="AA2300" s="116">
        <v>1</v>
      </c>
      <c r="AB2300" s="111" t="s">
        <v>40</v>
      </c>
      <c r="AC2300" s="105" t="s">
        <v>5172</v>
      </c>
      <c r="AD2300" s="115" t="s">
        <v>49</v>
      </c>
    </row>
    <row r="2301" spans="1:30" x14ac:dyDescent="0.2">
      <c r="A2301" s="104" t="s">
        <v>5173</v>
      </c>
      <c r="B2301" s="105" t="s">
        <v>111</v>
      </c>
      <c r="C2301" s="105" t="s">
        <v>112</v>
      </c>
      <c r="D2301" s="106"/>
      <c r="E2301" s="107"/>
      <c r="F2301" s="108" t="s">
        <v>18398</v>
      </c>
      <c r="G2301" s="120">
        <v>2</v>
      </c>
      <c r="H2301" s="108" t="s">
        <v>18399</v>
      </c>
      <c r="I2301" s="110">
        <v>3</v>
      </c>
      <c r="J2301" s="113"/>
      <c r="K2301" s="108" t="s">
        <v>18400</v>
      </c>
      <c r="L2301" s="110">
        <v>3</v>
      </c>
      <c r="M2301" s="111" t="s">
        <v>55</v>
      </c>
      <c r="N2301" s="108" t="s">
        <v>18398</v>
      </c>
      <c r="O2301" s="117">
        <v>2</v>
      </c>
      <c r="P2301" s="113"/>
      <c r="Q2301" s="108" t="s">
        <v>18401</v>
      </c>
      <c r="R2301" s="110">
        <v>3</v>
      </c>
      <c r="S2301" s="113"/>
      <c r="T2301" s="108" t="s">
        <v>47</v>
      </c>
      <c r="U2301" s="114"/>
      <c r="V2301" s="113"/>
      <c r="W2301" s="108" t="s">
        <v>47</v>
      </c>
      <c r="X2301" s="114"/>
      <c r="Y2301" s="113"/>
      <c r="Z2301" s="108" t="s">
        <v>47</v>
      </c>
      <c r="AA2301" s="114"/>
      <c r="AB2301" s="113"/>
      <c r="AC2301" s="105" t="s">
        <v>5174</v>
      </c>
      <c r="AD2301" s="115" t="s">
        <v>114</v>
      </c>
    </row>
    <row r="2302" spans="1:30" x14ac:dyDescent="0.2">
      <c r="A2302" s="104" t="s">
        <v>5175</v>
      </c>
      <c r="B2302" s="105" t="s">
        <v>5176</v>
      </c>
      <c r="C2302" s="105" t="s">
        <v>4914</v>
      </c>
      <c r="D2302" s="106" t="s">
        <v>125</v>
      </c>
      <c r="E2302" s="107"/>
      <c r="F2302" s="108" t="s">
        <v>4909</v>
      </c>
      <c r="G2302" s="120">
        <v>2</v>
      </c>
      <c r="H2302" s="108" t="s">
        <v>15030</v>
      </c>
      <c r="I2302" s="116">
        <v>1</v>
      </c>
      <c r="J2302" s="113"/>
      <c r="K2302" s="108" t="s">
        <v>18402</v>
      </c>
      <c r="L2302" s="116">
        <v>1</v>
      </c>
      <c r="M2302" s="111" t="s">
        <v>40</v>
      </c>
      <c r="N2302" s="108" t="s">
        <v>4909</v>
      </c>
      <c r="O2302" s="117">
        <v>2</v>
      </c>
      <c r="P2302" s="111" t="s">
        <v>53</v>
      </c>
      <c r="Q2302" s="108" t="s">
        <v>5177</v>
      </c>
      <c r="R2302" s="116">
        <v>1</v>
      </c>
      <c r="S2302" s="111" t="s">
        <v>53</v>
      </c>
      <c r="T2302" s="108" t="s">
        <v>5178</v>
      </c>
      <c r="U2302" s="117">
        <v>2</v>
      </c>
      <c r="V2302" s="113"/>
      <c r="W2302" s="108" t="s">
        <v>18403</v>
      </c>
      <c r="X2302" s="110">
        <v>3</v>
      </c>
      <c r="Y2302" s="111" t="s">
        <v>40</v>
      </c>
      <c r="Z2302" s="108" t="s">
        <v>18404</v>
      </c>
      <c r="AA2302" s="112">
        <v>4</v>
      </c>
      <c r="AB2302" s="111" t="s">
        <v>46</v>
      </c>
      <c r="AC2302" s="105" t="s">
        <v>5179</v>
      </c>
      <c r="AD2302" s="115" t="s">
        <v>101</v>
      </c>
    </row>
    <row r="2303" spans="1:30" x14ac:dyDescent="0.2">
      <c r="A2303" s="104" t="s">
        <v>5180</v>
      </c>
      <c r="B2303" s="105" t="s">
        <v>5176</v>
      </c>
      <c r="C2303" s="105" t="s">
        <v>145</v>
      </c>
      <c r="D2303" s="106"/>
      <c r="E2303" s="107"/>
      <c r="F2303" s="108" t="s">
        <v>18405</v>
      </c>
      <c r="G2303" s="120">
        <v>2</v>
      </c>
      <c r="H2303" s="108" t="s">
        <v>18406</v>
      </c>
      <c r="I2303" s="116">
        <v>1</v>
      </c>
      <c r="J2303" s="113"/>
      <c r="K2303" s="108" t="s">
        <v>18407</v>
      </c>
      <c r="L2303" s="116">
        <v>1</v>
      </c>
      <c r="M2303" s="113"/>
      <c r="N2303" s="108" t="s">
        <v>18405</v>
      </c>
      <c r="O2303" s="117">
        <v>2</v>
      </c>
      <c r="P2303" s="113"/>
      <c r="Q2303" s="108" t="s">
        <v>18408</v>
      </c>
      <c r="R2303" s="117">
        <v>2</v>
      </c>
      <c r="S2303" s="111" t="s">
        <v>40</v>
      </c>
      <c r="T2303" s="108" t="s">
        <v>18409</v>
      </c>
      <c r="U2303" s="110">
        <v>3</v>
      </c>
      <c r="V2303" s="113"/>
      <c r="W2303" s="108" t="s">
        <v>47</v>
      </c>
      <c r="X2303" s="114"/>
      <c r="Y2303" s="113"/>
      <c r="Z2303" s="108" t="s">
        <v>47</v>
      </c>
      <c r="AA2303" s="114"/>
      <c r="AB2303" s="113"/>
      <c r="AC2303" s="105" t="s">
        <v>5181</v>
      </c>
      <c r="AD2303" s="115" t="s">
        <v>101</v>
      </c>
    </row>
    <row r="2304" spans="1:30" x14ac:dyDescent="0.2">
      <c r="A2304" s="104" t="s">
        <v>5182</v>
      </c>
      <c r="B2304" s="105" t="s">
        <v>5176</v>
      </c>
      <c r="C2304" s="105" t="s">
        <v>2821</v>
      </c>
      <c r="D2304" s="106"/>
      <c r="E2304" s="107"/>
      <c r="F2304" s="108" t="s">
        <v>18410</v>
      </c>
      <c r="G2304" s="120">
        <v>2</v>
      </c>
      <c r="H2304" s="108" t="s">
        <v>18411</v>
      </c>
      <c r="I2304" s="116">
        <v>1</v>
      </c>
      <c r="J2304" s="113"/>
      <c r="K2304" s="108" t="s">
        <v>18412</v>
      </c>
      <c r="L2304" s="116">
        <v>1</v>
      </c>
      <c r="M2304" s="113"/>
      <c r="N2304" s="108" t="s">
        <v>18410</v>
      </c>
      <c r="O2304" s="117">
        <v>2</v>
      </c>
      <c r="P2304" s="111" t="s">
        <v>40</v>
      </c>
      <c r="Q2304" s="108" t="s">
        <v>18413</v>
      </c>
      <c r="R2304" s="117">
        <v>2</v>
      </c>
      <c r="S2304" s="111" t="s">
        <v>40</v>
      </c>
      <c r="T2304" s="108" t="s">
        <v>18414</v>
      </c>
      <c r="U2304" s="110">
        <v>3</v>
      </c>
      <c r="V2304" s="113"/>
      <c r="W2304" s="108" t="s">
        <v>47</v>
      </c>
      <c r="X2304" s="114"/>
      <c r="Y2304" s="113"/>
      <c r="Z2304" s="108" t="s">
        <v>47</v>
      </c>
      <c r="AA2304" s="114"/>
      <c r="AB2304" s="113"/>
      <c r="AC2304" s="105" t="s">
        <v>5183</v>
      </c>
      <c r="AD2304" s="115" t="s">
        <v>101</v>
      </c>
    </row>
    <row r="2305" spans="1:30" x14ac:dyDescent="0.2">
      <c r="A2305" s="104" t="s">
        <v>5184</v>
      </c>
      <c r="B2305" s="105" t="s">
        <v>5176</v>
      </c>
      <c r="C2305" s="105" t="s">
        <v>2821</v>
      </c>
      <c r="D2305" s="106"/>
      <c r="E2305" s="107"/>
      <c r="F2305" s="108" t="s">
        <v>18415</v>
      </c>
      <c r="G2305" s="120">
        <v>2</v>
      </c>
      <c r="H2305" s="108" t="s">
        <v>18416</v>
      </c>
      <c r="I2305" s="116">
        <v>1</v>
      </c>
      <c r="J2305" s="113"/>
      <c r="K2305" s="108" t="s">
        <v>18417</v>
      </c>
      <c r="L2305" s="116">
        <v>1</v>
      </c>
      <c r="M2305" s="113"/>
      <c r="N2305" s="108" t="s">
        <v>18415</v>
      </c>
      <c r="O2305" s="117">
        <v>2</v>
      </c>
      <c r="P2305" s="111" t="s">
        <v>40</v>
      </c>
      <c r="Q2305" s="108" t="s">
        <v>18418</v>
      </c>
      <c r="R2305" s="117">
        <v>2</v>
      </c>
      <c r="S2305" s="111" t="s">
        <v>40</v>
      </c>
      <c r="T2305" s="108" t="s">
        <v>18419</v>
      </c>
      <c r="U2305" s="110">
        <v>3</v>
      </c>
      <c r="V2305" s="113"/>
      <c r="W2305" s="108" t="s">
        <v>47</v>
      </c>
      <c r="X2305" s="114"/>
      <c r="Y2305" s="113"/>
      <c r="Z2305" s="108" t="s">
        <v>47</v>
      </c>
      <c r="AA2305" s="114"/>
      <c r="AB2305" s="113"/>
      <c r="AC2305" s="105" t="s">
        <v>5185</v>
      </c>
      <c r="AD2305" s="115" t="s">
        <v>101</v>
      </c>
    </row>
    <row r="2306" spans="1:30" x14ac:dyDescent="0.2">
      <c r="A2306" s="104" t="s">
        <v>5186</v>
      </c>
      <c r="B2306" s="105" t="s">
        <v>42</v>
      </c>
      <c r="C2306" s="105" t="s">
        <v>2858</v>
      </c>
      <c r="D2306" s="106"/>
      <c r="E2306" s="107"/>
      <c r="F2306" s="108" t="s">
        <v>18420</v>
      </c>
      <c r="G2306" s="118">
        <v>3</v>
      </c>
      <c r="H2306" s="108" t="s">
        <v>14888</v>
      </c>
      <c r="I2306" s="116">
        <v>1</v>
      </c>
      <c r="J2306" s="111" t="s">
        <v>53</v>
      </c>
      <c r="K2306" s="108" t="s">
        <v>5187</v>
      </c>
      <c r="L2306" s="117">
        <v>2</v>
      </c>
      <c r="M2306" s="113"/>
      <c r="N2306" s="108" t="s">
        <v>18420</v>
      </c>
      <c r="O2306" s="110">
        <v>3</v>
      </c>
      <c r="P2306" s="111" t="s">
        <v>46</v>
      </c>
      <c r="Q2306" s="108" t="s">
        <v>5188</v>
      </c>
      <c r="R2306" s="112">
        <v>4</v>
      </c>
      <c r="S2306" s="113"/>
      <c r="T2306" s="108" t="s">
        <v>5189</v>
      </c>
      <c r="U2306" s="112">
        <v>4</v>
      </c>
      <c r="V2306" s="113"/>
      <c r="W2306" s="108" t="s">
        <v>18421</v>
      </c>
      <c r="X2306" s="112">
        <v>4</v>
      </c>
      <c r="Y2306" s="113"/>
      <c r="Z2306" s="108" t="s">
        <v>18422</v>
      </c>
      <c r="AA2306" s="112">
        <v>4</v>
      </c>
      <c r="AB2306" s="111" t="s">
        <v>46</v>
      </c>
      <c r="AC2306" s="105" t="s">
        <v>5190</v>
      </c>
      <c r="AD2306" s="115" t="s">
        <v>49</v>
      </c>
    </row>
    <row r="2307" spans="1:30" x14ac:dyDescent="0.2">
      <c r="A2307" s="104" t="s">
        <v>5191</v>
      </c>
      <c r="B2307" s="105" t="s">
        <v>42</v>
      </c>
      <c r="C2307" s="105" t="s">
        <v>3433</v>
      </c>
      <c r="D2307" s="106"/>
      <c r="E2307" s="107"/>
      <c r="F2307" s="108" t="s">
        <v>18423</v>
      </c>
      <c r="G2307" s="109">
        <v>4</v>
      </c>
      <c r="H2307" s="108" t="s">
        <v>18424</v>
      </c>
      <c r="I2307" s="112">
        <v>4</v>
      </c>
      <c r="J2307" s="113"/>
      <c r="K2307" s="108" t="s">
        <v>18425</v>
      </c>
      <c r="L2307" s="112">
        <v>4</v>
      </c>
      <c r="M2307" s="113"/>
      <c r="N2307" s="108" t="s">
        <v>18423</v>
      </c>
      <c r="O2307" s="112">
        <v>4</v>
      </c>
      <c r="P2307" s="113"/>
      <c r="Q2307" s="108" t="s">
        <v>18426</v>
      </c>
      <c r="R2307" s="112">
        <v>4</v>
      </c>
      <c r="S2307" s="113"/>
      <c r="T2307" s="108" t="s">
        <v>18427</v>
      </c>
      <c r="U2307" s="112">
        <v>4</v>
      </c>
      <c r="V2307" s="113"/>
      <c r="W2307" s="108" t="s">
        <v>18428</v>
      </c>
      <c r="X2307" s="112">
        <v>4</v>
      </c>
      <c r="Y2307" s="113"/>
      <c r="Z2307" s="108" t="s">
        <v>18429</v>
      </c>
      <c r="AA2307" s="112">
        <v>4</v>
      </c>
      <c r="AB2307" s="113"/>
      <c r="AC2307" s="105" t="s">
        <v>5192</v>
      </c>
      <c r="AD2307" s="115" t="s">
        <v>49</v>
      </c>
    </row>
    <row r="2308" spans="1:30" x14ac:dyDescent="0.2">
      <c r="A2308" s="104" t="s">
        <v>5193</v>
      </c>
      <c r="B2308" s="105" t="s">
        <v>42</v>
      </c>
      <c r="C2308" s="105" t="s">
        <v>3433</v>
      </c>
      <c r="D2308" s="106"/>
      <c r="E2308" s="107"/>
      <c r="F2308" s="108" t="s">
        <v>18430</v>
      </c>
      <c r="G2308" s="109">
        <v>4</v>
      </c>
      <c r="H2308" s="108" t="s">
        <v>18431</v>
      </c>
      <c r="I2308" s="112">
        <v>4</v>
      </c>
      <c r="J2308" s="113"/>
      <c r="K2308" s="108" t="s">
        <v>17531</v>
      </c>
      <c r="L2308" s="112">
        <v>4</v>
      </c>
      <c r="M2308" s="113"/>
      <c r="N2308" s="108" t="s">
        <v>18430</v>
      </c>
      <c r="O2308" s="112">
        <v>4</v>
      </c>
      <c r="P2308" s="113"/>
      <c r="Q2308" s="108" t="s">
        <v>18432</v>
      </c>
      <c r="R2308" s="112">
        <v>4</v>
      </c>
      <c r="S2308" s="113"/>
      <c r="T2308" s="108" t="s">
        <v>18433</v>
      </c>
      <c r="U2308" s="112">
        <v>4</v>
      </c>
      <c r="V2308" s="113"/>
      <c r="W2308" s="108" t="s">
        <v>18434</v>
      </c>
      <c r="X2308" s="112">
        <v>4</v>
      </c>
      <c r="Y2308" s="113"/>
      <c r="Z2308" s="108" t="s">
        <v>18435</v>
      </c>
      <c r="AA2308" s="112">
        <v>4</v>
      </c>
      <c r="AB2308" s="113"/>
      <c r="AC2308" s="105" t="s">
        <v>5194</v>
      </c>
      <c r="AD2308" s="115" t="s">
        <v>49</v>
      </c>
    </row>
    <row r="2309" spans="1:30" x14ac:dyDescent="0.2">
      <c r="A2309" s="104" t="s">
        <v>5195</v>
      </c>
      <c r="B2309" s="105" t="s">
        <v>111</v>
      </c>
      <c r="C2309" s="105" t="s">
        <v>384</v>
      </c>
      <c r="D2309" s="106" t="s">
        <v>298</v>
      </c>
      <c r="E2309" s="107" t="s">
        <v>182</v>
      </c>
      <c r="F2309" s="108" t="s">
        <v>18436</v>
      </c>
      <c r="G2309" s="118">
        <v>3</v>
      </c>
      <c r="H2309" s="108" t="s">
        <v>18437</v>
      </c>
      <c r="I2309" s="116">
        <v>1</v>
      </c>
      <c r="J2309" s="111" t="s">
        <v>40</v>
      </c>
      <c r="K2309" s="108" t="s">
        <v>18438</v>
      </c>
      <c r="L2309" s="117">
        <v>2</v>
      </c>
      <c r="M2309" s="111" t="s">
        <v>40</v>
      </c>
      <c r="N2309" s="108" t="s">
        <v>18436</v>
      </c>
      <c r="O2309" s="110">
        <v>3</v>
      </c>
      <c r="P2309" s="111" t="s">
        <v>40</v>
      </c>
      <c r="Q2309" s="108" t="s">
        <v>18439</v>
      </c>
      <c r="R2309" s="112">
        <v>4</v>
      </c>
      <c r="S2309" s="113"/>
      <c r="T2309" s="108" t="s">
        <v>18440</v>
      </c>
      <c r="U2309" s="112">
        <v>4</v>
      </c>
      <c r="V2309" s="113"/>
      <c r="W2309" s="108" t="s">
        <v>18441</v>
      </c>
      <c r="X2309" s="112">
        <v>4</v>
      </c>
      <c r="Y2309" s="113"/>
      <c r="Z2309" s="108" t="s">
        <v>18442</v>
      </c>
      <c r="AA2309" s="112">
        <v>4</v>
      </c>
      <c r="AB2309" s="113"/>
      <c r="AC2309" s="105" t="s">
        <v>5196</v>
      </c>
      <c r="AD2309" s="115" t="s">
        <v>101</v>
      </c>
    </row>
    <row r="2310" spans="1:30" x14ac:dyDescent="0.2">
      <c r="A2310" s="104" t="s">
        <v>5197</v>
      </c>
      <c r="B2310" s="105" t="s">
        <v>111</v>
      </c>
      <c r="C2310" s="105" t="s">
        <v>244</v>
      </c>
      <c r="D2310" s="106" t="s">
        <v>105</v>
      </c>
      <c r="E2310" s="107" t="s">
        <v>99</v>
      </c>
      <c r="F2310" s="108" t="s">
        <v>18443</v>
      </c>
      <c r="G2310" s="109">
        <v>4</v>
      </c>
      <c r="H2310" s="108" t="s">
        <v>18444</v>
      </c>
      <c r="I2310" s="112">
        <v>4</v>
      </c>
      <c r="J2310" s="113"/>
      <c r="K2310" s="108" t="s">
        <v>5198</v>
      </c>
      <c r="L2310" s="112">
        <v>4</v>
      </c>
      <c r="M2310" s="113"/>
      <c r="N2310" s="108" t="s">
        <v>18443</v>
      </c>
      <c r="O2310" s="112">
        <v>4</v>
      </c>
      <c r="P2310" s="111" t="s">
        <v>46</v>
      </c>
      <c r="Q2310" s="108" t="s">
        <v>18445</v>
      </c>
      <c r="R2310" s="110">
        <v>3</v>
      </c>
      <c r="S2310" s="113"/>
      <c r="T2310" s="108" t="s">
        <v>18446</v>
      </c>
      <c r="U2310" s="112">
        <v>4</v>
      </c>
      <c r="V2310" s="113"/>
      <c r="W2310" s="108" t="s">
        <v>18447</v>
      </c>
      <c r="X2310" s="112">
        <v>4</v>
      </c>
      <c r="Y2310" s="111" t="s">
        <v>46</v>
      </c>
      <c r="Z2310" s="108" t="s">
        <v>18448</v>
      </c>
      <c r="AA2310" s="112">
        <v>4</v>
      </c>
      <c r="AB2310" s="113"/>
      <c r="AC2310" s="105" t="s">
        <v>5199</v>
      </c>
      <c r="AD2310" s="115" t="s">
        <v>101</v>
      </c>
    </row>
    <row r="2311" spans="1:30" x14ac:dyDescent="0.2">
      <c r="A2311" s="104" t="s">
        <v>5200</v>
      </c>
      <c r="B2311" s="105" t="s">
        <v>111</v>
      </c>
      <c r="C2311" s="105" t="s">
        <v>5201</v>
      </c>
      <c r="D2311" s="106" t="s">
        <v>125</v>
      </c>
      <c r="E2311" s="107" t="s">
        <v>99</v>
      </c>
      <c r="F2311" s="108" t="s">
        <v>18449</v>
      </c>
      <c r="G2311" s="120">
        <v>2</v>
      </c>
      <c r="H2311" s="108" t="s">
        <v>18450</v>
      </c>
      <c r="I2311" s="112">
        <v>4</v>
      </c>
      <c r="J2311" s="111" t="s">
        <v>46</v>
      </c>
      <c r="K2311" s="108" t="s">
        <v>5202</v>
      </c>
      <c r="L2311" s="112">
        <v>4</v>
      </c>
      <c r="M2311" s="111" t="s">
        <v>44</v>
      </c>
      <c r="N2311" s="108" t="s">
        <v>18449</v>
      </c>
      <c r="O2311" s="117">
        <v>2</v>
      </c>
      <c r="P2311" s="111" t="s">
        <v>46</v>
      </c>
      <c r="Q2311" s="108" t="s">
        <v>18451</v>
      </c>
      <c r="R2311" s="117">
        <v>2</v>
      </c>
      <c r="S2311" s="113"/>
      <c r="T2311" s="108" t="s">
        <v>11657</v>
      </c>
      <c r="U2311" s="110">
        <v>3</v>
      </c>
      <c r="V2311" s="111" t="s">
        <v>46</v>
      </c>
      <c r="W2311" s="108" t="s">
        <v>11505</v>
      </c>
      <c r="X2311" s="110">
        <v>3</v>
      </c>
      <c r="Y2311" s="111" t="s">
        <v>46</v>
      </c>
      <c r="Z2311" s="108" t="s">
        <v>18452</v>
      </c>
      <c r="AA2311" s="110">
        <v>3</v>
      </c>
      <c r="AB2311" s="111" t="s">
        <v>46</v>
      </c>
      <c r="AC2311" s="105" t="s">
        <v>5203</v>
      </c>
      <c r="AD2311" s="115" t="s">
        <v>101</v>
      </c>
    </row>
    <row r="2312" spans="1:30" x14ac:dyDescent="0.2">
      <c r="A2312" s="104" t="s">
        <v>5204</v>
      </c>
      <c r="B2312" s="105" t="s">
        <v>111</v>
      </c>
      <c r="C2312" s="105" t="s">
        <v>2741</v>
      </c>
      <c r="D2312" s="106" t="s">
        <v>125</v>
      </c>
      <c r="E2312" s="107"/>
      <c r="F2312" s="108" t="s">
        <v>18453</v>
      </c>
      <c r="G2312" s="118">
        <v>3</v>
      </c>
      <c r="H2312" s="108" t="s">
        <v>18454</v>
      </c>
      <c r="I2312" s="116">
        <v>1</v>
      </c>
      <c r="J2312" s="111" t="s">
        <v>53</v>
      </c>
      <c r="K2312" s="108" t="s">
        <v>18455</v>
      </c>
      <c r="L2312" s="117">
        <v>2</v>
      </c>
      <c r="M2312" s="111" t="s">
        <v>40</v>
      </c>
      <c r="N2312" s="108" t="s">
        <v>18453</v>
      </c>
      <c r="O2312" s="110">
        <v>3</v>
      </c>
      <c r="P2312" s="113"/>
      <c r="Q2312" s="108" t="s">
        <v>18456</v>
      </c>
      <c r="R2312" s="110">
        <v>3</v>
      </c>
      <c r="S2312" s="113"/>
      <c r="T2312" s="108" t="s">
        <v>18457</v>
      </c>
      <c r="U2312" s="110">
        <v>3</v>
      </c>
      <c r="V2312" s="113"/>
      <c r="W2312" s="108" t="s">
        <v>18458</v>
      </c>
      <c r="X2312" s="110">
        <v>3</v>
      </c>
      <c r="Y2312" s="113"/>
      <c r="Z2312" s="108" t="s">
        <v>18459</v>
      </c>
      <c r="AA2312" s="110">
        <v>3</v>
      </c>
      <c r="AB2312" s="113"/>
      <c r="AC2312" s="105" t="s">
        <v>5205</v>
      </c>
      <c r="AD2312" s="115" t="s">
        <v>101</v>
      </c>
    </row>
    <row r="2313" spans="1:30" x14ac:dyDescent="0.2">
      <c r="A2313" s="104" t="s">
        <v>5206</v>
      </c>
      <c r="B2313" s="105" t="s">
        <v>111</v>
      </c>
      <c r="C2313" s="105" t="s">
        <v>375</v>
      </c>
      <c r="D2313" s="106" t="s">
        <v>125</v>
      </c>
      <c r="E2313" s="107" t="s">
        <v>146</v>
      </c>
      <c r="F2313" s="108" t="s">
        <v>18460</v>
      </c>
      <c r="G2313" s="118">
        <v>3</v>
      </c>
      <c r="H2313" s="108" t="s">
        <v>18461</v>
      </c>
      <c r="I2313" s="110">
        <v>3</v>
      </c>
      <c r="J2313" s="111" t="s">
        <v>46</v>
      </c>
      <c r="K2313" s="108" t="s">
        <v>18462</v>
      </c>
      <c r="L2313" s="110">
        <v>3</v>
      </c>
      <c r="M2313" s="113"/>
      <c r="N2313" s="108" t="s">
        <v>18460</v>
      </c>
      <c r="O2313" s="110">
        <v>3</v>
      </c>
      <c r="P2313" s="111" t="s">
        <v>46</v>
      </c>
      <c r="Q2313" s="108" t="s">
        <v>18463</v>
      </c>
      <c r="R2313" s="110">
        <v>3</v>
      </c>
      <c r="S2313" s="113"/>
      <c r="T2313" s="108" t="s">
        <v>18464</v>
      </c>
      <c r="U2313" s="117">
        <v>2</v>
      </c>
      <c r="V2313" s="113"/>
      <c r="W2313" s="108" t="s">
        <v>18465</v>
      </c>
      <c r="X2313" s="117">
        <v>2</v>
      </c>
      <c r="Y2313" s="113"/>
      <c r="Z2313" s="108" t="s">
        <v>18466</v>
      </c>
      <c r="AA2313" s="117">
        <v>2</v>
      </c>
      <c r="AB2313" s="113"/>
      <c r="AC2313" s="105" t="s">
        <v>5207</v>
      </c>
      <c r="AD2313" s="115" t="s">
        <v>101</v>
      </c>
    </row>
    <row r="2314" spans="1:30" x14ac:dyDescent="0.2">
      <c r="A2314" s="104" t="s">
        <v>5208</v>
      </c>
      <c r="B2314" s="105" t="s">
        <v>111</v>
      </c>
      <c r="C2314" s="105" t="s">
        <v>2741</v>
      </c>
      <c r="D2314" s="106" t="s">
        <v>94</v>
      </c>
      <c r="E2314" s="107"/>
      <c r="F2314" s="108" t="s">
        <v>18467</v>
      </c>
      <c r="G2314" s="120">
        <v>2</v>
      </c>
      <c r="H2314" s="108" t="s">
        <v>18468</v>
      </c>
      <c r="I2314" s="110">
        <v>3</v>
      </c>
      <c r="J2314" s="113"/>
      <c r="K2314" s="108" t="s">
        <v>18469</v>
      </c>
      <c r="L2314" s="110">
        <v>3</v>
      </c>
      <c r="M2314" s="113"/>
      <c r="N2314" s="108" t="s">
        <v>18467</v>
      </c>
      <c r="O2314" s="117">
        <v>2</v>
      </c>
      <c r="P2314" s="113"/>
      <c r="Q2314" s="108" t="s">
        <v>18470</v>
      </c>
      <c r="R2314" s="117">
        <v>2</v>
      </c>
      <c r="S2314" s="113"/>
      <c r="T2314" s="108" t="s">
        <v>18471</v>
      </c>
      <c r="U2314" s="116">
        <v>1</v>
      </c>
      <c r="V2314" s="113"/>
      <c r="W2314" s="108" t="s">
        <v>18472</v>
      </c>
      <c r="X2314" s="117">
        <v>2</v>
      </c>
      <c r="Y2314" s="113"/>
      <c r="Z2314" s="108" t="s">
        <v>18473</v>
      </c>
      <c r="AA2314" s="117">
        <v>2</v>
      </c>
      <c r="AB2314" s="113"/>
      <c r="AC2314" s="105" t="s">
        <v>5209</v>
      </c>
      <c r="AD2314" s="115" t="s">
        <v>101</v>
      </c>
    </row>
    <row r="2315" spans="1:30" x14ac:dyDescent="0.2">
      <c r="A2315" s="104" t="s">
        <v>5210</v>
      </c>
      <c r="B2315" s="105" t="s">
        <v>4312</v>
      </c>
      <c r="C2315" s="105" t="s">
        <v>1787</v>
      </c>
      <c r="D2315" s="106"/>
      <c r="E2315" s="107"/>
      <c r="F2315" s="108" t="s">
        <v>47</v>
      </c>
      <c r="G2315" s="113"/>
      <c r="H2315" s="108" t="s">
        <v>47</v>
      </c>
      <c r="I2315" s="114"/>
      <c r="J2315" s="113"/>
      <c r="K2315" s="108" t="s">
        <v>47</v>
      </c>
      <c r="L2315" s="114"/>
      <c r="M2315" s="113"/>
      <c r="N2315" s="108" t="s">
        <v>47</v>
      </c>
      <c r="O2315" s="114"/>
      <c r="P2315" s="113"/>
      <c r="Q2315" s="108" t="s">
        <v>47</v>
      </c>
      <c r="R2315" s="114"/>
      <c r="S2315" s="113"/>
      <c r="T2315" s="108" t="s">
        <v>47</v>
      </c>
      <c r="U2315" s="114"/>
      <c r="V2315" s="113"/>
      <c r="W2315" s="108" t="s">
        <v>47</v>
      </c>
      <c r="X2315" s="114"/>
      <c r="Y2315" s="113"/>
      <c r="Z2315" s="108" t="s">
        <v>47</v>
      </c>
      <c r="AA2315" s="114"/>
      <c r="AB2315" s="113"/>
      <c r="AC2315" s="105" t="s">
        <v>5211</v>
      </c>
      <c r="AD2315" s="115" t="s">
        <v>4314</v>
      </c>
    </row>
    <row r="2316" spans="1:30" x14ac:dyDescent="0.2">
      <c r="A2316" s="104" t="s">
        <v>5212</v>
      </c>
      <c r="B2316" s="105" t="s">
        <v>4312</v>
      </c>
      <c r="C2316" s="105" t="s">
        <v>1787</v>
      </c>
      <c r="D2316" s="106"/>
      <c r="E2316" s="107"/>
      <c r="F2316" s="108" t="s">
        <v>47</v>
      </c>
      <c r="G2316" s="113"/>
      <c r="H2316" s="108" t="s">
        <v>47</v>
      </c>
      <c r="I2316" s="114"/>
      <c r="J2316" s="113"/>
      <c r="K2316" s="108" t="s">
        <v>47</v>
      </c>
      <c r="L2316" s="114"/>
      <c r="M2316" s="113"/>
      <c r="N2316" s="108" t="s">
        <v>47</v>
      </c>
      <c r="O2316" s="114"/>
      <c r="P2316" s="113"/>
      <c r="Q2316" s="108" t="s">
        <v>47</v>
      </c>
      <c r="R2316" s="114"/>
      <c r="S2316" s="113"/>
      <c r="T2316" s="108" t="s">
        <v>47</v>
      </c>
      <c r="U2316" s="114"/>
      <c r="V2316" s="113"/>
      <c r="W2316" s="108" t="s">
        <v>47</v>
      </c>
      <c r="X2316" s="114"/>
      <c r="Y2316" s="113"/>
      <c r="Z2316" s="108" t="s">
        <v>47</v>
      </c>
      <c r="AA2316" s="114"/>
      <c r="AB2316" s="113"/>
      <c r="AC2316" s="105" t="s">
        <v>5213</v>
      </c>
      <c r="AD2316" s="115" t="s">
        <v>4314</v>
      </c>
    </row>
    <row r="2317" spans="1:30" x14ac:dyDescent="0.2">
      <c r="A2317" s="104" t="s">
        <v>5214</v>
      </c>
      <c r="B2317" s="105" t="s">
        <v>4312</v>
      </c>
      <c r="C2317" s="105" t="s">
        <v>1787</v>
      </c>
      <c r="D2317" s="106"/>
      <c r="E2317" s="107"/>
      <c r="F2317" s="108" t="s">
        <v>47</v>
      </c>
      <c r="G2317" s="113"/>
      <c r="H2317" s="108" t="s">
        <v>47</v>
      </c>
      <c r="I2317" s="114"/>
      <c r="J2317" s="113"/>
      <c r="K2317" s="108" t="s">
        <v>47</v>
      </c>
      <c r="L2317" s="114"/>
      <c r="M2317" s="113"/>
      <c r="N2317" s="108" t="s">
        <v>47</v>
      </c>
      <c r="O2317" s="114"/>
      <c r="P2317" s="113"/>
      <c r="Q2317" s="108" t="s">
        <v>47</v>
      </c>
      <c r="R2317" s="114"/>
      <c r="S2317" s="113"/>
      <c r="T2317" s="108" t="s">
        <v>47</v>
      </c>
      <c r="U2317" s="114"/>
      <c r="V2317" s="113"/>
      <c r="W2317" s="108" t="s">
        <v>47</v>
      </c>
      <c r="X2317" s="114"/>
      <c r="Y2317" s="113"/>
      <c r="Z2317" s="108" t="s">
        <v>47</v>
      </c>
      <c r="AA2317" s="114"/>
      <c r="AB2317" s="113"/>
      <c r="AC2317" s="105" t="s">
        <v>5215</v>
      </c>
      <c r="AD2317" s="115" t="s">
        <v>4314</v>
      </c>
    </row>
    <row r="2318" spans="1:30" x14ac:dyDescent="0.2">
      <c r="A2318" s="104" t="s">
        <v>5216</v>
      </c>
      <c r="B2318" s="105" t="s">
        <v>111</v>
      </c>
      <c r="C2318" s="105" t="s">
        <v>112</v>
      </c>
      <c r="D2318" s="106"/>
      <c r="E2318" s="107"/>
      <c r="F2318" s="108" t="s">
        <v>18474</v>
      </c>
      <c r="G2318" s="118">
        <v>3</v>
      </c>
      <c r="H2318" s="108" t="s">
        <v>18475</v>
      </c>
      <c r="I2318" s="110">
        <v>3</v>
      </c>
      <c r="J2318" s="113"/>
      <c r="K2318" s="108" t="s">
        <v>18476</v>
      </c>
      <c r="L2318" s="117">
        <v>2</v>
      </c>
      <c r="M2318" s="113"/>
      <c r="N2318" s="108" t="s">
        <v>18474</v>
      </c>
      <c r="O2318" s="110">
        <v>3</v>
      </c>
      <c r="P2318" s="113"/>
      <c r="Q2318" s="108" t="s">
        <v>18477</v>
      </c>
      <c r="R2318" s="112">
        <v>4</v>
      </c>
      <c r="S2318" s="111" t="s">
        <v>46</v>
      </c>
      <c r="T2318" s="108" t="s">
        <v>18478</v>
      </c>
      <c r="U2318" s="112">
        <v>4</v>
      </c>
      <c r="V2318" s="113"/>
      <c r="W2318" s="108" t="s">
        <v>18479</v>
      </c>
      <c r="X2318" s="112">
        <v>4</v>
      </c>
      <c r="Y2318" s="113"/>
      <c r="Z2318" s="108" t="s">
        <v>18480</v>
      </c>
      <c r="AA2318" s="112">
        <v>4</v>
      </c>
      <c r="AB2318" s="111" t="s">
        <v>44</v>
      </c>
      <c r="AC2318" s="105" t="s">
        <v>5217</v>
      </c>
      <c r="AD2318" s="115" t="s">
        <v>114</v>
      </c>
    </row>
    <row r="2319" spans="1:30" x14ac:dyDescent="0.2">
      <c r="A2319" s="104" t="s">
        <v>5218</v>
      </c>
      <c r="B2319" s="105" t="s">
        <v>111</v>
      </c>
      <c r="C2319" s="105" t="s">
        <v>112</v>
      </c>
      <c r="D2319" s="106"/>
      <c r="E2319" s="107"/>
      <c r="F2319" s="108" t="s">
        <v>18481</v>
      </c>
      <c r="G2319" s="109">
        <v>4</v>
      </c>
      <c r="H2319" s="108" t="s">
        <v>18482</v>
      </c>
      <c r="I2319" s="112">
        <v>4</v>
      </c>
      <c r="J2319" s="111" t="s">
        <v>46</v>
      </c>
      <c r="K2319" s="108" t="s">
        <v>18483</v>
      </c>
      <c r="L2319" s="112">
        <v>4</v>
      </c>
      <c r="M2319" s="111" t="s">
        <v>46</v>
      </c>
      <c r="N2319" s="108" t="s">
        <v>18481</v>
      </c>
      <c r="O2319" s="112">
        <v>4</v>
      </c>
      <c r="P2319" s="113"/>
      <c r="Q2319" s="108" t="s">
        <v>18484</v>
      </c>
      <c r="R2319" s="112">
        <v>4</v>
      </c>
      <c r="S2319" s="113"/>
      <c r="T2319" s="108" t="s">
        <v>18485</v>
      </c>
      <c r="U2319" s="112">
        <v>4</v>
      </c>
      <c r="V2319" s="111" t="s">
        <v>46</v>
      </c>
      <c r="W2319" s="108" t="s">
        <v>18486</v>
      </c>
      <c r="X2319" s="112">
        <v>4</v>
      </c>
      <c r="Y2319" s="113"/>
      <c r="Z2319" s="108" t="s">
        <v>18487</v>
      </c>
      <c r="AA2319" s="112">
        <v>4</v>
      </c>
      <c r="AB2319" s="111" t="s">
        <v>44</v>
      </c>
      <c r="AC2319" s="105" t="s">
        <v>5219</v>
      </c>
      <c r="AD2319" s="115" t="s">
        <v>114</v>
      </c>
    </row>
    <row r="2320" spans="1:30" x14ac:dyDescent="0.2">
      <c r="A2320" s="104" t="s">
        <v>5220</v>
      </c>
      <c r="B2320" s="105" t="s">
        <v>111</v>
      </c>
      <c r="C2320" s="105" t="s">
        <v>112</v>
      </c>
      <c r="D2320" s="106"/>
      <c r="E2320" s="107"/>
      <c r="F2320" s="108" t="s">
        <v>18488</v>
      </c>
      <c r="G2320" s="119">
        <v>1</v>
      </c>
      <c r="H2320" s="108" t="s">
        <v>18489</v>
      </c>
      <c r="I2320" s="110">
        <v>3</v>
      </c>
      <c r="J2320" s="111" t="s">
        <v>55</v>
      </c>
      <c r="K2320" s="108" t="s">
        <v>18490</v>
      </c>
      <c r="L2320" s="117">
        <v>2</v>
      </c>
      <c r="M2320" s="111" t="s">
        <v>46</v>
      </c>
      <c r="N2320" s="108" t="s">
        <v>18488</v>
      </c>
      <c r="O2320" s="116">
        <v>1</v>
      </c>
      <c r="P2320" s="113"/>
      <c r="Q2320" s="108" t="s">
        <v>18491</v>
      </c>
      <c r="R2320" s="117">
        <v>2</v>
      </c>
      <c r="S2320" s="111" t="s">
        <v>40</v>
      </c>
      <c r="T2320" s="108" t="s">
        <v>18492</v>
      </c>
      <c r="U2320" s="112">
        <v>4</v>
      </c>
      <c r="V2320" s="113"/>
      <c r="W2320" s="108" t="s">
        <v>18493</v>
      </c>
      <c r="X2320" s="110">
        <v>3</v>
      </c>
      <c r="Y2320" s="113"/>
      <c r="Z2320" s="108" t="s">
        <v>18494</v>
      </c>
      <c r="AA2320" s="117">
        <v>2</v>
      </c>
      <c r="AB2320" s="111" t="s">
        <v>53</v>
      </c>
      <c r="AC2320" s="105" t="s">
        <v>5221</v>
      </c>
      <c r="AD2320" s="115" t="s">
        <v>114</v>
      </c>
    </row>
    <row r="2321" spans="1:30" x14ac:dyDescent="0.2">
      <c r="A2321" s="104" t="s">
        <v>5222</v>
      </c>
      <c r="B2321" s="105" t="s">
        <v>111</v>
      </c>
      <c r="C2321" s="105" t="s">
        <v>112</v>
      </c>
      <c r="D2321" s="106"/>
      <c r="E2321" s="107"/>
      <c r="F2321" s="108" t="s">
        <v>18495</v>
      </c>
      <c r="G2321" s="119">
        <v>1</v>
      </c>
      <c r="H2321" s="108" t="s">
        <v>18496</v>
      </c>
      <c r="I2321" s="110">
        <v>3</v>
      </c>
      <c r="J2321" s="111" t="s">
        <v>46</v>
      </c>
      <c r="K2321" s="108" t="s">
        <v>18497</v>
      </c>
      <c r="L2321" s="117">
        <v>2</v>
      </c>
      <c r="M2321" s="111" t="s">
        <v>46</v>
      </c>
      <c r="N2321" s="108" t="s">
        <v>18495</v>
      </c>
      <c r="O2321" s="116">
        <v>1</v>
      </c>
      <c r="P2321" s="113"/>
      <c r="Q2321" s="108" t="s">
        <v>18498</v>
      </c>
      <c r="R2321" s="116">
        <v>1</v>
      </c>
      <c r="S2321" s="111" t="s">
        <v>40</v>
      </c>
      <c r="T2321" s="108" t="s">
        <v>47</v>
      </c>
      <c r="U2321" s="114"/>
      <c r="V2321" s="113"/>
      <c r="W2321" s="108" t="s">
        <v>47</v>
      </c>
      <c r="X2321" s="114"/>
      <c r="Y2321" s="113"/>
      <c r="Z2321" s="108" t="s">
        <v>47</v>
      </c>
      <c r="AA2321" s="114"/>
      <c r="AB2321" s="113"/>
      <c r="AC2321" s="105" t="s">
        <v>5223</v>
      </c>
      <c r="AD2321" s="115" t="s">
        <v>114</v>
      </c>
    </row>
    <row r="2322" spans="1:30" x14ac:dyDescent="0.2">
      <c r="A2322" s="104" t="s">
        <v>5224</v>
      </c>
      <c r="B2322" s="105" t="s">
        <v>111</v>
      </c>
      <c r="C2322" s="105" t="s">
        <v>112</v>
      </c>
      <c r="D2322" s="106"/>
      <c r="E2322" s="107"/>
      <c r="F2322" s="108" t="s">
        <v>18499</v>
      </c>
      <c r="G2322" s="118">
        <v>3</v>
      </c>
      <c r="H2322" s="108" t="s">
        <v>18500</v>
      </c>
      <c r="I2322" s="112">
        <v>4</v>
      </c>
      <c r="J2322" s="111" t="s">
        <v>44</v>
      </c>
      <c r="K2322" s="108" t="s">
        <v>18501</v>
      </c>
      <c r="L2322" s="110">
        <v>3</v>
      </c>
      <c r="M2322" s="111" t="s">
        <v>46</v>
      </c>
      <c r="N2322" s="108" t="s">
        <v>18499</v>
      </c>
      <c r="O2322" s="110">
        <v>3</v>
      </c>
      <c r="P2322" s="111" t="s">
        <v>46</v>
      </c>
      <c r="Q2322" s="108" t="s">
        <v>18502</v>
      </c>
      <c r="R2322" s="116">
        <v>1</v>
      </c>
      <c r="S2322" s="111" t="s">
        <v>40</v>
      </c>
      <c r="T2322" s="108" t="s">
        <v>18503</v>
      </c>
      <c r="U2322" s="110">
        <v>3</v>
      </c>
      <c r="V2322" s="113"/>
      <c r="W2322" s="108" t="s">
        <v>18504</v>
      </c>
      <c r="X2322" s="117">
        <v>2</v>
      </c>
      <c r="Y2322" s="113"/>
      <c r="Z2322" s="108" t="s">
        <v>18505</v>
      </c>
      <c r="AA2322" s="117">
        <v>2</v>
      </c>
      <c r="AB2322" s="111" t="s">
        <v>40</v>
      </c>
      <c r="AC2322" s="105" t="s">
        <v>5225</v>
      </c>
      <c r="AD2322" s="115" t="s">
        <v>114</v>
      </c>
    </row>
    <row r="2323" spans="1:30" x14ac:dyDescent="0.2">
      <c r="A2323" s="104" t="s">
        <v>5226</v>
      </c>
      <c r="B2323" s="105" t="s">
        <v>111</v>
      </c>
      <c r="C2323" s="105" t="s">
        <v>2716</v>
      </c>
      <c r="D2323" s="106" t="s">
        <v>105</v>
      </c>
      <c r="E2323" s="107" t="s">
        <v>146</v>
      </c>
      <c r="F2323" s="108" t="s">
        <v>18506</v>
      </c>
      <c r="G2323" s="119">
        <v>1</v>
      </c>
      <c r="H2323" s="108" t="s">
        <v>18507</v>
      </c>
      <c r="I2323" s="117">
        <v>2</v>
      </c>
      <c r="J2323" s="113"/>
      <c r="K2323" s="108" t="s">
        <v>18508</v>
      </c>
      <c r="L2323" s="117">
        <v>2</v>
      </c>
      <c r="M2323" s="111" t="s">
        <v>46</v>
      </c>
      <c r="N2323" s="108" t="s">
        <v>18506</v>
      </c>
      <c r="O2323" s="116">
        <v>1</v>
      </c>
      <c r="P2323" s="113"/>
      <c r="Q2323" s="108" t="s">
        <v>18509</v>
      </c>
      <c r="R2323" s="117">
        <v>2</v>
      </c>
      <c r="S2323" s="111" t="s">
        <v>46</v>
      </c>
      <c r="T2323" s="108" t="s">
        <v>18510</v>
      </c>
      <c r="U2323" s="117">
        <v>2</v>
      </c>
      <c r="V2323" s="113"/>
      <c r="W2323" s="108" t="s">
        <v>18511</v>
      </c>
      <c r="X2323" s="116">
        <v>1</v>
      </c>
      <c r="Y2323" s="113"/>
      <c r="Z2323" s="108" t="s">
        <v>18512</v>
      </c>
      <c r="AA2323" s="117">
        <v>2</v>
      </c>
      <c r="AB2323" s="111" t="s">
        <v>53</v>
      </c>
      <c r="AC2323" s="105" t="s">
        <v>5227</v>
      </c>
      <c r="AD2323" s="115" t="s">
        <v>114</v>
      </c>
    </row>
    <row r="2324" spans="1:30" x14ac:dyDescent="0.2">
      <c r="A2324" s="104" t="s">
        <v>5228</v>
      </c>
      <c r="B2324" s="105" t="s">
        <v>5229</v>
      </c>
      <c r="C2324" s="105" t="s">
        <v>2299</v>
      </c>
      <c r="D2324" s="106"/>
      <c r="E2324" s="107" t="s">
        <v>376</v>
      </c>
      <c r="F2324" s="108" t="s">
        <v>18513</v>
      </c>
      <c r="G2324" s="118">
        <v>3</v>
      </c>
      <c r="H2324" s="108" t="s">
        <v>18514</v>
      </c>
      <c r="I2324" s="116">
        <v>1</v>
      </c>
      <c r="J2324" s="111" t="s">
        <v>157</v>
      </c>
      <c r="K2324" s="108" t="s">
        <v>18515</v>
      </c>
      <c r="L2324" s="110">
        <v>3</v>
      </c>
      <c r="M2324" s="111" t="s">
        <v>40</v>
      </c>
      <c r="N2324" s="108" t="s">
        <v>18513</v>
      </c>
      <c r="O2324" s="110">
        <v>3</v>
      </c>
      <c r="P2324" s="113"/>
      <c r="Q2324" s="108" t="s">
        <v>47</v>
      </c>
      <c r="R2324" s="114"/>
      <c r="S2324" s="113"/>
      <c r="T2324" s="108" t="s">
        <v>47</v>
      </c>
      <c r="U2324" s="114"/>
      <c r="V2324" s="113"/>
      <c r="W2324" s="108" t="s">
        <v>47</v>
      </c>
      <c r="X2324" s="114"/>
      <c r="Y2324" s="113"/>
      <c r="Z2324" s="108" t="s">
        <v>47</v>
      </c>
      <c r="AA2324" s="114"/>
      <c r="AB2324" s="113"/>
      <c r="AC2324" s="105" t="s">
        <v>5230</v>
      </c>
      <c r="AD2324" s="115" t="s">
        <v>101</v>
      </c>
    </row>
    <row r="2325" spans="1:30" x14ac:dyDescent="0.2">
      <c r="A2325" s="104" t="s">
        <v>5231</v>
      </c>
      <c r="B2325" s="105" t="s">
        <v>5229</v>
      </c>
      <c r="C2325" s="105" t="s">
        <v>2299</v>
      </c>
      <c r="D2325" s="106"/>
      <c r="E2325" s="107" t="s">
        <v>376</v>
      </c>
      <c r="F2325" s="108" t="s">
        <v>18516</v>
      </c>
      <c r="G2325" s="118">
        <v>3</v>
      </c>
      <c r="H2325" s="108" t="s">
        <v>18517</v>
      </c>
      <c r="I2325" s="116">
        <v>1</v>
      </c>
      <c r="J2325" s="111" t="s">
        <v>157</v>
      </c>
      <c r="K2325" s="108" t="s">
        <v>18518</v>
      </c>
      <c r="L2325" s="110">
        <v>3</v>
      </c>
      <c r="M2325" s="111" t="s">
        <v>40</v>
      </c>
      <c r="N2325" s="108" t="s">
        <v>18516</v>
      </c>
      <c r="O2325" s="110">
        <v>3</v>
      </c>
      <c r="P2325" s="113"/>
      <c r="Q2325" s="108" t="s">
        <v>47</v>
      </c>
      <c r="R2325" s="114"/>
      <c r="S2325" s="113"/>
      <c r="T2325" s="108" t="s">
        <v>47</v>
      </c>
      <c r="U2325" s="114"/>
      <c r="V2325" s="113"/>
      <c r="W2325" s="108" t="s">
        <v>47</v>
      </c>
      <c r="X2325" s="114"/>
      <c r="Y2325" s="113"/>
      <c r="Z2325" s="108" t="s">
        <v>47</v>
      </c>
      <c r="AA2325" s="114"/>
      <c r="AB2325" s="113"/>
      <c r="AC2325" s="105" t="s">
        <v>5232</v>
      </c>
      <c r="AD2325" s="115" t="s">
        <v>101</v>
      </c>
    </row>
    <row r="2326" spans="1:30" x14ac:dyDescent="0.2">
      <c r="A2326" s="104" t="s">
        <v>5233</v>
      </c>
      <c r="B2326" s="105" t="s">
        <v>5234</v>
      </c>
      <c r="C2326" s="105" t="s">
        <v>658</v>
      </c>
      <c r="D2326" s="106"/>
      <c r="E2326" s="107"/>
      <c r="F2326" s="108" t="s">
        <v>18519</v>
      </c>
      <c r="G2326" s="118">
        <v>3</v>
      </c>
      <c r="H2326" s="108" t="s">
        <v>18520</v>
      </c>
      <c r="I2326" s="112">
        <v>4</v>
      </c>
      <c r="J2326" s="113"/>
      <c r="K2326" s="108" t="s">
        <v>18521</v>
      </c>
      <c r="L2326" s="112">
        <v>4</v>
      </c>
      <c r="M2326" s="111" t="s">
        <v>46</v>
      </c>
      <c r="N2326" s="108" t="s">
        <v>18519</v>
      </c>
      <c r="O2326" s="110">
        <v>3</v>
      </c>
      <c r="P2326" s="111" t="s">
        <v>46</v>
      </c>
      <c r="Q2326" s="108" t="s">
        <v>18522</v>
      </c>
      <c r="R2326" s="112">
        <v>4</v>
      </c>
      <c r="S2326" s="111" t="s">
        <v>46</v>
      </c>
      <c r="T2326" s="108" t="s">
        <v>47</v>
      </c>
      <c r="U2326" s="114"/>
      <c r="V2326" s="113"/>
      <c r="W2326" s="108" t="s">
        <v>47</v>
      </c>
      <c r="X2326" s="114"/>
      <c r="Y2326" s="113"/>
      <c r="Z2326" s="108" t="s">
        <v>47</v>
      </c>
      <c r="AA2326" s="114"/>
      <c r="AB2326" s="113"/>
      <c r="AC2326" s="105" t="s">
        <v>5235</v>
      </c>
      <c r="AD2326" s="115" t="s">
        <v>101</v>
      </c>
    </row>
    <row r="2327" spans="1:30" x14ac:dyDescent="0.2">
      <c r="A2327" s="104" t="s">
        <v>5236</v>
      </c>
      <c r="B2327" s="105" t="s">
        <v>5234</v>
      </c>
      <c r="C2327" s="105" t="s">
        <v>332</v>
      </c>
      <c r="D2327" s="106" t="s">
        <v>94</v>
      </c>
      <c r="E2327" s="107"/>
      <c r="F2327" s="108" t="s">
        <v>18523</v>
      </c>
      <c r="G2327" s="120">
        <v>2</v>
      </c>
      <c r="H2327" s="108" t="s">
        <v>18524</v>
      </c>
      <c r="I2327" s="117">
        <v>2</v>
      </c>
      <c r="J2327" s="113"/>
      <c r="K2327" s="108" t="s">
        <v>18525</v>
      </c>
      <c r="L2327" s="117">
        <v>2</v>
      </c>
      <c r="M2327" s="111" t="s">
        <v>46</v>
      </c>
      <c r="N2327" s="108" t="s">
        <v>18523</v>
      </c>
      <c r="O2327" s="117">
        <v>2</v>
      </c>
      <c r="P2327" s="111" t="s">
        <v>46</v>
      </c>
      <c r="Q2327" s="108" t="s">
        <v>18526</v>
      </c>
      <c r="R2327" s="116">
        <v>1</v>
      </c>
      <c r="S2327" s="113"/>
      <c r="T2327" s="108" t="s">
        <v>18527</v>
      </c>
      <c r="U2327" s="110">
        <v>3</v>
      </c>
      <c r="V2327" s="113"/>
      <c r="W2327" s="108" t="s">
        <v>18528</v>
      </c>
      <c r="X2327" s="116">
        <v>1</v>
      </c>
      <c r="Y2327" s="113"/>
      <c r="Z2327" s="108" t="s">
        <v>47</v>
      </c>
      <c r="AA2327" s="114"/>
      <c r="AB2327" s="113"/>
      <c r="AC2327" s="105" t="s">
        <v>5237</v>
      </c>
      <c r="AD2327" s="115" t="s">
        <v>101</v>
      </c>
    </row>
    <row r="2328" spans="1:30" x14ac:dyDescent="0.2">
      <c r="A2328" s="104" t="s">
        <v>5238</v>
      </c>
      <c r="B2328" s="105" t="s">
        <v>5234</v>
      </c>
      <c r="C2328" s="105" t="s">
        <v>5239</v>
      </c>
      <c r="D2328" s="106"/>
      <c r="E2328" s="107" t="s">
        <v>99</v>
      </c>
      <c r="F2328" s="108" t="s">
        <v>18529</v>
      </c>
      <c r="G2328" s="118">
        <v>3</v>
      </c>
      <c r="H2328" s="108" t="s">
        <v>18530</v>
      </c>
      <c r="I2328" s="117">
        <v>2</v>
      </c>
      <c r="J2328" s="111" t="s">
        <v>53</v>
      </c>
      <c r="K2328" s="108" t="s">
        <v>5240</v>
      </c>
      <c r="L2328" s="112">
        <v>4</v>
      </c>
      <c r="M2328" s="113"/>
      <c r="N2328" s="108" t="s">
        <v>18529</v>
      </c>
      <c r="O2328" s="110">
        <v>3</v>
      </c>
      <c r="P2328" s="111" t="s">
        <v>40</v>
      </c>
      <c r="Q2328" s="108" t="s">
        <v>18531</v>
      </c>
      <c r="R2328" s="110">
        <v>3</v>
      </c>
      <c r="S2328" s="111" t="s">
        <v>46</v>
      </c>
      <c r="T2328" s="108" t="s">
        <v>47</v>
      </c>
      <c r="U2328" s="114"/>
      <c r="V2328" s="113"/>
      <c r="W2328" s="108" t="s">
        <v>47</v>
      </c>
      <c r="X2328" s="114"/>
      <c r="Y2328" s="113"/>
      <c r="Z2328" s="108" t="s">
        <v>47</v>
      </c>
      <c r="AA2328" s="114"/>
      <c r="AB2328" s="113"/>
      <c r="AC2328" s="105" t="s">
        <v>5241</v>
      </c>
      <c r="AD2328" s="115" t="s">
        <v>101</v>
      </c>
    </row>
    <row r="2329" spans="1:30" x14ac:dyDescent="0.2">
      <c r="A2329" s="104" t="s">
        <v>5242</v>
      </c>
      <c r="B2329" s="105" t="s">
        <v>5234</v>
      </c>
      <c r="C2329" s="105" t="s">
        <v>2187</v>
      </c>
      <c r="D2329" s="106" t="s">
        <v>105</v>
      </c>
      <c r="E2329" s="107" t="s">
        <v>146</v>
      </c>
      <c r="F2329" s="108" t="s">
        <v>18532</v>
      </c>
      <c r="G2329" s="118">
        <v>3</v>
      </c>
      <c r="H2329" s="108" t="s">
        <v>18533</v>
      </c>
      <c r="I2329" s="116">
        <v>1</v>
      </c>
      <c r="J2329" s="111" t="s">
        <v>157</v>
      </c>
      <c r="K2329" s="108" t="s">
        <v>5243</v>
      </c>
      <c r="L2329" s="112">
        <v>4</v>
      </c>
      <c r="M2329" s="113"/>
      <c r="N2329" s="108" t="s">
        <v>18532</v>
      </c>
      <c r="O2329" s="110">
        <v>3</v>
      </c>
      <c r="P2329" s="113"/>
      <c r="Q2329" s="108" t="s">
        <v>18534</v>
      </c>
      <c r="R2329" s="116">
        <v>1</v>
      </c>
      <c r="S2329" s="111" t="s">
        <v>40</v>
      </c>
      <c r="T2329" s="108" t="s">
        <v>18535</v>
      </c>
      <c r="U2329" s="112">
        <v>4</v>
      </c>
      <c r="V2329" s="113"/>
      <c r="W2329" s="108" t="s">
        <v>5244</v>
      </c>
      <c r="X2329" s="112">
        <v>4</v>
      </c>
      <c r="Y2329" s="113"/>
      <c r="Z2329" s="108" t="s">
        <v>18536</v>
      </c>
      <c r="AA2329" s="110">
        <v>3</v>
      </c>
      <c r="AB2329" s="113"/>
      <c r="AC2329" s="105" t="s">
        <v>5245</v>
      </c>
      <c r="AD2329" s="115" t="s">
        <v>101</v>
      </c>
    </row>
    <row r="2330" spans="1:30" x14ac:dyDescent="0.2">
      <c r="A2330" s="104" t="s">
        <v>5246</v>
      </c>
      <c r="B2330" s="105" t="s">
        <v>5234</v>
      </c>
      <c r="C2330" s="105" t="s">
        <v>2187</v>
      </c>
      <c r="D2330" s="106" t="s">
        <v>298</v>
      </c>
      <c r="E2330" s="107" t="s">
        <v>146</v>
      </c>
      <c r="F2330" s="108" t="s">
        <v>5243</v>
      </c>
      <c r="G2330" s="109">
        <v>4</v>
      </c>
      <c r="H2330" s="108" t="s">
        <v>18537</v>
      </c>
      <c r="I2330" s="116">
        <v>1</v>
      </c>
      <c r="J2330" s="111" t="s">
        <v>157</v>
      </c>
      <c r="K2330" s="108" t="s">
        <v>5247</v>
      </c>
      <c r="L2330" s="112">
        <v>4</v>
      </c>
      <c r="M2330" s="113"/>
      <c r="N2330" s="108" t="s">
        <v>5243</v>
      </c>
      <c r="O2330" s="112">
        <v>4</v>
      </c>
      <c r="P2330" s="113"/>
      <c r="Q2330" s="108" t="s">
        <v>5248</v>
      </c>
      <c r="R2330" s="117">
        <v>2</v>
      </c>
      <c r="S2330" s="113"/>
      <c r="T2330" s="108" t="s">
        <v>18538</v>
      </c>
      <c r="U2330" s="112">
        <v>4</v>
      </c>
      <c r="V2330" s="113"/>
      <c r="W2330" s="108" t="s">
        <v>18539</v>
      </c>
      <c r="X2330" s="112">
        <v>4</v>
      </c>
      <c r="Y2330" s="113"/>
      <c r="Z2330" s="108" t="s">
        <v>5249</v>
      </c>
      <c r="AA2330" s="112">
        <v>4</v>
      </c>
      <c r="AB2330" s="113"/>
      <c r="AC2330" s="105" t="s">
        <v>5250</v>
      </c>
      <c r="AD2330" s="115" t="s">
        <v>101</v>
      </c>
    </row>
    <row r="2331" spans="1:30" x14ac:dyDescent="0.2">
      <c r="A2331" s="104" t="s">
        <v>5251</v>
      </c>
      <c r="B2331" s="105" t="s">
        <v>5234</v>
      </c>
      <c r="C2331" s="105" t="s">
        <v>2187</v>
      </c>
      <c r="D2331" s="106" t="s">
        <v>298</v>
      </c>
      <c r="E2331" s="107" t="s">
        <v>146</v>
      </c>
      <c r="F2331" s="108" t="s">
        <v>5252</v>
      </c>
      <c r="G2331" s="118">
        <v>3</v>
      </c>
      <c r="H2331" s="108" t="s">
        <v>18540</v>
      </c>
      <c r="I2331" s="116">
        <v>1</v>
      </c>
      <c r="J2331" s="111" t="s">
        <v>157</v>
      </c>
      <c r="K2331" s="108" t="s">
        <v>18541</v>
      </c>
      <c r="L2331" s="112">
        <v>4</v>
      </c>
      <c r="M2331" s="113"/>
      <c r="N2331" s="108" t="s">
        <v>5252</v>
      </c>
      <c r="O2331" s="110">
        <v>3</v>
      </c>
      <c r="P2331" s="113"/>
      <c r="Q2331" s="108" t="s">
        <v>18542</v>
      </c>
      <c r="R2331" s="117">
        <v>2</v>
      </c>
      <c r="S2331" s="113"/>
      <c r="T2331" s="108" t="s">
        <v>18543</v>
      </c>
      <c r="U2331" s="112">
        <v>4</v>
      </c>
      <c r="V2331" s="113"/>
      <c r="W2331" s="108" t="s">
        <v>18544</v>
      </c>
      <c r="X2331" s="112">
        <v>4</v>
      </c>
      <c r="Y2331" s="113"/>
      <c r="Z2331" s="108" t="s">
        <v>47</v>
      </c>
      <c r="AA2331" s="114"/>
      <c r="AB2331" s="113"/>
      <c r="AC2331" s="105" t="s">
        <v>5253</v>
      </c>
      <c r="AD2331" s="115" t="s">
        <v>101</v>
      </c>
    </row>
    <row r="2332" spans="1:30" x14ac:dyDescent="0.2">
      <c r="A2332" s="104" t="s">
        <v>5254</v>
      </c>
      <c r="B2332" s="105" t="s">
        <v>5234</v>
      </c>
      <c r="C2332" s="105" t="s">
        <v>2187</v>
      </c>
      <c r="D2332" s="106" t="s">
        <v>298</v>
      </c>
      <c r="E2332" s="107" t="s">
        <v>146</v>
      </c>
      <c r="F2332" s="108" t="s">
        <v>5255</v>
      </c>
      <c r="G2332" s="109">
        <v>4</v>
      </c>
      <c r="H2332" s="108" t="s">
        <v>18545</v>
      </c>
      <c r="I2332" s="116">
        <v>1</v>
      </c>
      <c r="J2332" s="111" t="s">
        <v>157</v>
      </c>
      <c r="K2332" s="108" t="s">
        <v>18546</v>
      </c>
      <c r="L2332" s="112">
        <v>4</v>
      </c>
      <c r="M2332" s="113"/>
      <c r="N2332" s="108" t="s">
        <v>5255</v>
      </c>
      <c r="O2332" s="112">
        <v>4</v>
      </c>
      <c r="P2332" s="113"/>
      <c r="Q2332" s="108" t="s">
        <v>5256</v>
      </c>
      <c r="R2332" s="117">
        <v>2</v>
      </c>
      <c r="S2332" s="113"/>
      <c r="T2332" s="108" t="s">
        <v>5257</v>
      </c>
      <c r="U2332" s="112">
        <v>4</v>
      </c>
      <c r="V2332" s="113"/>
      <c r="W2332" s="108" t="s">
        <v>5258</v>
      </c>
      <c r="X2332" s="112">
        <v>4</v>
      </c>
      <c r="Y2332" s="113"/>
      <c r="Z2332" s="108" t="s">
        <v>18547</v>
      </c>
      <c r="AA2332" s="112">
        <v>4</v>
      </c>
      <c r="AB2332" s="113"/>
      <c r="AC2332" s="105" t="s">
        <v>5259</v>
      </c>
      <c r="AD2332" s="115" t="s">
        <v>101</v>
      </c>
    </row>
    <row r="2333" spans="1:30" x14ac:dyDescent="0.2">
      <c r="A2333" s="104" t="s">
        <v>5260</v>
      </c>
      <c r="B2333" s="105" t="s">
        <v>5234</v>
      </c>
      <c r="C2333" s="105" t="s">
        <v>2187</v>
      </c>
      <c r="D2333" s="106" t="s">
        <v>298</v>
      </c>
      <c r="E2333" s="107" t="s">
        <v>146</v>
      </c>
      <c r="F2333" s="108" t="s">
        <v>18548</v>
      </c>
      <c r="G2333" s="109">
        <v>4</v>
      </c>
      <c r="H2333" s="108" t="s">
        <v>18549</v>
      </c>
      <c r="I2333" s="116">
        <v>1</v>
      </c>
      <c r="J2333" s="111" t="s">
        <v>157</v>
      </c>
      <c r="K2333" s="108" t="s">
        <v>18550</v>
      </c>
      <c r="L2333" s="112">
        <v>4</v>
      </c>
      <c r="M2333" s="113"/>
      <c r="N2333" s="108" t="s">
        <v>18548</v>
      </c>
      <c r="O2333" s="112">
        <v>4</v>
      </c>
      <c r="P2333" s="111" t="s">
        <v>46</v>
      </c>
      <c r="Q2333" s="108" t="s">
        <v>18551</v>
      </c>
      <c r="R2333" s="117">
        <v>2</v>
      </c>
      <c r="S2333" s="113"/>
      <c r="T2333" s="108" t="s">
        <v>5261</v>
      </c>
      <c r="U2333" s="112">
        <v>4</v>
      </c>
      <c r="V2333" s="113"/>
      <c r="W2333" s="108" t="s">
        <v>18552</v>
      </c>
      <c r="X2333" s="112">
        <v>4</v>
      </c>
      <c r="Y2333" s="113"/>
      <c r="Z2333" s="108" t="s">
        <v>47</v>
      </c>
      <c r="AA2333" s="114"/>
      <c r="AB2333" s="113"/>
      <c r="AC2333" s="105" t="s">
        <v>5262</v>
      </c>
      <c r="AD2333" s="115" t="s">
        <v>101</v>
      </c>
    </row>
    <row r="2334" spans="1:30" x14ac:dyDescent="0.2">
      <c r="A2334" s="104" t="s">
        <v>5263</v>
      </c>
      <c r="B2334" s="105" t="s">
        <v>5234</v>
      </c>
      <c r="C2334" s="105" t="s">
        <v>2299</v>
      </c>
      <c r="D2334" s="106"/>
      <c r="E2334" s="107" t="s">
        <v>99</v>
      </c>
      <c r="F2334" s="108" t="s">
        <v>18553</v>
      </c>
      <c r="G2334" s="109">
        <v>4</v>
      </c>
      <c r="H2334" s="108" t="s">
        <v>18554</v>
      </c>
      <c r="I2334" s="116">
        <v>1</v>
      </c>
      <c r="J2334" s="111" t="s">
        <v>157</v>
      </c>
      <c r="K2334" s="108" t="s">
        <v>18555</v>
      </c>
      <c r="L2334" s="112">
        <v>4</v>
      </c>
      <c r="M2334" s="113"/>
      <c r="N2334" s="108" t="s">
        <v>18553</v>
      </c>
      <c r="O2334" s="112">
        <v>4</v>
      </c>
      <c r="P2334" s="113"/>
      <c r="Q2334" s="108" t="s">
        <v>18556</v>
      </c>
      <c r="R2334" s="116">
        <v>1</v>
      </c>
      <c r="S2334" s="111" t="s">
        <v>40</v>
      </c>
      <c r="T2334" s="108" t="s">
        <v>47</v>
      </c>
      <c r="U2334" s="114"/>
      <c r="V2334" s="113"/>
      <c r="W2334" s="108" t="s">
        <v>47</v>
      </c>
      <c r="X2334" s="114"/>
      <c r="Y2334" s="113"/>
      <c r="Z2334" s="108" t="s">
        <v>47</v>
      </c>
      <c r="AA2334" s="114"/>
      <c r="AB2334" s="113"/>
      <c r="AC2334" s="105" t="s">
        <v>5264</v>
      </c>
      <c r="AD2334" s="115" t="s">
        <v>101</v>
      </c>
    </row>
    <row r="2335" spans="1:30" x14ac:dyDescent="0.2">
      <c r="A2335" s="104" t="s">
        <v>5265</v>
      </c>
      <c r="B2335" s="105" t="s">
        <v>5234</v>
      </c>
      <c r="C2335" s="105" t="s">
        <v>2299</v>
      </c>
      <c r="D2335" s="106" t="s">
        <v>514</v>
      </c>
      <c r="E2335" s="107" t="s">
        <v>99</v>
      </c>
      <c r="F2335" s="108" t="s">
        <v>18557</v>
      </c>
      <c r="G2335" s="118">
        <v>3</v>
      </c>
      <c r="H2335" s="108" t="s">
        <v>18558</v>
      </c>
      <c r="I2335" s="116">
        <v>1</v>
      </c>
      <c r="J2335" s="111" t="s">
        <v>157</v>
      </c>
      <c r="K2335" s="108" t="s">
        <v>18559</v>
      </c>
      <c r="L2335" s="112">
        <v>4</v>
      </c>
      <c r="M2335" s="113"/>
      <c r="N2335" s="108" t="s">
        <v>18557</v>
      </c>
      <c r="O2335" s="110">
        <v>3</v>
      </c>
      <c r="P2335" s="111" t="s">
        <v>40</v>
      </c>
      <c r="Q2335" s="108" t="s">
        <v>18560</v>
      </c>
      <c r="R2335" s="116">
        <v>1</v>
      </c>
      <c r="S2335" s="113"/>
      <c r="T2335" s="108" t="s">
        <v>18561</v>
      </c>
      <c r="U2335" s="117">
        <v>2</v>
      </c>
      <c r="V2335" s="113"/>
      <c r="W2335" s="108" t="s">
        <v>18562</v>
      </c>
      <c r="X2335" s="116">
        <v>1</v>
      </c>
      <c r="Y2335" s="113"/>
      <c r="Z2335" s="108" t="s">
        <v>18563</v>
      </c>
      <c r="AA2335" s="116">
        <v>1</v>
      </c>
      <c r="AB2335" s="113"/>
      <c r="AC2335" s="105" t="s">
        <v>5266</v>
      </c>
      <c r="AD2335" s="115" t="s">
        <v>101</v>
      </c>
    </row>
    <row r="2336" spans="1:30" x14ac:dyDescent="0.2">
      <c r="A2336" s="104" t="s">
        <v>5267</v>
      </c>
      <c r="B2336" s="105" t="s">
        <v>5234</v>
      </c>
      <c r="C2336" s="105" t="s">
        <v>2299</v>
      </c>
      <c r="D2336" s="106" t="s">
        <v>94</v>
      </c>
      <c r="E2336" s="107" t="s">
        <v>99</v>
      </c>
      <c r="F2336" s="108" t="s">
        <v>18564</v>
      </c>
      <c r="G2336" s="118">
        <v>3</v>
      </c>
      <c r="H2336" s="108" t="s">
        <v>18565</v>
      </c>
      <c r="I2336" s="116">
        <v>1</v>
      </c>
      <c r="J2336" s="111" t="s">
        <v>157</v>
      </c>
      <c r="K2336" s="108" t="s">
        <v>18566</v>
      </c>
      <c r="L2336" s="112">
        <v>4</v>
      </c>
      <c r="M2336" s="113"/>
      <c r="N2336" s="108" t="s">
        <v>18564</v>
      </c>
      <c r="O2336" s="110">
        <v>3</v>
      </c>
      <c r="P2336" s="111" t="s">
        <v>40</v>
      </c>
      <c r="Q2336" s="108" t="s">
        <v>18567</v>
      </c>
      <c r="R2336" s="116">
        <v>1</v>
      </c>
      <c r="S2336" s="111" t="s">
        <v>40</v>
      </c>
      <c r="T2336" s="108" t="s">
        <v>18568</v>
      </c>
      <c r="U2336" s="117">
        <v>2</v>
      </c>
      <c r="V2336" s="113"/>
      <c r="W2336" s="108" t="s">
        <v>47</v>
      </c>
      <c r="X2336" s="114"/>
      <c r="Y2336" s="113"/>
      <c r="Z2336" s="108" t="s">
        <v>47</v>
      </c>
      <c r="AA2336" s="114"/>
      <c r="AB2336" s="113"/>
      <c r="AC2336" s="105" t="s">
        <v>5268</v>
      </c>
      <c r="AD2336" s="115" t="s">
        <v>101</v>
      </c>
    </row>
    <row r="2337" spans="1:30" x14ac:dyDescent="0.2">
      <c r="A2337" s="104" t="s">
        <v>5269</v>
      </c>
      <c r="B2337" s="105" t="s">
        <v>5234</v>
      </c>
      <c r="C2337" s="105" t="s">
        <v>2299</v>
      </c>
      <c r="D2337" s="106" t="s">
        <v>94</v>
      </c>
      <c r="E2337" s="107" t="s">
        <v>99</v>
      </c>
      <c r="F2337" s="108" t="s">
        <v>18569</v>
      </c>
      <c r="G2337" s="118">
        <v>3</v>
      </c>
      <c r="H2337" s="108" t="s">
        <v>18570</v>
      </c>
      <c r="I2337" s="116">
        <v>1</v>
      </c>
      <c r="J2337" s="111" t="s">
        <v>157</v>
      </c>
      <c r="K2337" s="108" t="s">
        <v>18571</v>
      </c>
      <c r="L2337" s="112">
        <v>4</v>
      </c>
      <c r="M2337" s="113"/>
      <c r="N2337" s="108" t="s">
        <v>18569</v>
      </c>
      <c r="O2337" s="110">
        <v>3</v>
      </c>
      <c r="P2337" s="111" t="s">
        <v>40</v>
      </c>
      <c r="Q2337" s="108" t="s">
        <v>5270</v>
      </c>
      <c r="R2337" s="116">
        <v>1</v>
      </c>
      <c r="S2337" s="111" t="s">
        <v>40</v>
      </c>
      <c r="T2337" s="108" t="s">
        <v>18572</v>
      </c>
      <c r="U2337" s="117">
        <v>2</v>
      </c>
      <c r="V2337" s="113"/>
      <c r="W2337" s="108" t="s">
        <v>18573</v>
      </c>
      <c r="X2337" s="116">
        <v>1</v>
      </c>
      <c r="Y2337" s="113"/>
      <c r="Z2337" s="108" t="s">
        <v>47</v>
      </c>
      <c r="AA2337" s="114"/>
      <c r="AB2337" s="113"/>
      <c r="AC2337" s="105" t="s">
        <v>5271</v>
      </c>
      <c r="AD2337" s="115" t="s">
        <v>101</v>
      </c>
    </row>
    <row r="2338" spans="1:30" x14ac:dyDescent="0.2">
      <c r="A2338" s="104" t="s">
        <v>5272</v>
      </c>
      <c r="B2338" s="105" t="s">
        <v>5234</v>
      </c>
      <c r="C2338" s="105" t="s">
        <v>2299</v>
      </c>
      <c r="D2338" s="106" t="s">
        <v>125</v>
      </c>
      <c r="E2338" s="107" t="s">
        <v>99</v>
      </c>
      <c r="F2338" s="108" t="s">
        <v>18574</v>
      </c>
      <c r="G2338" s="118">
        <v>3</v>
      </c>
      <c r="H2338" s="108" t="s">
        <v>18575</v>
      </c>
      <c r="I2338" s="116">
        <v>1</v>
      </c>
      <c r="J2338" s="111" t="s">
        <v>157</v>
      </c>
      <c r="K2338" s="108" t="s">
        <v>18576</v>
      </c>
      <c r="L2338" s="112">
        <v>4</v>
      </c>
      <c r="M2338" s="113"/>
      <c r="N2338" s="108" t="s">
        <v>18574</v>
      </c>
      <c r="O2338" s="110">
        <v>3</v>
      </c>
      <c r="P2338" s="111" t="s">
        <v>40</v>
      </c>
      <c r="Q2338" s="108" t="s">
        <v>18577</v>
      </c>
      <c r="R2338" s="116">
        <v>1</v>
      </c>
      <c r="S2338" s="111" t="s">
        <v>40</v>
      </c>
      <c r="T2338" s="108" t="s">
        <v>18578</v>
      </c>
      <c r="U2338" s="117">
        <v>2</v>
      </c>
      <c r="V2338" s="113"/>
      <c r="W2338" s="108" t="s">
        <v>47</v>
      </c>
      <c r="X2338" s="114"/>
      <c r="Y2338" s="113"/>
      <c r="Z2338" s="108" t="s">
        <v>47</v>
      </c>
      <c r="AA2338" s="114"/>
      <c r="AB2338" s="113"/>
      <c r="AC2338" s="105" t="s">
        <v>5273</v>
      </c>
      <c r="AD2338" s="115" t="s">
        <v>101</v>
      </c>
    </row>
    <row r="2339" spans="1:30" x14ac:dyDescent="0.2">
      <c r="A2339" s="104" t="s">
        <v>5274</v>
      </c>
      <c r="B2339" s="105" t="s">
        <v>5234</v>
      </c>
      <c r="C2339" s="105" t="s">
        <v>2299</v>
      </c>
      <c r="D2339" s="106" t="s">
        <v>125</v>
      </c>
      <c r="E2339" s="107" t="s">
        <v>99</v>
      </c>
      <c r="F2339" s="108" t="s">
        <v>18579</v>
      </c>
      <c r="G2339" s="118">
        <v>3</v>
      </c>
      <c r="H2339" s="108" t="s">
        <v>18580</v>
      </c>
      <c r="I2339" s="116">
        <v>1</v>
      </c>
      <c r="J2339" s="111" t="s">
        <v>157</v>
      </c>
      <c r="K2339" s="108" t="s">
        <v>18581</v>
      </c>
      <c r="L2339" s="112">
        <v>4</v>
      </c>
      <c r="M2339" s="113"/>
      <c r="N2339" s="108" t="s">
        <v>18579</v>
      </c>
      <c r="O2339" s="110">
        <v>3</v>
      </c>
      <c r="P2339" s="111" t="s">
        <v>40</v>
      </c>
      <c r="Q2339" s="108" t="s">
        <v>18582</v>
      </c>
      <c r="R2339" s="116">
        <v>1</v>
      </c>
      <c r="S2339" s="111" t="s">
        <v>40</v>
      </c>
      <c r="T2339" s="108" t="s">
        <v>18583</v>
      </c>
      <c r="U2339" s="117">
        <v>2</v>
      </c>
      <c r="V2339" s="113"/>
      <c r="W2339" s="108" t="s">
        <v>47</v>
      </c>
      <c r="X2339" s="114"/>
      <c r="Y2339" s="113"/>
      <c r="Z2339" s="108" t="s">
        <v>47</v>
      </c>
      <c r="AA2339" s="114"/>
      <c r="AB2339" s="113"/>
      <c r="AC2339" s="105" t="s">
        <v>5275</v>
      </c>
      <c r="AD2339" s="115" t="s">
        <v>101</v>
      </c>
    </row>
    <row r="2340" spans="1:30" x14ac:dyDescent="0.2">
      <c r="A2340" s="104" t="s">
        <v>5276</v>
      </c>
      <c r="B2340" s="105" t="s">
        <v>5234</v>
      </c>
      <c r="C2340" s="105" t="s">
        <v>2299</v>
      </c>
      <c r="D2340" s="106" t="s">
        <v>94</v>
      </c>
      <c r="E2340" s="107" t="s">
        <v>99</v>
      </c>
      <c r="F2340" s="108" t="s">
        <v>18584</v>
      </c>
      <c r="G2340" s="109">
        <v>4</v>
      </c>
      <c r="H2340" s="108" t="s">
        <v>18585</v>
      </c>
      <c r="I2340" s="116">
        <v>1</v>
      </c>
      <c r="J2340" s="111" t="s">
        <v>157</v>
      </c>
      <c r="K2340" s="108" t="s">
        <v>18586</v>
      </c>
      <c r="L2340" s="112">
        <v>4</v>
      </c>
      <c r="M2340" s="113"/>
      <c r="N2340" s="108" t="s">
        <v>18584</v>
      </c>
      <c r="O2340" s="112">
        <v>4</v>
      </c>
      <c r="P2340" s="113"/>
      <c r="Q2340" s="108" t="s">
        <v>18587</v>
      </c>
      <c r="R2340" s="116">
        <v>1</v>
      </c>
      <c r="S2340" s="113"/>
      <c r="T2340" s="108" t="s">
        <v>18588</v>
      </c>
      <c r="U2340" s="117">
        <v>2</v>
      </c>
      <c r="V2340" s="113"/>
      <c r="W2340" s="108" t="s">
        <v>18589</v>
      </c>
      <c r="X2340" s="116">
        <v>1</v>
      </c>
      <c r="Y2340" s="113"/>
      <c r="Z2340" s="108" t="s">
        <v>47</v>
      </c>
      <c r="AA2340" s="114"/>
      <c r="AB2340" s="113"/>
      <c r="AC2340" s="105" t="s">
        <v>5277</v>
      </c>
      <c r="AD2340" s="115" t="s">
        <v>101</v>
      </c>
    </row>
    <row r="2341" spans="1:30" x14ac:dyDescent="0.2">
      <c r="A2341" s="104" t="s">
        <v>5278</v>
      </c>
      <c r="B2341" s="105" t="s">
        <v>5234</v>
      </c>
      <c r="C2341" s="105" t="s">
        <v>2299</v>
      </c>
      <c r="D2341" s="106" t="s">
        <v>94</v>
      </c>
      <c r="E2341" s="107" t="s">
        <v>99</v>
      </c>
      <c r="F2341" s="108" t="s">
        <v>18590</v>
      </c>
      <c r="G2341" s="109">
        <v>4</v>
      </c>
      <c r="H2341" s="108" t="s">
        <v>18591</v>
      </c>
      <c r="I2341" s="116">
        <v>1</v>
      </c>
      <c r="J2341" s="111" t="s">
        <v>157</v>
      </c>
      <c r="K2341" s="108" t="s">
        <v>18592</v>
      </c>
      <c r="L2341" s="112">
        <v>4</v>
      </c>
      <c r="M2341" s="113"/>
      <c r="N2341" s="108" t="s">
        <v>18590</v>
      </c>
      <c r="O2341" s="112">
        <v>4</v>
      </c>
      <c r="P2341" s="113"/>
      <c r="Q2341" s="108" t="s">
        <v>18593</v>
      </c>
      <c r="R2341" s="116">
        <v>1</v>
      </c>
      <c r="S2341" s="113"/>
      <c r="T2341" s="108" t="s">
        <v>18594</v>
      </c>
      <c r="U2341" s="117">
        <v>2</v>
      </c>
      <c r="V2341" s="113"/>
      <c r="W2341" s="108" t="s">
        <v>18595</v>
      </c>
      <c r="X2341" s="116">
        <v>1</v>
      </c>
      <c r="Y2341" s="113"/>
      <c r="Z2341" s="108" t="s">
        <v>47</v>
      </c>
      <c r="AA2341" s="114"/>
      <c r="AB2341" s="113"/>
      <c r="AC2341" s="105" t="s">
        <v>5279</v>
      </c>
      <c r="AD2341" s="115" t="s">
        <v>101</v>
      </c>
    </row>
    <row r="2342" spans="1:30" x14ac:dyDescent="0.2">
      <c r="A2342" s="104" t="s">
        <v>5280</v>
      </c>
      <c r="B2342" s="105" t="s">
        <v>5234</v>
      </c>
      <c r="C2342" s="105" t="s">
        <v>2299</v>
      </c>
      <c r="D2342" s="106" t="s">
        <v>514</v>
      </c>
      <c r="E2342" s="107" t="s">
        <v>99</v>
      </c>
      <c r="F2342" s="108" t="s">
        <v>18596</v>
      </c>
      <c r="G2342" s="118">
        <v>3</v>
      </c>
      <c r="H2342" s="108" t="s">
        <v>18597</v>
      </c>
      <c r="I2342" s="116">
        <v>1</v>
      </c>
      <c r="J2342" s="111" t="s">
        <v>157</v>
      </c>
      <c r="K2342" s="108" t="s">
        <v>18598</v>
      </c>
      <c r="L2342" s="112">
        <v>4</v>
      </c>
      <c r="M2342" s="113"/>
      <c r="N2342" s="108" t="s">
        <v>18596</v>
      </c>
      <c r="O2342" s="110">
        <v>3</v>
      </c>
      <c r="P2342" s="111" t="s">
        <v>40</v>
      </c>
      <c r="Q2342" s="108" t="s">
        <v>18599</v>
      </c>
      <c r="R2342" s="116">
        <v>1</v>
      </c>
      <c r="S2342" s="113"/>
      <c r="T2342" s="108" t="s">
        <v>18600</v>
      </c>
      <c r="U2342" s="117">
        <v>2</v>
      </c>
      <c r="V2342" s="113"/>
      <c r="W2342" s="108" t="s">
        <v>18601</v>
      </c>
      <c r="X2342" s="116">
        <v>1</v>
      </c>
      <c r="Y2342" s="113"/>
      <c r="Z2342" s="108" t="s">
        <v>18602</v>
      </c>
      <c r="AA2342" s="116">
        <v>1</v>
      </c>
      <c r="AB2342" s="113"/>
      <c r="AC2342" s="105" t="s">
        <v>5281</v>
      </c>
      <c r="AD2342" s="115" t="s">
        <v>101</v>
      </c>
    </row>
    <row r="2343" spans="1:30" x14ac:dyDescent="0.2">
      <c r="A2343" s="104" t="s">
        <v>5282</v>
      </c>
      <c r="B2343" s="105" t="s">
        <v>5234</v>
      </c>
      <c r="C2343" s="105" t="s">
        <v>2299</v>
      </c>
      <c r="D2343" s="106" t="s">
        <v>94</v>
      </c>
      <c r="E2343" s="107" t="s">
        <v>99</v>
      </c>
      <c r="F2343" s="108" t="s">
        <v>18603</v>
      </c>
      <c r="G2343" s="118">
        <v>3</v>
      </c>
      <c r="H2343" s="108" t="s">
        <v>18604</v>
      </c>
      <c r="I2343" s="116">
        <v>1</v>
      </c>
      <c r="J2343" s="111" t="s">
        <v>157</v>
      </c>
      <c r="K2343" s="108" t="s">
        <v>18605</v>
      </c>
      <c r="L2343" s="112">
        <v>4</v>
      </c>
      <c r="M2343" s="113"/>
      <c r="N2343" s="108" t="s">
        <v>18603</v>
      </c>
      <c r="O2343" s="110">
        <v>3</v>
      </c>
      <c r="P2343" s="111" t="s">
        <v>40</v>
      </c>
      <c r="Q2343" s="108" t="s">
        <v>18606</v>
      </c>
      <c r="R2343" s="116">
        <v>1</v>
      </c>
      <c r="S2343" s="111" t="s">
        <v>40</v>
      </c>
      <c r="T2343" s="108" t="s">
        <v>18607</v>
      </c>
      <c r="U2343" s="117">
        <v>2</v>
      </c>
      <c r="V2343" s="113"/>
      <c r="W2343" s="108" t="s">
        <v>47</v>
      </c>
      <c r="X2343" s="114"/>
      <c r="Y2343" s="113"/>
      <c r="Z2343" s="108" t="s">
        <v>47</v>
      </c>
      <c r="AA2343" s="114"/>
      <c r="AB2343" s="113"/>
      <c r="AC2343" s="105" t="s">
        <v>5283</v>
      </c>
      <c r="AD2343" s="115" t="s">
        <v>101</v>
      </c>
    </row>
    <row r="2344" spans="1:30" x14ac:dyDescent="0.2">
      <c r="A2344" s="104" t="s">
        <v>5284</v>
      </c>
      <c r="B2344" s="105" t="s">
        <v>5234</v>
      </c>
      <c r="C2344" s="105" t="s">
        <v>104</v>
      </c>
      <c r="D2344" s="106"/>
      <c r="E2344" s="107" t="s">
        <v>376</v>
      </c>
      <c r="F2344" s="108" t="s">
        <v>18608</v>
      </c>
      <c r="G2344" s="109">
        <v>4</v>
      </c>
      <c r="H2344" s="108" t="s">
        <v>18609</v>
      </c>
      <c r="I2344" s="112">
        <v>4</v>
      </c>
      <c r="J2344" s="111" t="s">
        <v>44</v>
      </c>
      <c r="K2344" s="108" t="s">
        <v>18610</v>
      </c>
      <c r="L2344" s="112">
        <v>4</v>
      </c>
      <c r="M2344" s="113"/>
      <c r="N2344" s="108" t="s">
        <v>18608</v>
      </c>
      <c r="O2344" s="112">
        <v>4</v>
      </c>
      <c r="P2344" s="111" t="s">
        <v>46</v>
      </c>
      <c r="Q2344" s="108" t="s">
        <v>18611</v>
      </c>
      <c r="R2344" s="110">
        <v>3</v>
      </c>
      <c r="S2344" s="113"/>
      <c r="T2344" s="108" t="s">
        <v>47</v>
      </c>
      <c r="U2344" s="114"/>
      <c r="V2344" s="113"/>
      <c r="W2344" s="108" t="s">
        <v>47</v>
      </c>
      <c r="X2344" s="114"/>
      <c r="Y2344" s="113"/>
      <c r="Z2344" s="108" t="s">
        <v>47</v>
      </c>
      <c r="AA2344" s="114"/>
      <c r="AB2344" s="113"/>
      <c r="AC2344" s="105" t="s">
        <v>5285</v>
      </c>
      <c r="AD2344" s="115" t="s">
        <v>101</v>
      </c>
    </row>
    <row r="2345" spans="1:30" x14ac:dyDescent="0.2">
      <c r="A2345" s="104" t="s">
        <v>5286</v>
      </c>
      <c r="B2345" s="105" t="s">
        <v>5234</v>
      </c>
      <c r="C2345" s="105" t="s">
        <v>104</v>
      </c>
      <c r="D2345" s="106"/>
      <c r="E2345" s="107" t="s">
        <v>376</v>
      </c>
      <c r="F2345" s="108" t="s">
        <v>18612</v>
      </c>
      <c r="G2345" s="109">
        <v>4</v>
      </c>
      <c r="H2345" s="108" t="s">
        <v>18613</v>
      </c>
      <c r="I2345" s="112">
        <v>4</v>
      </c>
      <c r="J2345" s="111" t="s">
        <v>46</v>
      </c>
      <c r="K2345" s="108" t="s">
        <v>18614</v>
      </c>
      <c r="L2345" s="112">
        <v>4</v>
      </c>
      <c r="M2345" s="113"/>
      <c r="N2345" s="108" t="s">
        <v>18612</v>
      </c>
      <c r="O2345" s="112">
        <v>4</v>
      </c>
      <c r="P2345" s="113"/>
      <c r="Q2345" s="108" t="s">
        <v>18615</v>
      </c>
      <c r="R2345" s="110">
        <v>3</v>
      </c>
      <c r="S2345" s="113"/>
      <c r="T2345" s="108" t="s">
        <v>47</v>
      </c>
      <c r="U2345" s="114"/>
      <c r="V2345" s="113"/>
      <c r="W2345" s="108" t="s">
        <v>47</v>
      </c>
      <c r="X2345" s="114"/>
      <c r="Y2345" s="113"/>
      <c r="Z2345" s="108" t="s">
        <v>47</v>
      </c>
      <c r="AA2345" s="114"/>
      <c r="AB2345" s="113"/>
      <c r="AC2345" s="105" t="s">
        <v>5287</v>
      </c>
      <c r="AD2345" s="115" t="s">
        <v>101</v>
      </c>
    </row>
    <row r="2346" spans="1:30" x14ac:dyDescent="0.2">
      <c r="A2346" s="104" t="s">
        <v>5288</v>
      </c>
      <c r="B2346" s="105" t="s">
        <v>5234</v>
      </c>
      <c r="C2346" s="105" t="s">
        <v>104</v>
      </c>
      <c r="D2346" s="106" t="s">
        <v>125</v>
      </c>
      <c r="E2346" s="107" t="s">
        <v>376</v>
      </c>
      <c r="F2346" s="108" t="s">
        <v>18616</v>
      </c>
      <c r="G2346" s="109">
        <v>4</v>
      </c>
      <c r="H2346" s="108" t="s">
        <v>18617</v>
      </c>
      <c r="I2346" s="112">
        <v>4</v>
      </c>
      <c r="J2346" s="111" t="s">
        <v>44</v>
      </c>
      <c r="K2346" s="108" t="s">
        <v>18618</v>
      </c>
      <c r="L2346" s="112">
        <v>4</v>
      </c>
      <c r="M2346" s="113"/>
      <c r="N2346" s="108" t="s">
        <v>18616</v>
      </c>
      <c r="O2346" s="112">
        <v>4</v>
      </c>
      <c r="P2346" s="111" t="s">
        <v>46</v>
      </c>
      <c r="Q2346" s="108" t="s">
        <v>18619</v>
      </c>
      <c r="R2346" s="110">
        <v>3</v>
      </c>
      <c r="S2346" s="113"/>
      <c r="T2346" s="108" t="s">
        <v>18620</v>
      </c>
      <c r="U2346" s="110">
        <v>3</v>
      </c>
      <c r="V2346" s="113"/>
      <c r="W2346" s="108" t="s">
        <v>18621</v>
      </c>
      <c r="X2346" s="110">
        <v>3</v>
      </c>
      <c r="Y2346" s="113"/>
      <c r="Z2346" s="108" t="s">
        <v>47</v>
      </c>
      <c r="AA2346" s="114"/>
      <c r="AB2346" s="113"/>
      <c r="AC2346" s="105" t="s">
        <v>5289</v>
      </c>
      <c r="AD2346" s="115" t="s">
        <v>101</v>
      </c>
    </row>
    <row r="2347" spans="1:30" x14ac:dyDescent="0.2">
      <c r="A2347" s="104" t="s">
        <v>5290</v>
      </c>
      <c r="B2347" s="105" t="s">
        <v>5234</v>
      </c>
      <c r="C2347" s="105" t="s">
        <v>104</v>
      </c>
      <c r="D2347" s="106" t="s">
        <v>125</v>
      </c>
      <c r="E2347" s="107" t="s">
        <v>376</v>
      </c>
      <c r="F2347" s="108" t="s">
        <v>18622</v>
      </c>
      <c r="G2347" s="109">
        <v>4</v>
      </c>
      <c r="H2347" s="108" t="s">
        <v>18623</v>
      </c>
      <c r="I2347" s="112">
        <v>4</v>
      </c>
      <c r="J2347" s="111" t="s">
        <v>44</v>
      </c>
      <c r="K2347" s="108" t="s">
        <v>18624</v>
      </c>
      <c r="L2347" s="112">
        <v>4</v>
      </c>
      <c r="M2347" s="113"/>
      <c r="N2347" s="108" t="s">
        <v>18622</v>
      </c>
      <c r="O2347" s="112">
        <v>4</v>
      </c>
      <c r="P2347" s="111" t="s">
        <v>46</v>
      </c>
      <c r="Q2347" s="108" t="s">
        <v>18625</v>
      </c>
      <c r="R2347" s="110">
        <v>3</v>
      </c>
      <c r="S2347" s="113"/>
      <c r="T2347" s="108" t="s">
        <v>18626</v>
      </c>
      <c r="U2347" s="110">
        <v>3</v>
      </c>
      <c r="V2347" s="113"/>
      <c r="W2347" s="108" t="s">
        <v>47</v>
      </c>
      <c r="X2347" s="114"/>
      <c r="Y2347" s="113"/>
      <c r="Z2347" s="108" t="s">
        <v>47</v>
      </c>
      <c r="AA2347" s="114"/>
      <c r="AB2347" s="113"/>
      <c r="AC2347" s="105" t="s">
        <v>5291</v>
      </c>
      <c r="AD2347" s="115" t="s">
        <v>101</v>
      </c>
    </row>
    <row r="2348" spans="1:30" x14ac:dyDescent="0.2">
      <c r="A2348" s="104" t="s">
        <v>5292</v>
      </c>
      <c r="B2348" s="105" t="s">
        <v>5234</v>
      </c>
      <c r="C2348" s="105" t="s">
        <v>104</v>
      </c>
      <c r="D2348" s="106" t="s">
        <v>125</v>
      </c>
      <c r="E2348" s="107" t="s">
        <v>376</v>
      </c>
      <c r="F2348" s="108" t="s">
        <v>18627</v>
      </c>
      <c r="G2348" s="109">
        <v>4</v>
      </c>
      <c r="H2348" s="108" t="s">
        <v>18628</v>
      </c>
      <c r="I2348" s="112">
        <v>4</v>
      </c>
      <c r="J2348" s="111" t="s">
        <v>44</v>
      </c>
      <c r="K2348" s="108" t="s">
        <v>18629</v>
      </c>
      <c r="L2348" s="112">
        <v>4</v>
      </c>
      <c r="M2348" s="113"/>
      <c r="N2348" s="108" t="s">
        <v>18627</v>
      </c>
      <c r="O2348" s="112">
        <v>4</v>
      </c>
      <c r="P2348" s="111" t="s">
        <v>46</v>
      </c>
      <c r="Q2348" s="108" t="s">
        <v>18630</v>
      </c>
      <c r="R2348" s="110">
        <v>3</v>
      </c>
      <c r="S2348" s="113"/>
      <c r="T2348" s="108" t="s">
        <v>18631</v>
      </c>
      <c r="U2348" s="110">
        <v>3</v>
      </c>
      <c r="V2348" s="113"/>
      <c r="W2348" s="108" t="s">
        <v>18632</v>
      </c>
      <c r="X2348" s="110">
        <v>3</v>
      </c>
      <c r="Y2348" s="113"/>
      <c r="Z2348" s="108" t="s">
        <v>47</v>
      </c>
      <c r="AA2348" s="114"/>
      <c r="AB2348" s="113"/>
      <c r="AC2348" s="105" t="s">
        <v>5293</v>
      </c>
      <c r="AD2348" s="115" t="s">
        <v>101</v>
      </c>
    </row>
    <row r="2349" spans="1:30" x14ac:dyDescent="0.2">
      <c r="A2349" s="104" t="s">
        <v>5294</v>
      </c>
      <c r="B2349" s="105" t="s">
        <v>5234</v>
      </c>
      <c r="C2349" s="105" t="s">
        <v>104</v>
      </c>
      <c r="D2349" s="106" t="s">
        <v>125</v>
      </c>
      <c r="E2349" s="107" t="s">
        <v>376</v>
      </c>
      <c r="F2349" s="108" t="s">
        <v>18633</v>
      </c>
      <c r="G2349" s="109">
        <v>4</v>
      </c>
      <c r="H2349" s="108" t="s">
        <v>18634</v>
      </c>
      <c r="I2349" s="112">
        <v>4</v>
      </c>
      <c r="J2349" s="111" t="s">
        <v>55</v>
      </c>
      <c r="K2349" s="108" t="s">
        <v>18635</v>
      </c>
      <c r="L2349" s="112">
        <v>4</v>
      </c>
      <c r="M2349" s="111" t="s">
        <v>46</v>
      </c>
      <c r="N2349" s="108" t="s">
        <v>18633</v>
      </c>
      <c r="O2349" s="112">
        <v>4</v>
      </c>
      <c r="P2349" s="113"/>
      <c r="Q2349" s="108" t="s">
        <v>18636</v>
      </c>
      <c r="R2349" s="110">
        <v>3</v>
      </c>
      <c r="S2349" s="113"/>
      <c r="T2349" s="108" t="s">
        <v>18637</v>
      </c>
      <c r="U2349" s="110">
        <v>3</v>
      </c>
      <c r="V2349" s="113"/>
      <c r="W2349" s="108" t="s">
        <v>47</v>
      </c>
      <c r="X2349" s="114"/>
      <c r="Y2349" s="113"/>
      <c r="Z2349" s="108" t="s">
        <v>47</v>
      </c>
      <c r="AA2349" s="114"/>
      <c r="AB2349" s="113"/>
      <c r="AC2349" s="105" t="s">
        <v>5295</v>
      </c>
      <c r="AD2349" s="115" t="s">
        <v>101</v>
      </c>
    </row>
    <row r="2350" spans="1:30" x14ac:dyDescent="0.2">
      <c r="A2350" s="104" t="s">
        <v>5296</v>
      </c>
      <c r="B2350" s="105" t="s">
        <v>5234</v>
      </c>
      <c r="C2350" s="105" t="s">
        <v>104</v>
      </c>
      <c r="D2350" s="106" t="s">
        <v>125</v>
      </c>
      <c r="E2350" s="107" t="s">
        <v>376</v>
      </c>
      <c r="F2350" s="108" t="s">
        <v>18638</v>
      </c>
      <c r="G2350" s="109">
        <v>4</v>
      </c>
      <c r="H2350" s="108" t="s">
        <v>18639</v>
      </c>
      <c r="I2350" s="112">
        <v>4</v>
      </c>
      <c r="J2350" s="111" t="s">
        <v>55</v>
      </c>
      <c r="K2350" s="108" t="s">
        <v>18640</v>
      </c>
      <c r="L2350" s="112">
        <v>4</v>
      </c>
      <c r="M2350" s="111" t="s">
        <v>46</v>
      </c>
      <c r="N2350" s="108" t="s">
        <v>18638</v>
      </c>
      <c r="O2350" s="112">
        <v>4</v>
      </c>
      <c r="P2350" s="113"/>
      <c r="Q2350" s="108" t="s">
        <v>18641</v>
      </c>
      <c r="R2350" s="110">
        <v>3</v>
      </c>
      <c r="S2350" s="111" t="s">
        <v>46</v>
      </c>
      <c r="T2350" s="108" t="s">
        <v>18642</v>
      </c>
      <c r="U2350" s="110">
        <v>3</v>
      </c>
      <c r="V2350" s="113"/>
      <c r="W2350" s="108" t="s">
        <v>18643</v>
      </c>
      <c r="X2350" s="117">
        <v>2</v>
      </c>
      <c r="Y2350" s="113"/>
      <c r="Z2350" s="108" t="s">
        <v>47</v>
      </c>
      <c r="AA2350" s="114"/>
      <c r="AB2350" s="113"/>
      <c r="AC2350" s="105" t="s">
        <v>5297</v>
      </c>
      <c r="AD2350" s="115" t="s">
        <v>101</v>
      </c>
    </row>
    <row r="2351" spans="1:30" x14ac:dyDescent="0.2">
      <c r="A2351" s="104" t="s">
        <v>5298</v>
      </c>
      <c r="B2351" s="105" t="s">
        <v>5234</v>
      </c>
      <c r="C2351" s="105" t="s">
        <v>104</v>
      </c>
      <c r="D2351" s="106" t="s">
        <v>125</v>
      </c>
      <c r="E2351" s="107" t="s">
        <v>376</v>
      </c>
      <c r="F2351" s="108" t="s">
        <v>18644</v>
      </c>
      <c r="G2351" s="109">
        <v>4</v>
      </c>
      <c r="H2351" s="108" t="s">
        <v>18645</v>
      </c>
      <c r="I2351" s="112">
        <v>4</v>
      </c>
      <c r="J2351" s="111" t="s">
        <v>46</v>
      </c>
      <c r="K2351" s="108" t="s">
        <v>18646</v>
      </c>
      <c r="L2351" s="112">
        <v>4</v>
      </c>
      <c r="M2351" s="113"/>
      <c r="N2351" s="108" t="s">
        <v>18644</v>
      </c>
      <c r="O2351" s="112">
        <v>4</v>
      </c>
      <c r="P2351" s="113"/>
      <c r="Q2351" s="108" t="s">
        <v>18647</v>
      </c>
      <c r="R2351" s="110">
        <v>3</v>
      </c>
      <c r="S2351" s="113"/>
      <c r="T2351" s="108" t="s">
        <v>18648</v>
      </c>
      <c r="U2351" s="110">
        <v>3</v>
      </c>
      <c r="V2351" s="113"/>
      <c r="W2351" s="108" t="s">
        <v>47</v>
      </c>
      <c r="X2351" s="114"/>
      <c r="Y2351" s="113"/>
      <c r="Z2351" s="108" t="s">
        <v>47</v>
      </c>
      <c r="AA2351" s="114"/>
      <c r="AB2351" s="113"/>
      <c r="AC2351" s="105" t="s">
        <v>5299</v>
      </c>
      <c r="AD2351" s="115" t="s">
        <v>101</v>
      </c>
    </row>
    <row r="2352" spans="1:30" x14ac:dyDescent="0.2">
      <c r="A2352" s="104" t="s">
        <v>5300</v>
      </c>
      <c r="B2352" s="105" t="s">
        <v>5234</v>
      </c>
      <c r="C2352" s="105" t="s">
        <v>104</v>
      </c>
      <c r="D2352" s="106" t="s">
        <v>125</v>
      </c>
      <c r="E2352" s="107" t="s">
        <v>376</v>
      </c>
      <c r="F2352" s="108" t="s">
        <v>18649</v>
      </c>
      <c r="G2352" s="109">
        <v>4</v>
      </c>
      <c r="H2352" s="108" t="s">
        <v>18650</v>
      </c>
      <c r="I2352" s="112">
        <v>4</v>
      </c>
      <c r="J2352" s="111" t="s">
        <v>46</v>
      </c>
      <c r="K2352" s="108" t="s">
        <v>18651</v>
      </c>
      <c r="L2352" s="112">
        <v>4</v>
      </c>
      <c r="M2352" s="113"/>
      <c r="N2352" s="108" t="s">
        <v>18649</v>
      </c>
      <c r="O2352" s="112">
        <v>4</v>
      </c>
      <c r="P2352" s="113"/>
      <c r="Q2352" s="108" t="s">
        <v>18652</v>
      </c>
      <c r="R2352" s="110">
        <v>3</v>
      </c>
      <c r="S2352" s="113"/>
      <c r="T2352" s="108" t="s">
        <v>18653</v>
      </c>
      <c r="U2352" s="110">
        <v>3</v>
      </c>
      <c r="V2352" s="113"/>
      <c r="W2352" s="108" t="s">
        <v>47</v>
      </c>
      <c r="X2352" s="114"/>
      <c r="Y2352" s="113"/>
      <c r="Z2352" s="108" t="s">
        <v>47</v>
      </c>
      <c r="AA2352" s="114"/>
      <c r="AB2352" s="113"/>
      <c r="AC2352" s="105" t="s">
        <v>5301</v>
      </c>
      <c r="AD2352" s="115" t="s">
        <v>101</v>
      </c>
    </row>
    <row r="2353" spans="1:30" x14ac:dyDescent="0.2">
      <c r="A2353" s="104" t="s">
        <v>5302</v>
      </c>
      <c r="B2353" s="105" t="s">
        <v>5234</v>
      </c>
      <c r="C2353" s="105" t="s">
        <v>104</v>
      </c>
      <c r="D2353" s="106" t="s">
        <v>94</v>
      </c>
      <c r="E2353" s="107" t="s">
        <v>376</v>
      </c>
      <c r="F2353" s="108" t="s">
        <v>18654</v>
      </c>
      <c r="G2353" s="109">
        <v>4</v>
      </c>
      <c r="H2353" s="108" t="s">
        <v>18655</v>
      </c>
      <c r="I2353" s="112">
        <v>4</v>
      </c>
      <c r="J2353" s="111" t="s">
        <v>46</v>
      </c>
      <c r="K2353" s="108" t="s">
        <v>18656</v>
      </c>
      <c r="L2353" s="112">
        <v>4</v>
      </c>
      <c r="M2353" s="113"/>
      <c r="N2353" s="108" t="s">
        <v>18654</v>
      </c>
      <c r="O2353" s="112">
        <v>4</v>
      </c>
      <c r="P2353" s="113"/>
      <c r="Q2353" s="108" t="s">
        <v>18657</v>
      </c>
      <c r="R2353" s="110">
        <v>3</v>
      </c>
      <c r="S2353" s="113"/>
      <c r="T2353" s="108" t="s">
        <v>18658</v>
      </c>
      <c r="U2353" s="110">
        <v>3</v>
      </c>
      <c r="V2353" s="113"/>
      <c r="W2353" s="108" t="s">
        <v>18659</v>
      </c>
      <c r="X2353" s="117">
        <v>2</v>
      </c>
      <c r="Y2353" s="111" t="s">
        <v>40</v>
      </c>
      <c r="Z2353" s="108" t="s">
        <v>47</v>
      </c>
      <c r="AA2353" s="114"/>
      <c r="AB2353" s="113"/>
      <c r="AC2353" s="105" t="s">
        <v>5303</v>
      </c>
      <c r="AD2353" s="115" t="s">
        <v>101</v>
      </c>
    </row>
    <row r="2354" spans="1:30" x14ac:dyDescent="0.2">
      <c r="A2354" s="104" t="s">
        <v>5304</v>
      </c>
      <c r="B2354" s="105" t="s">
        <v>5234</v>
      </c>
      <c r="C2354" s="105" t="s">
        <v>104</v>
      </c>
      <c r="D2354" s="106"/>
      <c r="E2354" s="107" t="s">
        <v>376</v>
      </c>
      <c r="F2354" s="108" t="s">
        <v>18660</v>
      </c>
      <c r="G2354" s="109">
        <v>4</v>
      </c>
      <c r="H2354" s="108" t="s">
        <v>18661</v>
      </c>
      <c r="I2354" s="112">
        <v>4</v>
      </c>
      <c r="J2354" s="111" t="s">
        <v>46</v>
      </c>
      <c r="K2354" s="108" t="s">
        <v>18662</v>
      </c>
      <c r="L2354" s="112">
        <v>4</v>
      </c>
      <c r="M2354" s="113"/>
      <c r="N2354" s="108" t="s">
        <v>18660</v>
      </c>
      <c r="O2354" s="112">
        <v>4</v>
      </c>
      <c r="P2354" s="113"/>
      <c r="Q2354" s="108" t="s">
        <v>18663</v>
      </c>
      <c r="R2354" s="110">
        <v>3</v>
      </c>
      <c r="S2354" s="113"/>
      <c r="T2354" s="108" t="s">
        <v>47</v>
      </c>
      <c r="U2354" s="114"/>
      <c r="V2354" s="113"/>
      <c r="W2354" s="108" t="s">
        <v>47</v>
      </c>
      <c r="X2354" s="114"/>
      <c r="Y2354" s="113"/>
      <c r="Z2354" s="108" t="s">
        <v>47</v>
      </c>
      <c r="AA2354" s="114"/>
      <c r="AB2354" s="113"/>
      <c r="AC2354" s="105" t="s">
        <v>5305</v>
      </c>
      <c r="AD2354" s="115" t="s">
        <v>101</v>
      </c>
    </row>
    <row r="2355" spans="1:30" x14ac:dyDescent="0.2">
      <c r="A2355" s="104" t="s">
        <v>5306</v>
      </c>
      <c r="B2355" s="105" t="s">
        <v>5234</v>
      </c>
      <c r="C2355" s="105" t="s">
        <v>5307</v>
      </c>
      <c r="D2355" s="106" t="s">
        <v>105</v>
      </c>
      <c r="E2355" s="107" t="s">
        <v>99</v>
      </c>
      <c r="F2355" s="108" t="s">
        <v>5308</v>
      </c>
      <c r="G2355" s="120">
        <v>2</v>
      </c>
      <c r="H2355" s="108" t="s">
        <v>18664</v>
      </c>
      <c r="I2355" s="116">
        <v>1</v>
      </c>
      <c r="J2355" s="111" t="s">
        <v>40</v>
      </c>
      <c r="K2355" s="108" t="s">
        <v>8429</v>
      </c>
      <c r="L2355" s="117">
        <v>2</v>
      </c>
      <c r="M2355" s="111" t="s">
        <v>40</v>
      </c>
      <c r="N2355" s="108" t="s">
        <v>5308</v>
      </c>
      <c r="O2355" s="117">
        <v>2</v>
      </c>
      <c r="P2355" s="111" t="s">
        <v>40</v>
      </c>
      <c r="Q2355" s="108" t="s">
        <v>18665</v>
      </c>
      <c r="R2355" s="110">
        <v>3</v>
      </c>
      <c r="S2355" s="113"/>
      <c r="T2355" s="108" t="s">
        <v>5309</v>
      </c>
      <c r="U2355" s="110">
        <v>3</v>
      </c>
      <c r="V2355" s="113"/>
      <c r="W2355" s="108" t="s">
        <v>5310</v>
      </c>
      <c r="X2355" s="117">
        <v>2</v>
      </c>
      <c r="Y2355" s="113"/>
      <c r="Z2355" s="108" t="s">
        <v>18666</v>
      </c>
      <c r="AA2355" s="110">
        <v>3</v>
      </c>
      <c r="AB2355" s="111" t="s">
        <v>40</v>
      </c>
      <c r="AC2355" s="105" t="s">
        <v>5311</v>
      </c>
      <c r="AD2355" s="115" t="s">
        <v>101</v>
      </c>
    </row>
    <row r="2356" spans="1:30" x14ac:dyDescent="0.2">
      <c r="A2356" s="104" t="s">
        <v>5312</v>
      </c>
      <c r="B2356" s="105" t="s">
        <v>5234</v>
      </c>
      <c r="C2356" s="105" t="s">
        <v>5307</v>
      </c>
      <c r="D2356" s="106" t="s">
        <v>125</v>
      </c>
      <c r="E2356" s="107" t="s">
        <v>99</v>
      </c>
      <c r="F2356" s="108" t="s">
        <v>18667</v>
      </c>
      <c r="G2356" s="120">
        <v>2</v>
      </c>
      <c r="H2356" s="108" t="s">
        <v>18668</v>
      </c>
      <c r="I2356" s="116">
        <v>1</v>
      </c>
      <c r="J2356" s="111" t="s">
        <v>53</v>
      </c>
      <c r="K2356" s="108" t="s">
        <v>18669</v>
      </c>
      <c r="L2356" s="117">
        <v>2</v>
      </c>
      <c r="M2356" s="111" t="s">
        <v>40</v>
      </c>
      <c r="N2356" s="108" t="s">
        <v>18667</v>
      </c>
      <c r="O2356" s="117">
        <v>2</v>
      </c>
      <c r="P2356" s="111" t="s">
        <v>40</v>
      </c>
      <c r="Q2356" s="108" t="s">
        <v>18670</v>
      </c>
      <c r="R2356" s="110">
        <v>3</v>
      </c>
      <c r="S2356" s="113"/>
      <c r="T2356" s="108" t="s">
        <v>10096</v>
      </c>
      <c r="U2356" s="110">
        <v>3</v>
      </c>
      <c r="V2356" s="113"/>
      <c r="W2356" s="108" t="s">
        <v>5313</v>
      </c>
      <c r="X2356" s="117">
        <v>2</v>
      </c>
      <c r="Y2356" s="113"/>
      <c r="Z2356" s="108" t="s">
        <v>47</v>
      </c>
      <c r="AA2356" s="114"/>
      <c r="AB2356" s="113"/>
      <c r="AC2356" s="105" t="s">
        <v>5314</v>
      </c>
      <c r="AD2356" s="115" t="s">
        <v>101</v>
      </c>
    </row>
    <row r="2357" spans="1:30" x14ac:dyDescent="0.2">
      <c r="A2357" s="104" t="s">
        <v>5315</v>
      </c>
      <c r="B2357" s="105" t="s">
        <v>5234</v>
      </c>
      <c r="C2357" s="105" t="s">
        <v>5307</v>
      </c>
      <c r="D2357" s="106" t="s">
        <v>125</v>
      </c>
      <c r="E2357" s="107" t="s">
        <v>99</v>
      </c>
      <c r="F2357" s="108" t="s">
        <v>5316</v>
      </c>
      <c r="G2357" s="120">
        <v>2</v>
      </c>
      <c r="H2357" s="108" t="s">
        <v>5317</v>
      </c>
      <c r="I2357" s="117">
        <v>2</v>
      </c>
      <c r="J2357" s="111" t="s">
        <v>40</v>
      </c>
      <c r="K2357" s="108" t="s">
        <v>18671</v>
      </c>
      <c r="L2357" s="117">
        <v>2</v>
      </c>
      <c r="M2357" s="111" t="s">
        <v>40</v>
      </c>
      <c r="N2357" s="108" t="s">
        <v>5316</v>
      </c>
      <c r="O2357" s="117">
        <v>2</v>
      </c>
      <c r="P2357" s="111" t="s">
        <v>40</v>
      </c>
      <c r="Q2357" s="108" t="s">
        <v>5318</v>
      </c>
      <c r="R2357" s="110">
        <v>3</v>
      </c>
      <c r="S2357" s="113"/>
      <c r="T2357" s="108" t="s">
        <v>18672</v>
      </c>
      <c r="U2357" s="110">
        <v>3</v>
      </c>
      <c r="V2357" s="113"/>
      <c r="W2357" s="108" t="s">
        <v>2108</v>
      </c>
      <c r="X2357" s="117">
        <v>2</v>
      </c>
      <c r="Y2357" s="113"/>
      <c r="Z2357" s="108" t="s">
        <v>47</v>
      </c>
      <c r="AA2357" s="114"/>
      <c r="AB2357" s="113"/>
      <c r="AC2357" s="105" t="s">
        <v>5319</v>
      </c>
      <c r="AD2357" s="115" t="s">
        <v>101</v>
      </c>
    </row>
    <row r="2358" spans="1:30" x14ac:dyDescent="0.2">
      <c r="A2358" s="104" t="s">
        <v>5320</v>
      </c>
      <c r="B2358" s="105" t="s">
        <v>5234</v>
      </c>
      <c r="C2358" s="105" t="s">
        <v>5307</v>
      </c>
      <c r="D2358" s="106" t="s">
        <v>125</v>
      </c>
      <c r="E2358" s="107" t="s">
        <v>99</v>
      </c>
      <c r="F2358" s="108" t="s">
        <v>5321</v>
      </c>
      <c r="G2358" s="120">
        <v>2</v>
      </c>
      <c r="H2358" s="108" t="s">
        <v>13373</v>
      </c>
      <c r="I2358" s="117">
        <v>2</v>
      </c>
      <c r="J2358" s="111" t="s">
        <v>40</v>
      </c>
      <c r="K2358" s="108" t="s">
        <v>18673</v>
      </c>
      <c r="L2358" s="117">
        <v>2</v>
      </c>
      <c r="M2358" s="111" t="s">
        <v>40</v>
      </c>
      <c r="N2358" s="108" t="s">
        <v>5321</v>
      </c>
      <c r="O2358" s="117">
        <v>2</v>
      </c>
      <c r="P2358" s="111" t="s">
        <v>40</v>
      </c>
      <c r="Q2358" s="108" t="s">
        <v>12226</v>
      </c>
      <c r="R2358" s="110">
        <v>3</v>
      </c>
      <c r="S2358" s="111" t="s">
        <v>40</v>
      </c>
      <c r="T2358" s="108" t="s">
        <v>18674</v>
      </c>
      <c r="U2358" s="112">
        <v>4</v>
      </c>
      <c r="V2358" s="113"/>
      <c r="W2358" s="108" t="s">
        <v>5322</v>
      </c>
      <c r="X2358" s="110">
        <v>3</v>
      </c>
      <c r="Y2358" s="113"/>
      <c r="Z2358" s="108" t="s">
        <v>47</v>
      </c>
      <c r="AA2358" s="114"/>
      <c r="AB2358" s="113"/>
      <c r="AC2358" s="105" t="s">
        <v>5323</v>
      </c>
      <c r="AD2358" s="115" t="s">
        <v>101</v>
      </c>
    </row>
    <row r="2359" spans="1:30" x14ac:dyDescent="0.2">
      <c r="A2359" s="104" t="s">
        <v>5324</v>
      </c>
      <c r="B2359" s="105" t="s">
        <v>5234</v>
      </c>
      <c r="C2359" s="105" t="s">
        <v>5307</v>
      </c>
      <c r="D2359" s="106" t="s">
        <v>125</v>
      </c>
      <c r="E2359" s="107" t="s">
        <v>99</v>
      </c>
      <c r="F2359" s="108" t="s">
        <v>18675</v>
      </c>
      <c r="G2359" s="120">
        <v>2</v>
      </c>
      <c r="H2359" s="108" t="s">
        <v>15619</v>
      </c>
      <c r="I2359" s="117">
        <v>2</v>
      </c>
      <c r="J2359" s="111" t="s">
        <v>40</v>
      </c>
      <c r="K2359" s="108" t="s">
        <v>15619</v>
      </c>
      <c r="L2359" s="117">
        <v>2</v>
      </c>
      <c r="M2359" s="113"/>
      <c r="N2359" s="108" t="s">
        <v>18675</v>
      </c>
      <c r="O2359" s="117">
        <v>2</v>
      </c>
      <c r="P2359" s="111" t="s">
        <v>40</v>
      </c>
      <c r="Q2359" s="108" t="s">
        <v>18676</v>
      </c>
      <c r="R2359" s="110">
        <v>3</v>
      </c>
      <c r="S2359" s="113"/>
      <c r="T2359" s="108" t="s">
        <v>5325</v>
      </c>
      <c r="U2359" s="110">
        <v>3</v>
      </c>
      <c r="V2359" s="113"/>
      <c r="W2359" s="108" t="s">
        <v>18677</v>
      </c>
      <c r="X2359" s="117">
        <v>2</v>
      </c>
      <c r="Y2359" s="113"/>
      <c r="Z2359" s="108" t="s">
        <v>47</v>
      </c>
      <c r="AA2359" s="114"/>
      <c r="AB2359" s="113"/>
      <c r="AC2359" s="105" t="s">
        <v>5326</v>
      </c>
      <c r="AD2359" s="115" t="s">
        <v>101</v>
      </c>
    </row>
    <row r="2360" spans="1:30" x14ac:dyDescent="0.2">
      <c r="A2360" s="104" t="s">
        <v>5327</v>
      </c>
      <c r="B2360" s="105" t="s">
        <v>5234</v>
      </c>
      <c r="C2360" s="105" t="s">
        <v>5307</v>
      </c>
      <c r="D2360" s="106" t="s">
        <v>125</v>
      </c>
      <c r="E2360" s="107" t="s">
        <v>99</v>
      </c>
      <c r="F2360" s="108" t="s">
        <v>5328</v>
      </c>
      <c r="G2360" s="120">
        <v>2</v>
      </c>
      <c r="H2360" s="108" t="s">
        <v>8429</v>
      </c>
      <c r="I2360" s="117">
        <v>2</v>
      </c>
      <c r="J2360" s="111" t="s">
        <v>53</v>
      </c>
      <c r="K2360" s="108" t="s">
        <v>18678</v>
      </c>
      <c r="L2360" s="117">
        <v>2</v>
      </c>
      <c r="M2360" s="111" t="s">
        <v>40</v>
      </c>
      <c r="N2360" s="108" t="s">
        <v>5328</v>
      </c>
      <c r="O2360" s="117">
        <v>2</v>
      </c>
      <c r="P2360" s="111" t="s">
        <v>53</v>
      </c>
      <c r="Q2360" s="108" t="s">
        <v>5329</v>
      </c>
      <c r="R2360" s="110">
        <v>3</v>
      </c>
      <c r="S2360" s="111" t="s">
        <v>40</v>
      </c>
      <c r="T2360" s="108" t="s">
        <v>18679</v>
      </c>
      <c r="U2360" s="112">
        <v>4</v>
      </c>
      <c r="V2360" s="113"/>
      <c r="W2360" s="108" t="s">
        <v>47</v>
      </c>
      <c r="X2360" s="114"/>
      <c r="Y2360" s="113"/>
      <c r="Z2360" s="108" t="s">
        <v>47</v>
      </c>
      <c r="AA2360" s="114"/>
      <c r="AB2360" s="113"/>
      <c r="AC2360" s="105" t="s">
        <v>5330</v>
      </c>
      <c r="AD2360" s="115" t="s">
        <v>101</v>
      </c>
    </row>
    <row r="2361" spans="1:30" x14ac:dyDescent="0.2">
      <c r="A2361" s="104" t="s">
        <v>5331</v>
      </c>
      <c r="B2361" s="105" t="s">
        <v>5234</v>
      </c>
      <c r="C2361" s="105" t="s">
        <v>244</v>
      </c>
      <c r="D2361" s="106" t="s">
        <v>514</v>
      </c>
      <c r="E2361" s="107" t="s">
        <v>376</v>
      </c>
      <c r="F2361" s="108" t="s">
        <v>18680</v>
      </c>
      <c r="G2361" s="119">
        <v>1</v>
      </c>
      <c r="H2361" s="108" t="s">
        <v>18681</v>
      </c>
      <c r="I2361" s="116">
        <v>1</v>
      </c>
      <c r="J2361" s="113"/>
      <c r="K2361" s="108" t="s">
        <v>18682</v>
      </c>
      <c r="L2361" s="116">
        <v>1</v>
      </c>
      <c r="M2361" s="111" t="s">
        <v>40</v>
      </c>
      <c r="N2361" s="108" t="s">
        <v>18680</v>
      </c>
      <c r="O2361" s="116">
        <v>1</v>
      </c>
      <c r="P2361" s="113"/>
      <c r="Q2361" s="108" t="s">
        <v>18683</v>
      </c>
      <c r="R2361" s="116">
        <v>1</v>
      </c>
      <c r="S2361" s="113"/>
      <c r="T2361" s="108" t="s">
        <v>18684</v>
      </c>
      <c r="U2361" s="116">
        <v>1</v>
      </c>
      <c r="V2361" s="113"/>
      <c r="W2361" s="108" t="s">
        <v>18685</v>
      </c>
      <c r="X2361" s="116">
        <v>1</v>
      </c>
      <c r="Y2361" s="113"/>
      <c r="Z2361" s="108" t="s">
        <v>47</v>
      </c>
      <c r="AA2361" s="114"/>
      <c r="AB2361" s="113"/>
      <c r="AC2361" s="105" t="s">
        <v>5332</v>
      </c>
      <c r="AD2361" s="115" t="s">
        <v>101</v>
      </c>
    </row>
    <row r="2362" spans="1:30" x14ac:dyDescent="0.2">
      <c r="A2362" s="104" t="s">
        <v>5333</v>
      </c>
      <c r="B2362" s="105" t="s">
        <v>5234</v>
      </c>
      <c r="C2362" s="105" t="s">
        <v>244</v>
      </c>
      <c r="D2362" s="106" t="s">
        <v>514</v>
      </c>
      <c r="E2362" s="107" t="s">
        <v>376</v>
      </c>
      <c r="F2362" s="108" t="s">
        <v>18686</v>
      </c>
      <c r="G2362" s="119">
        <v>1</v>
      </c>
      <c r="H2362" s="108" t="s">
        <v>18687</v>
      </c>
      <c r="I2362" s="116">
        <v>1</v>
      </c>
      <c r="J2362" s="113"/>
      <c r="K2362" s="108" t="s">
        <v>18688</v>
      </c>
      <c r="L2362" s="116">
        <v>1</v>
      </c>
      <c r="M2362" s="111" t="s">
        <v>40</v>
      </c>
      <c r="N2362" s="108" t="s">
        <v>18686</v>
      </c>
      <c r="O2362" s="116">
        <v>1</v>
      </c>
      <c r="P2362" s="113"/>
      <c r="Q2362" s="108" t="s">
        <v>18689</v>
      </c>
      <c r="R2362" s="116">
        <v>1</v>
      </c>
      <c r="S2362" s="113"/>
      <c r="T2362" s="108" t="s">
        <v>18690</v>
      </c>
      <c r="U2362" s="116">
        <v>1</v>
      </c>
      <c r="V2362" s="113"/>
      <c r="W2362" s="108" t="s">
        <v>18691</v>
      </c>
      <c r="X2362" s="116">
        <v>1</v>
      </c>
      <c r="Y2362" s="113"/>
      <c r="Z2362" s="108" t="s">
        <v>47</v>
      </c>
      <c r="AA2362" s="114"/>
      <c r="AB2362" s="113"/>
      <c r="AC2362" s="105" t="s">
        <v>5334</v>
      </c>
      <c r="AD2362" s="115" t="s">
        <v>101</v>
      </c>
    </row>
    <row r="2363" spans="1:30" x14ac:dyDescent="0.2">
      <c r="A2363" s="104" t="s">
        <v>5335</v>
      </c>
      <c r="B2363" s="105" t="s">
        <v>5234</v>
      </c>
      <c r="C2363" s="105" t="s">
        <v>244</v>
      </c>
      <c r="D2363" s="106" t="s">
        <v>514</v>
      </c>
      <c r="E2363" s="107" t="s">
        <v>376</v>
      </c>
      <c r="F2363" s="108" t="s">
        <v>18692</v>
      </c>
      <c r="G2363" s="119">
        <v>1</v>
      </c>
      <c r="H2363" s="108" t="s">
        <v>18693</v>
      </c>
      <c r="I2363" s="116">
        <v>1</v>
      </c>
      <c r="J2363" s="113"/>
      <c r="K2363" s="108" t="s">
        <v>18694</v>
      </c>
      <c r="L2363" s="116">
        <v>1</v>
      </c>
      <c r="M2363" s="111" t="s">
        <v>40</v>
      </c>
      <c r="N2363" s="108" t="s">
        <v>18692</v>
      </c>
      <c r="O2363" s="116">
        <v>1</v>
      </c>
      <c r="P2363" s="113"/>
      <c r="Q2363" s="108" t="s">
        <v>18695</v>
      </c>
      <c r="R2363" s="116">
        <v>1</v>
      </c>
      <c r="S2363" s="113"/>
      <c r="T2363" s="108" t="s">
        <v>18696</v>
      </c>
      <c r="U2363" s="116">
        <v>1</v>
      </c>
      <c r="V2363" s="113"/>
      <c r="W2363" s="108" t="s">
        <v>18697</v>
      </c>
      <c r="X2363" s="116">
        <v>1</v>
      </c>
      <c r="Y2363" s="113"/>
      <c r="Z2363" s="108" t="s">
        <v>47</v>
      </c>
      <c r="AA2363" s="114"/>
      <c r="AB2363" s="113"/>
      <c r="AC2363" s="105" t="s">
        <v>5336</v>
      </c>
      <c r="AD2363" s="115" t="s">
        <v>101</v>
      </c>
    </row>
    <row r="2364" spans="1:30" x14ac:dyDescent="0.2">
      <c r="A2364" s="104" t="s">
        <v>5337</v>
      </c>
      <c r="B2364" s="105" t="s">
        <v>5234</v>
      </c>
      <c r="C2364" s="105" t="s">
        <v>244</v>
      </c>
      <c r="D2364" s="106" t="s">
        <v>514</v>
      </c>
      <c r="E2364" s="107" t="s">
        <v>376</v>
      </c>
      <c r="F2364" s="108" t="s">
        <v>18698</v>
      </c>
      <c r="G2364" s="119">
        <v>1</v>
      </c>
      <c r="H2364" s="108" t="s">
        <v>18699</v>
      </c>
      <c r="I2364" s="116">
        <v>1</v>
      </c>
      <c r="J2364" s="111" t="s">
        <v>40</v>
      </c>
      <c r="K2364" s="108" t="s">
        <v>18700</v>
      </c>
      <c r="L2364" s="116">
        <v>1</v>
      </c>
      <c r="M2364" s="111" t="s">
        <v>40</v>
      </c>
      <c r="N2364" s="108" t="s">
        <v>18698</v>
      </c>
      <c r="O2364" s="116">
        <v>1</v>
      </c>
      <c r="P2364" s="113"/>
      <c r="Q2364" s="108" t="s">
        <v>18701</v>
      </c>
      <c r="R2364" s="116">
        <v>1</v>
      </c>
      <c r="S2364" s="113"/>
      <c r="T2364" s="108" t="s">
        <v>18702</v>
      </c>
      <c r="U2364" s="116">
        <v>1</v>
      </c>
      <c r="V2364" s="113"/>
      <c r="W2364" s="108" t="s">
        <v>18703</v>
      </c>
      <c r="X2364" s="116">
        <v>1</v>
      </c>
      <c r="Y2364" s="113"/>
      <c r="Z2364" s="108" t="s">
        <v>47</v>
      </c>
      <c r="AA2364" s="114"/>
      <c r="AB2364" s="113"/>
      <c r="AC2364" s="105" t="s">
        <v>5338</v>
      </c>
      <c r="AD2364" s="115" t="s">
        <v>101</v>
      </c>
    </row>
    <row r="2365" spans="1:30" x14ac:dyDescent="0.2">
      <c r="A2365" s="104" t="s">
        <v>5339</v>
      </c>
      <c r="B2365" s="105" t="s">
        <v>5234</v>
      </c>
      <c r="C2365" s="105" t="s">
        <v>3625</v>
      </c>
      <c r="D2365" s="106" t="s">
        <v>105</v>
      </c>
      <c r="E2365" s="107" t="s">
        <v>182</v>
      </c>
      <c r="F2365" s="108" t="s">
        <v>18704</v>
      </c>
      <c r="G2365" s="109">
        <v>4</v>
      </c>
      <c r="H2365" s="108" t="s">
        <v>18705</v>
      </c>
      <c r="I2365" s="117">
        <v>2</v>
      </c>
      <c r="J2365" s="111" t="s">
        <v>53</v>
      </c>
      <c r="K2365" s="108" t="s">
        <v>18706</v>
      </c>
      <c r="L2365" s="112">
        <v>4</v>
      </c>
      <c r="M2365" s="113"/>
      <c r="N2365" s="108" t="s">
        <v>18704</v>
      </c>
      <c r="O2365" s="112">
        <v>4</v>
      </c>
      <c r="P2365" s="113"/>
      <c r="Q2365" s="108" t="s">
        <v>5340</v>
      </c>
      <c r="R2365" s="110">
        <v>3</v>
      </c>
      <c r="S2365" s="111" t="s">
        <v>40</v>
      </c>
      <c r="T2365" s="108" t="s">
        <v>18707</v>
      </c>
      <c r="U2365" s="112">
        <v>4</v>
      </c>
      <c r="V2365" s="113"/>
      <c r="W2365" s="108" t="s">
        <v>18708</v>
      </c>
      <c r="X2365" s="112">
        <v>4</v>
      </c>
      <c r="Y2365" s="113"/>
      <c r="Z2365" s="108" t="s">
        <v>47</v>
      </c>
      <c r="AA2365" s="114"/>
      <c r="AB2365" s="113"/>
      <c r="AC2365" s="105" t="s">
        <v>5341</v>
      </c>
      <c r="AD2365" s="115" t="s">
        <v>101</v>
      </c>
    </row>
    <row r="2366" spans="1:30" x14ac:dyDescent="0.2">
      <c r="A2366" s="104" t="s">
        <v>5342</v>
      </c>
      <c r="B2366" s="105" t="s">
        <v>5234</v>
      </c>
      <c r="C2366" s="105" t="s">
        <v>3625</v>
      </c>
      <c r="D2366" s="106" t="s">
        <v>298</v>
      </c>
      <c r="E2366" s="107" t="s">
        <v>182</v>
      </c>
      <c r="F2366" s="108" t="s">
        <v>18709</v>
      </c>
      <c r="G2366" s="109">
        <v>4</v>
      </c>
      <c r="H2366" s="108" t="s">
        <v>18710</v>
      </c>
      <c r="I2366" s="117">
        <v>2</v>
      </c>
      <c r="J2366" s="111" t="s">
        <v>53</v>
      </c>
      <c r="K2366" s="108" t="s">
        <v>18711</v>
      </c>
      <c r="L2366" s="112">
        <v>4</v>
      </c>
      <c r="M2366" s="113"/>
      <c r="N2366" s="108" t="s">
        <v>18709</v>
      </c>
      <c r="O2366" s="112">
        <v>4</v>
      </c>
      <c r="P2366" s="113"/>
      <c r="Q2366" s="108" t="s">
        <v>18712</v>
      </c>
      <c r="R2366" s="110">
        <v>3</v>
      </c>
      <c r="S2366" s="111" t="s">
        <v>40</v>
      </c>
      <c r="T2366" s="108" t="s">
        <v>18713</v>
      </c>
      <c r="U2366" s="112">
        <v>4</v>
      </c>
      <c r="V2366" s="113"/>
      <c r="W2366" s="108" t="s">
        <v>18714</v>
      </c>
      <c r="X2366" s="112">
        <v>4</v>
      </c>
      <c r="Y2366" s="113"/>
      <c r="Z2366" s="108" t="s">
        <v>47</v>
      </c>
      <c r="AA2366" s="114"/>
      <c r="AB2366" s="113"/>
      <c r="AC2366" s="105" t="s">
        <v>5343</v>
      </c>
      <c r="AD2366" s="115" t="s">
        <v>101</v>
      </c>
    </row>
    <row r="2367" spans="1:30" x14ac:dyDescent="0.2">
      <c r="A2367" s="104" t="s">
        <v>5344</v>
      </c>
      <c r="B2367" s="105" t="s">
        <v>5234</v>
      </c>
      <c r="C2367" s="105" t="s">
        <v>4841</v>
      </c>
      <c r="D2367" s="106" t="s">
        <v>125</v>
      </c>
      <c r="E2367" s="107"/>
      <c r="F2367" s="108" t="s">
        <v>2069</v>
      </c>
      <c r="G2367" s="120">
        <v>2</v>
      </c>
      <c r="H2367" s="108" t="s">
        <v>11681</v>
      </c>
      <c r="I2367" s="110">
        <v>3</v>
      </c>
      <c r="J2367" s="111" t="s">
        <v>46</v>
      </c>
      <c r="K2367" s="108" t="s">
        <v>1272</v>
      </c>
      <c r="L2367" s="117">
        <v>2</v>
      </c>
      <c r="M2367" s="113"/>
      <c r="N2367" s="108" t="s">
        <v>2069</v>
      </c>
      <c r="O2367" s="117">
        <v>2</v>
      </c>
      <c r="P2367" s="113"/>
      <c r="Q2367" s="108" t="s">
        <v>813</v>
      </c>
      <c r="R2367" s="110">
        <v>3</v>
      </c>
      <c r="S2367" s="113"/>
      <c r="T2367" s="108" t="s">
        <v>5345</v>
      </c>
      <c r="U2367" s="117">
        <v>2</v>
      </c>
      <c r="V2367" s="113"/>
      <c r="W2367" s="108" t="s">
        <v>2540</v>
      </c>
      <c r="X2367" s="117">
        <v>2</v>
      </c>
      <c r="Y2367" s="111" t="s">
        <v>46</v>
      </c>
      <c r="Z2367" s="108" t="s">
        <v>18715</v>
      </c>
      <c r="AA2367" s="117">
        <v>2</v>
      </c>
      <c r="AB2367" s="113"/>
      <c r="AC2367" s="105" t="s">
        <v>5346</v>
      </c>
      <c r="AD2367" s="115" t="s">
        <v>101</v>
      </c>
    </row>
    <row r="2368" spans="1:30" x14ac:dyDescent="0.2">
      <c r="A2368" s="104" t="s">
        <v>5347</v>
      </c>
      <c r="B2368" s="105" t="s">
        <v>5234</v>
      </c>
      <c r="C2368" s="105" t="s">
        <v>2586</v>
      </c>
      <c r="D2368" s="106" t="s">
        <v>125</v>
      </c>
      <c r="E2368" s="107" t="s">
        <v>376</v>
      </c>
      <c r="F2368" s="108" t="s">
        <v>18716</v>
      </c>
      <c r="G2368" s="118">
        <v>3</v>
      </c>
      <c r="H2368" s="108" t="s">
        <v>18717</v>
      </c>
      <c r="I2368" s="116">
        <v>1</v>
      </c>
      <c r="J2368" s="111" t="s">
        <v>157</v>
      </c>
      <c r="K2368" s="108" t="s">
        <v>18718</v>
      </c>
      <c r="L2368" s="110">
        <v>3</v>
      </c>
      <c r="M2368" s="113"/>
      <c r="N2368" s="108" t="s">
        <v>18716</v>
      </c>
      <c r="O2368" s="110">
        <v>3</v>
      </c>
      <c r="P2368" s="113"/>
      <c r="Q2368" s="108" t="s">
        <v>18719</v>
      </c>
      <c r="R2368" s="110">
        <v>3</v>
      </c>
      <c r="S2368" s="111" t="s">
        <v>40</v>
      </c>
      <c r="T2368" s="108" t="s">
        <v>18720</v>
      </c>
      <c r="U2368" s="117">
        <v>2</v>
      </c>
      <c r="V2368" s="111" t="s">
        <v>40</v>
      </c>
      <c r="W2368" s="108" t="s">
        <v>47</v>
      </c>
      <c r="X2368" s="114"/>
      <c r="Y2368" s="113"/>
      <c r="Z2368" s="108" t="s">
        <v>47</v>
      </c>
      <c r="AA2368" s="114"/>
      <c r="AB2368" s="113"/>
      <c r="AC2368" s="105" t="s">
        <v>5348</v>
      </c>
      <c r="AD2368" s="115" t="s">
        <v>101</v>
      </c>
    </row>
    <row r="2369" spans="1:30" x14ac:dyDescent="0.2">
      <c r="A2369" s="104" t="s">
        <v>5349</v>
      </c>
      <c r="B2369" s="105" t="s">
        <v>5234</v>
      </c>
      <c r="C2369" s="105" t="s">
        <v>2586</v>
      </c>
      <c r="D2369" s="106" t="s">
        <v>125</v>
      </c>
      <c r="E2369" s="107" t="s">
        <v>376</v>
      </c>
      <c r="F2369" s="108" t="s">
        <v>18721</v>
      </c>
      <c r="G2369" s="118">
        <v>3</v>
      </c>
      <c r="H2369" s="108" t="s">
        <v>18722</v>
      </c>
      <c r="I2369" s="116">
        <v>1</v>
      </c>
      <c r="J2369" s="111" t="s">
        <v>157</v>
      </c>
      <c r="K2369" s="108" t="s">
        <v>18723</v>
      </c>
      <c r="L2369" s="110">
        <v>3</v>
      </c>
      <c r="M2369" s="113"/>
      <c r="N2369" s="108" t="s">
        <v>18721</v>
      </c>
      <c r="O2369" s="110">
        <v>3</v>
      </c>
      <c r="P2369" s="113"/>
      <c r="Q2369" s="108" t="s">
        <v>18724</v>
      </c>
      <c r="R2369" s="110">
        <v>3</v>
      </c>
      <c r="S2369" s="111" t="s">
        <v>40</v>
      </c>
      <c r="T2369" s="108" t="s">
        <v>18725</v>
      </c>
      <c r="U2369" s="117">
        <v>2</v>
      </c>
      <c r="V2369" s="111" t="s">
        <v>40</v>
      </c>
      <c r="W2369" s="108" t="s">
        <v>47</v>
      </c>
      <c r="X2369" s="114"/>
      <c r="Y2369" s="113"/>
      <c r="Z2369" s="108" t="s">
        <v>47</v>
      </c>
      <c r="AA2369" s="114"/>
      <c r="AB2369" s="113"/>
      <c r="AC2369" s="105" t="s">
        <v>5350</v>
      </c>
      <c r="AD2369" s="115" t="s">
        <v>101</v>
      </c>
    </row>
    <row r="2370" spans="1:30" x14ac:dyDescent="0.2">
      <c r="A2370" s="104" t="s">
        <v>5351</v>
      </c>
      <c r="B2370" s="105" t="s">
        <v>5234</v>
      </c>
      <c r="C2370" s="105" t="s">
        <v>2586</v>
      </c>
      <c r="D2370" s="106" t="s">
        <v>125</v>
      </c>
      <c r="E2370" s="107" t="s">
        <v>376</v>
      </c>
      <c r="F2370" s="108" t="s">
        <v>18726</v>
      </c>
      <c r="G2370" s="118">
        <v>3</v>
      </c>
      <c r="H2370" s="108" t="s">
        <v>18727</v>
      </c>
      <c r="I2370" s="116">
        <v>1</v>
      </c>
      <c r="J2370" s="111" t="s">
        <v>157</v>
      </c>
      <c r="K2370" s="108" t="s">
        <v>18728</v>
      </c>
      <c r="L2370" s="110">
        <v>3</v>
      </c>
      <c r="M2370" s="113"/>
      <c r="N2370" s="108" t="s">
        <v>18726</v>
      </c>
      <c r="O2370" s="110">
        <v>3</v>
      </c>
      <c r="P2370" s="113"/>
      <c r="Q2370" s="108" t="s">
        <v>18729</v>
      </c>
      <c r="R2370" s="110">
        <v>3</v>
      </c>
      <c r="S2370" s="111" t="s">
        <v>40</v>
      </c>
      <c r="T2370" s="108" t="s">
        <v>18730</v>
      </c>
      <c r="U2370" s="117">
        <v>2</v>
      </c>
      <c r="V2370" s="111" t="s">
        <v>40</v>
      </c>
      <c r="W2370" s="108" t="s">
        <v>47</v>
      </c>
      <c r="X2370" s="114"/>
      <c r="Y2370" s="113"/>
      <c r="Z2370" s="108" t="s">
        <v>47</v>
      </c>
      <c r="AA2370" s="114"/>
      <c r="AB2370" s="113"/>
      <c r="AC2370" s="105" t="s">
        <v>5352</v>
      </c>
      <c r="AD2370" s="115" t="s">
        <v>101</v>
      </c>
    </row>
    <row r="2371" spans="1:30" x14ac:dyDescent="0.2">
      <c r="A2371" s="104" t="s">
        <v>5353</v>
      </c>
      <c r="B2371" s="105" t="s">
        <v>5234</v>
      </c>
      <c r="C2371" s="105" t="s">
        <v>2586</v>
      </c>
      <c r="D2371" s="106" t="s">
        <v>125</v>
      </c>
      <c r="E2371" s="107" t="s">
        <v>376</v>
      </c>
      <c r="F2371" s="108" t="s">
        <v>18731</v>
      </c>
      <c r="G2371" s="118">
        <v>3</v>
      </c>
      <c r="H2371" s="108" t="s">
        <v>18732</v>
      </c>
      <c r="I2371" s="116">
        <v>1</v>
      </c>
      <c r="J2371" s="111" t="s">
        <v>157</v>
      </c>
      <c r="K2371" s="108" t="s">
        <v>18733</v>
      </c>
      <c r="L2371" s="110">
        <v>3</v>
      </c>
      <c r="M2371" s="113"/>
      <c r="N2371" s="108" t="s">
        <v>18731</v>
      </c>
      <c r="O2371" s="110">
        <v>3</v>
      </c>
      <c r="P2371" s="113"/>
      <c r="Q2371" s="108" t="s">
        <v>18734</v>
      </c>
      <c r="R2371" s="110">
        <v>3</v>
      </c>
      <c r="S2371" s="111" t="s">
        <v>40</v>
      </c>
      <c r="T2371" s="108" t="s">
        <v>18735</v>
      </c>
      <c r="U2371" s="117">
        <v>2</v>
      </c>
      <c r="V2371" s="111" t="s">
        <v>40</v>
      </c>
      <c r="W2371" s="108" t="s">
        <v>47</v>
      </c>
      <c r="X2371" s="114"/>
      <c r="Y2371" s="113"/>
      <c r="Z2371" s="108" t="s">
        <v>47</v>
      </c>
      <c r="AA2371" s="114"/>
      <c r="AB2371" s="113"/>
      <c r="AC2371" s="105" t="s">
        <v>5354</v>
      </c>
      <c r="AD2371" s="115" t="s">
        <v>101</v>
      </c>
    </row>
    <row r="2372" spans="1:30" x14ac:dyDescent="0.2">
      <c r="A2372" s="104" t="s">
        <v>5355</v>
      </c>
      <c r="B2372" s="105" t="s">
        <v>5234</v>
      </c>
      <c r="C2372" s="105" t="s">
        <v>2586</v>
      </c>
      <c r="D2372" s="106" t="s">
        <v>125</v>
      </c>
      <c r="E2372" s="107" t="s">
        <v>376</v>
      </c>
      <c r="F2372" s="108" t="s">
        <v>18736</v>
      </c>
      <c r="G2372" s="118">
        <v>3</v>
      </c>
      <c r="H2372" s="108" t="s">
        <v>18737</v>
      </c>
      <c r="I2372" s="116">
        <v>1</v>
      </c>
      <c r="J2372" s="111" t="s">
        <v>157</v>
      </c>
      <c r="K2372" s="108" t="s">
        <v>18738</v>
      </c>
      <c r="L2372" s="110">
        <v>3</v>
      </c>
      <c r="M2372" s="113"/>
      <c r="N2372" s="108" t="s">
        <v>18736</v>
      </c>
      <c r="O2372" s="110">
        <v>3</v>
      </c>
      <c r="P2372" s="113"/>
      <c r="Q2372" s="108" t="s">
        <v>18739</v>
      </c>
      <c r="R2372" s="110">
        <v>3</v>
      </c>
      <c r="S2372" s="111" t="s">
        <v>40</v>
      </c>
      <c r="T2372" s="108" t="s">
        <v>18740</v>
      </c>
      <c r="U2372" s="117">
        <v>2</v>
      </c>
      <c r="V2372" s="111" t="s">
        <v>40</v>
      </c>
      <c r="W2372" s="108" t="s">
        <v>47</v>
      </c>
      <c r="X2372" s="114"/>
      <c r="Y2372" s="113"/>
      <c r="Z2372" s="108" t="s">
        <v>47</v>
      </c>
      <c r="AA2372" s="114"/>
      <c r="AB2372" s="113"/>
      <c r="AC2372" s="105" t="s">
        <v>5356</v>
      </c>
      <c r="AD2372" s="115" t="s">
        <v>101</v>
      </c>
    </row>
    <row r="2373" spans="1:30" x14ac:dyDescent="0.2">
      <c r="A2373" s="104" t="s">
        <v>5357</v>
      </c>
      <c r="B2373" s="105" t="s">
        <v>5234</v>
      </c>
      <c r="C2373" s="105" t="s">
        <v>118</v>
      </c>
      <c r="D2373" s="106" t="s">
        <v>125</v>
      </c>
      <c r="E2373" s="107" t="s">
        <v>146</v>
      </c>
      <c r="F2373" s="108" t="s">
        <v>18741</v>
      </c>
      <c r="G2373" s="119">
        <v>1</v>
      </c>
      <c r="H2373" s="108" t="s">
        <v>18742</v>
      </c>
      <c r="I2373" s="117">
        <v>2</v>
      </c>
      <c r="J2373" s="113"/>
      <c r="K2373" s="108" t="s">
        <v>5358</v>
      </c>
      <c r="L2373" s="117">
        <v>2</v>
      </c>
      <c r="M2373" s="113"/>
      <c r="N2373" s="108" t="s">
        <v>18741</v>
      </c>
      <c r="O2373" s="116">
        <v>1</v>
      </c>
      <c r="P2373" s="113"/>
      <c r="Q2373" s="108" t="s">
        <v>18743</v>
      </c>
      <c r="R2373" s="116">
        <v>1</v>
      </c>
      <c r="S2373" s="113"/>
      <c r="T2373" s="108" t="s">
        <v>11215</v>
      </c>
      <c r="U2373" s="110">
        <v>3</v>
      </c>
      <c r="V2373" s="113"/>
      <c r="W2373" s="108" t="s">
        <v>18744</v>
      </c>
      <c r="X2373" s="117">
        <v>2</v>
      </c>
      <c r="Y2373" s="113"/>
      <c r="Z2373" s="108" t="s">
        <v>18745</v>
      </c>
      <c r="AA2373" s="116">
        <v>1</v>
      </c>
      <c r="AB2373" s="113"/>
      <c r="AC2373" s="105" t="s">
        <v>5359</v>
      </c>
      <c r="AD2373" s="115" t="s">
        <v>101</v>
      </c>
    </row>
    <row r="2374" spans="1:30" x14ac:dyDescent="0.2">
      <c r="A2374" s="104" t="s">
        <v>5360</v>
      </c>
      <c r="B2374" s="105" t="s">
        <v>5234</v>
      </c>
      <c r="C2374" s="105" t="s">
        <v>118</v>
      </c>
      <c r="D2374" s="106" t="s">
        <v>125</v>
      </c>
      <c r="E2374" s="107" t="s">
        <v>146</v>
      </c>
      <c r="F2374" s="108" t="s">
        <v>17774</v>
      </c>
      <c r="G2374" s="120">
        <v>2</v>
      </c>
      <c r="H2374" s="108" t="s">
        <v>18746</v>
      </c>
      <c r="I2374" s="110">
        <v>3</v>
      </c>
      <c r="J2374" s="113"/>
      <c r="K2374" s="108" t="s">
        <v>5361</v>
      </c>
      <c r="L2374" s="117">
        <v>2</v>
      </c>
      <c r="M2374" s="111" t="s">
        <v>46</v>
      </c>
      <c r="N2374" s="108" t="s">
        <v>17774</v>
      </c>
      <c r="O2374" s="117">
        <v>2</v>
      </c>
      <c r="P2374" s="113"/>
      <c r="Q2374" s="108" t="s">
        <v>18747</v>
      </c>
      <c r="R2374" s="116">
        <v>1</v>
      </c>
      <c r="S2374" s="113"/>
      <c r="T2374" s="108" t="s">
        <v>18748</v>
      </c>
      <c r="U2374" s="112">
        <v>4</v>
      </c>
      <c r="V2374" s="111" t="s">
        <v>46</v>
      </c>
      <c r="W2374" s="108" t="s">
        <v>5362</v>
      </c>
      <c r="X2374" s="117">
        <v>2</v>
      </c>
      <c r="Y2374" s="113"/>
      <c r="Z2374" s="108" t="s">
        <v>11220</v>
      </c>
      <c r="AA2374" s="117">
        <v>2</v>
      </c>
      <c r="AB2374" s="113"/>
      <c r="AC2374" s="105" t="s">
        <v>5363</v>
      </c>
      <c r="AD2374" s="115" t="s">
        <v>101</v>
      </c>
    </row>
    <row r="2375" spans="1:30" x14ac:dyDescent="0.2">
      <c r="A2375" s="104" t="s">
        <v>5364</v>
      </c>
      <c r="B2375" s="105" t="s">
        <v>5234</v>
      </c>
      <c r="C2375" s="105" t="s">
        <v>118</v>
      </c>
      <c r="D2375" s="106" t="s">
        <v>125</v>
      </c>
      <c r="E2375" s="107" t="s">
        <v>146</v>
      </c>
      <c r="F2375" s="108" t="s">
        <v>18749</v>
      </c>
      <c r="G2375" s="120">
        <v>2</v>
      </c>
      <c r="H2375" s="108" t="s">
        <v>18750</v>
      </c>
      <c r="I2375" s="117">
        <v>2</v>
      </c>
      <c r="J2375" s="111" t="s">
        <v>53</v>
      </c>
      <c r="K2375" s="108" t="s">
        <v>18751</v>
      </c>
      <c r="L2375" s="117">
        <v>2</v>
      </c>
      <c r="M2375" s="113"/>
      <c r="N2375" s="108" t="s">
        <v>18749</v>
      </c>
      <c r="O2375" s="117">
        <v>2</v>
      </c>
      <c r="P2375" s="113"/>
      <c r="Q2375" s="108" t="s">
        <v>18752</v>
      </c>
      <c r="R2375" s="116">
        <v>1</v>
      </c>
      <c r="S2375" s="113"/>
      <c r="T2375" s="108" t="s">
        <v>18753</v>
      </c>
      <c r="U2375" s="110">
        <v>3</v>
      </c>
      <c r="V2375" s="113"/>
      <c r="W2375" s="108" t="s">
        <v>47</v>
      </c>
      <c r="X2375" s="114"/>
      <c r="Y2375" s="113"/>
      <c r="Z2375" s="108" t="s">
        <v>47</v>
      </c>
      <c r="AA2375" s="114"/>
      <c r="AB2375" s="113"/>
      <c r="AC2375" s="105" t="s">
        <v>5365</v>
      </c>
      <c r="AD2375" s="115" t="s">
        <v>101</v>
      </c>
    </row>
    <row r="2376" spans="1:30" x14ac:dyDescent="0.2">
      <c r="A2376" s="104" t="s">
        <v>5366</v>
      </c>
      <c r="B2376" s="105" t="s">
        <v>5234</v>
      </c>
      <c r="C2376" s="105" t="s">
        <v>118</v>
      </c>
      <c r="D2376" s="106"/>
      <c r="E2376" s="107" t="s">
        <v>146</v>
      </c>
      <c r="F2376" s="108" t="s">
        <v>18754</v>
      </c>
      <c r="G2376" s="120">
        <v>2</v>
      </c>
      <c r="H2376" s="108" t="s">
        <v>5361</v>
      </c>
      <c r="I2376" s="117">
        <v>2</v>
      </c>
      <c r="J2376" s="111" t="s">
        <v>53</v>
      </c>
      <c r="K2376" s="108" t="s">
        <v>18755</v>
      </c>
      <c r="L2376" s="117">
        <v>2</v>
      </c>
      <c r="M2376" s="113"/>
      <c r="N2376" s="108" t="s">
        <v>18754</v>
      </c>
      <c r="O2376" s="117">
        <v>2</v>
      </c>
      <c r="P2376" s="111" t="s">
        <v>46</v>
      </c>
      <c r="Q2376" s="108" t="s">
        <v>10088</v>
      </c>
      <c r="R2376" s="116">
        <v>1</v>
      </c>
      <c r="S2376" s="113"/>
      <c r="T2376" s="108" t="s">
        <v>47</v>
      </c>
      <c r="U2376" s="114"/>
      <c r="V2376" s="113"/>
      <c r="W2376" s="108" t="s">
        <v>47</v>
      </c>
      <c r="X2376" s="114"/>
      <c r="Y2376" s="113"/>
      <c r="Z2376" s="108" t="s">
        <v>47</v>
      </c>
      <c r="AA2376" s="114"/>
      <c r="AB2376" s="113"/>
      <c r="AC2376" s="105" t="s">
        <v>5367</v>
      </c>
      <c r="AD2376" s="115" t="s">
        <v>101</v>
      </c>
    </row>
    <row r="2377" spans="1:30" x14ac:dyDescent="0.2">
      <c r="A2377" s="104" t="s">
        <v>5368</v>
      </c>
      <c r="B2377" s="105" t="s">
        <v>5234</v>
      </c>
      <c r="C2377" s="105" t="s">
        <v>118</v>
      </c>
      <c r="D2377" s="106"/>
      <c r="E2377" s="107" t="s">
        <v>146</v>
      </c>
      <c r="F2377" s="108" t="s">
        <v>18756</v>
      </c>
      <c r="G2377" s="120">
        <v>2</v>
      </c>
      <c r="H2377" s="108" t="s">
        <v>18757</v>
      </c>
      <c r="I2377" s="117">
        <v>2</v>
      </c>
      <c r="J2377" s="111" t="s">
        <v>53</v>
      </c>
      <c r="K2377" s="108" t="s">
        <v>18758</v>
      </c>
      <c r="L2377" s="117">
        <v>2</v>
      </c>
      <c r="M2377" s="113"/>
      <c r="N2377" s="108" t="s">
        <v>18756</v>
      </c>
      <c r="O2377" s="117">
        <v>2</v>
      </c>
      <c r="P2377" s="113"/>
      <c r="Q2377" s="108" t="s">
        <v>5369</v>
      </c>
      <c r="R2377" s="116">
        <v>1</v>
      </c>
      <c r="S2377" s="113"/>
      <c r="T2377" s="108" t="s">
        <v>47</v>
      </c>
      <c r="U2377" s="114"/>
      <c r="V2377" s="113"/>
      <c r="W2377" s="108" t="s">
        <v>47</v>
      </c>
      <c r="X2377" s="114"/>
      <c r="Y2377" s="113"/>
      <c r="Z2377" s="108" t="s">
        <v>47</v>
      </c>
      <c r="AA2377" s="114"/>
      <c r="AB2377" s="113"/>
      <c r="AC2377" s="105" t="s">
        <v>5370</v>
      </c>
      <c r="AD2377" s="115" t="s">
        <v>101</v>
      </c>
    </row>
    <row r="2378" spans="1:30" x14ac:dyDescent="0.2">
      <c r="A2378" s="104" t="s">
        <v>5371</v>
      </c>
      <c r="B2378" s="105" t="s">
        <v>5234</v>
      </c>
      <c r="C2378" s="105" t="s">
        <v>118</v>
      </c>
      <c r="D2378" s="106" t="s">
        <v>125</v>
      </c>
      <c r="E2378" s="107" t="s">
        <v>146</v>
      </c>
      <c r="F2378" s="108" t="s">
        <v>14875</v>
      </c>
      <c r="G2378" s="119">
        <v>1</v>
      </c>
      <c r="H2378" s="108" t="s">
        <v>7748</v>
      </c>
      <c r="I2378" s="117">
        <v>2</v>
      </c>
      <c r="J2378" s="113"/>
      <c r="K2378" s="108" t="s">
        <v>18759</v>
      </c>
      <c r="L2378" s="117">
        <v>2</v>
      </c>
      <c r="M2378" s="113"/>
      <c r="N2378" s="108" t="s">
        <v>14875</v>
      </c>
      <c r="O2378" s="116">
        <v>1</v>
      </c>
      <c r="P2378" s="113"/>
      <c r="Q2378" s="108" t="s">
        <v>5372</v>
      </c>
      <c r="R2378" s="116">
        <v>1</v>
      </c>
      <c r="S2378" s="113"/>
      <c r="T2378" s="108" t="s">
        <v>18760</v>
      </c>
      <c r="U2378" s="110">
        <v>3</v>
      </c>
      <c r="V2378" s="113"/>
      <c r="W2378" s="108" t="s">
        <v>18761</v>
      </c>
      <c r="X2378" s="117">
        <v>2</v>
      </c>
      <c r="Y2378" s="113"/>
      <c r="Z2378" s="108" t="s">
        <v>47</v>
      </c>
      <c r="AA2378" s="114"/>
      <c r="AB2378" s="113"/>
      <c r="AC2378" s="105" t="s">
        <v>5373</v>
      </c>
      <c r="AD2378" s="115" t="s">
        <v>101</v>
      </c>
    </row>
    <row r="2379" spans="1:30" x14ac:dyDescent="0.2">
      <c r="A2379" s="104" t="s">
        <v>5374</v>
      </c>
      <c r="B2379" s="105" t="s">
        <v>5234</v>
      </c>
      <c r="C2379" s="105" t="s">
        <v>118</v>
      </c>
      <c r="D2379" s="106" t="s">
        <v>105</v>
      </c>
      <c r="E2379" s="107" t="s">
        <v>146</v>
      </c>
      <c r="F2379" s="108" t="s">
        <v>18762</v>
      </c>
      <c r="G2379" s="120">
        <v>2</v>
      </c>
      <c r="H2379" s="108" t="s">
        <v>18763</v>
      </c>
      <c r="I2379" s="117">
        <v>2</v>
      </c>
      <c r="J2379" s="111" t="s">
        <v>53</v>
      </c>
      <c r="K2379" s="108" t="s">
        <v>18764</v>
      </c>
      <c r="L2379" s="117">
        <v>2</v>
      </c>
      <c r="M2379" s="113"/>
      <c r="N2379" s="108" t="s">
        <v>18762</v>
      </c>
      <c r="O2379" s="117">
        <v>2</v>
      </c>
      <c r="P2379" s="111" t="s">
        <v>40</v>
      </c>
      <c r="Q2379" s="108" t="s">
        <v>12205</v>
      </c>
      <c r="R2379" s="116">
        <v>1</v>
      </c>
      <c r="S2379" s="113"/>
      <c r="T2379" s="108" t="s">
        <v>18765</v>
      </c>
      <c r="U2379" s="112">
        <v>4</v>
      </c>
      <c r="V2379" s="113"/>
      <c r="W2379" s="108" t="s">
        <v>47</v>
      </c>
      <c r="X2379" s="114"/>
      <c r="Y2379" s="113"/>
      <c r="Z2379" s="108" t="s">
        <v>47</v>
      </c>
      <c r="AA2379" s="114"/>
      <c r="AB2379" s="113"/>
      <c r="AC2379" s="105" t="s">
        <v>5375</v>
      </c>
      <c r="AD2379" s="115" t="s">
        <v>101</v>
      </c>
    </row>
    <row r="2380" spans="1:30" x14ac:dyDescent="0.2">
      <c r="A2380" s="104" t="s">
        <v>5376</v>
      </c>
      <c r="B2380" s="105" t="s">
        <v>5234</v>
      </c>
      <c r="C2380" s="105" t="s">
        <v>118</v>
      </c>
      <c r="D2380" s="106" t="s">
        <v>125</v>
      </c>
      <c r="E2380" s="107" t="s">
        <v>146</v>
      </c>
      <c r="F2380" s="108" t="s">
        <v>14880</v>
      </c>
      <c r="G2380" s="119">
        <v>1</v>
      </c>
      <c r="H2380" s="108" t="s">
        <v>5377</v>
      </c>
      <c r="I2380" s="117">
        <v>2</v>
      </c>
      <c r="J2380" s="113"/>
      <c r="K2380" s="108" t="s">
        <v>18766</v>
      </c>
      <c r="L2380" s="117">
        <v>2</v>
      </c>
      <c r="M2380" s="113"/>
      <c r="N2380" s="108" t="s">
        <v>14880</v>
      </c>
      <c r="O2380" s="116">
        <v>1</v>
      </c>
      <c r="P2380" s="113"/>
      <c r="Q2380" s="108" t="s">
        <v>18767</v>
      </c>
      <c r="R2380" s="116">
        <v>1</v>
      </c>
      <c r="S2380" s="113"/>
      <c r="T2380" s="108" t="s">
        <v>18768</v>
      </c>
      <c r="U2380" s="110">
        <v>3</v>
      </c>
      <c r="V2380" s="113"/>
      <c r="W2380" s="108" t="s">
        <v>15605</v>
      </c>
      <c r="X2380" s="117">
        <v>2</v>
      </c>
      <c r="Y2380" s="113"/>
      <c r="Z2380" s="108" t="s">
        <v>47</v>
      </c>
      <c r="AA2380" s="114"/>
      <c r="AB2380" s="113"/>
      <c r="AC2380" s="105" t="s">
        <v>5378</v>
      </c>
      <c r="AD2380" s="115" t="s">
        <v>101</v>
      </c>
    </row>
    <row r="2381" spans="1:30" x14ac:dyDescent="0.2">
      <c r="A2381" s="104" t="s">
        <v>5379</v>
      </c>
      <c r="B2381" s="105" t="s">
        <v>5234</v>
      </c>
      <c r="C2381" s="105" t="s">
        <v>118</v>
      </c>
      <c r="D2381" s="106" t="s">
        <v>105</v>
      </c>
      <c r="E2381" s="107" t="s">
        <v>146</v>
      </c>
      <c r="F2381" s="108" t="s">
        <v>18769</v>
      </c>
      <c r="G2381" s="120">
        <v>2</v>
      </c>
      <c r="H2381" s="108" t="s">
        <v>5380</v>
      </c>
      <c r="I2381" s="110">
        <v>3</v>
      </c>
      <c r="J2381" s="113"/>
      <c r="K2381" s="108" t="s">
        <v>18763</v>
      </c>
      <c r="L2381" s="117">
        <v>2</v>
      </c>
      <c r="M2381" s="113"/>
      <c r="N2381" s="108" t="s">
        <v>18769</v>
      </c>
      <c r="O2381" s="117">
        <v>2</v>
      </c>
      <c r="P2381" s="113"/>
      <c r="Q2381" s="108" t="s">
        <v>18770</v>
      </c>
      <c r="R2381" s="116">
        <v>1</v>
      </c>
      <c r="S2381" s="113"/>
      <c r="T2381" s="108" t="s">
        <v>18771</v>
      </c>
      <c r="U2381" s="112">
        <v>4</v>
      </c>
      <c r="V2381" s="113"/>
      <c r="W2381" s="108" t="s">
        <v>47</v>
      </c>
      <c r="X2381" s="114"/>
      <c r="Y2381" s="113"/>
      <c r="Z2381" s="108" t="s">
        <v>47</v>
      </c>
      <c r="AA2381" s="114"/>
      <c r="AB2381" s="113"/>
      <c r="AC2381" s="105" t="s">
        <v>5381</v>
      </c>
      <c r="AD2381" s="115" t="s">
        <v>101</v>
      </c>
    </row>
    <row r="2382" spans="1:30" x14ac:dyDescent="0.2">
      <c r="A2382" s="104" t="s">
        <v>5382</v>
      </c>
      <c r="B2382" s="105" t="s">
        <v>5234</v>
      </c>
      <c r="C2382" s="105" t="s">
        <v>118</v>
      </c>
      <c r="D2382" s="106" t="s">
        <v>125</v>
      </c>
      <c r="E2382" s="107" t="s">
        <v>146</v>
      </c>
      <c r="F2382" s="108" t="s">
        <v>18772</v>
      </c>
      <c r="G2382" s="120">
        <v>2</v>
      </c>
      <c r="H2382" s="108" t="s">
        <v>14439</v>
      </c>
      <c r="I2382" s="110">
        <v>3</v>
      </c>
      <c r="J2382" s="113"/>
      <c r="K2382" s="108" t="s">
        <v>18742</v>
      </c>
      <c r="L2382" s="117">
        <v>2</v>
      </c>
      <c r="M2382" s="113"/>
      <c r="N2382" s="108" t="s">
        <v>18772</v>
      </c>
      <c r="O2382" s="117">
        <v>2</v>
      </c>
      <c r="P2382" s="113"/>
      <c r="Q2382" s="108" t="s">
        <v>18773</v>
      </c>
      <c r="R2382" s="116">
        <v>1</v>
      </c>
      <c r="S2382" s="113"/>
      <c r="T2382" s="108" t="s">
        <v>18774</v>
      </c>
      <c r="U2382" s="112">
        <v>4</v>
      </c>
      <c r="V2382" s="113"/>
      <c r="W2382" s="108" t="s">
        <v>18775</v>
      </c>
      <c r="X2382" s="110">
        <v>3</v>
      </c>
      <c r="Y2382" s="113"/>
      <c r="Z2382" s="108" t="s">
        <v>47</v>
      </c>
      <c r="AA2382" s="114"/>
      <c r="AB2382" s="113"/>
      <c r="AC2382" s="105" t="s">
        <v>5383</v>
      </c>
      <c r="AD2382" s="115" t="s">
        <v>101</v>
      </c>
    </row>
    <row r="2383" spans="1:30" x14ac:dyDescent="0.2">
      <c r="A2383" s="104" t="s">
        <v>5384</v>
      </c>
      <c r="B2383" s="105" t="s">
        <v>5234</v>
      </c>
      <c r="C2383" s="105" t="s">
        <v>118</v>
      </c>
      <c r="D2383" s="106" t="s">
        <v>125</v>
      </c>
      <c r="E2383" s="107" t="s">
        <v>146</v>
      </c>
      <c r="F2383" s="108" t="s">
        <v>18776</v>
      </c>
      <c r="G2383" s="120">
        <v>2</v>
      </c>
      <c r="H2383" s="108" t="s">
        <v>18777</v>
      </c>
      <c r="I2383" s="110">
        <v>3</v>
      </c>
      <c r="J2383" s="113"/>
      <c r="K2383" s="108" t="s">
        <v>18757</v>
      </c>
      <c r="L2383" s="117">
        <v>2</v>
      </c>
      <c r="M2383" s="113"/>
      <c r="N2383" s="108" t="s">
        <v>18776</v>
      </c>
      <c r="O2383" s="117">
        <v>2</v>
      </c>
      <c r="P2383" s="113"/>
      <c r="Q2383" s="108" t="s">
        <v>18778</v>
      </c>
      <c r="R2383" s="116">
        <v>1</v>
      </c>
      <c r="S2383" s="113"/>
      <c r="T2383" s="108" t="s">
        <v>18779</v>
      </c>
      <c r="U2383" s="112">
        <v>4</v>
      </c>
      <c r="V2383" s="113"/>
      <c r="W2383" s="108" t="s">
        <v>18780</v>
      </c>
      <c r="X2383" s="117">
        <v>2</v>
      </c>
      <c r="Y2383" s="111" t="s">
        <v>40</v>
      </c>
      <c r="Z2383" s="108" t="s">
        <v>47</v>
      </c>
      <c r="AA2383" s="114"/>
      <c r="AB2383" s="113"/>
      <c r="AC2383" s="105" t="s">
        <v>5385</v>
      </c>
      <c r="AD2383" s="115" t="s">
        <v>101</v>
      </c>
    </row>
    <row r="2384" spans="1:30" x14ac:dyDescent="0.2">
      <c r="A2384" s="104" t="s">
        <v>5386</v>
      </c>
      <c r="B2384" s="105" t="s">
        <v>5234</v>
      </c>
      <c r="C2384" s="105" t="s">
        <v>118</v>
      </c>
      <c r="D2384" s="106" t="s">
        <v>125</v>
      </c>
      <c r="E2384" s="107" t="s">
        <v>146</v>
      </c>
      <c r="F2384" s="108" t="s">
        <v>18781</v>
      </c>
      <c r="G2384" s="120">
        <v>2</v>
      </c>
      <c r="H2384" s="108" t="s">
        <v>15418</v>
      </c>
      <c r="I2384" s="117">
        <v>2</v>
      </c>
      <c r="J2384" s="113"/>
      <c r="K2384" s="108" t="s">
        <v>18782</v>
      </c>
      <c r="L2384" s="117">
        <v>2</v>
      </c>
      <c r="M2384" s="113"/>
      <c r="N2384" s="108" t="s">
        <v>18781</v>
      </c>
      <c r="O2384" s="117">
        <v>2</v>
      </c>
      <c r="P2384" s="111" t="s">
        <v>46</v>
      </c>
      <c r="Q2384" s="108" t="s">
        <v>12232</v>
      </c>
      <c r="R2384" s="116">
        <v>1</v>
      </c>
      <c r="S2384" s="113"/>
      <c r="T2384" s="108" t="s">
        <v>1927</v>
      </c>
      <c r="U2384" s="110">
        <v>3</v>
      </c>
      <c r="V2384" s="113"/>
      <c r="W2384" s="108" t="s">
        <v>5387</v>
      </c>
      <c r="X2384" s="117">
        <v>2</v>
      </c>
      <c r="Y2384" s="113"/>
      <c r="Z2384" s="108" t="s">
        <v>47</v>
      </c>
      <c r="AA2384" s="114"/>
      <c r="AB2384" s="113"/>
      <c r="AC2384" s="105" t="s">
        <v>5388</v>
      </c>
      <c r="AD2384" s="115" t="s">
        <v>101</v>
      </c>
    </row>
    <row r="2385" spans="1:30" x14ac:dyDescent="0.2">
      <c r="A2385" s="104" t="s">
        <v>5389</v>
      </c>
      <c r="B2385" s="105" t="s">
        <v>5234</v>
      </c>
      <c r="C2385" s="105" t="s">
        <v>118</v>
      </c>
      <c r="D2385" s="106" t="s">
        <v>125</v>
      </c>
      <c r="E2385" s="107" t="s">
        <v>146</v>
      </c>
      <c r="F2385" s="108" t="s">
        <v>18783</v>
      </c>
      <c r="G2385" s="120">
        <v>2</v>
      </c>
      <c r="H2385" s="108" t="s">
        <v>18784</v>
      </c>
      <c r="I2385" s="110">
        <v>3</v>
      </c>
      <c r="J2385" s="113"/>
      <c r="K2385" s="108" t="s">
        <v>18750</v>
      </c>
      <c r="L2385" s="117">
        <v>2</v>
      </c>
      <c r="M2385" s="113"/>
      <c r="N2385" s="108" t="s">
        <v>18783</v>
      </c>
      <c r="O2385" s="117">
        <v>2</v>
      </c>
      <c r="P2385" s="113"/>
      <c r="Q2385" s="108" t="s">
        <v>5390</v>
      </c>
      <c r="R2385" s="116">
        <v>1</v>
      </c>
      <c r="S2385" s="113"/>
      <c r="T2385" s="108" t="s">
        <v>18785</v>
      </c>
      <c r="U2385" s="112">
        <v>4</v>
      </c>
      <c r="V2385" s="113"/>
      <c r="W2385" s="108" t="s">
        <v>18786</v>
      </c>
      <c r="X2385" s="110">
        <v>3</v>
      </c>
      <c r="Y2385" s="113"/>
      <c r="Z2385" s="108" t="s">
        <v>47</v>
      </c>
      <c r="AA2385" s="114"/>
      <c r="AB2385" s="113"/>
      <c r="AC2385" s="105" t="s">
        <v>5391</v>
      </c>
      <c r="AD2385" s="115" t="s">
        <v>101</v>
      </c>
    </row>
    <row r="2386" spans="1:30" x14ac:dyDescent="0.2">
      <c r="A2386" s="104" t="s">
        <v>5392</v>
      </c>
      <c r="B2386" s="105" t="s">
        <v>97</v>
      </c>
      <c r="C2386" s="105" t="s">
        <v>4788</v>
      </c>
      <c r="D2386" s="106"/>
      <c r="E2386" s="107"/>
      <c r="F2386" s="108" t="s">
        <v>18787</v>
      </c>
      <c r="G2386" s="109">
        <v>4</v>
      </c>
      <c r="H2386" s="108" t="s">
        <v>5393</v>
      </c>
      <c r="I2386" s="116">
        <v>1</v>
      </c>
      <c r="J2386" s="111" t="s">
        <v>40</v>
      </c>
      <c r="K2386" s="108" t="s">
        <v>5394</v>
      </c>
      <c r="L2386" s="117">
        <v>2</v>
      </c>
      <c r="M2386" s="111" t="s">
        <v>40</v>
      </c>
      <c r="N2386" s="108" t="s">
        <v>18787</v>
      </c>
      <c r="O2386" s="112">
        <v>4</v>
      </c>
      <c r="P2386" s="113"/>
      <c r="Q2386" s="108" t="s">
        <v>18788</v>
      </c>
      <c r="R2386" s="112">
        <v>4</v>
      </c>
      <c r="S2386" s="113"/>
      <c r="T2386" s="108" t="s">
        <v>47</v>
      </c>
      <c r="U2386" s="114"/>
      <c r="V2386" s="113"/>
      <c r="W2386" s="108" t="s">
        <v>47</v>
      </c>
      <c r="X2386" s="114"/>
      <c r="Y2386" s="113"/>
      <c r="Z2386" s="108" t="s">
        <v>47</v>
      </c>
      <c r="AA2386" s="114"/>
      <c r="AB2386" s="113"/>
      <c r="AC2386" s="105" t="s">
        <v>5395</v>
      </c>
      <c r="AD2386" s="115" t="s">
        <v>101</v>
      </c>
    </row>
    <row r="2387" spans="1:30" x14ac:dyDescent="0.2">
      <c r="A2387" s="104" t="s">
        <v>5396</v>
      </c>
      <c r="B2387" s="105" t="s">
        <v>97</v>
      </c>
      <c r="C2387" s="105" t="s">
        <v>4788</v>
      </c>
      <c r="D2387" s="106"/>
      <c r="E2387" s="107"/>
      <c r="F2387" s="108" t="s">
        <v>5397</v>
      </c>
      <c r="G2387" s="109">
        <v>4</v>
      </c>
      <c r="H2387" s="108" t="s">
        <v>18789</v>
      </c>
      <c r="I2387" s="117">
        <v>2</v>
      </c>
      <c r="J2387" s="113"/>
      <c r="K2387" s="108" t="s">
        <v>18790</v>
      </c>
      <c r="L2387" s="110">
        <v>3</v>
      </c>
      <c r="M2387" s="113"/>
      <c r="N2387" s="108" t="s">
        <v>5397</v>
      </c>
      <c r="O2387" s="112">
        <v>4</v>
      </c>
      <c r="P2387" s="113"/>
      <c r="Q2387" s="108" t="s">
        <v>47</v>
      </c>
      <c r="R2387" s="114"/>
      <c r="S2387" s="113"/>
      <c r="T2387" s="108" t="s">
        <v>47</v>
      </c>
      <c r="U2387" s="114"/>
      <c r="V2387" s="113"/>
      <c r="W2387" s="108" t="s">
        <v>47</v>
      </c>
      <c r="X2387" s="114"/>
      <c r="Y2387" s="113"/>
      <c r="Z2387" s="108" t="s">
        <v>47</v>
      </c>
      <c r="AA2387" s="114"/>
      <c r="AB2387" s="113"/>
      <c r="AC2387" s="105" t="s">
        <v>5398</v>
      </c>
      <c r="AD2387" s="115" t="s">
        <v>101</v>
      </c>
    </row>
    <row r="2388" spans="1:30" x14ac:dyDescent="0.2">
      <c r="A2388" s="104" t="s">
        <v>5399</v>
      </c>
      <c r="B2388" s="105" t="s">
        <v>97</v>
      </c>
      <c r="C2388" s="105" t="s">
        <v>4788</v>
      </c>
      <c r="D2388" s="106"/>
      <c r="E2388" s="107"/>
      <c r="F2388" s="108" t="s">
        <v>5400</v>
      </c>
      <c r="G2388" s="109">
        <v>4</v>
      </c>
      <c r="H2388" s="108" t="s">
        <v>5401</v>
      </c>
      <c r="I2388" s="110">
        <v>3</v>
      </c>
      <c r="J2388" s="113"/>
      <c r="K2388" s="108" t="s">
        <v>18791</v>
      </c>
      <c r="L2388" s="112">
        <v>4</v>
      </c>
      <c r="M2388" s="113"/>
      <c r="N2388" s="108" t="s">
        <v>5400</v>
      </c>
      <c r="O2388" s="112">
        <v>4</v>
      </c>
      <c r="P2388" s="113"/>
      <c r="Q2388" s="108" t="s">
        <v>47</v>
      </c>
      <c r="R2388" s="114"/>
      <c r="S2388" s="113"/>
      <c r="T2388" s="108" t="s">
        <v>47</v>
      </c>
      <c r="U2388" s="114"/>
      <c r="V2388" s="113"/>
      <c r="W2388" s="108" t="s">
        <v>47</v>
      </c>
      <c r="X2388" s="114"/>
      <c r="Y2388" s="113"/>
      <c r="Z2388" s="108" t="s">
        <v>47</v>
      </c>
      <c r="AA2388" s="114"/>
      <c r="AB2388" s="113"/>
      <c r="AC2388" s="105" t="s">
        <v>5402</v>
      </c>
      <c r="AD2388" s="115" t="s">
        <v>101</v>
      </c>
    </row>
    <row r="2389" spans="1:30" x14ac:dyDescent="0.2">
      <c r="A2389" s="104" t="s">
        <v>5403</v>
      </c>
      <c r="B2389" s="105" t="s">
        <v>97</v>
      </c>
      <c r="C2389" s="105" t="s">
        <v>5404</v>
      </c>
      <c r="D2389" s="106"/>
      <c r="E2389" s="107"/>
      <c r="F2389" s="108" t="s">
        <v>47</v>
      </c>
      <c r="G2389" s="113"/>
      <c r="H2389" s="108" t="s">
        <v>18792</v>
      </c>
      <c r="I2389" s="117">
        <v>2</v>
      </c>
      <c r="J2389" s="111" t="s">
        <v>40</v>
      </c>
      <c r="K2389" s="108" t="s">
        <v>18793</v>
      </c>
      <c r="L2389" s="110">
        <v>3</v>
      </c>
      <c r="M2389" s="113"/>
      <c r="N2389" s="108" t="s">
        <v>47</v>
      </c>
      <c r="O2389" s="114"/>
      <c r="P2389" s="113"/>
      <c r="Q2389" s="108" t="s">
        <v>47</v>
      </c>
      <c r="R2389" s="114"/>
      <c r="S2389" s="113"/>
      <c r="T2389" s="108" t="s">
        <v>47</v>
      </c>
      <c r="U2389" s="114"/>
      <c r="V2389" s="113"/>
      <c r="W2389" s="108" t="s">
        <v>47</v>
      </c>
      <c r="X2389" s="114"/>
      <c r="Y2389" s="113"/>
      <c r="Z2389" s="108" t="s">
        <v>47</v>
      </c>
      <c r="AA2389" s="114"/>
      <c r="AB2389" s="113"/>
      <c r="AC2389" s="105" t="s">
        <v>5405</v>
      </c>
      <c r="AD2389" s="115" t="s">
        <v>101</v>
      </c>
    </row>
    <row r="2390" spans="1:30" x14ac:dyDescent="0.2">
      <c r="A2390" s="104" t="s">
        <v>5406</v>
      </c>
      <c r="B2390" s="105" t="s">
        <v>97</v>
      </c>
      <c r="C2390" s="105" t="s">
        <v>5404</v>
      </c>
      <c r="D2390" s="106"/>
      <c r="E2390" s="107"/>
      <c r="F2390" s="108" t="s">
        <v>5407</v>
      </c>
      <c r="G2390" s="109">
        <v>4</v>
      </c>
      <c r="H2390" s="108" t="s">
        <v>18794</v>
      </c>
      <c r="I2390" s="116">
        <v>1</v>
      </c>
      <c r="J2390" s="111" t="s">
        <v>53</v>
      </c>
      <c r="K2390" s="108" t="s">
        <v>18795</v>
      </c>
      <c r="L2390" s="110">
        <v>3</v>
      </c>
      <c r="M2390" s="111" t="s">
        <v>40</v>
      </c>
      <c r="N2390" s="108" t="s">
        <v>5407</v>
      </c>
      <c r="O2390" s="112">
        <v>4</v>
      </c>
      <c r="P2390" s="113"/>
      <c r="Q2390" s="108" t="s">
        <v>5408</v>
      </c>
      <c r="R2390" s="112">
        <v>4</v>
      </c>
      <c r="S2390" s="113"/>
      <c r="T2390" s="108" t="s">
        <v>47</v>
      </c>
      <c r="U2390" s="114"/>
      <c r="V2390" s="113"/>
      <c r="W2390" s="108" t="s">
        <v>47</v>
      </c>
      <c r="X2390" s="114"/>
      <c r="Y2390" s="113"/>
      <c r="Z2390" s="108" t="s">
        <v>47</v>
      </c>
      <c r="AA2390" s="114"/>
      <c r="AB2390" s="113"/>
      <c r="AC2390" s="105" t="s">
        <v>5409</v>
      </c>
      <c r="AD2390" s="115" t="s">
        <v>101</v>
      </c>
    </row>
    <row r="2391" spans="1:30" x14ac:dyDescent="0.2">
      <c r="A2391" s="104" t="s">
        <v>5410</v>
      </c>
      <c r="B2391" s="105" t="s">
        <v>97</v>
      </c>
      <c r="C2391" s="105" t="s">
        <v>5404</v>
      </c>
      <c r="D2391" s="106"/>
      <c r="E2391" s="107"/>
      <c r="F2391" s="108" t="s">
        <v>18796</v>
      </c>
      <c r="G2391" s="109">
        <v>4</v>
      </c>
      <c r="H2391" s="108" t="s">
        <v>18797</v>
      </c>
      <c r="I2391" s="117">
        <v>2</v>
      </c>
      <c r="J2391" s="111" t="s">
        <v>40</v>
      </c>
      <c r="K2391" s="108" t="s">
        <v>18798</v>
      </c>
      <c r="L2391" s="110">
        <v>3</v>
      </c>
      <c r="M2391" s="111" t="s">
        <v>40</v>
      </c>
      <c r="N2391" s="108" t="s">
        <v>18796</v>
      </c>
      <c r="O2391" s="112">
        <v>4</v>
      </c>
      <c r="P2391" s="113"/>
      <c r="Q2391" s="108" t="s">
        <v>5411</v>
      </c>
      <c r="R2391" s="112">
        <v>4</v>
      </c>
      <c r="S2391" s="113"/>
      <c r="T2391" s="108" t="s">
        <v>47</v>
      </c>
      <c r="U2391" s="114"/>
      <c r="V2391" s="113"/>
      <c r="W2391" s="108" t="s">
        <v>47</v>
      </c>
      <c r="X2391" s="114"/>
      <c r="Y2391" s="113"/>
      <c r="Z2391" s="108" t="s">
        <v>47</v>
      </c>
      <c r="AA2391" s="114"/>
      <c r="AB2391" s="113"/>
      <c r="AC2391" s="105" t="s">
        <v>5412</v>
      </c>
      <c r="AD2391" s="115" t="s">
        <v>101</v>
      </c>
    </row>
    <row r="2392" spans="1:30" x14ac:dyDescent="0.2">
      <c r="A2392" s="104" t="s">
        <v>5413</v>
      </c>
      <c r="B2392" s="105" t="s">
        <v>97</v>
      </c>
      <c r="C2392" s="105" t="s">
        <v>332</v>
      </c>
      <c r="D2392" s="106" t="s">
        <v>125</v>
      </c>
      <c r="E2392" s="107"/>
      <c r="F2392" s="108" t="s">
        <v>18799</v>
      </c>
      <c r="G2392" s="118">
        <v>3</v>
      </c>
      <c r="H2392" s="108" t="s">
        <v>18800</v>
      </c>
      <c r="I2392" s="110">
        <v>3</v>
      </c>
      <c r="J2392" s="113"/>
      <c r="K2392" s="108" t="s">
        <v>18801</v>
      </c>
      <c r="L2392" s="117">
        <v>2</v>
      </c>
      <c r="M2392" s="111" t="s">
        <v>40</v>
      </c>
      <c r="N2392" s="108" t="s">
        <v>18799</v>
      </c>
      <c r="O2392" s="110">
        <v>3</v>
      </c>
      <c r="P2392" s="113"/>
      <c r="Q2392" s="108" t="s">
        <v>18802</v>
      </c>
      <c r="R2392" s="117">
        <v>2</v>
      </c>
      <c r="S2392" s="113"/>
      <c r="T2392" s="108" t="s">
        <v>18803</v>
      </c>
      <c r="U2392" s="110">
        <v>3</v>
      </c>
      <c r="V2392" s="113"/>
      <c r="W2392" s="108" t="s">
        <v>18804</v>
      </c>
      <c r="X2392" s="110">
        <v>3</v>
      </c>
      <c r="Y2392" s="113"/>
      <c r="Z2392" s="108" t="s">
        <v>18805</v>
      </c>
      <c r="AA2392" s="110">
        <v>3</v>
      </c>
      <c r="AB2392" s="113"/>
      <c r="AC2392" s="105" t="s">
        <v>5414</v>
      </c>
      <c r="AD2392" s="115" t="s">
        <v>101</v>
      </c>
    </row>
    <row r="2393" spans="1:30" x14ac:dyDescent="0.2">
      <c r="A2393" s="104" t="s">
        <v>5415</v>
      </c>
      <c r="B2393" s="105" t="s">
        <v>97</v>
      </c>
      <c r="C2393" s="105" t="s">
        <v>332</v>
      </c>
      <c r="D2393" s="106" t="s">
        <v>125</v>
      </c>
      <c r="E2393" s="107"/>
      <c r="F2393" s="108" t="s">
        <v>18806</v>
      </c>
      <c r="G2393" s="118">
        <v>3</v>
      </c>
      <c r="H2393" s="108" t="s">
        <v>18807</v>
      </c>
      <c r="I2393" s="110">
        <v>3</v>
      </c>
      <c r="J2393" s="113"/>
      <c r="K2393" s="108" t="s">
        <v>18808</v>
      </c>
      <c r="L2393" s="117">
        <v>2</v>
      </c>
      <c r="M2393" s="111" t="s">
        <v>40</v>
      </c>
      <c r="N2393" s="108" t="s">
        <v>18806</v>
      </c>
      <c r="O2393" s="110">
        <v>3</v>
      </c>
      <c r="P2393" s="113"/>
      <c r="Q2393" s="108" t="s">
        <v>18809</v>
      </c>
      <c r="R2393" s="117">
        <v>2</v>
      </c>
      <c r="S2393" s="113"/>
      <c r="T2393" s="108" t="s">
        <v>18810</v>
      </c>
      <c r="U2393" s="110">
        <v>3</v>
      </c>
      <c r="V2393" s="113"/>
      <c r="W2393" s="108" t="s">
        <v>18811</v>
      </c>
      <c r="X2393" s="110">
        <v>3</v>
      </c>
      <c r="Y2393" s="113"/>
      <c r="Z2393" s="108" t="s">
        <v>18812</v>
      </c>
      <c r="AA2393" s="110">
        <v>3</v>
      </c>
      <c r="AB2393" s="113"/>
      <c r="AC2393" s="105" t="s">
        <v>5416</v>
      </c>
      <c r="AD2393" s="115" t="s">
        <v>101</v>
      </c>
    </row>
    <row r="2394" spans="1:30" x14ac:dyDescent="0.2">
      <c r="A2394" s="104" t="s">
        <v>5417</v>
      </c>
      <c r="B2394" s="105" t="s">
        <v>97</v>
      </c>
      <c r="C2394" s="105" t="s">
        <v>439</v>
      </c>
      <c r="D2394" s="106" t="s">
        <v>94</v>
      </c>
      <c r="E2394" s="107"/>
      <c r="F2394" s="108" t="s">
        <v>18813</v>
      </c>
      <c r="G2394" s="109">
        <v>4</v>
      </c>
      <c r="H2394" s="108" t="s">
        <v>18814</v>
      </c>
      <c r="I2394" s="117">
        <v>2</v>
      </c>
      <c r="J2394" s="111" t="s">
        <v>40</v>
      </c>
      <c r="K2394" s="108" t="s">
        <v>18815</v>
      </c>
      <c r="L2394" s="117">
        <v>2</v>
      </c>
      <c r="M2394" s="111" t="s">
        <v>40</v>
      </c>
      <c r="N2394" s="108" t="s">
        <v>18813</v>
      </c>
      <c r="O2394" s="112">
        <v>4</v>
      </c>
      <c r="P2394" s="113"/>
      <c r="Q2394" s="108" t="s">
        <v>18816</v>
      </c>
      <c r="R2394" s="110">
        <v>3</v>
      </c>
      <c r="S2394" s="113"/>
      <c r="T2394" s="108" t="s">
        <v>18817</v>
      </c>
      <c r="U2394" s="117">
        <v>2</v>
      </c>
      <c r="V2394" s="113"/>
      <c r="W2394" s="108" t="s">
        <v>18818</v>
      </c>
      <c r="X2394" s="110">
        <v>3</v>
      </c>
      <c r="Y2394" s="113"/>
      <c r="Z2394" s="108" t="s">
        <v>18819</v>
      </c>
      <c r="AA2394" s="117">
        <v>2</v>
      </c>
      <c r="AB2394" s="113"/>
      <c r="AC2394" s="105" t="s">
        <v>5418</v>
      </c>
      <c r="AD2394" s="115" t="s">
        <v>101</v>
      </c>
    </row>
    <row r="2395" spans="1:30" x14ac:dyDescent="0.2">
      <c r="A2395" s="104" t="s">
        <v>5419</v>
      </c>
      <c r="B2395" s="105" t="s">
        <v>97</v>
      </c>
      <c r="C2395" s="105" t="s">
        <v>439</v>
      </c>
      <c r="D2395" s="106" t="s">
        <v>94</v>
      </c>
      <c r="E2395" s="107"/>
      <c r="F2395" s="108" t="s">
        <v>18820</v>
      </c>
      <c r="G2395" s="109">
        <v>4</v>
      </c>
      <c r="H2395" s="108" t="s">
        <v>18821</v>
      </c>
      <c r="I2395" s="117">
        <v>2</v>
      </c>
      <c r="J2395" s="111" t="s">
        <v>40</v>
      </c>
      <c r="K2395" s="108" t="s">
        <v>18822</v>
      </c>
      <c r="L2395" s="117">
        <v>2</v>
      </c>
      <c r="M2395" s="111" t="s">
        <v>40</v>
      </c>
      <c r="N2395" s="108" t="s">
        <v>18820</v>
      </c>
      <c r="O2395" s="112">
        <v>4</v>
      </c>
      <c r="P2395" s="113"/>
      <c r="Q2395" s="108" t="s">
        <v>18823</v>
      </c>
      <c r="R2395" s="110">
        <v>3</v>
      </c>
      <c r="S2395" s="113"/>
      <c r="T2395" s="108" t="s">
        <v>18824</v>
      </c>
      <c r="U2395" s="117">
        <v>2</v>
      </c>
      <c r="V2395" s="113"/>
      <c r="W2395" s="108" t="s">
        <v>18825</v>
      </c>
      <c r="X2395" s="110">
        <v>3</v>
      </c>
      <c r="Y2395" s="113"/>
      <c r="Z2395" s="108" t="s">
        <v>18826</v>
      </c>
      <c r="AA2395" s="117">
        <v>2</v>
      </c>
      <c r="AB2395" s="111" t="s">
        <v>46</v>
      </c>
      <c r="AC2395" s="105" t="s">
        <v>5420</v>
      </c>
      <c r="AD2395" s="115" t="s">
        <v>101</v>
      </c>
    </row>
    <row r="2396" spans="1:30" x14ac:dyDescent="0.2">
      <c r="A2396" s="104" t="s">
        <v>5421</v>
      </c>
      <c r="B2396" s="105" t="s">
        <v>97</v>
      </c>
      <c r="C2396" s="105" t="s">
        <v>439</v>
      </c>
      <c r="D2396" s="106" t="s">
        <v>94</v>
      </c>
      <c r="E2396" s="107"/>
      <c r="F2396" s="108" t="s">
        <v>18827</v>
      </c>
      <c r="G2396" s="109">
        <v>4</v>
      </c>
      <c r="H2396" s="108" t="s">
        <v>18828</v>
      </c>
      <c r="I2396" s="110">
        <v>3</v>
      </c>
      <c r="J2396" s="111" t="s">
        <v>40</v>
      </c>
      <c r="K2396" s="108" t="s">
        <v>18829</v>
      </c>
      <c r="L2396" s="112">
        <v>4</v>
      </c>
      <c r="M2396" s="113"/>
      <c r="N2396" s="108" t="s">
        <v>18827</v>
      </c>
      <c r="O2396" s="112">
        <v>4</v>
      </c>
      <c r="P2396" s="113"/>
      <c r="Q2396" s="108" t="s">
        <v>18830</v>
      </c>
      <c r="R2396" s="117">
        <v>2</v>
      </c>
      <c r="S2396" s="113"/>
      <c r="T2396" s="108" t="s">
        <v>18831</v>
      </c>
      <c r="U2396" s="116">
        <v>1</v>
      </c>
      <c r="V2396" s="113"/>
      <c r="W2396" s="108" t="s">
        <v>18832</v>
      </c>
      <c r="X2396" s="116">
        <v>1</v>
      </c>
      <c r="Y2396" s="113"/>
      <c r="Z2396" s="108" t="s">
        <v>18833</v>
      </c>
      <c r="AA2396" s="116">
        <v>1</v>
      </c>
      <c r="AB2396" s="113"/>
      <c r="AC2396" s="105" t="s">
        <v>5422</v>
      </c>
      <c r="AD2396" s="115" t="s">
        <v>101</v>
      </c>
    </row>
    <row r="2397" spans="1:30" x14ac:dyDescent="0.2">
      <c r="A2397" s="104" t="s">
        <v>5423</v>
      </c>
      <c r="B2397" s="105" t="s">
        <v>97</v>
      </c>
      <c r="C2397" s="105" t="s">
        <v>439</v>
      </c>
      <c r="D2397" s="106" t="s">
        <v>94</v>
      </c>
      <c r="E2397" s="107"/>
      <c r="F2397" s="108" t="s">
        <v>18834</v>
      </c>
      <c r="G2397" s="109">
        <v>4</v>
      </c>
      <c r="H2397" s="108" t="s">
        <v>18835</v>
      </c>
      <c r="I2397" s="110">
        <v>3</v>
      </c>
      <c r="J2397" s="111" t="s">
        <v>40</v>
      </c>
      <c r="K2397" s="108" t="s">
        <v>18836</v>
      </c>
      <c r="L2397" s="112">
        <v>4</v>
      </c>
      <c r="M2397" s="113"/>
      <c r="N2397" s="108" t="s">
        <v>18834</v>
      </c>
      <c r="O2397" s="112">
        <v>4</v>
      </c>
      <c r="P2397" s="113"/>
      <c r="Q2397" s="108" t="s">
        <v>18837</v>
      </c>
      <c r="R2397" s="117">
        <v>2</v>
      </c>
      <c r="S2397" s="113"/>
      <c r="T2397" s="108" t="s">
        <v>18838</v>
      </c>
      <c r="U2397" s="116">
        <v>1</v>
      </c>
      <c r="V2397" s="113"/>
      <c r="W2397" s="108" t="s">
        <v>18839</v>
      </c>
      <c r="X2397" s="116">
        <v>1</v>
      </c>
      <c r="Y2397" s="113"/>
      <c r="Z2397" s="108" t="s">
        <v>18840</v>
      </c>
      <c r="AA2397" s="116">
        <v>1</v>
      </c>
      <c r="AB2397" s="113"/>
      <c r="AC2397" s="105" t="s">
        <v>5424</v>
      </c>
      <c r="AD2397" s="115" t="s">
        <v>101</v>
      </c>
    </row>
    <row r="2398" spans="1:30" x14ac:dyDescent="0.2">
      <c r="A2398" s="104" t="s">
        <v>5425</v>
      </c>
      <c r="B2398" s="105" t="s">
        <v>97</v>
      </c>
      <c r="C2398" s="105" t="s">
        <v>2741</v>
      </c>
      <c r="D2398" s="106" t="s">
        <v>94</v>
      </c>
      <c r="E2398" s="107"/>
      <c r="F2398" s="108" t="s">
        <v>18841</v>
      </c>
      <c r="G2398" s="109">
        <v>4</v>
      </c>
      <c r="H2398" s="108" t="s">
        <v>18842</v>
      </c>
      <c r="I2398" s="117">
        <v>2</v>
      </c>
      <c r="J2398" s="111" t="s">
        <v>53</v>
      </c>
      <c r="K2398" s="108" t="s">
        <v>18843</v>
      </c>
      <c r="L2398" s="112">
        <v>4</v>
      </c>
      <c r="M2398" s="113"/>
      <c r="N2398" s="108" t="s">
        <v>18841</v>
      </c>
      <c r="O2398" s="112">
        <v>4</v>
      </c>
      <c r="P2398" s="113"/>
      <c r="Q2398" s="108" t="s">
        <v>18844</v>
      </c>
      <c r="R2398" s="112">
        <v>4</v>
      </c>
      <c r="S2398" s="111" t="s">
        <v>46</v>
      </c>
      <c r="T2398" s="108" t="s">
        <v>5426</v>
      </c>
      <c r="U2398" s="117">
        <v>2</v>
      </c>
      <c r="V2398" s="113"/>
      <c r="W2398" s="108" t="s">
        <v>18845</v>
      </c>
      <c r="X2398" s="110">
        <v>3</v>
      </c>
      <c r="Y2398" s="113"/>
      <c r="Z2398" s="108" t="s">
        <v>18846</v>
      </c>
      <c r="AA2398" s="117">
        <v>2</v>
      </c>
      <c r="AB2398" s="113"/>
      <c r="AC2398" s="105" t="s">
        <v>5427</v>
      </c>
      <c r="AD2398" s="115" t="s">
        <v>101</v>
      </c>
    </row>
    <row r="2399" spans="1:30" x14ac:dyDescent="0.2">
      <c r="A2399" s="104" t="s">
        <v>5428</v>
      </c>
      <c r="B2399" s="105" t="s">
        <v>97</v>
      </c>
      <c r="C2399" s="105" t="s">
        <v>2741</v>
      </c>
      <c r="D2399" s="106" t="s">
        <v>94</v>
      </c>
      <c r="E2399" s="107"/>
      <c r="F2399" s="108" t="s">
        <v>18847</v>
      </c>
      <c r="G2399" s="109">
        <v>4</v>
      </c>
      <c r="H2399" s="108" t="s">
        <v>18848</v>
      </c>
      <c r="I2399" s="117">
        <v>2</v>
      </c>
      <c r="J2399" s="111" t="s">
        <v>53</v>
      </c>
      <c r="K2399" s="108" t="s">
        <v>18849</v>
      </c>
      <c r="L2399" s="112">
        <v>4</v>
      </c>
      <c r="M2399" s="113"/>
      <c r="N2399" s="108" t="s">
        <v>18847</v>
      </c>
      <c r="O2399" s="112">
        <v>4</v>
      </c>
      <c r="P2399" s="113"/>
      <c r="Q2399" s="108" t="s">
        <v>18850</v>
      </c>
      <c r="R2399" s="112">
        <v>4</v>
      </c>
      <c r="S2399" s="111" t="s">
        <v>46</v>
      </c>
      <c r="T2399" s="108" t="s">
        <v>18851</v>
      </c>
      <c r="U2399" s="117">
        <v>2</v>
      </c>
      <c r="V2399" s="113"/>
      <c r="W2399" s="108" t="s">
        <v>18852</v>
      </c>
      <c r="X2399" s="110">
        <v>3</v>
      </c>
      <c r="Y2399" s="113"/>
      <c r="Z2399" s="108" t="s">
        <v>18853</v>
      </c>
      <c r="AA2399" s="117">
        <v>2</v>
      </c>
      <c r="AB2399" s="113"/>
      <c r="AC2399" s="105" t="s">
        <v>5429</v>
      </c>
      <c r="AD2399" s="115" t="s">
        <v>101</v>
      </c>
    </row>
    <row r="2400" spans="1:30" x14ac:dyDescent="0.2">
      <c r="A2400" s="104" t="s">
        <v>5430</v>
      </c>
      <c r="B2400" s="105" t="s">
        <v>42</v>
      </c>
      <c r="C2400" s="105" t="s">
        <v>51</v>
      </c>
      <c r="D2400" s="106"/>
      <c r="E2400" s="107"/>
      <c r="F2400" s="108" t="s">
        <v>18854</v>
      </c>
      <c r="G2400" s="118">
        <v>3</v>
      </c>
      <c r="H2400" s="108" t="s">
        <v>18855</v>
      </c>
      <c r="I2400" s="117">
        <v>2</v>
      </c>
      <c r="J2400" s="113"/>
      <c r="K2400" s="108" t="s">
        <v>18856</v>
      </c>
      <c r="L2400" s="117">
        <v>2</v>
      </c>
      <c r="M2400" s="111" t="s">
        <v>40</v>
      </c>
      <c r="N2400" s="108" t="s">
        <v>18854</v>
      </c>
      <c r="O2400" s="110">
        <v>3</v>
      </c>
      <c r="P2400" s="113"/>
      <c r="Q2400" s="108" t="s">
        <v>18857</v>
      </c>
      <c r="R2400" s="112">
        <v>4</v>
      </c>
      <c r="S2400" s="113"/>
      <c r="T2400" s="108" t="s">
        <v>47</v>
      </c>
      <c r="U2400" s="114"/>
      <c r="V2400" s="113"/>
      <c r="W2400" s="108" t="s">
        <v>47</v>
      </c>
      <c r="X2400" s="114"/>
      <c r="Y2400" s="113"/>
      <c r="Z2400" s="108" t="s">
        <v>47</v>
      </c>
      <c r="AA2400" s="114"/>
      <c r="AB2400" s="113"/>
      <c r="AC2400" s="105" t="s">
        <v>5431</v>
      </c>
      <c r="AD2400" s="115" t="s">
        <v>49</v>
      </c>
    </row>
    <row r="2401" spans="1:30" x14ac:dyDescent="0.2">
      <c r="A2401" s="104" t="s">
        <v>5432</v>
      </c>
      <c r="B2401" s="105" t="s">
        <v>42</v>
      </c>
      <c r="C2401" s="105" t="s">
        <v>384</v>
      </c>
      <c r="D2401" s="106"/>
      <c r="E2401" s="107"/>
      <c r="F2401" s="108" t="s">
        <v>18858</v>
      </c>
      <c r="G2401" s="109">
        <v>4</v>
      </c>
      <c r="H2401" s="108" t="s">
        <v>18859</v>
      </c>
      <c r="I2401" s="110">
        <v>3</v>
      </c>
      <c r="J2401" s="111" t="s">
        <v>46</v>
      </c>
      <c r="K2401" s="108" t="s">
        <v>18860</v>
      </c>
      <c r="L2401" s="110">
        <v>3</v>
      </c>
      <c r="M2401" s="113"/>
      <c r="N2401" s="108" t="s">
        <v>18858</v>
      </c>
      <c r="O2401" s="112">
        <v>4</v>
      </c>
      <c r="P2401" s="113"/>
      <c r="Q2401" s="108" t="s">
        <v>18861</v>
      </c>
      <c r="R2401" s="112">
        <v>4</v>
      </c>
      <c r="S2401" s="113"/>
      <c r="T2401" s="108" t="s">
        <v>47</v>
      </c>
      <c r="U2401" s="114"/>
      <c r="V2401" s="113"/>
      <c r="W2401" s="108" t="s">
        <v>47</v>
      </c>
      <c r="X2401" s="114"/>
      <c r="Y2401" s="113"/>
      <c r="Z2401" s="108" t="s">
        <v>47</v>
      </c>
      <c r="AA2401" s="114"/>
      <c r="AB2401" s="113"/>
      <c r="AC2401" s="105" t="s">
        <v>5433</v>
      </c>
      <c r="AD2401" s="115" t="s">
        <v>49</v>
      </c>
    </row>
    <row r="2402" spans="1:30" x14ac:dyDescent="0.2">
      <c r="A2402" s="104" t="s">
        <v>5434</v>
      </c>
      <c r="B2402" s="105" t="s">
        <v>42</v>
      </c>
      <c r="C2402" s="105" t="s">
        <v>384</v>
      </c>
      <c r="D2402" s="106"/>
      <c r="E2402" s="107"/>
      <c r="F2402" s="108" t="s">
        <v>18862</v>
      </c>
      <c r="G2402" s="109">
        <v>4</v>
      </c>
      <c r="H2402" s="108" t="s">
        <v>18863</v>
      </c>
      <c r="I2402" s="117">
        <v>2</v>
      </c>
      <c r="J2402" s="111" t="s">
        <v>46</v>
      </c>
      <c r="K2402" s="108" t="s">
        <v>18864</v>
      </c>
      <c r="L2402" s="116">
        <v>1</v>
      </c>
      <c r="M2402" s="111" t="s">
        <v>40</v>
      </c>
      <c r="N2402" s="108" t="s">
        <v>18862</v>
      </c>
      <c r="O2402" s="112">
        <v>4</v>
      </c>
      <c r="P2402" s="113"/>
      <c r="Q2402" s="108" t="s">
        <v>47</v>
      </c>
      <c r="R2402" s="114"/>
      <c r="S2402" s="113"/>
      <c r="T2402" s="108" t="s">
        <v>47</v>
      </c>
      <c r="U2402" s="114"/>
      <c r="V2402" s="113"/>
      <c r="W2402" s="108" t="s">
        <v>47</v>
      </c>
      <c r="X2402" s="114"/>
      <c r="Y2402" s="113"/>
      <c r="Z2402" s="108" t="s">
        <v>47</v>
      </c>
      <c r="AA2402" s="114"/>
      <c r="AB2402" s="113"/>
      <c r="AC2402" s="105" t="s">
        <v>5435</v>
      </c>
      <c r="AD2402" s="115" t="s">
        <v>49</v>
      </c>
    </row>
    <row r="2403" spans="1:30" x14ac:dyDescent="0.2">
      <c r="A2403" s="104" t="s">
        <v>5436</v>
      </c>
      <c r="B2403" s="105" t="s">
        <v>42</v>
      </c>
      <c r="C2403" s="105" t="s">
        <v>384</v>
      </c>
      <c r="D2403" s="106"/>
      <c r="E2403" s="107"/>
      <c r="F2403" s="108" t="s">
        <v>18865</v>
      </c>
      <c r="G2403" s="118">
        <v>3</v>
      </c>
      <c r="H2403" s="108" t="s">
        <v>18866</v>
      </c>
      <c r="I2403" s="117">
        <v>2</v>
      </c>
      <c r="J2403" s="113"/>
      <c r="K2403" s="108" t="s">
        <v>18867</v>
      </c>
      <c r="L2403" s="117">
        <v>2</v>
      </c>
      <c r="M2403" s="111" t="s">
        <v>40</v>
      </c>
      <c r="N2403" s="108" t="s">
        <v>18865</v>
      </c>
      <c r="O2403" s="110">
        <v>3</v>
      </c>
      <c r="P2403" s="111" t="s">
        <v>40</v>
      </c>
      <c r="Q2403" s="108" t="s">
        <v>18868</v>
      </c>
      <c r="R2403" s="112">
        <v>4</v>
      </c>
      <c r="S2403" s="113"/>
      <c r="T2403" s="108" t="s">
        <v>47</v>
      </c>
      <c r="U2403" s="114"/>
      <c r="V2403" s="113"/>
      <c r="W2403" s="108" t="s">
        <v>47</v>
      </c>
      <c r="X2403" s="114"/>
      <c r="Y2403" s="113"/>
      <c r="Z2403" s="108" t="s">
        <v>47</v>
      </c>
      <c r="AA2403" s="114"/>
      <c r="AB2403" s="113"/>
      <c r="AC2403" s="105" t="s">
        <v>5437</v>
      </c>
      <c r="AD2403" s="115" t="s">
        <v>49</v>
      </c>
    </row>
    <row r="2404" spans="1:30" x14ac:dyDescent="0.2">
      <c r="A2404" s="104" t="s">
        <v>5438</v>
      </c>
      <c r="B2404" s="105" t="s">
        <v>42</v>
      </c>
      <c r="C2404" s="105" t="s">
        <v>43</v>
      </c>
      <c r="D2404" s="106"/>
      <c r="E2404" s="107" t="s">
        <v>182</v>
      </c>
      <c r="F2404" s="108" t="s">
        <v>18869</v>
      </c>
      <c r="G2404" s="119">
        <v>1</v>
      </c>
      <c r="H2404" s="108" t="s">
        <v>18870</v>
      </c>
      <c r="I2404" s="116">
        <v>1</v>
      </c>
      <c r="J2404" s="111" t="s">
        <v>40</v>
      </c>
      <c r="K2404" s="108" t="s">
        <v>18871</v>
      </c>
      <c r="L2404" s="116">
        <v>1</v>
      </c>
      <c r="M2404" s="113"/>
      <c r="N2404" s="108" t="s">
        <v>18869</v>
      </c>
      <c r="O2404" s="116">
        <v>1</v>
      </c>
      <c r="P2404" s="113"/>
      <c r="Q2404" s="108" t="s">
        <v>18872</v>
      </c>
      <c r="R2404" s="116">
        <v>1</v>
      </c>
      <c r="S2404" s="113"/>
      <c r="T2404" s="108" t="s">
        <v>18873</v>
      </c>
      <c r="U2404" s="116">
        <v>1</v>
      </c>
      <c r="V2404" s="113"/>
      <c r="W2404" s="108" t="s">
        <v>47</v>
      </c>
      <c r="X2404" s="114"/>
      <c r="Y2404" s="113"/>
      <c r="Z2404" s="108" t="s">
        <v>47</v>
      </c>
      <c r="AA2404" s="114"/>
      <c r="AB2404" s="113"/>
      <c r="AC2404" s="105" t="s">
        <v>5439</v>
      </c>
      <c r="AD2404" s="115" t="s">
        <v>49</v>
      </c>
    </row>
    <row r="2405" spans="1:30" x14ac:dyDescent="0.2">
      <c r="A2405" s="104" t="s">
        <v>5440</v>
      </c>
      <c r="B2405" s="105" t="s">
        <v>42</v>
      </c>
      <c r="C2405" s="105" t="s">
        <v>43</v>
      </c>
      <c r="D2405" s="106"/>
      <c r="E2405" s="107"/>
      <c r="F2405" s="108" t="s">
        <v>18874</v>
      </c>
      <c r="G2405" s="119">
        <v>1</v>
      </c>
      <c r="H2405" s="108" t="s">
        <v>18875</v>
      </c>
      <c r="I2405" s="116">
        <v>1</v>
      </c>
      <c r="J2405" s="111" t="s">
        <v>40</v>
      </c>
      <c r="K2405" s="108" t="s">
        <v>18876</v>
      </c>
      <c r="L2405" s="116">
        <v>1</v>
      </c>
      <c r="M2405" s="113"/>
      <c r="N2405" s="108" t="s">
        <v>18874</v>
      </c>
      <c r="O2405" s="116">
        <v>1</v>
      </c>
      <c r="P2405" s="113"/>
      <c r="Q2405" s="108" t="s">
        <v>18877</v>
      </c>
      <c r="R2405" s="116">
        <v>1</v>
      </c>
      <c r="S2405" s="113"/>
      <c r="T2405" s="108" t="s">
        <v>18878</v>
      </c>
      <c r="U2405" s="116">
        <v>1</v>
      </c>
      <c r="V2405" s="113"/>
      <c r="W2405" s="108" t="s">
        <v>47</v>
      </c>
      <c r="X2405" s="114"/>
      <c r="Y2405" s="113"/>
      <c r="Z2405" s="108" t="s">
        <v>47</v>
      </c>
      <c r="AA2405" s="114"/>
      <c r="AB2405" s="113"/>
      <c r="AC2405" s="105" t="s">
        <v>5441</v>
      </c>
      <c r="AD2405" s="115" t="s">
        <v>49</v>
      </c>
    </row>
    <row r="2406" spans="1:30" x14ac:dyDescent="0.2">
      <c r="A2406" s="104" t="s">
        <v>18879</v>
      </c>
      <c r="B2406" s="105" t="s">
        <v>42</v>
      </c>
      <c r="C2406" s="105" t="s">
        <v>3841</v>
      </c>
      <c r="D2406" s="106"/>
      <c r="E2406" s="107"/>
      <c r="F2406" s="108" t="s">
        <v>18880</v>
      </c>
      <c r="G2406" s="119">
        <v>1</v>
      </c>
      <c r="H2406" s="108" t="s">
        <v>18880</v>
      </c>
      <c r="I2406" s="116">
        <v>1</v>
      </c>
      <c r="J2406" s="113"/>
      <c r="K2406" s="108" t="s">
        <v>18880</v>
      </c>
      <c r="L2406" s="116">
        <v>1</v>
      </c>
      <c r="M2406" s="113"/>
      <c r="N2406" s="108" t="s">
        <v>18880</v>
      </c>
      <c r="O2406" s="116">
        <v>1</v>
      </c>
      <c r="P2406" s="113"/>
      <c r="Q2406" s="108" t="s">
        <v>18880</v>
      </c>
      <c r="R2406" s="116">
        <v>1</v>
      </c>
      <c r="S2406" s="113"/>
      <c r="T2406" s="108" t="s">
        <v>47</v>
      </c>
      <c r="U2406" s="114"/>
      <c r="V2406" s="113"/>
      <c r="W2406" s="108" t="s">
        <v>47</v>
      </c>
      <c r="X2406" s="114"/>
      <c r="Y2406" s="113"/>
      <c r="Z2406" s="108" t="s">
        <v>47</v>
      </c>
      <c r="AA2406" s="114"/>
      <c r="AB2406" s="113"/>
      <c r="AC2406" s="105" t="s">
        <v>5442</v>
      </c>
      <c r="AD2406" s="115" t="s">
        <v>49</v>
      </c>
    </row>
    <row r="2407" spans="1:30" x14ac:dyDescent="0.2">
      <c r="A2407" s="104" t="s">
        <v>18881</v>
      </c>
      <c r="B2407" s="105" t="s">
        <v>42</v>
      </c>
      <c r="C2407" s="105" t="s">
        <v>160</v>
      </c>
      <c r="D2407" s="106"/>
      <c r="E2407" s="107"/>
      <c r="F2407" s="108" t="s">
        <v>18882</v>
      </c>
      <c r="G2407" s="119">
        <v>1</v>
      </c>
      <c r="H2407" s="108" t="s">
        <v>18883</v>
      </c>
      <c r="I2407" s="116">
        <v>1</v>
      </c>
      <c r="J2407" s="113"/>
      <c r="K2407" s="108" t="s">
        <v>18884</v>
      </c>
      <c r="L2407" s="116">
        <v>1</v>
      </c>
      <c r="M2407" s="113"/>
      <c r="N2407" s="108" t="s">
        <v>18882</v>
      </c>
      <c r="O2407" s="116">
        <v>1</v>
      </c>
      <c r="P2407" s="113"/>
      <c r="Q2407" s="108" t="s">
        <v>18885</v>
      </c>
      <c r="R2407" s="116">
        <v>1</v>
      </c>
      <c r="S2407" s="113"/>
      <c r="T2407" s="108" t="s">
        <v>47</v>
      </c>
      <c r="U2407" s="114"/>
      <c r="V2407" s="113"/>
      <c r="W2407" s="108" t="s">
        <v>47</v>
      </c>
      <c r="X2407" s="114"/>
      <c r="Y2407" s="113"/>
      <c r="Z2407" s="108" t="s">
        <v>47</v>
      </c>
      <c r="AA2407" s="114"/>
      <c r="AB2407" s="113"/>
      <c r="AC2407" s="105" t="s">
        <v>5443</v>
      </c>
      <c r="AD2407" s="115" t="s">
        <v>49</v>
      </c>
    </row>
    <row r="2408" spans="1:30" x14ac:dyDescent="0.2">
      <c r="A2408" s="104" t="s">
        <v>5444</v>
      </c>
      <c r="B2408" s="105" t="s">
        <v>42</v>
      </c>
      <c r="C2408" s="105" t="s">
        <v>51</v>
      </c>
      <c r="D2408" s="106"/>
      <c r="E2408" s="107"/>
      <c r="F2408" s="108" t="s">
        <v>18886</v>
      </c>
      <c r="G2408" s="119">
        <v>1</v>
      </c>
      <c r="H2408" s="108" t="s">
        <v>18887</v>
      </c>
      <c r="I2408" s="112">
        <v>4</v>
      </c>
      <c r="J2408" s="111" t="s">
        <v>44</v>
      </c>
      <c r="K2408" s="108" t="s">
        <v>18888</v>
      </c>
      <c r="L2408" s="117">
        <v>2</v>
      </c>
      <c r="M2408" s="111" t="s">
        <v>46</v>
      </c>
      <c r="N2408" s="108" t="s">
        <v>18886</v>
      </c>
      <c r="O2408" s="116">
        <v>1</v>
      </c>
      <c r="P2408" s="113"/>
      <c r="Q2408" s="108" t="s">
        <v>18889</v>
      </c>
      <c r="R2408" s="116">
        <v>1</v>
      </c>
      <c r="S2408" s="113"/>
      <c r="T2408" s="108" t="s">
        <v>47</v>
      </c>
      <c r="U2408" s="114"/>
      <c r="V2408" s="113"/>
      <c r="W2408" s="108" t="s">
        <v>47</v>
      </c>
      <c r="X2408" s="114"/>
      <c r="Y2408" s="113"/>
      <c r="Z2408" s="108" t="s">
        <v>47</v>
      </c>
      <c r="AA2408" s="114"/>
      <c r="AB2408" s="113"/>
      <c r="AC2408" s="105" t="s">
        <v>5445</v>
      </c>
      <c r="AD2408" s="115" t="s">
        <v>49</v>
      </c>
    </row>
    <row r="2409" spans="1:30" x14ac:dyDescent="0.2">
      <c r="A2409" s="104" t="s">
        <v>5446</v>
      </c>
      <c r="B2409" s="105" t="s">
        <v>42</v>
      </c>
      <c r="C2409" s="105" t="s">
        <v>51</v>
      </c>
      <c r="D2409" s="106"/>
      <c r="E2409" s="107"/>
      <c r="F2409" s="108" t="s">
        <v>18890</v>
      </c>
      <c r="G2409" s="119">
        <v>1</v>
      </c>
      <c r="H2409" s="108" t="s">
        <v>18891</v>
      </c>
      <c r="I2409" s="112">
        <v>4</v>
      </c>
      <c r="J2409" s="111" t="s">
        <v>44</v>
      </c>
      <c r="K2409" s="108" t="s">
        <v>18892</v>
      </c>
      <c r="L2409" s="117">
        <v>2</v>
      </c>
      <c r="M2409" s="111" t="s">
        <v>46</v>
      </c>
      <c r="N2409" s="108" t="s">
        <v>18890</v>
      </c>
      <c r="O2409" s="116">
        <v>1</v>
      </c>
      <c r="P2409" s="113"/>
      <c r="Q2409" s="108" t="s">
        <v>18893</v>
      </c>
      <c r="R2409" s="116">
        <v>1</v>
      </c>
      <c r="S2409" s="113"/>
      <c r="T2409" s="108" t="s">
        <v>47</v>
      </c>
      <c r="U2409" s="114"/>
      <c r="V2409" s="113"/>
      <c r="W2409" s="108" t="s">
        <v>47</v>
      </c>
      <c r="X2409" s="114"/>
      <c r="Y2409" s="113"/>
      <c r="Z2409" s="108" t="s">
        <v>47</v>
      </c>
      <c r="AA2409" s="114"/>
      <c r="AB2409" s="113"/>
      <c r="AC2409" s="105" t="s">
        <v>5447</v>
      </c>
      <c r="AD2409" s="115" t="s">
        <v>49</v>
      </c>
    </row>
    <row r="2410" spans="1:30" x14ac:dyDescent="0.2">
      <c r="A2410" s="104" t="s">
        <v>5448</v>
      </c>
      <c r="B2410" s="105" t="s">
        <v>42</v>
      </c>
      <c r="C2410" s="105" t="s">
        <v>2336</v>
      </c>
      <c r="D2410" s="106"/>
      <c r="E2410" s="107"/>
      <c r="F2410" s="108" t="s">
        <v>18894</v>
      </c>
      <c r="G2410" s="120">
        <v>2</v>
      </c>
      <c r="H2410" s="108" t="s">
        <v>18895</v>
      </c>
      <c r="I2410" s="112">
        <v>4</v>
      </c>
      <c r="J2410" s="111" t="s">
        <v>44</v>
      </c>
      <c r="K2410" s="108" t="s">
        <v>11661</v>
      </c>
      <c r="L2410" s="110">
        <v>3</v>
      </c>
      <c r="M2410" s="111" t="s">
        <v>55</v>
      </c>
      <c r="N2410" s="108" t="s">
        <v>18894</v>
      </c>
      <c r="O2410" s="117">
        <v>2</v>
      </c>
      <c r="P2410" s="113"/>
      <c r="Q2410" s="108" t="s">
        <v>18896</v>
      </c>
      <c r="R2410" s="112">
        <v>4</v>
      </c>
      <c r="S2410" s="113"/>
      <c r="T2410" s="108" t="s">
        <v>18897</v>
      </c>
      <c r="U2410" s="112">
        <v>4</v>
      </c>
      <c r="V2410" s="113"/>
      <c r="W2410" s="108" t="s">
        <v>18898</v>
      </c>
      <c r="X2410" s="112">
        <v>4</v>
      </c>
      <c r="Y2410" s="111" t="s">
        <v>46</v>
      </c>
      <c r="Z2410" s="108" t="s">
        <v>18899</v>
      </c>
      <c r="AA2410" s="112">
        <v>4</v>
      </c>
      <c r="AB2410" s="113"/>
      <c r="AC2410" s="105" t="s">
        <v>5449</v>
      </c>
      <c r="AD2410" s="115" t="s">
        <v>49</v>
      </c>
    </row>
    <row r="2411" spans="1:30" x14ac:dyDescent="0.2">
      <c r="A2411" s="104" t="s">
        <v>5450</v>
      </c>
      <c r="B2411" s="105" t="s">
        <v>42</v>
      </c>
      <c r="C2411" s="105" t="s">
        <v>98</v>
      </c>
      <c r="D2411" s="106" t="s">
        <v>105</v>
      </c>
      <c r="E2411" s="107"/>
      <c r="F2411" s="108" t="s">
        <v>18900</v>
      </c>
      <c r="G2411" s="119">
        <v>1</v>
      </c>
      <c r="H2411" s="108" t="s">
        <v>18901</v>
      </c>
      <c r="I2411" s="112">
        <v>4</v>
      </c>
      <c r="J2411" s="111" t="s">
        <v>44</v>
      </c>
      <c r="K2411" s="108" t="s">
        <v>18902</v>
      </c>
      <c r="L2411" s="116">
        <v>1</v>
      </c>
      <c r="M2411" s="113"/>
      <c r="N2411" s="108" t="s">
        <v>18900</v>
      </c>
      <c r="O2411" s="116">
        <v>1</v>
      </c>
      <c r="P2411" s="113"/>
      <c r="Q2411" s="108" t="s">
        <v>18903</v>
      </c>
      <c r="R2411" s="116">
        <v>1</v>
      </c>
      <c r="S2411" s="113"/>
      <c r="T2411" s="108" t="s">
        <v>18904</v>
      </c>
      <c r="U2411" s="117">
        <v>2</v>
      </c>
      <c r="V2411" s="113"/>
      <c r="W2411" s="108" t="s">
        <v>18905</v>
      </c>
      <c r="X2411" s="117">
        <v>2</v>
      </c>
      <c r="Y2411" s="113"/>
      <c r="Z2411" s="108" t="s">
        <v>18906</v>
      </c>
      <c r="AA2411" s="117">
        <v>2</v>
      </c>
      <c r="AB2411" s="111" t="s">
        <v>40</v>
      </c>
      <c r="AC2411" s="105" t="s">
        <v>5451</v>
      </c>
      <c r="AD2411" s="115" t="s">
        <v>49</v>
      </c>
    </row>
    <row r="2412" spans="1:30" x14ac:dyDescent="0.2">
      <c r="A2412" s="104" t="s">
        <v>18907</v>
      </c>
      <c r="B2412" s="105" t="s">
        <v>42</v>
      </c>
      <c r="C2412" s="105" t="s">
        <v>104</v>
      </c>
      <c r="D2412" s="106" t="s">
        <v>125</v>
      </c>
      <c r="E2412" s="107" t="s">
        <v>146</v>
      </c>
      <c r="F2412" s="108" t="s">
        <v>18908</v>
      </c>
      <c r="G2412" s="118">
        <v>3</v>
      </c>
      <c r="H2412" s="108" t="s">
        <v>18909</v>
      </c>
      <c r="I2412" s="110">
        <v>3</v>
      </c>
      <c r="J2412" s="111" t="s">
        <v>40</v>
      </c>
      <c r="K2412" s="108" t="s">
        <v>18910</v>
      </c>
      <c r="L2412" s="110">
        <v>3</v>
      </c>
      <c r="M2412" s="113"/>
      <c r="N2412" s="108" t="s">
        <v>18908</v>
      </c>
      <c r="O2412" s="110">
        <v>3</v>
      </c>
      <c r="P2412" s="113"/>
      <c r="Q2412" s="108" t="s">
        <v>18911</v>
      </c>
      <c r="R2412" s="110">
        <v>3</v>
      </c>
      <c r="S2412" s="113"/>
      <c r="T2412" s="108" t="s">
        <v>18912</v>
      </c>
      <c r="U2412" s="117">
        <v>2</v>
      </c>
      <c r="V2412" s="113"/>
      <c r="W2412" s="108" t="s">
        <v>18913</v>
      </c>
      <c r="X2412" s="110">
        <v>3</v>
      </c>
      <c r="Y2412" s="113"/>
      <c r="Z2412" s="108" t="s">
        <v>18914</v>
      </c>
      <c r="AA2412" s="117">
        <v>2</v>
      </c>
      <c r="AB2412" s="113"/>
      <c r="AC2412" s="105" t="s">
        <v>5452</v>
      </c>
      <c r="AD2412" s="115" t="s">
        <v>49</v>
      </c>
    </row>
    <row r="2413" spans="1:30" x14ac:dyDescent="0.2">
      <c r="A2413" s="104" t="s">
        <v>5453</v>
      </c>
      <c r="B2413" s="105" t="s">
        <v>42</v>
      </c>
      <c r="C2413" s="105" t="s">
        <v>375</v>
      </c>
      <c r="D2413" s="106" t="s">
        <v>125</v>
      </c>
      <c r="E2413" s="107"/>
      <c r="F2413" s="108" t="s">
        <v>18915</v>
      </c>
      <c r="G2413" s="109">
        <v>4</v>
      </c>
      <c r="H2413" s="108" t="s">
        <v>18916</v>
      </c>
      <c r="I2413" s="112">
        <v>4</v>
      </c>
      <c r="J2413" s="111" t="s">
        <v>55</v>
      </c>
      <c r="K2413" s="108" t="s">
        <v>18917</v>
      </c>
      <c r="L2413" s="110">
        <v>3</v>
      </c>
      <c r="M2413" s="113"/>
      <c r="N2413" s="108" t="s">
        <v>18915</v>
      </c>
      <c r="O2413" s="112">
        <v>4</v>
      </c>
      <c r="P2413" s="111" t="s">
        <v>46</v>
      </c>
      <c r="Q2413" s="108" t="s">
        <v>18918</v>
      </c>
      <c r="R2413" s="110">
        <v>3</v>
      </c>
      <c r="S2413" s="113"/>
      <c r="T2413" s="108" t="s">
        <v>18919</v>
      </c>
      <c r="U2413" s="110">
        <v>3</v>
      </c>
      <c r="V2413" s="113"/>
      <c r="W2413" s="108" t="s">
        <v>18920</v>
      </c>
      <c r="X2413" s="110">
        <v>3</v>
      </c>
      <c r="Y2413" s="113"/>
      <c r="Z2413" s="108" t="s">
        <v>18921</v>
      </c>
      <c r="AA2413" s="110">
        <v>3</v>
      </c>
      <c r="AB2413" s="111" t="s">
        <v>46</v>
      </c>
      <c r="AC2413" s="105" t="s">
        <v>5454</v>
      </c>
      <c r="AD2413" s="115" t="s">
        <v>49</v>
      </c>
    </row>
    <row r="2414" spans="1:30" x14ac:dyDescent="0.2">
      <c r="A2414" s="104" t="s">
        <v>5455</v>
      </c>
      <c r="B2414" s="105" t="s">
        <v>42</v>
      </c>
      <c r="C2414" s="105" t="s">
        <v>244</v>
      </c>
      <c r="D2414" s="106"/>
      <c r="E2414" s="107" t="s">
        <v>146</v>
      </c>
      <c r="F2414" s="108" t="s">
        <v>18922</v>
      </c>
      <c r="G2414" s="120">
        <v>2</v>
      </c>
      <c r="H2414" s="108" t="s">
        <v>18923</v>
      </c>
      <c r="I2414" s="110">
        <v>3</v>
      </c>
      <c r="J2414" s="111" t="s">
        <v>55</v>
      </c>
      <c r="K2414" s="108" t="s">
        <v>18924</v>
      </c>
      <c r="L2414" s="117">
        <v>2</v>
      </c>
      <c r="M2414" s="113"/>
      <c r="N2414" s="108" t="s">
        <v>18922</v>
      </c>
      <c r="O2414" s="117">
        <v>2</v>
      </c>
      <c r="P2414" s="113"/>
      <c r="Q2414" s="108" t="s">
        <v>18925</v>
      </c>
      <c r="R2414" s="110">
        <v>3</v>
      </c>
      <c r="S2414" s="113"/>
      <c r="T2414" s="108" t="s">
        <v>47</v>
      </c>
      <c r="U2414" s="114"/>
      <c r="V2414" s="113"/>
      <c r="W2414" s="108" t="s">
        <v>47</v>
      </c>
      <c r="X2414" s="114"/>
      <c r="Y2414" s="113"/>
      <c r="Z2414" s="108" t="s">
        <v>47</v>
      </c>
      <c r="AA2414" s="114"/>
      <c r="AB2414" s="113"/>
      <c r="AC2414" s="105" t="s">
        <v>5456</v>
      </c>
      <c r="AD2414" s="115" t="s">
        <v>107</v>
      </c>
    </row>
    <row r="2415" spans="1:30" x14ac:dyDescent="0.2">
      <c r="A2415" s="104" t="s">
        <v>5457</v>
      </c>
      <c r="B2415" s="105" t="s">
        <v>42</v>
      </c>
      <c r="C2415" s="105" t="s">
        <v>244</v>
      </c>
      <c r="D2415" s="106" t="s">
        <v>125</v>
      </c>
      <c r="E2415" s="107" t="s">
        <v>146</v>
      </c>
      <c r="F2415" s="108" t="s">
        <v>18926</v>
      </c>
      <c r="G2415" s="120">
        <v>2</v>
      </c>
      <c r="H2415" s="108" t="s">
        <v>18927</v>
      </c>
      <c r="I2415" s="110">
        <v>3</v>
      </c>
      <c r="J2415" s="111" t="s">
        <v>55</v>
      </c>
      <c r="K2415" s="108" t="s">
        <v>18928</v>
      </c>
      <c r="L2415" s="117">
        <v>2</v>
      </c>
      <c r="M2415" s="113"/>
      <c r="N2415" s="108" t="s">
        <v>18926</v>
      </c>
      <c r="O2415" s="117">
        <v>2</v>
      </c>
      <c r="P2415" s="113"/>
      <c r="Q2415" s="108" t="s">
        <v>18929</v>
      </c>
      <c r="R2415" s="110">
        <v>3</v>
      </c>
      <c r="S2415" s="113"/>
      <c r="T2415" s="108" t="s">
        <v>18930</v>
      </c>
      <c r="U2415" s="117">
        <v>2</v>
      </c>
      <c r="V2415" s="113"/>
      <c r="W2415" s="108" t="s">
        <v>18931</v>
      </c>
      <c r="X2415" s="110">
        <v>3</v>
      </c>
      <c r="Y2415" s="113"/>
      <c r="Z2415" s="108" t="s">
        <v>18932</v>
      </c>
      <c r="AA2415" s="110">
        <v>3</v>
      </c>
      <c r="AB2415" s="111" t="s">
        <v>40</v>
      </c>
      <c r="AC2415" s="105" t="s">
        <v>5458</v>
      </c>
      <c r="AD2415" s="115" t="s">
        <v>107</v>
      </c>
    </row>
    <row r="2416" spans="1:30" x14ac:dyDescent="0.2">
      <c r="A2416" s="104" t="s">
        <v>5459</v>
      </c>
      <c r="B2416" s="105" t="s">
        <v>42</v>
      </c>
      <c r="C2416" s="105" t="s">
        <v>279</v>
      </c>
      <c r="D2416" s="106" t="s">
        <v>125</v>
      </c>
      <c r="E2416" s="107" t="s">
        <v>146</v>
      </c>
      <c r="F2416" s="108" t="s">
        <v>18933</v>
      </c>
      <c r="G2416" s="118">
        <v>3</v>
      </c>
      <c r="H2416" s="108" t="s">
        <v>18934</v>
      </c>
      <c r="I2416" s="112">
        <v>4</v>
      </c>
      <c r="J2416" s="111" t="s">
        <v>44</v>
      </c>
      <c r="K2416" s="108" t="s">
        <v>18935</v>
      </c>
      <c r="L2416" s="110">
        <v>3</v>
      </c>
      <c r="M2416" s="111" t="s">
        <v>46</v>
      </c>
      <c r="N2416" s="108" t="s">
        <v>18933</v>
      </c>
      <c r="O2416" s="110">
        <v>3</v>
      </c>
      <c r="P2416" s="111" t="s">
        <v>46</v>
      </c>
      <c r="Q2416" s="108" t="s">
        <v>18936</v>
      </c>
      <c r="R2416" s="110">
        <v>3</v>
      </c>
      <c r="S2416" s="113"/>
      <c r="T2416" s="108" t="s">
        <v>5460</v>
      </c>
      <c r="U2416" s="110">
        <v>3</v>
      </c>
      <c r="V2416" s="113"/>
      <c r="W2416" s="108" t="s">
        <v>18937</v>
      </c>
      <c r="X2416" s="110">
        <v>3</v>
      </c>
      <c r="Y2416" s="113"/>
      <c r="Z2416" s="108" t="s">
        <v>18938</v>
      </c>
      <c r="AA2416" s="110">
        <v>3</v>
      </c>
      <c r="AB2416" s="111" t="s">
        <v>40</v>
      </c>
      <c r="AC2416" s="105" t="s">
        <v>5461</v>
      </c>
      <c r="AD2416" s="115" t="s">
        <v>49</v>
      </c>
    </row>
    <row r="2417" spans="1:30" x14ac:dyDescent="0.2">
      <c r="A2417" s="104" t="s">
        <v>5462</v>
      </c>
      <c r="B2417" s="105" t="s">
        <v>42</v>
      </c>
      <c r="C2417" s="105" t="s">
        <v>306</v>
      </c>
      <c r="D2417" s="106" t="s">
        <v>125</v>
      </c>
      <c r="E2417" s="107" t="s">
        <v>146</v>
      </c>
      <c r="F2417" s="108" t="s">
        <v>8109</v>
      </c>
      <c r="G2417" s="120">
        <v>2</v>
      </c>
      <c r="H2417" s="108" t="s">
        <v>18939</v>
      </c>
      <c r="I2417" s="112">
        <v>4</v>
      </c>
      <c r="J2417" s="111" t="s">
        <v>55</v>
      </c>
      <c r="K2417" s="108" t="s">
        <v>15928</v>
      </c>
      <c r="L2417" s="117">
        <v>2</v>
      </c>
      <c r="M2417" s="113"/>
      <c r="N2417" s="108" t="s">
        <v>8109</v>
      </c>
      <c r="O2417" s="117">
        <v>2</v>
      </c>
      <c r="P2417" s="113"/>
      <c r="Q2417" s="108" t="s">
        <v>18940</v>
      </c>
      <c r="R2417" s="110">
        <v>3</v>
      </c>
      <c r="S2417" s="113"/>
      <c r="T2417" s="108" t="s">
        <v>18941</v>
      </c>
      <c r="U2417" s="117">
        <v>2</v>
      </c>
      <c r="V2417" s="113"/>
      <c r="W2417" s="108" t="s">
        <v>18942</v>
      </c>
      <c r="X2417" s="117">
        <v>2</v>
      </c>
      <c r="Y2417" s="113"/>
      <c r="Z2417" s="108" t="s">
        <v>18943</v>
      </c>
      <c r="AA2417" s="117">
        <v>2</v>
      </c>
      <c r="AB2417" s="111" t="s">
        <v>40</v>
      </c>
      <c r="AC2417" s="105" t="s">
        <v>5463</v>
      </c>
      <c r="AD2417" s="115" t="s">
        <v>107</v>
      </c>
    </row>
    <row r="2418" spans="1:30" x14ac:dyDescent="0.2">
      <c r="A2418" s="104" t="s">
        <v>5464</v>
      </c>
      <c r="B2418" s="105" t="s">
        <v>42</v>
      </c>
      <c r="C2418" s="105" t="s">
        <v>293</v>
      </c>
      <c r="D2418" s="106" t="s">
        <v>125</v>
      </c>
      <c r="E2418" s="107"/>
      <c r="F2418" s="108" t="s">
        <v>18944</v>
      </c>
      <c r="G2418" s="118">
        <v>3</v>
      </c>
      <c r="H2418" s="108" t="s">
        <v>9042</v>
      </c>
      <c r="I2418" s="110">
        <v>3</v>
      </c>
      <c r="J2418" s="111" t="s">
        <v>55</v>
      </c>
      <c r="K2418" s="108" t="s">
        <v>18945</v>
      </c>
      <c r="L2418" s="110">
        <v>3</v>
      </c>
      <c r="M2418" s="111" t="s">
        <v>46</v>
      </c>
      <c r="N2418" s="108" t="s">
        <v>18944</v>
      </c>
      <c r="O2418" s="110">
        <v>3</v>
      </c>
      <c r="P2418" s="113"/>
      <c r="Q2418" s="108" t="s">
        <v>5465</v>
      </c>
      <c r="R2418" s="112">
        <v>4</v>
      </c>
      <c r="S2418" s="113"/>
      <c r="T2418" s="108" t="s">
        <v>18946</v>
      </c>
      <c r="U2418" s="112">
        <v>4</v>
      </c>
      <c r="V2418" s="113"/>
      <c r="W2418" s="108" t="s">
        <v>18947</v>
      </c>
      <c r="X2418" s="112">
        <v>4</v>
      </c>
      <c r="Y2418" s="113"/>
      <c r="Z2418" s="108" t="s">
        <v>5466</v>
      </c>
      <c r="AA2418" s="112">
        <v>4</v>
      </c>
      <c r="AB2418" s="111" t="s">
        <v>55</v>
      </c>
      <c r="AC2418" s="105" t="s">
        <v>5467</v>
      </c>
      <c r="AD2418" s="115" t="s">
        <v>49</v>
      </c>
    </row>
    <row r="2419" spans="1:30" x14ac:dyDescent="0.2">
      <c r="A2419" s="104" t="s">
        <v>5468</v>
      </c>
      <c r="B2419" s="105" t="s">
        <v>42</v>
      </c>
      <c r="C2419" s="105" t="s">
        <v>2161</v>
      </c>
      <c r="D2419" s="106" t="s">
        <v>105</v>
      </c>
      <c r="E2419" s="107"/>
      <c r="F2419" s="108" t="s">
        <v>18948</v>
      </c>
      <c r="G2419" s="118">
        <v>3</v>
      </c>
      <c r="H2419" s="108" t="s">
        <v>18949</v>
      </c>
      <c r="I2419" s="112">
        <v>4</v>
      </c>
      <c r="J2419" s="111" t="s">
        <v>55</v>
      </c>
      <c r="K2419" s="108" t="s">
        <v>18950</v>
      </c>
      <c r="L2419" s="110">
        <v>3</v>
      </c>
      <c r="M2419" s="111" t="s">
        <v>46</v>
      </c>
      <c r="N2419" s="108" t="s">
        <v>18948</v>
      </c>
      <c r="O2419" s="110">
        <v>3</v>
      </c>
      <c r="P2419" s="111" t="s">
        <v>46</v>
      </c>
      <c r="Q2419" s="108" t="s">
        <v>5469</v>
      </c>
      <c r="R2419" s="117">
        <v>2</v>
      </c>
      <c r="S2419" s="111" t="s">
        <v>40</v>
      </c>
      <c r="T2419" s="108" t="s">
        <v>18951</v>
      </c>
      <c r="U2419" s="112">
        <v>4</v>
      </c>
      <c r="V2419" s="113"/>
      <c r="W2419" s="108" t="s">
        <v>18952</v>
      </c>
      <c r="X2419" s="112">
        <v>4</v>
      </c>
      <c r="Y2419" s="113"/>
      <c r="Z2419" s="108" t="s">
        <v>18953</v>
      </c>
      <c r="AA2419" s="110">
        <v>3</v>
      </c>
      <c r="AB2419" s="111" t="s">
        <v>40</v>
      </c>
      <c r="AC2419" s="105" t="s">
        <v>5470</v>
      </c>
      <c r="AD2419" s="115" t="s">
        <v>49</v>
      </c>
    </row>
    <row r="2420" spans="1:30" x14ac:dyDescent="0.2">
      <c r="A2420" s="104" t="s">
        <v>5471</v>
      </c>
      <c r="B2420" s="105" t="s">
        <v>42</v>
      </c>
      <c r="C2420" s="105" t="s">
        <v>332</v>
      </c>
      <c r="D2420" s="106" t="s">
        <v>125</v>
      </c>
      <c r="E2420" s="107"/>
      <c r="F2420" s="108" t="s">
        <v>18954</v>
      </c>
      <c r="G2420" s="109">
        <v>4</v>
      </c>
      <c r="H2420" s="108" t="s">
        <v>18955</v>
      </c>
      <c r="I2420" s="112">
        <v>4</v>
      </c>
      <c r="J2420" s="111" t="s">
        <v>55</v>
      </c>
      <c r="K2420" s="108" t="s">
        <v>18956</v>
      </c>
      <c r="L2420" s="112">
        <v>4</v>
      </c>
      <c r="M2420" s="111" t="s">
        <v>46</v>
      </c>
      <c r="N2420" s="108" t="s">
        <v>18954</v>
      </c>
      <c r="O2420" s="112">
        <v>4</v>
      </c>
      <c r="P2420" s="111" t="s">
        <v>46</v>
      </c>
      <c r="Q2420" s="108" t="s">
        <v>18957</v>
      </c>
      <c r="R2420" s="112">
        <v>4</v>
      </c>
      <c r="S2420" s="111" t="s">
        <v>46</v>
      </c>
      <c r="T2420" s="108" t="s">
        <v>18958</v>
      </c>
      <c r="U2420" s="110">
        <v>3</v>
      </c>
      <c r="V2420" s="113"/>
      <c r="W2420" s="108" t="s">
        <v>18959</v>
      </c>
      <c r="X2420" s="112">
        <v>4</v>
      </c>
      <c r="Y2420" s="113"/>
      <c r="Z2420" s="108" t="s">
        <v>18960</v>
      </c>
      <c r="AA2420" s="110">
        <v>3</v>
      </c>
      <c r="AB2420" s="113"/>
      <c r="AC2420" s="105" t="s">
        <v>5472</v>
      </c>
      <c r="AD2420" s="115" t="s">
        <v>49</v>
      </c>
    </row>
    <row r="2421" spans="1:30" x14ac:dyDescent="0.2">
      <c r="A2421" s="104" t="s">
        <v>5473</v>
      </c>
      <c r="B2421" s="105" t="s">
        <v>42</v>
      </c>
      <c r="C2421" s="105" t="s">
        <v>2248</v>
      </c>
      <c r="D2421" s="106"/>
      <c r="E2421" s="107" t="s">
        <v>376</v>
      </c>
      <c r="F2421" s="108" t="s">
        <v>18961</v>
      </c>
      <c r="G2421" s="119">
        <v>1</v>
      </c>
      <c r="H2421" s="108" t="s">
        <v>18962</v>
      </c>
      <c r="I2421" s="116">
        <v>1</v>
      </c>
      <c r="J2421" s="111" t="s">
        <v>40</v>
      </c>
      <c r="K2421" s="108" t="s">
        <v>18963</v>
      </c>
      <c r="L2421" s="117">
        <v>2</v>
      </c>
      <c r="M2421" s="113"/>
      <c r="N2421" s="108" t="s">
        <v>18961</v>
      </c>
      <c r="O2421" s="116">
        <v>1</v>
      </c>
      <c r="P2421" s="111" t="s">
        <v>40</v>
      </c>
      <c r="Q2421" s="108" t="s">
        <v>18964</v>
      </c>
      <c r="R2421" s="116">
        <v>1</v>
      </c>
      <c r="S2421" s="113"/>
      <c r="T2421" s="108" t="s">
        <v>12037</v>
      </c>
      <c r="U2421" s="116">
        <v>1</v>
      </c>
      <c r="V2421" s="113"/>
      <c r="W2421" s="108" t="s">
        <v>18965</v>
      </c>
      <c r="X2421" s="117">
        <v>2</v>
      </c>
      <c r="Y2421" s="113"/>
      <c r="Z2421" s="108" t="s">
        <v>18966</v>
      </c>
      <c r="AA2421" s="116">
        <v>1</v>
      </c>
      <c r="AB2421" s="111" t="s">
        <v>40</v>
      </c>
      <c r="AC2421" s="105" t="s">
        <v>5474</v>
      </c>
      <c r="AD2421" s="115" t="s">
        <v>107</v>
      </c>
    </row>
    <row r="2422" spans="1:30" x14ac:dyDescent="0.2">
      <c r="A2422" s="104" t="s">
        <v>5475</v>
      </c>
      <c r="B2422" s="105" t="s">
        <v>42</v>
      </c>
      <c r="C2422" s="105" t="s">
        <v>347</v>
      </c>
      <c r="D2422" s="106" t="s">
        <v>125</v>
      </c>
      <c r="E2422" s="107"/>
      <c r="F2422" s="108" t="s">
        <v>18967</v>
      </c>
      <c r="G2422" s="118">
        <v>3</v>
      </c>
      <c r="H2422" s="108" t="s">
        <v>18968</v>
      </c>
      <c r="I2422" s="112">
        <v>4</v>
      </c>
      <c r="J2422" s="111" t="s">
        <v>55</v>
      </c>
      <c r="K2422" s="108" t="s">
        <v>18969</v>
      </c>
      <c r="L2422" s="117">
        <v>2</v>
      </c>
      <c r="M2422" s="111" t="s">
        <v>46</v>
      </c>
      <c r="N2422" s="108" t="s">
        <v>18967</v>
      </c>
      <c r="O2422" s="110">
        <v>3</v>
      </c>
      <c r="P2422" s="111" t="s">
        <v>55</v>
      </c>
      <c r="Q2422" s="108" t="s">
        <v>18970</v>
      </c>
      <c r="R2422" s="112">
        <v>4</v>
      </c>
      <c r="S2422" s="111" t="s">
        <v>46</v>
      </c>
      <c r="T2422" s="108" t="s">
        <v>18971</v>
      </c>
      <c r="U2422" s="112">
        <v>4</v>
      </c>
      <c r="V2422" s="111" t="s">
        <v>46</v>
      </c>
      <c r="W2422" s="108" t="s">
        <v>18972</v>
      </c>
      <c r="X2422" s="112">
        <v>4</v>
      </c>
      <c r="Y2422" s="111" t="s">
        <v>46</v>
      </c>
      <c r="Z2422" s="108" t="s">
        <v>11988</v>
      </c>
      <c r="AA2422" s="112">
        <v>4</v>
      </c>
      <c r="AB2422" s="111" t="s">
        <v>46</v>
      </c>
      <c r="AC2422" s="105" t="s">
        <v>5476</v>
      </c>
      <c r="AD2422" s="115" t="s">
        <v>49</v>
      </c>
    </row>
    <row r="2423" spans="1:30" x14ac:dyDescent="0.2">
      <c r="A2423" s="104" t="s">
        <v>5477</v>
      </c>
      <c r="B2423" s="105" t="s">
        <v>42</v>
      </c>
      <c r="C2423" s="105" t="s">
        <v>7945</v>
      </c>
      <c r="D2423" s="106" t="s">
        <v>125</v>
      </c>
      <c r="E2423" s="107"/>
      <c r="F2423" s="108" t="s">
        <v>18973</v>
      </c>
      <c r="G2423" s="109">
        <v>4</v>
      </c>
      <c r="H2423" s="108" t="s">
        <v>18974</v>
      </c>
      <c r="I2423" s="110">
        <v>3</v>
      </c>
      <c r="J2423" s="113"/>
      <c r="K2423" s="108" t="s">
        <v>18975</v>
      </c>
      <c r="L2423" s="110">
        <v>3</v>
      </c>
      <c r="M2423" s="111" t="s">
        <v>40</v>
      </c>
      <c r="N2423" s="108" t="s">
        <v>18973</v>
      </c>
      <c r="O2423" s="112">
        <v>4</v>
      </c>
      <c r="P2423" s="113"/>
      <c r="Q2423" s="108" t="s">
        <v>18976</v>
      </c>
      <c r="R2423" s="110">
        <v>3</v>
      </c>
      <c r="S2423" s="113"/>
      <c r="T2423" s="108" t="s">
        <v>18977</v>
      </c>
      <c r="U2423" s="110">
        <v>3</v>
      </c>
      <c r="V2423" s="113"/>
      <c r="W2423" s="108" t="s">
        <v>18978</v>
      </c>
      <c r="X2423" s="110">
        <v>3</v>
      </c>
      <c r="Y2423" s="113"/>
      <c r="Z2423" s="108" t="s">
        <v>18979</v>
      </c>
      <c r="AA2423" s="110">
        <v>3</v>
      </c>
      <c r="AB2423" s="113"/>
      <c r="AC2423" s="105" t="s">
        <v>5478</v>
      </c>
      <c r="AD2423" s="115" t="s">
        <v>49</v>
      </c>
    </row>
    <row r="2424" spans="1:30" x14ac:dyDescent="0.2">
      <c r="A2424" s="104" t="s">
        <v>5479</v>
      </c>
      <c r="B2424" s="105" t="s">
        <v>42</v>
      </c>
      <c r="C2424" s="105" t="s">
        <v>338</v>
      </c>
      <c r="D2424" s="106" t="s">
        <v>94</v>
      </c>
      <c r="E2424" s="107"/>
      <c r="F2424" s="108" t="s">
        <v>18980</v>
      </c>
      <c r="G2424" s="118">
        <v>3</v>
      </c>
      <c r="H2424" s="108" t="s">
        <v>11038</v>
      </c>
      <c r="I2424" s="117">
        <v>2</v>
      </c>
      <c r="J2424" s="113"/>
      <c r="K2424" s="108" t="s">
        <v>5480</v>
      </c>
      <c r="L2424" s="116">
        <v>1</v>
      </c>
      <c r="M2424" s="113"/>
      <c r="N2424" s="108" t="s">
        <v>18980</v>
      </c>
      <c r="O2424" s="110">
        <v>3</v>
      </c>
      <c r="P2424" s="113"/>
      <c r="Q2424" s="108" t="s">
        <v>5481</v>
      </c>
      <c r="R2424" s="117">
        <v>2</v>
      </c>
      <c r="S2424" s="111" t="s">
        <v>40</v>
      </c>
      <c r="T2424" s="108" t="s">
        <v>18981</v>
      </c>
      <c r="U2424" s="117">
        <v>2</v>
      </c>
      <c r="V2424" s="113"/>
      <c r="W2424" s="108" t="s">
        <v>18982</v>
      </c>
      <c r="X2424" s="117">
        <v>2</v>
      </c>
      <c r="Y2424" s="113"/>
      <c r="Z2424" s="108" t="s">
        <v>962</v>
      </c>
      <c r="AA2424" s="117">
        <v>2</v>
      </c>
      <c r="AB2424" s="111" t="s">
        <v>46</v>
      </c>
      <c r="AC2424" s="105" t="s">
        <v>5482</v>
      </c>
      <c r="AD2424" s="115" t="s">
        <v>49</v>
      </c>
    </row>
    <row r="2425" spans="1:30" x14ac:dyDescent="0.2">
      <c r="A2425" s="104" t="s">
        <v>5483</v>
      </c>
      <c r="B2425" s="105" t="s">
        <v>42</v>
      </c>
      <c r="C2425" s="105" t="s">
        <v>2592</v>
      </c>
      <c r="D2425" s="106"/>
      <c r="E2425" s="107"/>
      <c r="F2425" s="108" t="s">
        <v>18983</v>
      </c>
      <c r="G2425" s="118">
        <v>3</v>
      </c>
      <c r="H2425" s="108" t="s">
        <v>18984</v>
      </c>
      <c r="I2425" s="110">
        <v>3</v>
      </c>
      <c r="J2425" s="111" t="s">
        <v>46</v>
      </c>
      <c r="K2425" s="108" t="s">
        <v>18985</v>
      </c>
      <c r="L2425" s="117">
        <v>2</v>
      </c>
      <c r="M2425" s="113"/>
      <c r="N2425" s="108" t="s">
        <v>18983</v>
      </c>
      <c r="O2425" s="110">
        <v>3</v>
      </c>
      <c r="P2425" s="113"/>
      <c r="Q2425" s="108" t="s">
        <v>18986</v>
      </c>
      <c r="R2425" s="110">
        <v>3</v>
      </c>
      <c r="S2425" s="111" t="s">
        <v>46</v>
      </c>
      <c r="T2425" s="108" t="s">
        <v>18987</v>
      </c>
      <c r="U2425" s="117">
        <v>2</v>
      </c>
      <c r="V2425" s="111" t="s">
        <v>40</v>
      </c>
      <c r="W2425" s="108" t="s">
        <v>18988</v>
      </c>
      <c r="X2425" s="110">
        <v>3</v>
      </c>
      <c r="Y2425" s="113"/>
      <c r="Z2425" s="108" t="s">
        <v>18989</v>
      </c>
      <c r="AA2425" s="110">
        <v>3</v>
      </c>
      <c r="AB2425" s="113"/>
      <c r="AC2425" s="105" t="s">
        <v>5484</v>
      </c>
      <c r="AD2425" s="115" t="s">
        <v>49</v>
      </c>
    </row>
    <row r="2426" spans="1:30" x14ac:dyDescent="0.2">
      <c r="A2426" s="104" t="s">
        <v>18990</v>
      </c>
      <c r="B2426" s="105" t="s">
        <v>42</v>
      </c>
      <c r="C2426" s="105" t="s">
        <v>3841</v>
      </c>
      <c r="D2426" s="106"/>
      <c r="E2426" s="107"/>
      <c r="F2426" s="108" t="s">
        <v>18991</v>
      </c>
      <c r="G2426" s="119">
        <v>1</v>
      </c>
      <c r="H2426" s="108" t="s">
        <v>18992</v>
      </c>
      <c r="I2426" s="116">
        <v>1</v>
      </c>
      <c r="J2426" s="113"/>
      <c r="K2426" s="108" t="s">
        <v>18992</v>
      </c>
      <c r="L2426" s="116">
        <v>1</v>
      </c>
      <c r="M2426" s="113"/>
      <c r="N2426" s="108" t="s">
        <v>18991</v>
      </c>
      <c r="O2426" s="116">
        <v>1</v>
      </c>
      <c r="P2426" s="113"/>
      <c r="Q2426" s="108" t="s">
        <v>18993</v>
      </c>
      <c r="R2426" s="116">
        <v>1</v>
      </c>
      <c r="S2426" s="113"/>
      <c r="T2426" s="108" t="s">
        <v>47</v>
      </c>
      <c r="U2426" s="114"/>
      <c r="V2426" s="113"/>
      <c r="W2426" s="108" t="s">
        <v>47</v>
      </c>
      <c r="X2426" s="114"/>
      <c r="Y2426" s="113"/>
      <c r="Z2426" s="108" t="s">
        <v>47</v>
      </c>
      <c r="AA2426" s="114"/>
      <c r="AB2426" s="113"/>
      <c r="AC2426" s="105" t="s">
        <v>5485</v>
      </c>
      <c r="AD2426" s="115" t="s">
        <v>49</v>
      </c>
    </row>
    <row r="2427" spans="1:30" x14ac:dyDescent="0.2">
      <c r="A2427" s="104" t="s">
        <v>5486</v>
      </c>
      <c r="B2427" s="105" t="s">
        <v>42</v>
      </c>
      <c r="C2427" s="105" t="s">
        <v>2821</v>
      </c>
      <c r="D2427" s="106"/>
      <c r="E2427" s="107"/>
      <c r="F2427" s="108" t="s">
        <v>18994</v>
      </c>
      <c r="G2427" s="118">
        <v>3</v>
      </c>
      <c r="H2427" s="108" t="s">
        <v>18995</v>
      </c>
      <c r="I2427" s="116">
        <v>1</v>
      </c>
      <c r="J2427" s="111" t="s">
        <v>53</v>
      </c>
      <c r="K2427" s="108" t="s">
        <v>18996</v>
      </c>
      <c r="L2427" s="117">
        <v>2</v>
      </c>
      <c r="M2427" s="111" t="s">
        <v>40</v>
      </c>
      <c r="N2427" s="108" t="s">
        <v>18994</v>
      </c>
      <c r="O2427" s="110">
        <v>3</v>
      </c>
      <c r="P2427" s="113"/>
      <c r="Q2427" s="108" t="s">
        <v>47</v>
      </c>
      <c r="R2427" s="114"/>
      <c r="S2427" s="113"/>
      <c r="T2427" s="108" t="s">
        <v>47</v>
      </c>
      <c r="U2427" s="114"/>
      <c r="V2427" s="113"/>
      <c r="W2427" s="108" t="s">
        <v>47</v>
      </c>
      <c r="X2427" s="114"/>
      <c r="Y2427" s="113"/>
      <c r="Z2427" s="108" t="s">
        <v>47</v>
      </c>
      <c r="AA2427" s="114"/>
      <c r="AB2427" s="113"/>
      <c r="AC2427" s="105" t="s">
        <v>5487</v>
      </c>
      <c r="AD2427" s="115" t="s">
        <v>49</v>
      </c>
    </row>
    <row r="2428" spans="1:30" x14ac:dyDescent="0.2">
      <c r="A2428" s="104" t="s">
        <v>5488</v>
      </c>
      <c r="B2428" s="105" t="s">
        <v>42</v>
      </c>
      <c r="C2428" s="105" t="s">
        <v>2821</v>
      </c>
      <c r="D2428" s="106"/>
      <c r="E2428" s="107"/>
      <c r="F2428" s="108" t="s">
        <v>18997</v>
      </c>
      <c r="G2428" s="118">
        <v>3</v>
      </c>
      <c r="H2428" s="108" t="s">
        <v>18998</v>
      </c>
      <c r="I2428" s="116">
        <v>1</v>
      </c>
      <c r="J2428" s="111" t="s">
        <v>53</v>
      </c>
      <c r="K2428" s="108" t="s">
        <v>18999</v>
      </c>
      <c r="L2428" s="117">
        <v>2</v>
      </c>
      <c r="M2428" s="111" t="s">
        <v>40</v>
      </c>
      <c r="N2428" s="108" t="s">
        <v>18997</v>
      </c>
      <c r="O2428" s="110">
        <v>3</v>
      </c>
      <c r="P2428" s="113"/>
      <c r="Q2428" s="108" t="s">
        <v>47</v>
      </c>
      <c r="R2428" s="114"/>
      <c r="S2428" s="113"/>
      <c r="T2428" s="108" t="s">
        <v>47</v>
      </c>
      <c r="U2428" s="114"/>
      <c r="V2428" s="113"/>
      <c r="W2428" s="108" t="s">
        <v>47</v>
      </c>
      <c r="X2428" s="114"/>
      <c r="Y2428" s="113"/>
      <c r="Z2428" s="108" t="s">
        <v>47</v>
      </c>
      <c r="AA2428" s="114"/>
      <c r="AB2428" s="113"/>
      <c r="AC2428" s="105" t="s">
        <v>5489</v>
      </c>
      <c r="AD2428" s="115" t="s">
        <v>49</v>
      </c>
    </row>
    <row r="2429" spans="1:30" x14ac:dyDescent="0.2">
      <c r="A2429" s="104" t="s">
        <v>5490</v>
      </c>
      <c r="B2429" s="105" t="s">
        <v>42</v>
      </c>
      <c r="C2429" s="105" t="s">
        <v>355</v>
      </c>
      <c r="D2429" s="106" t="s">
        <v>94</v>
      </c>
      <c r="E2429" s="107"/>
      <c r="F2429" s="108" t="s">
        <v>5491</v>
      </c>
      <c r="G2429" s="119">
        <v>1</v>
      </c>
      <c r="H2429" s="108" t="s">
        <v>19000</v>
      </c>
      <c r="I2429" s="112">
        <v>4</v>
      </c>
      <c r="J2429" s="111" t="s">
        <v>44</v>
      </c>
      <c r="K2429" s="108" t="s">
        <v>19001</v>
      </c>
      <c r="L2429" s="117">
        <v>2</v>
      </c>
      <c r="M2429" s="111" t="s">
        <v>46</v>
      </c>
      <c r="N2429" s="108" t="s">
        <v>5491</v>
      </c>
      <c r="O2429" s="116">
        <v>1</v>
      </c>
      <c r="P2429" s="113"/>
      <c r="Q2429" s="108" t="s">
        <v>19002</v>
      </c>
      <c r="R2429" s="117">
        <v>2</v>
      </c>
      <c r="S2429" s="111" t="s">
        <v>46</v>
      </c>
      <c r="T2429" s="108" t="s">
        <v>5492</v>
      </c>
      <c r="U2429" s="116">
        <v>1</v>
      </c>
      <c r="V2429" s="113"/>
      <c r="W2429" s="108" t="s">
        <v>47</v>
      </c>
      <c r="X2429" s="114"/>
      <c r="Y2429" s="113"/>
      <c r="Z2429" s="108" t="s">
        <v>47</v>
      </c>
      <c r="AA2429" s="114"/>
      <c r="AB2429" s="113"/>
      <c r="AC2429" s="105" t="s">
        <v>5493</v>
      </c>
      <c r="AD2429" s="115" t="s">
        <v>49</v>
      </c>
    </row>
    <row r="2430" spans="1:30" x14ac:dyDescent="0.2">
      <c r="A2430" s="104" t="s">
        <v>5494</v>
      </c>
      <c r="B2430" s="105" t="s">
        <v>42</v>
      </c>
      <c r="C2430" s="105" t="s">
        <v>43</v>
      </c>
      <c r="D2430" s="106"/>
      <c r="E2430" s="107"/>
      <c r="F2430" s="108" t="s">
        <v>19003</v>
      </c>
      <c r="G2430" s="120">
        <v>2</v>
      </c>
      <c r="H2430" s="108" t="s">
        <v>19004</v>
      </c>
      <c r="I2430" s="110">
        <v>3</v>
      </c>
      <c r="J2430" s="111" t="s">
        <v>55</v>
      </c>
      <c r="K2430" s="108" t="s">
        <v>19005</v>
      </c>
      <c r="L2430" s="110">
        <v>3</v>
      </c>
      <c r="M2430" s="111" t="s">
        <v>55</v>
      </c>
      <c r="N2430" s="108" t="s">
        <v>19003</v>
      </c>
      <c r="O2430" s="117">
        <v>2</v>
      </c>
      <c r="P2430" s="113"/>
      <c r="Q2430" s="108" t="s">
        <v>19006</v>
      </c>
      <c r="R2430" s="117">
        <v>2</v>
      </c>
      <c r="S2430" s="113"/>
      <c r="T2430" s="108" t="s">
        <v>19007</v>
      </c>
      <c r="U2430" s="112">
        <v>4</v>
      </c>
      <c r="V2430" s="113"/>
      <c r="W2430" s="108" t="s">
        <v>19008</v>
      </c>
      <c r="X2430" s="112">
        <v>4</v>
      </c>
      <c r="Y2430" s="111" t="s">
        <v>46</v>
      </c>
      <c r="Z2430" s="108" t="s">
        <v>47</v>
      </c>
      <c r="AA2430" s="114"/>
      <c r="AB2430" s="113"/>
      <c r="AC2430" s="105" t="s">
        <v>5495</v>
      </c>
      <c r="AD2430" s="115" t="s">
        <v>49</v>
      </c>
    </row>
    <row r="2431" spans="1:30" x14ac:dyDescent="0.2">
      <c r="A2431" s="104" t="s">
        <v>5496</v>
      </c>
      <c r="B2431" s="105" t="s">
        <v>42</v>
      </c>
      <c r="C2431" s="105" t="s">
        <v>160</v>
      </c>
      <c r="D2431" s="106"/>
      <c r="E2431" s="107"/>
      <c r="F2431" s="108" t="s">
        <v>19009</v>
      </c>
      <c r="G2431" s="118">
        <v>3</v>
      </c>
      <c r="H2431" s="108" t="s">
        <v>19010</v>
      </c>
      <c r="I2431" s="116">
        <v>1</v>
      </c>
      <c r="J2431" s="111" t="s">
        <v>53</v>
      </c>
      <c r="K2431" s="108" t="s">
        <v>19011</v>
      </c>
      <c r="L2431" s="110">
        <v>3</v>
      </c>
      <c r="M2431" s="113"/>
      <c r="N2431" s="108" t="s">
        <v>19009</v>
      </c>
      <c r="O2431" s="110">
        <v>3</v>
      </c>
      <c r="P2431" s="113"/>
      <c r="Q2431" s="108" t="s">
        <v>19012</v>
      </c>
      <c r="R2431" s="110">
        <v>3</v>
      </c>
      <c r="S2431" s="113"/>
      <c r="T2431" s="108" t="s">
        <v>19013</v>
      </c>
      <c r="U2431" s="110">
        <v>3</v>
      </c>
      <c r="V2431" s="113"/>
      <c r="W2431" s="108" t="s">
        <v>19014</v>
      </c>
      <c r="X2431" s="110">
        <v>3</v>
      </c>
      <c r="Y2431" s="111" t="s">
        <v>40</v>
      </c>
      <c r="Z2431" s="108" t="s">
        <v>19015</v>
      </c>
      <c r="AA2431" s="116">
        <v>1</v>
      </c>
      <c r="AB2431" s="113"/>
      <c r="AC2431" s="105" t="s">
        <v>5497</v>
      </c>
      <c r="AD2431" s="115" t="s">
        <v>49</v>
      </c>
    </row>
    <row r="2432" spans="1:30" x14ac:dyDescent="0.2">
      <c r="A2432" s="104" t="s">
        <v>5498</v>
      </c>
      <c r="B2432" s="105" t="s">
        <v>42</v>
      </c>
      <c r="C2432" s="105" t="s">
        <v>3841</v>
      </c>
      <c r="D2432" s="106"/>
      <c r="E2432" s="107"/>
      <c r="F2432" s="108" t="s">
        <v>3851</v>
      </c>
      <c r="G2432" s="109">
        <v>4</v>
      </c>
      <c r="H2432" s="108" t="s">
        <v>684</v>
      </c>
      <c r="I2432" s="110">
        <v>3</v>
      </c>
      <c r="J2432" s="113"/>
      <c r="K2432" s="108" t="s">
        <v>3851</v>
      </c>
      <c r="L2432" s="112">
        <v>4</v>
      </c>
      <c r="M2432" s="111" t="s">
        <v>46</v>
      </c>
      <c r="N2432" s="108" t="s">
        <v>3851</v>
      </c>
      <c r="O2432" s="112">
        <v>4</v>
      </c>
      <c r="P2432" s="113"/>
      <c r="Q2432" s="108" t="s">
        <v>715</v>
      </c>
      <c r="R2432" s="112">
        <v>4</v>
      </c>
      <c r="S2432" s="113"/>
      <c r="T2432" s="108" t="s">
        <v>19016</v>
      </c>
      <c r="U2432" s="112">
        <v>4</v>
      </c>
      <c r="V2432" s="113"/>
      <c r="W2432" s="108" t="s">
        <v>5499</v>
      </c>
      <c r="X2432" s="110">
        <v>3</v>
      </c>
      <c r="Y2432" s="113"/>
      <c r="Z2432" s="108" t="s">
        <v>5500</v>
      </c>
      <c r="AA2432" s="117">
        <v>2</v>
      </c>
      <c r="AB2432" s="111" t="s">
        <v>53</v>
      </c>
      <c r="AC2432" s="105" t="s">
        <v>5501</v>
      </c>
      <c r="AD2432" s="115" t="s">
        <v>49</v>
      </c>
    </row>
    <row r="2433" spans="1:30" x14ac:dyDescent="0.2">
      <c r="A2433" s="104" t="s">
        <v>5502</v>
      </c>
      <c r="B2433" s="105" t="s">
        <v>42</v>
      </c>
      <c r="C2433" s="105" t="s">
        <v>43</v>
      </c>
      <c r="D2433" s="106"/>
      <c r="E2433" s="107"/>
      <c r="F2433" s="108" t="s">
        <v>19017</v>
      </c>
      <c r="G2433" s="120">
        <v>2</v>
      </c>
      <c r="H2433" s="108" t="s">
        <v>19018</v>
      </c>
      <c r="I2433" s="112">
        <v>4</v>
      </c>
      <c r="J2433" s="111" t="s">
        <v>55</v>
      </c>
      <c r="K2433" s="108" t="s">
        <v>19019</v>
      </c>
      <c r="L2433" s="112">
        <v>4</v>
      </c>
      <c r="M2433" s="111" t="s">
        <v>44</v>
      </c>
      <c r="N2433" s="108" t="s">
        <v>19017</v>
      </c>
      <c r="O2433" s="117">
        <v>2</v>
      </c>
      <c r="P2433" s="111" t="s">
        <v>46</v>
      </c>
      <c r="Q2433" s="108" t="s">
        <v>19020</v>
      </c>
      <c r="R2433" s="116">
        <v>1</v>
      </c>
      <c r="S2433" s="113"/>
      <c r="T2433" s="108" t="s">
        <v>19021</v>
      </c>
      <c r="U2433" s="117">
        <v>2</v>
      </c>
      <c r="V2433" s="113"/>
      <c r="W2433" s="108" t="s">
        <v>19022</v>
      </c>
      <c r="X2433" s="117">
        <v>2</v>
      </c>
      <c r="Y2433" s="113"/>
      <c r="Z2433" s="108" t="s">
        <v>47</v>
      </c>
      <c r="AA2433" s="114"/>
      <c r="AB2433" s="113"/>
      <c r="AC2433" s="105" t="s">
        <v>5503</v>
      </c>
      <c r="AD2433" s="115" t="s">
        <v>49</v>
      </c>
    </row>
    <row r="2434" spans="1:30" x14ac:dyDescent="0.2">
      <c r="A2434" s="104" t="s">
        <v>5504</v>
      </c>
      <c r="B2434" s="105" t="s">
        <v>42</v>
      </c>
      <c r="C2434" s="105" t="s">
        <v>43</v>
      </c>
      <c r="D2434" s="106"/>
      <c r="E2434" s="107"/>
      <c r="F2434" s="108" t="s">
        <v>19023</v>
      </c>
      <c r="G2434" s="120">
        <v>2</v>
      </c>
      <c r="H2434" s="108" t="s">
        <v>19024</v>
      </c>
      <c r="I2434" s="112">
        <v>4</v>
      </c>
      <c r="J2434" s="111" t="s">
        <v>55</v>
      </c>
      <c r="K2434" s="108" t="s">
        <v>19025</v>
      </c>
      <c r="L2434" s="112">
        <v>4</v>
      </c>
      <c r="M2434" s="111" t="s">
        <v>44</v>
      </c>
      <c r="N2434" s="108" t="s">
        <v>19023</v>
      </c>
      <c r="O2434" s="117">
        <v>2</v>
      </c>
      <c r="P2434" s="111" t="s">
        <v>46</v>
      </c>
      <c r="Q2434" s="108" t="s">
        <v>19026</v>
      </c>
      <c r="R2434" s="116">
        <v>1</v>
      </c>
      <c r="S2434" s="113"/>
      <c r="T2434" s="108" t="s">
        <v>19027</v>
      </c>
      <c r="U2434" s="110">
        <v>3</v>
      </c>
      <c r="V2434" s="111" t="s">
        <v>46</v>
      </c>
      <c r="W2434" s="108" t="s">
        <v>19028</v>
      </c>
      <c r="X2434" s="117">
        <v>2</v>
      </c>
      <c r="Y2434" s="113"/>
      <c r="Z2434" s="108" t="s">
        <v>47</v>
      </c>
      <c r="AA2434" s="114"/>
      <c r="AB2434" s="113"/>
      <c r="AC2434" s="105" t="s">
        <v>5505</v>
      </c>
      <c r="AD2434" s="115" t="s">
        <v>49</v>
      </c>
    </row>
    <row r="2435" spans="1:30" x14ac:dyDescent="0.2">
      <c r="A2435" s="104" t="s">
        <v>5506</v>
      </c>
      <c r="B2435" s="105" t="s">
        <v>42</v>
      </c>
      <c r="C2435" s="105" t="s">
        <v>43</v>
      </c>
      <c r="D2435" s="106"/>
      <c r="E2435" s="107"/>
      <c r="F2435" s="108" t="s">
        <v>19029</v>
      </c>
      <c r="G2435" s="119">
        <v>1</v>
      </c>
      <c r="H2435" s="108" t="s">
        <v>19030</v>
      </c>
      <c r="I2435" s="112">
        <v>4</v>
      </c>
      <c r="J2435" s="111" t="s">
        <v>44</v>
      </c>
      <c r="K2435" s="108" t="s">
        <v>19031</v>
      </c>
      <c r="L2435" s="116">
        <v>1</v>
      </c>
      <c r="M2435" s="113"/>
      <c r="N2435" s="108" t="s">
        <v>19029</v>
      </c>
      <c r="O2435" s="116">
        <v>1</v>
      </c>
      <c r="P2435" s="113"/>
      <c r="Q2435" s="108" t="s">
        <v>19032</v>
      </c>
      <c r="R2435" s="116">
        <v>1</v>
      </c>
      <c r="S2435" s="113"/>
      <c r="T2435" s="108" t="s">
        <v>19033</v>
      </c>
      <c r="U2435" s="116">
        <v>1</v>
      </c>
      <c r="V2435" s="113"/>
      <c r="W2435" s="108" t="s">
        <v>19034</v>
      </c>
      <c r="X2435" s="116">
        <v>1</v>
      </c>
      <c r="Y2435" s="113"/>
      <c r="Z2435" s="108" t="s">
        <v>47</v>
      </c>
      <c r="AA2435" s="114"/>
      <c r="AB2435" s="113"/>
      <c r="AC2435" s="105" t="s">
        <v>5507</v>
      </c>
      <c r="AD2435" s="115" t="s">
        <v>49</v>
      </c>
    </row>
    <row r="2436" spans="1:30" x14ac:dyDescent="0.2">
      <c r="A2436" s="104" t="s">
        <v>5508</v>
      </c>
      <c r="B2436" s="105" t="s">
        <v>42</v>
      </c>
      <c r="C2436" s="105" t="s">
        <v>43</v>
      </c>
      <c r="D2436" s="106"/>
      <c r="E2436" s="107"/>
      <c r="F2436" s="108" t="s">
        <v>19035</v>
      </c>
      <c r="G2436" s="120">
        <v>2</v>
      </c>
      <c r="H2436" s="108" t="s">
        <v>19036</v>
      </c>
      <c r="I2436" s="112">
        <v>4</v>
      </c>
      <c r="J2436" s="111" t="s">
        <v>44</v>
      </c>
      <c r="K2436" s="108" t="s">
        <v>19037</v>
      </c>
      <c r="L2436" s="116">
        <v>1</v>
      </c>
      <c r="M2436" s="113"/>
      <c r="N2436" s="108" t="s">
        <v>19035</v>
      </c>
      <c r="O2436" s="117">
        <v>2</v>
      </c>
      <c r="P2436" s="111" t="s">
        <v>46</v>
      </c>
      <c r="Q2436" s="108" t="s">
        <v>19038</v>
      </c>
      <c r="R2436" s="116">
        <v>1</v>
      </c>
      <c r="S2436" s="113"/>
      <c r="T2436" s="108" t="s">
        <v>19039</v>
      </c>
      <c r="U2436" s="116">
        <v>1</v>
      </c>
      <c r="V2436" s="113"/>
      <c r="W2436" s="108" t="s">
        <v>19040</v>
      </c>
      <c r="X2436" s="116">
        <v>1</v>
      </c>
      <c r="Y2436" s="113"/>
      <c r="Z2436" s="108" t="s">
        <v>47</v>
      </c>
      <c r="AA2436" s="114"/>
      <c r="AB2436" s="113"/>
      <c r="AC2436" s="105" t="s">
        <v>5509</v>
      </c>
      <c r="AD2436" s="115" t="s">
        <v>49</v>
      </c>
    </row>
    <row r="2437" spans="1:30" x14ac:dyDescent="0.2">
      <c r="A2437" s="104" t="s">
        <v>19041</v>
      </c>
      <c r="B2437" s="105" t="s">
        <v>42</v>
      </c>
      <c r="C2437" s="105" t="s">
        <v>43</v>
      </c>
      <c r="D2437" s="106"/>
      <c r="E2437" s="107"/>
      <c r="F2437" s="108" t="s">
        <v>19042</v>
      </c>
      <c r="G2437" s="119">
        <v>1</v>
      </c>
      <c r="H2437" s="108" t="s">
        <v>19043</v>
      </c>
      <c r="I2437" s="112">
        <v>4</v>
      </c>
      <c r="J2437" s="111" t="s">
        <v>44</v>
      </c>
      <c r="K2437" s="108" t="s">
        <v>19044</v>
      </c>
      <c r="L2437" s="116">
        <v>1</v>
      </c>
      <c r="M2437" s="113"/>
      <c r="N2437" s="108" t="s">
        <v>19042</v>
      </c>
      <c r="O2437" s="116">
        <v>1</v>
      </c>
      <c r="P2437" s="113"/>
      <c r="Q2437" s="108" t="s">
        <v>19045</v>
      </c>
      <c r="R2437" s="116">
        <v>1</v>
      </c>
      <c r="S2437" s="113"/>
      <c r="T2437" s="108" t="s">
        <v>19046</v>
      </c>
      <c r="U2437" s="116">
        <v>1</v>
      </c>
      <c r="V2437" s="113"/>
      <c r="W2437" s="108" t="s">
        <v>19047</v>
      </c>
      <c r="X2437" s="116">
        <v>1</v>
      </c>
      <c r="Y2437" s="113"/>
      <c r="Z2437" s="108" t="s">
        <v>47</v>
      </c>
      <c r="AA2437" s="114"/>
      <c r="AB2437" s="113"/>
      <c r="AC2437" s="105" t="s">
        <v>5510</v>
      </c>
      <c r="AD2437" s="115" t="s">
        <v>49</v>
      </c>
    </row>
    <row r="2438" spans="1:30" x14ac:dyDescent="0.2">
      <c r="A2438" s="104" t="s">
        <v>19048</v>
      </c>
      <c r="B2438" s="105" t="s">
        <v>42</v>
      </c>
      <c r="C2438" s="105" t="s">
        <v>43</v>
      </c>
      <c r="D2438" s="106"/>
      <c r="E2438" s="107"/>
      <c r="F2438" s="108" t="s">
        <v>19049</v>
      </c>
      <c r="G2438" s="119">
        <v>1</v>
      </c>
      <c r="H2438" s="108" t="s">
        <v>19050</v>
      </c>
      <c r="I2438" s="112">
        <v>4</v>
      </c>
      <c r="J2438" s="111" t="s">
        <v>44</v>
      </c>
      <c r="K2438" s="108" t="s">
        <v>19051</v>
      </c>
      <c r="L2438" s="116">
        <v>1</v>
      </c>
      <c r="M2438" s="113"/>
      <c r="N2438" s="108" t="s">
        <v>19049</v>
      </c>
      <c r="O2438" s="116">
        <v>1</v>
      </c>
      <c r="P2438" s="113"/>
      <c r="Q2438" s="108" t="s">
        <v>19052</v>
      </c>
      <c r="R2438" s="116">
        <v>1</v>
      </c>
      <c r="S2438" s="113"/>
      <c r="T2438" s="108" t="s">
        <v>19053</v>
      </c>
      <c r="U2438" s="116">
        <v>1</v>
      </c>
      <c r="V2438" s="113"/>
      <c r="W2438" s="108" t="s">
        <v>19054</v>
      </c>
      <c r="X2438" s="116">
        <v>1</v>
      </c>
      <c r="Y2438" s="113"/>
      <c r="Z2438" s="108" t="s">
        <v>47</v>
      </c>
      <c r="AA2438" s="114"/>
      <c r="AB2438" s="113"/>
      <c r="AC2438" s="105" t="s">
        <v>5511</v>
      </c>
      <c r="AD2438" s="115" t="s">
        <v>49</v>
      </c>
    </row>
    <row r="2439" spans="1:30" x14ac:dyDescent="0.2">
      <c r="A2439" s="104" t="s">
        <v>5512</v>
      </c>
      <c r="B2439" s="105" t="s">
        <v>42</v>
      </c>
      <c r="C2439" s="105" t="s">
        <v>98</v>
      </c>
      <c r="D2439" s="106" t="s">
        <v>125</v>
      </c>
      <c r="E2439" s="107"/>
      <c r="F2439" s="108" t="s">
        <v>19055</v>
      </c>
      <c r="G2439" s="120">
        <v>2</v>
      </c>
      <c r="H2439" s="108" t="s">
        <v>19056</v>
      </c>
      <c r="I2439" s="117">
        <v>2</v>
      </c>
      <c r="J2439" s="111" t="s">
        <v>46</v>
      </c>
      <c r="K2439" s="108" t="s">
        <v>19057</v>
      </c>
      <c r="L2439" s="116">
        <v>1</v>
      </c>
      <c r="M2439" s="111" t="s">
        <v>40</v>
      </c>
      <c r="N2439" s="108" t="s">
        <v>19055</v>
      </c>
      <c r="O2439" s="117">
        <v>2</v>
      </c>
      <c r="P2439" s="113"/>
      <c r="Q2439" s="108" t="s">
        <v>19058</v>
      </c>
      <c r="R2439" s="110">
        <v>3</v>
      </c>
      <c r="S2439" s="113"/>
      <c r="T2439" s="108" t="s">
        <v>19059</v>
      </c>
      <c r="U2439" s="110">
        <v>3</v>
      </c>
      <c r="V2439" s="113"/>
      <c r="W2439" s="108" t="s">
        <v>19060</v>
      </c>
      <c r="X2439" s="110">
        <v>3</v>
      </c>
      <c r="Y2439" s="113"/>
      <c r="Z2439" s="108" t="s">
        <v>19061</v>
      </c>
      <c r="AA2439" s="117">
        <v>2</v>
      </c>
      <c r="AB2439" s="111" t="s">
        <v>40</v>
      </c>
      <c r="AC2439" s="105" t="s">
        <v>5513</v>
      </c>
      <c r="AD2439" s="115" t="s">
        <v>49</v>
      </c>
    </row>
    <row r="2440" spans="1:30" x14ac:dyDescent="0.2">
      <c r="A2440" s="104" t="s">
        <v>19062</v>
      </c>
      <c r="B2440" s="105" t="s">
        <v>42</v>
      </c>
      <c r="C2440" s="105" t="s">
        <v>98</v>
      </c>
      <c r="D2440" s="106"/>
      <c r="E2440" s="107"/>
      <c r="F2440" s="108" t="s">
        <v>19063</v>
      </c>
      <c r="G2440" s="120">
        <v>2</v>
      </c>
      <c r="H2440" s="108" t="s">
        <v>19064</v>
      </c>
      <c r="I2440" s="116">
        <v>1</v>
      </c>
      <c r="J2440" s="113"/>
      <c r="K2440" s="108" t="s">
        <v>19065</v>
      </c>
      <c r="L2440" s="116">
        <v>1</v>
      </c>
      <c r="M2440" s="111" t="s">
        <v>40</v>
      </c>
      <c r="N2440" s="108" t="s">
        <v>19063</v>
      </c>
      <c r="O2440" s="117">
        <v>2</v>
      </c>
      <c r="P2440" s="113"/>
      <c r="Q2440" s="108" t="s">
        <v>19066</v>
      </c>
      <c r="R2440" s="112">
        <v>4</v>
      </c>
      <c r="S2440" s="111" t="s">
        <v>46</v>
      </c>
      <c r="T2440" s="108" t="s">
        <v>47</v>
      </c>
      <c r="U2440" s="114"/>
      <c r="V2440" s="113"/>
      <c r="W2440" s="108" t="s">
        <v>47</v>
      </c>
      <c r="X2440" s="114"/>
      <c r="Y2440" s="113"/>
      <c r="Z2440" s="108" t="s">
        <v>47</v>
      </c>
      <c r="AA2440" s="114"/>
      <c r="AB2440" s="113"/>
      <c r="AC2440" s="105" t="s">
        <v>5514</v>
      </c>
      <c r="AD2440" s="115" t="s">
        <v>49</v>
      </c>
    </row>
    <row r="2441" spans="1:30" x14ac:dyDescent="0.2">
      <c r="A2441" s="104" t="s">
        <v>19067</v>
      </c>
      <c r="B2441" s="105" t="s">
        <v>42</v>
      </c>
      <c r="C2441" s="105" t="s">
        <v>439</v>
      </c>
      <c r="D2441" s="106" t="s">
        <v>94</v>
      </c>
      <c r="E2441" s="107"/>
      <c r="F2441" s="108" t="s">
        <v>19068</v>
      </c>
      <c r="G2441" s="119">
        <v>1</v>
      </c>
      <c r="H2441" s="108" t="s">
        <v>19069</v>
      </c>
      <c r="I2441" s="117">
        <v>2</v>
      </c>
      <c r="J2441" s="111" t="s">
        <v>46</v>
      </c>
      <c r="K2441" s="108" t="s">
        <v>19070</v>
      </c>
      <c r="L2441" s="116">
        <v>1</v>
      </c>
      <c r="M2441" s="113"/>
      <c r="N2441" s="108" t="s">
        <v>19068</v>
      </c>
      <c r="O2441" s="116">
        <v>1</v>
      </c>
      <c r="P2441" s="113"/>
      <c r="Q2441" s="108" t="s">
        <v>19071</v>
      </c>
      <c r="R2441" s="117">
        <v>2</v>
      </c>
      <c r="S2441" s="113"/>
      <c r="T2441" s="108" t="s">
        <v>19072</v>
      </c>
      <c r="U2441" s="117">
        <v>2</v>
      </c>
      <c r="V2441" s="113"/>
      <c r="W2441" s="108" t="s">
        <v>19073</v>
      </c>
      <c r="X2441" s="117">
        <v>2</v>
      </c>
      <c r="Y2441" s="113"/>
      <c r="Z2441" s="108" t="s">
        <v>47</v>
      </c>
      <c r="AA2441" s="114"/>
      <c r="AB2441" s="113"/>
      <c r="AC2441" s="105" t="s">
        <v>5515</v>
      </c>
      <c r="AD2441" s="115" t="s">
        <v>49</v>
      </c>
    </row>
    <row r="2442" spans="1:30" x14ac:dyDescent="0.2">
      <c r="A2442" s="104" t="s">
        <v>5516</v>
      </c>
      <c r="B2442" s="105" t="s">
        <v>42</v>
      </c>
      <c r="C2442" s="105" t="s">
        <v>384</v>
      </c>
      <c r="D2442" s="106"/>
      <c r="E2442" s="107"/>
      <c r="F2442" s="108" t="s">
        <v>19074</v>
      </c>
      <c r="G2442" s="120">
        <v>2</v>
      </c>
      <c r="H2442" s="108" t="s">
        <v>19075</v>
      </c>
      <c r="I2442" s="110">
        <v>3</v>
      </c>
      <c r="J2442" s="111" t="s">
        <v>46</v>
      </c>
      <c r="K2442" s="108" t="s">
        <v>19076</v>
      </c>
      <c r="L2442" s="117">
        <v>2</v>
      </c>
      <c r="M2442" s="113"/>
      <c r="N2442" s="108" t="s">
        <v>19074</v>
      </c>
      <c r="O2442" s="117">
        <v>2</v>
      </c>
      <c r="P2442" s="113"/>
      <c r="Q2442" s="108" t="s">
        <v>47</v>
      </c>
      <c r="R2442" s="114"/>
      <c r="S2442" s="113"/>
      <c r="T2442" s="108" t="s">
        <v>47</v>
      </c>
      <c r="U2442" s="114"/>
      <c r="V2442" s="113"/>
      <c r="W2442" s="108" t="s">
        <v>47</v>
      </c>
      <c r="X2442" s="114"/>
      <c r="Y2442" s="113"/>
      <c r="Z2442" s="108" t="s">
        <v>47</v>
      </c>
      <c r="AA2442" s="114"/>
      <c r="AB2442" s="113"/>
      <c r="AC2442" s="105" t="s">
        <v>5517</v>
      </c>
      <c r="AD2442" s="115" t="s">
        <v>49</v>
      </c>
    </row>
    <row r="2443" spans="1:30" x14ac:dyDescent="0.2">
      <c r="A2443" s="104" t="s">
        <v>5518</v>
      </c>
      <c r="B2443" s="105" t="s">
        <v>42</v>
      </c>
      <c r="C2443" s="105" t="s">
        <v>384</v>
      </c>
      <c r="D2443" s="106"/>
      <c r="E2443" s="107"/>
      <c r="F2443" s="108" t="s">
        <v>19077</v>
      </c>
      <c r="G2443" s="120">
        <v>2</v>
      </c>
      <c r="H2443" s="108" t="s">
        <v>19078</v>
      </c>
      <c r="I2443" s="110">
        <v>3</v>
      </c>
      <c r="J2443" s="111" t="s">
        <v>46</v>
      </c>
      <c r="K2443" s="108" t="s">
        <v>19079</v>
      </c>
      <c r="L2443" s="117">
        <v>2</v>
      </c>
      <c r="M2443" s="113"/>
      <c r="N2443" s="108" t="s">
        <v>19077</v>
      </c>
      <c r="O2443" s="117">
        <v>2</v>
      </c>
      <c r="P2443" s="113"/>
      <c r="Q2443" s="108" t="s">
        <v>47</v>
      </c>
      <c r="R2443" s="114"/>
      <c r="S2443" s="113"/>
      <c r="T2443" s="108" t="s">
        <v>47</v>
      </c>
      <c r="U2443" s="114"/>
      <c r="V2443" s="113"/>
      <c r="W2443" s="108" t="s">
        <v>47</v>
      </c>
      <c r="X2443" s="114"/>
      <c r="Y2443" s="113"/>
      <c r="Z2443" s="108" t="s">
        <v>47</v>
      </c>
      <c r="AA2443" s="114"/>
      <c r="AB2443" s="113"/>
      <c r="AC2443" s="105" t="s">
        <v>5519</v>
      </c>
      <c r="AD2443" s="115" t="s">
        <v>49</v>
      </c>
    </row>
    <row r="2444" spans="1:30" x14ac:dyDescent="0.2">
      <c r="A2444" s="104" t="s">
        <v>5520</v>
      </c>
      <c r="B2444" s="105" t="s">
        <v>42</v>
      </c>
      <c r="C2444" s="105" t="s">
        <v>384</v>
      </c>
      <c r="D2444" s="106"/>
      <c r="E2444" s="107"/>
      <c r="F2444" s="108" t="s">
        <v>19080</v>
      </c>
      <c r="G2444" s="109">
        <v>4</v>
      </c>
      <c r="H2444" s="108" t="s">
        <v>19081</v>
      </c>
      <c r="I2444" s="110">
        <v>3</v>
      </c>
      <c r="J2444" s="111" t="s">
        <v>40</v>
      </c>
      <c r="K2444" s="108" t="s">
        <v>19082</v>
      </c>
      <c r="L2444" s="112">
        <v>4</v>
      </c>
      <c r="M2444" s="113"/>
      <c r="N2444" s="108" t="s">
        <v>19080</v>
      </c>
      <c r="O2444" s="112">
        <v>4</v>
      </c>
      <c r="P2444" s="113"/>
      <c r="Q2444" s="108" t="s">
        <v>19083</v>
      </c>
      <c r="R2444" s="112">
        <v>4</v>
      </c>
      <c r="S2444" s="113"/>
      <c r="T2444" s="108" t="s">
        <v>47</v>
      </c>
      <c r="U2444" s="114"/>
      <c r="V2444" s="113"/>
      <c r="W2444" s="108" t="s">
        <v>47</v>
      </c>
      <c r="X2444" s="114"/>
      <c r="Y2444" s="113"/>
      <c r="Z2444" s="108" t="s">
        <v>47</v>
      </c>
      <c r="AA2444" s="114"/>
      <c r="AB2444" s="113"/>
      <c r="AC2444" s="105" t="s">
        <v>5521</v>
      </c>
      <c r="AD2444" s="115" t="s">
        <v>49</v>
      </c>
    </row>
    <row r="2445" spans="1:30" x14ac:dyDescent="0.2">
      <c r="A2445" s="104" t="s">
        <v>5522</v>
      </c>
      <c r="B2445" s="105" t="s">
        <v>42</v>
      </c>
      <c r="C2445" s="105" t="s">
        <v>384</v>
      </c>
      <c r="D2445" s="106" t="s">
        <v>125</v>
      </c>
      <c r="E2445" s="107"/>
      <c r="F2445" s="108" t="s">
        <v>19084</v>
      </c>
      <c r="G2445" s="118">
        <v>3</v>
      </c>
      <c r="H2445" s="108" t="s">
        <v>19085</v>
      </c>
      <c r="I2445" s="112">
        <v>4</v>
      </c>
      <c r="J2445" s="111" t="s">
        <v>55</v>
      </c>
      <c r="K2445" s="108" t="s">
        <v>19086</v>
      </c>
      <c r="L2445" s="110">
        <v>3</v>
      </c>
      <c r="M2445" s="113"/>
      <c r="N2445" s="108" t="s">
        <v>19084</v>
      </c>
      <c r="O2445" s="110">
        <v>3</v>
      </c>
      <c r="P2445" s="111" t="s">
        <v>46</v>
      </c>
      <c r="Q2445" s="108" t="s">
        <v>19087</v>
      </c>
      <c r="R2445" s="112">
        <v>4</v>
      </c>
      <c r="S2445" s="111" t="s">
        <v>55</v>
      </c>
      <c r="T2445" s="108" t="s">
        <v>19088</v>
      </c>
      <c r="U2445" s="116">
        <v>1</v>
      </c>
      <c r="V2445" s="113"/>
      <c r="W2445" s="108" t="s">
        <v>19089</v>
      </c>
      <c r="X2445" s="117">
        <v>2</v>
      </c>
      <c r="Y2445" s="113"/>
      <c r="Z2445" s="108" t="s">
        <v>47</v>
      </c>
      <c r="AA2445" s="114"/>
      <c r="AB2445" s="113"/>
      <c r="AC2445" s="105" t="s">
        <v>5523</v>
      </c>
      <c r="AD2445" s="115" t="s">
        <v>49</v>
      </c>
    </row>
    <row r="2446" spans="1:30" x14ac:dyDescent="0.2">
      <c r="A2446" s="104" t="s">
        <v>19090</v>
      </c>
      <c r="B2446" s="105" t="s">
        <v>42</v>
      </c>
      <c r="C2446" s="105" t="s">
        <v>51</v>
      </c>
      <c r="D2446" s="106"/>
      <c r="E2446" s="107"/>
      <c r="F2446" s="108" t="s">
        <v>47</v>
      </c>
      <c r="G2446" s="113"/>
      <c r="H2446" s="108" t="s">
        <v>19091</v>
      </c>
      <c r="I2446" s="112">
        <v>4</v>
      </c>
      <c r="J2446" s="111" t="s">
        <v>46</v>
      </c>
      <c r="K2446" s="108" t="s">
        <v>19092</v>
      </c>
      <c r="L2446" s="112">
        <v>4</v>
      </c>
      <c r="M2446" s="113"/>
      <c r="N2446" s="108" t="s">
        <v>47</v>
      </c>
      <c r="O2446" s="114"/>
      <c r="P2446" s="113"/>
      <c r="Q2446" s="108" t="s">
        <v>47</v>
      </c>
      <c r="R2446" s="114"/>
      <c r="S2446" s="113"/>
      <c r="T2446" s="108" t="s">
        <v>47</v>
      </c>
      <c r="U2446" s="114"/>
      <c r="V2446" s="113"/>
      <c r="W2446" s="108" t="s">
        <v>47</v>
      </c>
      <c r="X2446" s="114"/>
      <c r="Y2446" s="113"/>
      <c r="Z2446" s="108" t="s">
        <v>47</v>
      </c>
      <c r="AA2446" s="114"/>
      <c r="AB2446" s="113"/>
      <c r="AC2446" s="105" t="s">
        <v>19093</v>
      </c>
      <c r="AD2446" s="115" t="s">
        <v>49</v>
      </c>
    </row>
    <row r="2447" spans="1:30" x14ac:dyDescent="0.2">
      <c r="A2447" s="104" t="s">
        <v>5524</v>
      </c>
      <c r="B2447" s="105" t="s">
        <v>42</v>
      </c>
      <c r="C2447" s="105" t="s">
        <v>51</v>
      </c>
      <c r="D2447" s="106"/>
      <c r="E2447" s="107"/>
      <c r="F2447" s="108" t="s">
        <v>19094</v>
      </c>
      <c r="G2447" s="120">
        <v>2</v>
      </c>
      <c r="H2447" s="108" t="s">
        <v>19095</v>
      </c>
      <c r="I2447" s="117">
        <v>2</v>
      </c>
      <c r="J2447" s="113"/>
      <c r="K2447" s="108" t="s">
        <v>19096</v>
      </c>
      <c r="L2447" s="117">
        <v>2</v>
      </c>
      <c r="M2447" s="113"/>
      <c r="N2447" s="108" t="s">
        <v>19094</v>
      </c>
      <c r="O2447" s="117">
        <v>2</v>
      </c>
      <c r="P2447" s="113"/>
      <c r="Q2447" s="108" t="s">
        <v>47</v>
      </c>
      <c r="R2447" s="114"/>
      <c r="S2447" s="113"/>
      <c r="T2447" s="108" t="s">
        <v>47</v>
      </c>
      <c r="U2447" s="114"/>
      <c r="V2447" s="113"/>
      <c r="W2447" s="108" t="s">
        <v>47</v>
      </c>
      <c r="X2447" s="114"/>
      <c r="Y2447" s="113"/>
      <c r="Z2447" s="108" t="s">
        <v>47</v>
      </c>
      <c r="AA2447" s="114"/>
      <c r="AB2447" s="113"/>
      <c r="AC2447" s="105" t="s">
        <v>5525</v>
      </c>
      <c r="AD2447" s="115" t="s">
        <v>49</v>
      </c>
    </row>
    <row r="2448" spans="1:30" x14ac:dyDescent="0.2">
      <c r="A2448" s="104" t="s">
        <v>5526</v>
      </c>
      <c r="B2448" s="105" t="s">
        <v>42</v>
      </c>
      <c r="C2448" s="105" t="s">
        <v>51</v>
      </c>
      <c r="D2448" s="106"/>
      <c r="E2448" s="107"/>
      <c r="F2448" s="108" t="s">
        <v>19097</v>
      </c>
      <c r="G2448" s="120">
        <v>2</v>
      </c>
      <c r="H2448" s="108" t="s">
        <v>19098</v>
      </c>
      <c r="I2448" s="117">
        <v>2</v>
      </c>
      <c r="J2448" s="113"/>
      <c r="K2448" s="108" t="s">
        <v>19099</v>
      </c>
      <c r="L2448" s="117">
        <v>2</v>
      </c>
      <c r="M2448" s="113"/>
      <c r="N2448" s="108" t="s">
        <v>19097</v>
      </c>
      <c r="O2448" s="117">
        <v>2</v>
      </c>
      <c r="P2448" s="113"/>
      <c r="Q2448" s="108" t="s">
        <v>47</v>
      </c>
      <c r="R2448" s="114"/>
      <c r="S2448" s="113"/>
      <c r="T2448" s="108" t="s">
        <v>47</v>
      </c>
      <c r="U2448" s="114"/>
      <c r="V2448" s="113"/>
      <c r="W2448" s="108" t="s">
        <v>47</v>
      </c>
      <c r="X2448" s="114"/>
      <c r="Y2448" s="113"/>
      <c r="Z2448" s="108" t="s">
        <v>47</v>
      </c>
      <c r="AA2448" s="114"/>
      <c r="AB2448" s="113"/>
      <c r="AC2448" s="105" t="s">
        <v>5527</v>
      </c>
      <c r="AD2448" s="115" t="s">
        <v>49</v>
      </c>
    </row>
    <row r="2449" spans="1:30" x14ac:dyDescent="0.2">
      <c r="A2449" s="104" t="s">
        <v>5528</v>
      </c>
      <c r="B2449" s="105" t="s">
        <v>42</v>
      </c>
      <c r="C2449" s="105" t="s">
        <v>2716</v>
      </c>
      <c r="D2449" s="106" t="s">
        <v>125</v>
      </c>
      <c r="E2449" s="107"/>
      <c r="F2449" s="108" t="s">
        <v>19100</v>
      </c>
      <c r="G2449" s="119">
        <v>1</v>
      </c>
      <c r="H2449" s="108" t="s">
        <v>19101</v>
      </c>
      <c r="I2449" s="117">
        <v>2</v>
      </c>
      <c r="J2449" s="111" t="s">
        <v>46</v>
      </c>
      <c r="K2449" s="108" t="s">
        <v>19102</v>
      </c>
      <c r="L2449" s="116">
        <v>1</v>
      </c>
      <c r="M2449" s="113"/>
      <c r="N2449" s="108" t="s">
        <v>19100</v>
      </c>
      <c r="O2449" s="116">
        <v>1</v>
      </c>
      <c r="P2449" s="113"/>
      <c r="Q2449" s="108" t="s">
        <v>19103</v>
      </c>
      <c r="R2449" s="116">
        <v>1</v>
      </c>
      <c r="S2449" s="111" t="s">
        <v>40</v>
      </c>
      <c r="T2449" s="108" t="s">
        <v>19104</v>
      </c>
      <c r="U2449" s="110">
        <v>3</v>
      </c>
      <c r="V2449" s="113"/>
      <c r="W2449" s="108" t="s">
        <v>19105</v>
      </c>
      <c r="X2449" s="117">
        <v>2</v>
      </c>
      <c r="Y2449" s="113"/>
      <c r="Z2449" s="108" t="s">
        <v>19106</v>
      </c>
      <c r="AA2449" s="116">
        <v>1</v>
      </c>
      <c r="AB2449" s="111" t="s">
        <v>40</v>
      </c>
      <c r="AC2449" s="105" t="s">
        <v>5529</v>
      </c>
      <c r="AD2449" s="115" t="s">
        <v>49</v>
      </c>
    </row>
    <row r="2450" spans="1:30" x14ac:dyDescent="0.2">
      <c r="A2450" s="104" t="s">
        <v>5530</v>
      </c>
      <c r="B2450" s="105" t="s">
        <v>42</v>
      </c>
      <c r="C2450" s="105" t="s">
        <v>439</v>
      </c>
      <c r="D2450" s="106" t="s">
        <v>125</v>
      </c>
      <c r="E2450" s="107"/>
      <c r="F2450" s="108" t="s">
        <v>19107</v>
      </c>
      <c r="G2450" s="120">
        <v>2</v>
      </c>
      <c r="H2450" s="108" t="s">
        <v>19108</v>
      </c>
      <c r="I2450" s="116">
        <v>1</v>
      </c>
      <c r="J2450" s="111" t="s">
        <v>40</v>
      </c>
      <c r="K2450" s="108" t="s">
        <v>19109</v>
      </c>
      <c r="L2450" s="116">
        <v>1</v>
      </c>
      <c r="M2450" s="111" t="s">
        <v>40</v>
      </c>
      <c r="N2450" s="108" t="s">
        <v>19107</v>
      </c>
      <c r="O2450" s="117">
        <v>2</v>
      </c>
      <c r="P2450" s="111" t="s">
        <v>40</v>
      </c>
      <c r="Q2450" s="108" t="s">
        <v>19110</v>
      </c>
      <c r="R2450" s="112">
        <v>4</v>
      </c>
      <c r="S2450" s="113"/>
      <c r="T2450" s="108" t="s">
        <v>19111</v>
      </c>
      <c r="U2450" s="112">
        <v>4</v>
      </c>
      <c r="V2450" s="113"/>
      <c r="W2450" s="108" t="s">
        <v>5531</v>
      </c>
      <c r="X2450" s="112">
        <v>4</v>
      </c>
      <c r="Y2450" s="113"/>
      <c r="Z2450" s="108" t="s">
        <v>19112</v>
      </c>
      <c r="AA2450" s="112">
        <v>4</v>
      </c>
      <c r="AB2450" s="113"/>
      <c r="AC2450" s="105" t="s">
        <v>5532</v>
      </c>
      <c r="AD2450" s="115" t="s">
        <v>49</v>
      </c>
    </row>
    <row r="2451" spans="1:30" x14ac:dyDescent="0.2">
      <c r="A2451" s="104" t="s">
        <v>5533</v>
      </c>
      <c r="B2451" s="105" t="s">
        <v>42</v>
      </c>
      <c r="C2451" s="105" t="s">
        <v>279</v>
      </c>
      <c r="D2451" s="106" t="s">
        <v>94</v>
      </c>
      <c r="E2451" s="107"/>
      <c r="F2451" s="108" t="s">
        <v>19113</v>
      </c>
      <c r="G2451" s="120">
        <v>2</v>
      </c>
      <c r="H2451" s="108" t="s">
        <v>19114</v>
      </c>
      <c r="I2451" s="110">
        <v>3</v>
      </c>
      <c r="J2451" s="111" t="s">
        <v>46</v>
      </c>
      <c r="K2451" s="108" t="s">
        <v>19115</v>
      </c>
      <c r="L2451" s="117">
        <v>2</v>
      </c>
      <c r="M2451" s="113"/>
      <c r="N2451" s="108" t="s">
        <v>19113</v>
      </c>
      <c r="O2451" s="117">
        <v>2</v>
      </c>
      <c r="P2451" s="111" t="s">
        <v>46</v>
      </c>
      <c r="Q2451" s="108" t="s">
        <v>19116</v>
      </c>
      <c r="R2451" s="117">
        <v>2</v>
      </c>
      <c r="S2451" s="113"/>
      <c r="T2451" s="108" t="s">
        <v>19117</v>
      </c>
      <c r="U2451" s="110">
        <v>3</v>
      </c>
      <c r="V2451" s="113"/>
      <c r="W2451" s="108" t="s">
        <v>19118</v>
      </c>
      <c r="X2451" s="110">
        <v>3</v>
      </c>
      <c r="Y2451" s="113"/>
      <c r="Z2451" s="108" t="s">
        <v>19119</v>
      </c>
      <c r="AA2451" s="117">
        <v>2</v>
      </c>
      <c r="AB2451" s="113"/>
      <c r="AC2451" s="105" t="s">
        <v>5534</v>
      </c>
      <c r="AD2451" s="115" t="s">
        <v>49</v>
      </c>
    </row>
    <row r="2452" spans="1:30" x14ac:dyDescent="0.2">
      <c r="A2452" s="104" t="s">
        <v>5535</v>
      </c>
      <c r="B2452" s="105" t="s">
        <v>42</v>
      </c>
      <c r="C2452" s="105" t="s">
        <v>160</v>
      </c>
      <c r="D2452" s="106"/>
      <c r="E2452" s="107"/>
      <c r="F2452" s="108" t="s">
        <v>19120</v>
      </c>
      <c r="G2452" s="118">
        <v>3</v>
      </c>
      <c r="H2452" s="108" t="s">
        <v>19121</v>
      </c>
      <c r="I2452" s="110">
        <v>3</v>
      </c>
      <c r="J2452" s="113"/>
      <c r="K2452" s="108" t="s">
        <v>19122</v>
      </c>
      <c r="L2452" s="110">
        <v>3</v>
      </c>
      <c r="M2452" s="113"/>
      <c r="N2452" s="108" t="s">
        <v>19120</v>
      </c>
      <c r="O2452" s="110">
        <v>3</v>
      </c>
      <c r="P2452" s="113"/>
      <c r="Q2452" s="108" t="s">
        <v>19123</v>
      </c>
      <c r="R2452" s="110">
        <v>3</v>
      </c>
      <c r="S2452" s="113"/>
      <c r="T2452" s="108" t="s">
        <v>19124</v>
      </c>
      <c r="U2452" s="110">
        <v>3</v>
      </c>
      <c r="V2452" s="113"/>
      <c r="W2452" s="108" t="s">
        <v>19125</v>
      </c>
      <c r="X2452" s="110">
        <v>3</v>
      </c>
      <c r="Y2452" s="113"/>
      <c r="Z2452" s="108" t="s">
        <v>18271</v>
      </c>
      <c r="AA2452" s="112">
        <v>4</v>
      </c>
      <c r="AB2452" s="113"/>
      <c r="AC2452" s="105" t="s">
        <v>5536</v>
      </c>
      <c r="AD2452" s="115" t="s">
        <v>107</v>
      </c>
    </row>
    <row r="2453" spans="1:30" x14ac:dyDescent="0.2">
      <c r="A2453" s="104" t="s">
        <v>5537</v>
      </c>
      <c r="B2453" s="105" t="s">
        <v>42</v>
      </c>
      <c r="C2453" s="105" t="s">
        <v>160</v>
      </c>
      <c r="D2453" s="106"/>
      <c r="E2453" s="107"/>
      <c r="F2453" s="108" t="s">
        <v>19126</v>
      </c>
      <c r="G2453" s="118">
        <v>3</v>
      </c>
      <c r="H2453" s="108" t="s">
        <v>19121</v>
      </c>
      <c r="I2453" s="110">
        <v>3</v>
      </c>
      <c r="J2453" s="113"/>
      <c r="K2453" s="108" t="s">
        <v>5538</v>
      </c>
      <c r="L2453" s="110">
        <v>3</v>
      </c>
      <c r="M2453" s="113"/>
      <c r="N2453" s="108" t="s">
        <v>19126</v>
      </c>
      <c r="O2453" s="110">
        <v>3</v>
      </c>
      <c r="P2453" s="113"/>
      <c r="Q2453" s="108" t="s">
        <v>19127</v>
      </c>
      <c r="R2453" s="110">
        <v>3</v>
      </c>
      <c r="S2453" s="113"/>
      <c r="T2453" s="108" t="s">
        <v>19128</v>
      </c>
      <c r="U2453" s="110">
        <v>3</v>
      </c>
      <c r="V2453" s="113"/>
      <c r="W2453" s="108" t="s">
        <v>19129</v>
      </c>
      <c r="X2453" s="110">
        <v>3</v>
      </c>
      <c r="Y2453" s="113"/>
      <c r="Z2453" s="108" t="s">
        <v>18287</v>
      </c>
      <c r="AA2453" s="112">
        <v>4</v>
      </c>
      <c r="AB2453" s="113"/>
      <c r="AC2453" s="105" t="s">
        <v>5539</v>
      </c>
      <c r="AD2453" s="115" t="s">
        <v>107</v>
      </c>
    </row>
    <row r="2454" spans="1:30" x14ac:dyDescent="0.2">
      <c r="A2454" s="104" t="s">
        <v>5540</v>
      </c>
      <c r="B2454" s="105" t="s">
        <v>42</v>
      </c>
      <c r="C2454" s="105" t="s">
        <v>160</v>
      </c>
      <c r="D2454" s="106"/>
      <c r="E2454" s="107"/>
      <c r="F2454" s="108" t="s">
        <v>19130</v>
      </c>
      <c r="G2454" s="120">
        <v>2</v>
      </c>
      <c r="H2454" s="108" t="s">
        <v>19131</v>
      </c>
      <c r="I2454" s="117">
        <v>2</v>
      </c>
      <c r="J2454" s="113"/>
      <c r="K2454" s="108" t="s">
        <v>19132</v>
      </c>
      <c r="L2454" s="117">
        <v>2</v>
      </c>
      <c r="M2454" s="113"/>
      <c r="N2454" s="108" t="s">
        <v>19130</v>
      </c>
      <c r="O2454" s="117">
        <v>2</v>
      </c>
      <c r="P2454" s="111" t="s">
        <v>40</v>
      </c>
      <c r="Q2454" s="108" t="s">
        <v>19133</v>
      </c>
      <c r="R2454" s="110">
        <v>3</v>
      </c>
      <c r="S2454" s="113"/>
      <c r="T2454" s="108" t="s">
        <v>19134</v>
      </c>
      <c r="U2454" s="110">
        <v>3</v>
      </c>
      <c r="V2454" s="113"/>
      <c r="W2454" s="108" t="s">
        <v>47</v>
      </c>
      <c r="X2454" s="114"/>
      <c r="Y2454" s="113"/>
      <c r="Z2454" s="108" t="s">
        <v>47</v>
      </c>
      <c r="AA2454" s="114"/>
      <c r="AB2454" s="113"/>
      <c r="AC2454" s="105" t="s">
        <v>5541</v>
      </c>
      <c r="AD2454" s="115" t="s">
        <v>107</v>
      </c>
    </row>
    <row r="2455" spans="1:30" x14ac:dyDescent="0.2">
      <c r="A2455" s="104" t="s">
        <v>5542</v>
      </c>
      <c r="B2455" s="105" t="s">
        <v>42</v>
      </c>
      <c r="C2455" s="105" t="s">
        <v>160</v>
      </c>
      <c r="D2455" s="106"/>
      <c r="E2455" s="107"/>
      <c r="F2455" s="108" t="s">
        <v>19135</v>
      </c>
      <c r="G2455" s="120">
        <v>2</v>
      </c>
      <c r="H2455" s="108" t="s">
        <v>19136</v>
      </c>
      <c r="I2455" s="117">
        <v>2</v>
      </c>
      <c r="J2455" s="113"/>
      <c r="K2455" s="108" t="s">
        <v>19137</v>
      </c>
      <c r="L2455" s="117">
        <v>2</v>
      </c>
      <c r="M2455" s="113"/>
      <c r="N2455" s="108" t="s">
        <v>19135</v>
      </c>
      <c r="O2455" s="117">
        <v>2</v>
      </c>
      <c r="P2455" s="111" t="s">
        <v>40</v>
      </c>
      <c r="Q2455" s="108" t="s">
        <v>19138</v>
      </c>
      <c r="R2455" s="110">
        <v>3</v>
      </c>
      <c r="S2455" s="113"/>
      <c r="T2455" s="108" t="s">
        <v>19139</v>
      </c>
      <c r="U2455" s="110">
        <v>3</v>
      </c>
      <c r="V2455" s="113"/>
      <c r="W2455" s="108" t="s">
        <v>47</v>
      </c>
      <c r="X2455" s="114"/>
      <c r="Y2455" s="113"/>
      <c r="Z2455" s="108" t="s">
        <v>47</v>
      </c>
      <c r="AA2455" s="114"/>
      <c r="AB2455" s="113"/>
      <c r="AC2455" s="105" t="s">
        <v>5543</v>
      </c>
      <c r="AD2455" s="115" t="s">
        <v>107</v>
      </c>
    </row>
    <row r="2456" spans="1:30" x14ac:dyDescent="0.2">
      <c r="A2456" s="104" t="s">
        <v>5544</v>
      </c>
      <c r="B2456" s="105" t="s">
        <v>42</v>
      </c>
      <c r="C2456" s="105" t="s">
        <v>160</v>
      </c>
      <c r="D2456" s="106"/>
      <c r="E2456" s="107"/>
      <c r="F2456" s="108" t="s">
        <v>19135</v>
      </c>
      <c r="G2456" s="120">
        <v>2</v>
      </c>
      <c r="H2456" s="108" t="s">
        <v>19136</v>
      </c>
      <c r="I2456" s="117">
        <v>2</v>
      </c>
      <c r="J2456" s="113"/>
      <c r="K2456" s="108" t="s">
        <v>19137</v>
      </c>
      <c r="L2456" s="117">
        <v>2</v>
      </c>
      <c r="M2456" s="113"/>
      <c r="N2456" s="108" t="s">
        <v>19135</v>
      </c>
      <c r="O2456" s="117">
        <v>2</v>
      </c>
      <c r="P2456" s="111" t="s">
        <v>40</v>
      </c>
      <c r="Q2456" s="108" t="s">
        <v>19133</v>
      </c>
      <c r="R2456" s="110">
        <v>3</v>
      </c>
      <c r="S2456" s="113"/>
      <c r="T2456" s="108" t="s">
        <v>19140</v>
      </c>
      <c r="U2456" s="110">
        <v>3</v>
      </c>
      <c r="V2456" s="113"/>
      <c r="W2456" s="108" t="s">
        <v>19141</v>
      </c>
      <c r="X2456" s="110">
        <v>3</v>
      </c>
      <c r="Y2456" s="113"/>
      <c r="Z2456" s="108" t="s">
        <v>19142</v>
      </c>
      <c r="AA2456" s="110">
        <v>3</v>
      </c>
      <c r="AB2456" s="113"/>
      <c r="AC2456" s="105" t="s">
        <v>5545</v>
      </c>
      <c r="AD2456" s="115" t="s">
        <v>107</v>
      </c>
    </row>
    <row r="2457" spans="1:30" x14ac:dyDescent="0.2">
      <c r="A2457" s="104" t="s">
        <v>5546</v>
      </c>
      <c r="B2457" s="105" t="s">
        <v>42</v>
      </c>
      <c r="C2457" s="105" t="s">
        <v>200</v>
      </c>
      <c r="D2457" s="106"/>
      <c r="E2457" s="107"/>
      <c r="F2457" s="108" t="s">
        <v>19143</v>
      </c>
      <c r="G2457" s="118">
        <v>3</v>
      </c>
      <c r="H2457" s="108" t="s">
        <v>19144</v>
      </c>
      <c r="I2457" s="116">
        <v>1</v>
      </c>
      <c r="J2457" s="113"/>
      <c r="K2457" s="108" t="s">
        <v>19145</v>
      </c>
      <c r="L2457" s="117">
        <v>2</v>
      </c>
      <c r="M2457" s="113"/>
      <c r="N2457" s="108" t="s">
        <v>19143</v>
      </c>
      <c r="O2457" s="110">
        <v>3</v>
      </c>
      <c r="P2457" s="113"/>
      <c r="Q2457" s="108" t="s">
        <v>19146</v>
      </c>
      <c r="R2457" s="112">
        <v>4</v>
      </c>
      <c r="S2457" s="113"/>
      <c r="T2457" s="108" t="s">
        <v>19147</v>
      </c>
      <c r="U2457" s="112">
        <v>4</v>
      </c>
      <c r="V2457" s="113"/>
      <c r="W2457" s="108" t="s">
        <v>19148</v>
      </c>
      <c r="X2457" s="112">
        <v>4</v>
      </c>
      <c r="Y2457" s="113"/>
      <c r="Z2457" s="108" t="s">
        <v>19149</v>
      </c>
      <c r="AA2457" s="112">
        <v>4</v>
      </c>
      <c r="AB2457" s="113"/>
      <c r="AC2457" s="105" t="s">
        <v>5547</v>
      </c>
      <c r="AD2457" s="115" t="s">
        <v>49</v>
      </c>
    </row>
    <row r="2458" spans="1:30" x14ac:dyDescent="0.2">
      <c r="A2458" s="104" t="s">
        <v>19150</v>
      </c>
      <c r="B2458" s="105" t="s">
        <v>42</v>
      </c>
      <c r="C2458" s="105" t="s">
        <v>154</v>
      </c>
      <c r="D2458" s="106" t="s">
        <v>514</v>
      </c>
      <c r="E2458" s="107"/>
      <c r="F2458" s="108" t="s">
        <v>19151</v>
      </c>
      <c r="G2458" s="119">
        <v>1</v>
      </c>
      <c r="H2458" s="108" t="s">
        <v>19152</v>
      </c>
      <c r="I2458" s="116">
        <v>1</v>
      </c>
      <c r="J2458" s="113"/>
      <c r="K2458" s="108" t="s">
        <v>19153</v>
      </c>
      <c r="L2458" s="116">
        <v>1</v>
      </c>
      <c r="M2458" s="113"/>
      <c r="N2458" s="108" t="s">
        <v>19151</v>
      </c>
      <c r="O2458" s="116">
        <v>1</v>
      </c>
      <c r="P2458" s="113"/>
      <c r="Q2458" s="108" t="s">
        <v>5548</v>
      </c>
      <c r="R2458" s="116">
        <v>1</v>
      </c>
      <c r="S2458" s="111" t="s">
        <v>40</v>
      </c>
      <c r="T2458" s="108" t="s">
        <v>19154</v>
      </c>
      <c r="U2458" s="117">
        <v>2</v>
      </c>
      <c r="V2458" s="113"/>
      <c r="W2458" s="108" t="s">
        <v>19155</v>
      </c>
      <c r="X2458" s="116">
        <v>1</v>
      </c>
      <c r="Y2458" s="111" t="s">
        <v>40</v>
      </c>
      <c r="Z2458" s="108" t="s">
        <v>3302</v>
      </c>
      <c r="AA2458" s="117">
        <v>2</v>
      </c>
      <c r="AB2458" s="113"/>
      <c r="AC2458" s="105" t="s">
        <v>5549</v>
      </c>
      <c r="AD2458" s="115" t="s">
        <v>107</v>
      </c>
    </row>
    <row r="2459" spans="1:30" x14ac:dyDescent="0.2">
      <c r="A2459" s="104" t="s">
        <v>19156</v>
      </c>
      <c r="B2459" s="105" t="s">
        <v>42</v>
      </c>
      <c r="C2459" s="105" t="s">
        <v>154</v>
      </c>
      <c r="D2459" s="106" t="s">
        <v>514</v>
      </c>
      <c r="E2459" s="107"/>
      <c r="F2459" s="108" t="s">
        <v>19157</v>
      </c>
      <c r="G2459" s="119">
        <v>1</v>
      </c>
      <c r="H2459" s="108" t="s">
        <v>5550</v>
      </c>
      <c r="I2459" s="116">
        <v>1</v>
      </c>
      <c r="J2459" s="113"/>
      <c r="K2459" s="108" t="s">
        <v>19158</v>
      </c>
      <c r="L2459" s="116">
        <v>1</v>
      </c>
      <c r="M2459" s="113"/>
      <c r="N2459" s="108" t="s">
        <v>19157</v>
      </c>
      <c r="O2459" s="116">
        <v>1</v>
      </c>
      <c r="P2459" s="113"/>
      <c r="Q2459" s="108" t="s">
        <v>5551</v>
      </c>
      <c r="R2459" s="116">
        <v>1</v>
      </c>
      <c r="S2459" s="111" t="s">
        <v>40</v>
      </c>
      <c r="T2459" s="108" t="s">
        <v>19159</v>
      </c>
      <c r="U2459" s="117">
        <v>2</v>
      </c>
      <c r="V2459" s="111" t="s">
        <v>40</v>
      </c>
      <c r="W2459" s="108" t="s">
        <v>19160</v>
      </c>
      <c r="X2459" s="116">
        <v>1</v>
      </c>
      <c r="Y2459" s="111" t="s">
        <v>40</v>
      </c>
      <c r="Z2459" s="108" t="s">
        <v>19161</v>
      </c>
      <c r="AA2459" s="110">
        <v>3</v>
      </c>
      <c r="AB2459" s="111" t="s">
        <v>46</v>
      </c>
      <c r="AC2459" s="105" t="s">
        <v>5552</v>
      </c>
      <c r="AD2459" s="115" t="s">
        <v>107</v>
      </c>
    </row>
    <row r="2460" spans="1:30" x14ac:dyDescent="0.2">
      <c r="A2460" s="104" t="s">
        <v>5553</v>
      </c>
      <c r="B2460" s="105" t="s">
        <v>42</v>
      </c>
      <c r="C2460" s="105" t="s">
        <v>513</v>
      </c>
      <c r="D2460" s="106" t="s">
        <v>94</v>
      </c>
      <c r="E2460" s="107"/>
      <c r="F2460" s="108" t="s">
        <v>19162</v>
      </c>
      <c r="G2460" s="119">
        <v>1</v>
      </c>
      <c r="H2460" s="108" t="s">
        <v>19163</v>
      </c>
      <c r="I2460" s="116">
        <v>1</v>
      </c>
      <c r="J2460" s="113"/>
      <c r="K2460" s="108" t="s">
        <v>19164</v>
      </c>
      <c r="L2460" s="116">
        <v>1</v>
      </c>
      <c r="M2460" s="113"/>
      <c r="N2460" s="108" t="s">
        <v>19162</v>
      </c>
      <c r="O2460" s="116">
        <v>1</v>
      </c>
      <c r="P2460" s="113"/>
      <c r="Q2460" s="108" t="s">
        <v>19165</v>
      </c>
      <c r="R2460" s="116">
        <v>1</v>
      </c>
      <c r="S2460" s="113"/>
      <c r="T2460" s="108" t="s">
        <v>19166</v>
      </c>
      <c r="U2460" s="117">
        <v>2</v>
      </c>
      <c r="V2460" s="113"/>
      <c r="W2460" s="108" t="s">
        <v>19167</v>
      </c>
      <c r="X2460" s="117">
        <v>2</v>
      </c>
      <c r="Y2460" s="113"/>
      <c r="Z2460" s="108" t="s">
        <v>19168</v>
      </c>
      <c r="AA2460" s="116">
        <v>1</v>
      </c>
      <c r="AB2460" s="113"/>
      <c r="AC2460" s="105" t="s">
        <v>5554</v>
      </c>
      <c r="AD2460" s="115" t="s">
        <v>49</v>
      </c>
    </row>
    <row r="2461" spans="1:30" x14ac:dyDescent="0.2">
      <c r="A2461" s="104" t="s">
        <v>5555</v>
      </c>
      <c r="B2461" s="105" t="s">
        <v>42</v>
      </c>
      <c r="C2461" s="105" t="s">
        <v>582</v>
      </c>
      <c r="D2461" s="106" t="s">
        <v>125</v>
      </c>
      <c r="E2461" s="107"/>
      <c r="F2461" s="108" t="s">
        <v>19169</v>
      </c>
      <c r="G2461" s="120">
        <v>2</v>
      </c>
      <c r="H2461" s="108" t="s">
        <v>19170</v>
      </c>
      <c r="I2461" s="117">
        <v>2</v>
      </c>
      <c r="J2461" s="111" t="s">
        <v>53</v>
      </c>
      <c r="K2461" s="108" t="s">
        <v>19171</v>
      </c>
      <c r="L2461" s="117">
        <v>2</v>
      </c>
      <c r="M2461" s="113"/>
      <c r="N2461" s="108" t="s">
        <v>19169</v>
      </c>
      <c r="O2461" s="117">
        <v>2</v>
      </c>
      <c r="P2461" s="113"/>
      <c r="Q2461" s="108" t="s">
        <v>19172</v>
      </c>
      <c r="R2461" s="116">
        <v>1</v>
      </c>
      <c r="S2461" s="113"/>
      <c r="T2461" s="108" t="s">
        <v>19173</v>
      </c>
      <c r="U2461" s="110">
        <v>3</v>
      </c>
      <c r="V2461" s="113"/>
      <c r="W2461" s="108" t="s">
        <v>19174</v>
      </c>
      <c r="X2461" s="117">
        <v>2</v>
      </c>
      <c r="Y2461" s="113"/>
      <c r="Z2461" s="108" t="s">
        <v>19175</v>
      </c>
      <c r="AA2461" s="116">
        <v>1</v>
      </c>
      <c r="AB2461" s="111" t="s">
        <v>157</v>
      </c>
      <c r="AC2461" s="105" t="s">
        <v>5556</v>
      </c>
      <c r="AD2461" s="115" t="s">
        <v>49</v>
      </c>
    </row>
    <row r="2462" spans="1:30" x14ac:dyDescent="0.2">
      <c r="A2462" s="104" t="s">
        <v>5557</v>
      </c>
      <c r="B2462" s="105" t="s">
        <v>42</v>
      </c>
      <c r="C2462" s="105" t="s">
        <v>582</v>
      </c>
      <c r="D2462" s="106" t="s">
        <v>94</v>
      </c>
      <c r="E2462" s="107"/>
      <c r="F2462" s="108" t="s">
        <v>19176</v>
      </c>
      <c r="G2462" s="119">
        <v>1</v>
      </c>
      <c r="H2462" s="108" t="s">
        <v>19177</v>
      </c>
      <c r="I2462" s="116">
        <v>1</v>
      </c>
      <c r="J2462" s="113"/>
      <c r="K2462" s="108" t="s">
        <v>19178</v>
      </c>
      <c r="L2462" s="116">
        <v>1</v>
      </c>
      <c r="M2462" s="113"/>
      <c r="N2462" s="108" t="s">
        <v>19176</v>
      </c>
      <c r="O2462" s="116">
        <v>1</v>
      </c>
      <c r="P2462" s="113"/>
      <c r="Q2462" s="108" t="s">
        <v>19179</v>
      </c>
      <c r="R2462" s="117">
        <v>2</v>
      </c>
      <c r="S2462" s="113"/>
      <c r="T2462" s="108" t="s">
        <v>19180</v>
      </c>
      <c r="U2462" s="116">
        <v>1</v>
      </c>
      <c r="V2462" s="113"/>
      <c r="W2462" s="108" t="s">
        <v>19181</v>
      </c>
      <c r="X2462" s="116">
        <v>1</v>
      </c>
      <c r="Y2462" s="113"/>
      <c r="Z2462" s="108" t="s">
        <v>19182</v>
      </c>
      <c r="AA2462" s="116">
        <v>1</v>
      </c>
      <c r="AB2462" s="113"/>
      <c r="AC2462" s="105" t="s">
        <v>5558</v>
      </c>
      <c r="AD2462" s="115" t="s">
        <v>107</v>
      </c>
    </row>
    <row r="2463" spans="1:30" x14ac:dyDescent="0.2">
      <c r="A2463" s="104" t="s">
        <v>5559</v>
      </c>
      <c r="B2463" s="105" t="s">
        <v>42</v>
      </c>
      <c r="C2463" s="105" t="s">
        <v>1110</v>
      </c>
      <c r="D2463" s="106" t="s">
        <v>125</v>
      </c>
      <c r="E2463" s="107"/>
      <c r="F2463" s="108" t="s">
        <v>19183</v>
      </c>
      <c r="G2463" s="109">
        <v>4</v>
      </c>
      <c r="H2463" s="108" t="s">
        <v>19184</v>
      </c>
      <c r="I2463" s="116">
        <v>1</v>
      </c>
      <c r="J2463" s="111" t="s">
        <v>157</v>
      </c>
      <c r="K2463" s="108" t="s">
        <v>19185</v>
      </c>
      <c r="L2463" s="110">
        <v>3</v>
      </c>
      <c r="M2463" s="111" t="s">
        <v>40</v>
      </c>
      <c r="N2463" s="108" t="s">
        <v>19183</v>
      </c>
      <c r="O2463" s="112">
        <v>4</v>
      </c>
      <c r="P2463" s="113"/>
      <c r="Q2463" s="108" t="s">
        <v>19186</v>
      </c>
      <c r="R2463" s="116">
        <v>1</v>
      </c>
      <c r="S2463" s="111" t="s">
        <v>157</v>
      </c>
      <c r="T2463" s="108" t="s">
        <v>19187</v>
      </c>
      <c r="U2463" s="112">
        <v>4</v>
      </c>
      <c r="V2463" s="113"/>
      <c r="W2463" s="108" t="s">
        <v>19188</v>
      </c>
      <c r="X2463" s="116">
        <v>1</v>
      </c>
      <c r="Y2463" s="111" t="s">
        <v>40</v>
      </c>
      <c r="Z2463" s="108" t="s">
        <v>3993</v>
      </c>
      <c r="AA2463" s="110">
        <v>3</v>
      </c>
      <c r="AB2463" s="111" t="s">
        <v>46</v>
      </c>
      <c r="AC2463" s="105" t="s">
        <v>5560</v>
      </c>
      <c r="AD2463" s="115" t="s">
        <v>49</v>
      </c>
    </row>
    <row r="2464" spans="1:30" x14ac:dyDescent="0.2">
      <c r="A2464" s="104" t="s">
        <v>5561</v>
      </c>
      <c r="B2464" s="105" t="s">
        <v>42</v>
      </c>
      <c r="C2464" s="105" t="s">
        <v>1553</v>
      </c>
      <c r="D2464" s="106" t="s">
        <v>105</v>
      </c>
      <c r="E2464" s="107"/>
      <c r="F2464" s="108" t="s">
        <v>19189</v>
      </c>
      <c r="G2464" s="119">
        <v>1</v>
      </c>
      <c r="H2464" s="108" t="s">
        <v>19190</v>
      </c>
      <c r="I2464" s="116">
        <v>1</v>
      </c>
      <c r="J2464" s="113"/>
      <c r="K2464" s="108" t="s">
        <v>19191</v>
      </c>
      <c r="L2464" s="116">
        <v>1</v>
      </c>
      <c r="M2464" s="113"/>
      <c r="N2464" s="108" t="s">
        <v>19189</v>
      </c>
      <c r="O2464" s="116">
        <v>1</v>
      </c>
      <c r="P2464" s="111" t="s">
        <v>40</v>
      </c>
      <c r="Q2464" s="108" t="s">
        <v>19192</v>
      </c>
      <c r="R2464" s="112">
        <v>4</v>
      </c>
      <c r="S2464" s="113"/>
      <c r="T2464" s="108" t="s">
        <v>5562</v>
      </c>
      <c r="U2464" s="112">
        <v>4</v>
      </c>
      <c r="V2464" s="113"/>
      <c r="W2464" s="108" t="s">
        <v>5563</v>
      </c>
      <c r="X2464" s="112">
        <v>4</v>
      </c>
      <c r="Y2464" s="113"/>
      <c r="Z2464" s="108" t="s">
        <v>5564</v>
      </c>
      <c r="AA2464" s="112">
        <v>4</v>
      </c>
      <c r="AB2464" s="113"/>
      <c r="AC2464" s="105" t="s">
        <v>5565</v>
      </c>
      <c r="AD2464" s="115" t="s">
        <v>49</v>
      </c>
    </row>
    <row r="2465" spans="1:30" x14ac:dyDescent="0.2">
      <c r="A2465" s="104" t="s">
        <v>19193</v>
      </c>
      <c r="B2465" s="105" t="s">
        <v>42</v>
      </c>
      <c r="C2465" s="105" t="s">
        <v>582</v>
      </c>
      <c r="D2465" s="106" t="s">
        <v>514</v>
      </c>
      <c r="E2465" s="107" t="s">
        <v>146</v>
      </c>
      <c r="F2465" s="108" t="s">
        <v>19194</v>
      </c>
      <c r="G2465" s="119">
        <v>1</v>
      </c>
      <c r="H2465" s="108" t="s">
        <v>19195</v>
      </c>
      <c r="I2465" s="116">
        <v>1</v>
      </c>
      <c r="J2465" s="113"/>
      <c r="K2465" s="108" t="s">
        <v>19196</v>
      </c>
      <c r="L2465" s="116">
        <v>1</v>
      </c>
      <c r="M2465" s="113"/>
      <c r="N2465" s="108" t="s">
        <v>19194</v>
      </c>
      <c r="O2465" s="116">
        <v>1</v>
      </c>
      <c r="P2465" s="113"/>
      <c r="Q2465" s="108" t="s">
        <v>19197</v>
      </c>
      <c r="R2465" s="116">
        <v>1</v>
      </c>
      <c r="S2465" s="113"/>
      <c r="T2465" s="108" t="s">
        <v>19198</v>
      </c>
      <c r="U2465" s="116">
        <v>1</v>
      </c>
      <c r="V2465" s="113"/>
      <c r="W2465" s="108" t="s">
        <v>19199</v>
      </c>
      <c r="X2465" s="116">
        <v>1</v>
      </c>
      <c r="Y2465" s="113"/>
      <c r="Z2465" s="108" t="s">
        <v>19200</v>
      </c>
      <c r="AA2465" s="116">
        <v>1</v>
      </c>
      <c r="AB2465" s="113"/>
      <c r="AC2465" s="105" t="s">
        <v>5566</v>
      </c>
      <c r="AD2465" s="115" t="s">
        <v>107</v>
      </c>
    </row>
    <row r="2466" spans="1:30" x14ac:dyDescent="0.2">
      <c r="A2466" s="104" t="s">
        <v>5567</v>
      </c>
      <c r="B2466" s="105" t="s">
        <v>42</v>
      </c>
      <c r="C2466" s="105" t="s">
        <v>582</v>
      </c>
      <c r="D2466" s="106" t="s">
        <v>514</v>
      </c>
      <c r="E2466" s="107" t="s">
        <v>146</v>
      </c>
      <c r="F2466" s="108" t="s">
        <v>19201</v>
      </c>
      <c r="G2466" s="119">
        <v>1</v>
      </c>
      <c r="H2466" s="108" t="s">
        <v>19202</v>
      </c>
      <c r="I2466" s="116">
        <v>1</v>
      </c>
      <c r="J2466" s="113"/>
      <c r="K2466" s="108" t="s">
        <v>19203</v>
      </c>
      <c r="L2466" s="116">
        <v>1</v>
      </c>
      <c r="M2466" s="113"/>
      <c r="N2466" s="108" t="s">
        <v>19201</v>
      </c>
      <c r="O2466" s="116">
        <v>1</v>
      </c>
      <c r="P2466" s="113"/>
      <c r="Q2466" s="108" t="s">
        <v>19204</v>
      </c>
      <c r="R2466" s="116">
        <v>1</v>
      </c>
      <c r="S2466" s="113"/>
      <c r="T2466" s="108" t="s">
        <v>19205</v>
      </c>
      <c r="U2466" s="116">
        <v>1</v>
      </c>
      <c r="V2466" s="113"/>
      <c r="W2466" s="108" t="s">
        <v>19206</v>
      </c>
      <c r="X2466" s="116">
        <v>1</v>
      </c>
      <c r="Y2466" s="113"/>
      <c r="Z2466" s="108" t="s">
        <v>19207</v>
      </c>
      <c r="AA2466" s="116">
        <v>1</v>
      </c>
      <c r="AB2466" s="113"/>
      <c r="AC2466" s="105" t="s">
        <v>5568</v>
      </c>
      <c r="AD2466" s="115" t="s">
        <v>107</v>
      </c>
    </row>
    <row r="2467" spans="1:30" x14ac:dyDescent="0.2">
      <c r="A2467" s="104" t="s">
        <v>5569</v>
      </c>
      <c r="B2467" s="105" t="s">
        <v>42</v>
      </c>
      <c r="C2467" s="105" t="s">
        <v>582</v>
      </c>
      <c r="D2467" s="106" t="s">
        <v>514</v>
      </c>
      <c r="E2467" s="107" t="s">
        <v>146</v>
      </c>
      <c r="F2467" s="108" t="s">
        <v>19208</v>
      </c>
      <c r="G2467" s="119">
        <v>1</v>
      </c>
      <c r="H2467" s="108" t="s">
        <v>19209</v>
      </c>
      <c r="I2467" s="116">
        <v>1</v>
      </c>
      <c r="J2467" s="113"/>
      <c r="K2467" s="108" t="s">
        <v>19210</v>
      </c>
      <c r="L2467" s="116">
        <v>1</v>
      </c>
      <c r="M2467" s="113"/>
      <c r="N2467" s="108" t="s">
        <v>19208</v>
      </c>
      <c r="O2467" s="116">
        <v>1</v>
      </c>
      <c r="P2467" s="113"/>
      <c r="Q2467" s="108" t="s">
        <v>19211</v>
      </c>
      <c r="R2467" s="116">
        <v>1</v>
      </c>
      <c r="S2467" s="113"/>
      <c r="T2467" s="108" t="s">
        <v>19212</v>
      </c>
      <c r="U2467" s="116">
        <v>1</v>
      </c>
      <c r="V2467" s="113"/>
      <c r="W2467" s="108" t="s">
        <v>19213</v>
      </c>
      <c r="X2467" s="116">
        <v>1</v>
      </c>
      <c r="Y2467" s="113"/>
      <c r="Z2467" s="108" t="s">
        <v>19214</v>
      </c>
      <c r="AA2467" s="116">
        <v>1</v>
      </c>
      <c r="AB2467" s="113"/>
      <c r="AC2467" s="105" t="s">
        <v>5570</v>
      </c>
      <c r="AD2467" s="115" t="s">
        <v>107</v>
      </c>
    </row>
    <row r="2468" spans="1:30" x14ac:dyDescent="0.2">
      <c r="A2468" s="104" t="s">
        <v>19215</v>
      </c>
      <c r="B2468" s="105" t="s">
        <v>42</v>
      </c>
      <c r="C2468" s="105" t="s">
        <v>582</v>
      </c>
      <c r="D2468" s="106" t="s">
        <v>125</v>
      </c>
      <c r="E2468" s="107"/>
      <c r="F2468" s="108" t="s">
        <v>19216</v>
      </c>
      <c r="G2468" s="119">
        <v>1</v>
      </c>
      <c r="H2468" s="108" t="s">
        <v>19217</v>
      </c>
      <c r="I2468" s="116">
        <v>1</v>
      </c>
      <c r="J2468" s="111" t="s">
        <v>40</v>
      </c>
      <c r="K2468" s="108" t="s">
        <v>19218</v>
      </c>
      <c r="L2468" s="116">
        <v>1</v>
      </c>
      <c r="M2468" s="113"/>
      <c r="N2468" s="108" t="s">
        <v>19216</v>
      </c>
      <c r="O2468" s="116">
        <v>1</v>
      </c>
      <c r="P2468" s="113"/>
      <c r="Q2468" s="108" t="s">
        <v>19219</v>
      </c>
      <c r="R2468" s="116">
        <v>1</v>
      </c>
      <c r="S2468" s="113"/>
      <c r="T2468" s="108" t="s">
        <v>13476</v>
      </c>
      <c r="U2468" s="110">
        <v>3</v>
      </c>
      <c r="V2468" s="113"/>
      <c r="W2468" s="108" t="s">
        <v>19220</v>
      </c>
      <c r="X2468" s="116">
        <v>1</v>
      </c>
      <c r="Y2468" s="113"/>
      <c r="Z2468" s="108" t="s">
        <v>19221</v>
      </c>
      <c r="AA2468" s="116">
        <v>1</v>
      </c>
      <c r="AB2468" s="111" t="s">
        <v>53</v>
      </c>
      <c r="AC2468" s="105" t="s">
        <v>5571</v>
      </c>
      <c r="AD2468" s="115" t="s">
        <v>49</v>
      </c>
    </row>
    <row r="2469" spans="1:30" x14ac:dyDescent="0.2">
      <c r="A2469" s="104" t="s">
        <v>19222</v>
      </c>
      <c r="B2469" s="105" t="s">
        <v>42</v>
      </c>
      <c r="C2469" s="105" t="s">
        <v>582</v>
      </c>
      <c r="D2469" s="106" t="s">
        <v>125</v>
      </c>
      <c r="E2469" s="107"/>
      <c r="F2469" s="108" t="s">
        <v>19223</v>
      </c>
      <c r="G2469" s="119">
        <v>1</v>
      </c>
      <c r="H2469" s="108" t="s">
        <v>19224</v>
      </c>
      <c r="I2469" s="116">
        <v>1</v>
      </c>
      <c r="J2469" s="111" t="s">
        <v>40</v>
      </c>
      <c r="K2469" s="108" t="s">
        <v>19225</v>
      </c>
      <c r="L2469" s="116">
        <v>1</v>
      </c>
      <c r="M2469" s="113"/>
      <c r="N2469" s="108" t="s">
        <v>19223</v>
      </c>
      <c r="O2469" s="116">
        <v>1</v>
      </c>
      <c r="P2469" s="113"/>
      <c r="Q2469" s="108" t="s">
        <v>19226</v>
      </c>
      <c r="R2469" s="116">
        <v>1</v>
      </c>
      <c r="S2469" s="113"/>
      <c r="T2469" s="108" t="s">
        <v>19227</v>
      </c>
      <c r="U2469" s="110">
        <v>3</v>
      </c>
      <c r="V2469" s="113"/>
      <c r="W2469" s="108" t="s">
        <v>19228</v>
      </c>
      <c r="X2469" s="116">
        <v>1</v>
      </c>
      <c r="Y2469" s="113"/>
      <c r="Z2469" s="108" t="s">
        <v>19229</v>
      </c>
      <c r="AA2469" s="116">
        <v>1</v>
      </c>
      <c r="AB2469" s="111" t="s">
        <v>53</v>
      </c>
      <c r="AC2469" s="105" t="s">
        <v>5572</v>
      </c>
      <c r="AD2469" s="115" t="s">
        <v>49</v>
      </c>
    </row>
    <row r="2470" spans="1:30" x14ac:dyDescent="0.2">
      <c r="A2470" s="104" t="s">
        <v>19230</v>
      </c>
      <c r="B2470" s="105" t="s">
        <v>42</v>
      </c>
      <c r="C2470" s="105" t="s">
        <v>582</v>
      </c>
      <c r="D2470" s="106" t="s">
        <v>125</v>
      </c>
      <c r="E2470" s="107"/>
      <c r="F2470" s="108" t="s">
        <v>19231</v>
      </c>
      <c r="G2470" s="119">
        <v>1</v>
      </c>
      <c r="H2470" s="108" t="s">
        <v>19232</v>
      </c>
      <c r="I2470" s="116">
        <v>1</v>
      </c>
      <c r="J2470" s="111" t="s">
        <v>40</v>
      </c>
      <c r="K2470" s="108" t="s">
        <v>19233</v>
      </c>
      <c r="L2470" s="116">
        <v>1</v>
      </c>
      <c r="M2470" s="113"/>
      <c r="N2470" s="108" t="s">
        <v>19231</v>
      </c>
      <c r="O2470" s="116">
        <v>1</v>
      </c>
      <c r="P2470" s="113"/>
      <c r="Q2470" s="108" t="s">
        <v>19234</v>
      </c>
      <c r="R2470" s="116">
        <v>1</v>
      </c>
      <c r="S2470" s="113"/>
      <c r="T2470" s="108" t="s">
        <v>19235</v>
      </c>
      <c r="U2470" s="110">
        <v>3</v>
      </c>
      <c r="V2470" s="113"/>
      <c r="W2470" s="108" t="s">
        <v>19236</v>
      </c>
      <c r="X2470" s="116">
        <v>1</v>
      </c>
      <c r="Y2470" s="113"/>
      <c r="Z2470" s="108" t="s">
        <v>19237</v>
      </c>
      <c r="AA2470" s="116">
        <v>1</v>
      </c>
      <c r="AB2470" s="111" t="s">
        <v>53</v>
      </c>
      <c r="AC2470" s="105" t="s">
        <v>5573</v>
      </c>
      <c r="AD2470" s="115" t="s">
        <v>49</v>
      </c>
    </row>
    <row r="2471" spans="1:30" x14ac:dyDescent="0.2">
      <c r="A2471" s="104" t="s">
        <v>5574</v>
      </c>
      <c r="B2471" s="105" t="s">
        <v>42</v>
      </c>
      <c r="C2471" s="105" t="s">
        <v>3841</v>
      </c>
      <c r="D2471" s="106"/>
      <c r="E2471" s="107"/>
      <c r="F2471" s="108" t="s">
        <v>19238</v>
      </c>
      <c r="G2471" s="119">
        <v>1</v>
      </c>
      <c r="H2471" s="108" t="s">
        <v>8427</v>
      </c>
      <c r="I2471" s="110">
        <v>3</v>
      </c>
      <c r="J2471" s="111" t="s">
        <v>46</v>
      </c>
      <c r="K2471" s="108" t="s">
        <v>8844</v>
      </c>
      <c r="L2471" s="110">
        <v>3</v>
      </c>
      <c r="M2471" s="111" t="s">
        <v>55</v>
      </c>
      <c r="N2471" s="108" t="s">
        <v>19238</v>
      </c>
      <c r="O2471" s="116">
        <v>1</v>
      </c>
      <c r="P2471" s="113"/>
      <c r="Q2471" s="108" t="s">
        <v>19238</v>
      </c>
      <c r="R2471" s="116">
        <v>1</v>
      </c>
      <c r="S2471" s="113"/>
      <c r="T2471" s="108" t="s">
        <v>47</v>
      </c>
      <c r="U2471" s="114"/>
      <c r="V2471" s="113"/>
      <c r="W2471" s="108" t="s">
        <v>47</v>
      </c>
      <c r="X2471" s="114"/>
      <c r="Y2471" s="113"/>
      <c r="Z2471" s="108" t="s">
        <v>47</v>
      </c>
      <c r="AA2471" s="114"/>
      <c r="AB2471" s="113"/>
      <c r="AC2471" s="105" t="s">
        <v>5575</v>
      </c>
      <c r="AD2471" s="115" t="s">
        <v>49</v>
      </c>
    </row>
    <row r="2472" spans="1:30" x14ac:dyDescent="0.2">
      <c r="A2472" s="104" t="s">
        <v>19239</v>
      </c>
      <c r="B2472" s="105" t="s">
        <v>42</v>
      </c>
      <c r="C2472" s="105" t="s">
        <v>51</v>
      </c>
      <c r="D2472" s="106"/>
      <c r="E2472" s="107"/>
      <c r="F2472" s="108" t="s">
        <v>47</v>
      </c>
      <c r="G2472" s="113"/>
      <c r="H2472" s="108" t="s">
        <v>7636</v>
      </c>
      <c r="I2472" s="116">
        <v>1</v>
      </c>
      <c r="J2472" s="111" t="s">
        <v>53</v>
      </c>
      <c r="K2472" s="108" t="s">
        <v>5576</v>
      </c>
      <c r="L2472" s="117">
        <v>2</v>
      </c>
      <c r="M2472" s="113"/>
      <c r="N2472" s="108" t="s">
        <v>47</v>
      </c>
      <c r="O2472" s="114"/>
      <c r="P2472" s="113"/>
      <c r="Q2472" s="108" t="s">
        <v>47</v>
      </c>
      <c r="R2472" s="114"/>
      <c r="S2472" s="113"/>
      <c r="T2472" s="108" t="s">
        <v>47</v>
      </c>
      <c r="U2472" s="114"/>
      <c r="V2472" s="113"/>
      <c r="W2472" s="108" t="s">
        <v>47</v>
      </c>
      <c r="X2472" s="114"/>
      <c r="Y2472" s="113"/>
      <c r="Z2472" s="108" t="s">
        <v>47</v>
      </c>
      <c r="AA2472" s="114"/>
      <c r="AB2472" s="113"/>
      <c r="AC2472" s="105" t="s">
        <v>19240</v>
      </c>
      <c r="AD2472" s="115" t="s">
        <v>49</v>
      </c>
    </row>
    <row r="2473" spans="1:30" x14ac:dyDescent="0.2">
      <c r="A2473" s="104" t="s">
        <v>5577</v>
      </c>
      <c r="B2473" s="105" t="s">
        <v>42</v>
      </c>
      <c r="C2473" s="105" t="s">
        <v>51</v>
      </c>
      <c r="D2473" s="106"/>
      <c r="E2473" s="107"/>
      <c r="F2473" s="108" t="s">
        <v>19241</v>
      </c>
      <c r="G2473" s="119">
        <v>1</v>
      </c>
      <c r="H2473" s="108" t="s">
        <v>19242</v>
      </c>
      <c r="I2473" s="116">
        <v>1</v>
      </c>
      <c r="J2473" s="111" t="s">
        <v>40</v>
      </c>
      <c r="K2473" s="108" t="s">
        <v>19243</v>
      </c>
      <c r="L2473" s="116">
        <v>1</v>
      </c>
      <c r="M2473" s="113"/>
      <c r="N2473" s="108" t="s">
        <v>19241</v>
      </c>
      <c r="O2473" s="116">
        <v>1</v>
      </c>
      <c r="P2473" s="111" t="s">
        <v>40</v>
      </c>
      <c r="Q2473" s="108" t="s">
        <v>47</v>
      </c>
      <c r="R2473" s="114"/>
      <c r="S2473" s="113"/>
      <c r="T2473" s="108" t="s">
        <v>47</v>
      </c>
      <c r="U2473" s="114"/>
      <c r="V2473" s="113"/>
      <c r="W2473" s="108" t="s">
        <v>47</v>
      </c>
      <c r="X2473" s="114"/>
      <c r="Y2473" s="113"/>
      <c r="Z2473" s="108" t="s">
        <v>47</v>
      </c>
      <c r="AA2473" s="114"/>
      <c r="AB2473" s="113"/>
      <c r="AC2473" s="105" t="s">
        <v>5578</v>
      </c>
      <c r="AD2473" s="115" t="s">
        <v>49</v>
      </c>
    </row>
    <row r="2474" spans="1:30" x14ac:dyDescent="0.2">
      <c r="A2474" s="104" t="s">
        <v>5579</v>
      </c>
      <c r="B2474" s="105" t="s">
        <v>42</v>
      </c>
      <c r="C2474" s="105" t="s">
        <v>51</v>
      </c>
      <c r="D2474" s="106"/>
      <c r="E2474" s="107"/>
      <c r="F2474" s="108" t="s">
        <v>19244</v>
      </c>
      <c r="G2474" s="119">
        <v>1</v>
      </c>
      <c r="H2474" s="108" t="s">
        <v>19245</v>
      </c>
      <c r="I2474" s="116">
        <v>1</v>
      </c>
      <c r="J2474" s="111" t="s">
        <v>40</v>
      </c>
      <c r="K2474" s="108" t="s">
        <v>19246</v>
      </c>
      <c r="L2474" s="116">
        <v>1</v>
      </c>
      <c r="M2474" s="113"/>
      <c r="N2474" s="108" t="s">
        <v>19244</v>
      </c>
      <c r="O2474" s="116">
        <v>1</v>
      </c>
      <c r="P2474" s="111" t="s">
        <v>40</v>
      </c>
      <c r="Q2474" s="108" t="s">
        <v>47</v>
      </c>
      <c r="R2474" s="114"/>
      <c r="S2474" s="113"/>
      <c r="T2474" s="108" t="s">
        <v>47</v>
      </c>
      <c r="U2474" s="114"/>
      <c r="V2474" s="113"/>
      <c r="W2474" s="108" t="s">
        <v>47</v>
      </c>
      <c r="X2474" s="114"/>
      <c r="Y2474" s="113"/>
      <c r="Z2474" s="108" t="s">
        <v>47</v>
      </c>
      <c r="AA2474" s="114"/>
      <c r="AB2474" s="113"/>
      <c r="AC2474" s="105" t="s">
        <v>5580</v>
      </c>
      <c r="AD2474" s="115" t="s">
        <v>49</v>
      </c>
    </row>
    <row r="2475" spans="1:30" x14ac:dyDescent="0.2">
      <c r="A2475" s="104" t="s">
        <v>5581</v>
      </c>
      <c r="B2475" s="105" t="s">
        <v>42</v>
      </c>
      <c r="C2475" s="105" t="s">
        <v>51</v>
      </c>
      <c r="D2475" s="106"/>
      <c r="E2475" s="107"/>
      <c r="F2475" s="108" t="s">
        <v>19247</v>
      </c>
      <c r="G2475" s="119">
        <v>1</v>
      </c>
      <c r="H2475" s="108" t="s">
        <v>19248</v>
      </c>
      <c r="I2475" s="110">
        <v>3</v>
      </c>
      <c r="J2475" s="111" t="s">
        <v>46</v>
      </c>
      <c r="K2475" s="108" t="s">
        <v>19249</v>
      </c>
      <c r="L2475" s="116">
        <v>1</v>
      </c>
      <c r="M2475" s="113"/>
      <c r="N2475" s="108" t="s">
        <v>19247</v>
      </c>
      <c r="O2475" s="116">
        <v>1</v>
      </c>
      <c r="P2475" s="113"/>
      <c r="Q2475" s="108" t="s">
        <v>19250</v>
      </c>
      <c r="R2475" s="116">
        <v>1</v>
      </c>
      <c r="S2475" s="113"/>
      <c r="T2475" s="108" t="s">
        <v>47</v>
      </c>
      <c r="U2475" s="114"/>
      <c r="V2475" s="113"/>
      <c r="W2475" s="108" t="s">
        <v>47</v>
      </c>
      <c r="X2475" s="114"/>
      <c r="Y2475" s="113"/>
      <c r="Z2475" s="108" t="s">
        <v>47</v>
      </c>
      <c r="AA2475" s="114"/>
      <c r="AB2475" s="113"/>
      <c r="AC2475" s="105" t="s">
        <v>5582</v>
      </c>
      <c r="AD2475" s="115" t="s">
        <v>49</v>
      </c>
    </row>
    <row r="2476" spans="1:30" x14ac:dyDescent="0.2">
      <c r="A2476" s="104" t="s">
        <v>5583</v>
      </c>
      <c r="B2476" s="105" t="s">
        <v>42</v>
      </c>
      <c r="C2476" s="105" t="s">
        <v>51</v>
      </c>
      <c r="D2476" s="106"/>
      <c r="E2476" s="107"/>
      <c r="F2476" s="108" t="s">
        <v>19251</v>
      </c>
      <c r="G2476" s="119">
        <v>1</v>
      </c>
      <c r="H2476" s="108" t="s">
        <v>19252</v>
      </c>
      <c r="I2476" s="112">
        <v>4</v>
      </c>
      <c r="J2476" s="111" t="s">
        <v>44</v>
      </c>
      <c r="K2476" s="108" t="s">
        <v>19253</v>
      </c>
      <c r="L2476" s="117">
        <v>2</v>
      </c>
      <c r="M2476" s="111" t="s">
        <v>46</v>
      </c>
      <c r="N2476" s="108" t="s">
        <v>19251</v>
      </c>
      <c r="O2476" s="116">
        <v>1</v>
      </c>
      <c r="P2476" s="113"/>
      <c r="Q2476" s="108" t="s">
        <v>19254</v>
      </c>
      <c r="R2476" s="116">
        <v>1</v>
      </c>
      <c r="S2476" s="113"/>
      <c r="T2476" s="108" t="s">
        <v>47</v>
      </c>
      <c r="U2476" s="114"/>
      <c r="V2476" s="113"/>
      <c r="W2476" s="108" t="s">
        <v>47</v>
      </c>
      <c r="X2476" s="114"/>
      <c r="Y2476" s="113"/>
      <c r="Z2476" s="108" t="s">
        <v>47</v>
      </c>
      <c r="AA2476" s="114"/>
      <c r="AB2476" s="113"/>
      <c r="AC2476" s="105" t="s">
        <v>5584</v>
      </c>
      <c r="AD2476" s="115" t="s">
        <v>49</v>
      </c>
    </row>
    <row r="2477" spans="1:30" x14ac:dyDescent="0.2">
      <c r="A2477" s="104" t="s">
        <v>5585</v>
      </c>
      <c r="B2477" s="105" t="s">
        <v>42</v>
      </c>
      <c r="C2477" s="105" t="s">
        <v>51</v>
      </c>
      <c r="D2477" s="106"/>
      <c r="E2477" s="107"/>
      <c r="F2477" s="108" t="s">
        <v>19255</v>
      </c>
      <c r="G2477" s="119">
        <v>1</v>
      </c>
      <c r="H2477" s="108" t="s">
        <v>19256</v>
      </c>
      <c r="I2477" s="110">
        <v>3</v>
      </c>
      <c r="J2477" s="111" t="s">
        <v>46</v>
      </c>
      <c r="K2477" s="108" t="s">
        <v>19257</v>
      </c>
      <c r="L2477" s="116">
        <v>1</v>
      </c>
      <c r="M2477" s="113"/>
      <c r="N2477" s="108" t="s">
        <v>19255</v>
      </c>
      <c r="O2477" s="116">
        <v>1</v>
      </c>
      <c r="P2477" s="113"/>
      <c r="Q2477" s="108" t="s">
        <v>19258</v>
      </c>
      <c r="R2477" s="116">
        <v>1</v>
      </c>
      <c r="S2477" s="113"/>
      <c r="T2477" s="108" t="s">
        <v>47</v>
      </c>
      <c r="U2477" s="114"/>
      <c r="V2477" s="113"/>
      <c r="W2477" s="108" t="s">
        <v>47</v>
      </c>
      <c r="X2477" s="114"/>
      <c r="Y2477" s="113"/>
      <c r="Z2477" s="108" t="s">
        <v>47</v>
      </c>
      <c r="AA2477" s="114"/>
      <c r="AB2477" s="113"/>
      <c r="AC2477" s="105" t="s">
        <v>5586</v>
      </c>
      <c r="AD2477" s="115" t="s">
        <v>49</v>
      </c>
    </row>
    <row r="2478" spans="1:30" x14ac:dyDescent="0.2">
      <c r="A2478" s="104" t="s">
        <v>5587</v>
      </c>
      <c r="B2478" s="105" t="s">
        <v>42</v>
      </c>
      <c r="C2478" s="105" t="s">
        <v>51</v>
      </c>
      <c r="D2478" s="106"/>
      <c r="E2478" s="107"/>
      <c r="F2478" s="108" t="s">
        <v>19259</v>
      </c>
      <c r="G2478" s="119">
        <v>1</v>
      </c>
      <c r="H2478" s="108" t="s">
        <v>19260</v>
      </c>
      <c r="I2478" s="112">
        <v>4</v>
      </c>
      <c r="J2478" s="111" t="s">
        <v>44</v>
      </c>
      <c r="K2478" s="108" t="s">
        <v>19261</v>
      </c>
      <c r="L2478" s="117">
        <v>2</v>
      </c>
      <c r="M2478" s="111" t="s">
        <v>46</v>
      </c>
      <c r="N2478" s="108" t="s">
        <v>19259</v>
      </c>
      <c r="O2478" s="116">
        <v>1</v>
      </c>
      <c r="P2478" s="113"/>
      <c r="Q2478" s="108" t="s">
        <v>19262</v>
      </c>
      <c r="R2478" s="116">
        <v>1</v>
      </c>
      <c r="S2478" s="113"/>
      <c r="T2478" s="108" t="s">
        <v>47</v>
      </c>
      <c r="U2478" s="114"/>
      <c r="V2478" s="113"/>
      <c r="W2478" s="108" t="s">
        <v>47</v>
      </c>
      <c r="X2478" s="114"/>
      <c r="Y2478" s="113"/>
      <c r="Z2478" s="108" t="s">
        <v>47</v>
      </c>
      <c r="AA2478" s="114"/>
      <c r="AB2478" s="113"/>
      <c r="AC2478" s="105" t="s">
        <v>5588</v>
      </c>
      <c r="AD2478" s="115" t="s">
        <v>49</v>
      </c>
    </row>
    <row r="2479" spans="1:30" x14ac:dyDescent="0.2">
      <c r="A2479" s="104" t="s">
        <v>5589</v>
      </c>
      <c r="B2479" s="105" t="s">
        <v>42</v>
      </c>
      <c r="C2479" s="105" t="s">
        <v>51</v>
      </c>
      <c r="D2479" s="106"/>
      <c r="E2479" s="107"/>
      <c r="F2479" s="108" t="s">
        <v>19263</v>
      </c>
      <c r="G2479" s="118">
        <v>3</v>
      </c>
      <c r="H2479" s="108" t="s">
        <v>19264</v>
      </c>
      <c r="I2479" s="117">
        <v>2</v>
      </c>
      <c r="J2479" s="113"/>
      <c r="K2479" s="108" t="s">
        <v>19265</v>
      </c>
      <c r="L2479" s="117">
        <v>2</v>
      </c>
      <c r="M2479" s="113"/>
      <c r="N2479" s="108" t="s">
        <v>19263</v>
      </c>
      <c r="O2479" s="110">
        <v>3</v>
      </c>
      <c r="P2479" s="113"/>
      <c r="Q2479" s="108" t="s">
        <v>19266</v>
      </c>
      <c r="R2479" s="112">
        <v>4</v>
      </c>
      <c r="S2479" s="111" t="s">
        <v>46</v>
      </c>
      <c r="T2479" s="108" t="s">
        <v>19267</v>
      </c>
      <c r="U2479" s="110">
        <v>3</v>
      </c>
      <c r="V2479" s="113"/>
      <c r="W2479" s="108" t="s">
        <v>19268</v>
      </c>
      <c r="X2479" s="110">
        <v>3</v>
      </c>
      <c r="Y2479" s="113"/>
      <c r="Z2479" s="108" t="s">
        <v>4409</v>
      </c>
      <c r="AA2479" s="112">
        <v>4</v>
      </c>
      <c r="AB2479" s="113"/>
      <c r="AC2479" s="105" t="s">
        <v>5590</v>
      </c>
      <c r="AD2479" s="115" t="s">
        <v>49</v>
      </c>
    </row>
    <row r="2480" spans="1:30" x14ac:dyDescent="0.2">
      <c r="A2480" s="104" t="s">
        <v>5591</v>
      </c>
      <c r="B2480" s="105" t="s">
        <v>42</v>
      </c>
      <c r="C2480" s="105" t="s">
        <v>2741</v>
      </c>
      <c r="D2480" s="106" t="s">
        <v>105</v>
      </c>
      <c r="E2480" s="107"/>
      <c r="F2480" s="108" t="s">
        <v>19269</v>
      </c>
      <c r="G2480" s="118">
        <v>3</v>
      </c>
      <c r="H2480" s="108" t="s">
        <v>19270</v>
      </c>
      <c r="I2480" s="117">
        <v>2</v>
      </c>
      <c r="J2480" s="113"/>
      <c r="K2480" s="108" t="s">
        <v>19271</v>
      </c>
      <c r="L2480" s="117">
        <v>2</v>
      </c>
      <c r="M2480" s="111" t="s">
        <v>40</v>
      </c>
      <c r="N2480" s="108" t="s">
        <v>19269</v>
      </c>
      <c r="O2480" s="110">
        <v>3</v>
      </c>
      <c r="P2480" s="113"/>
      <c r="Q2480" s="108" t="s">
        <v>19272</v>
      </c>
      <c r="R2480" s="112">
        <v>4</v>
      </c>
      <c r="S2480" s="113"/>
      <c r="T2480" s="108" t="s">
        <v>19273</v>
      </c>
      <c r="U2480" s="112">
        <v>4</v>
      </c>
      <c r="V2480" s="113"/>
      <c r="W2480" s="108" t="s">
        <v>19274</v>
      </c>
      <c r="X2480" s="112">
        <v>4</v>
      </c>
      <c r="Y2480" s="113"/>
      <c r="Z2480" s="108" t="s">
        <v>47</v>
      </c>
      <c r="AA2480" s="114"/>
      <c r="AB2480" s="113"/>
      <c r="AC2480" s="105" t="s">
        <v>5592</v>
      </c>
      <c r="AD2480" s="115" t="s">
        <v>49</v>
      </c>
    </row>
    <row r="2481" spans="1:30" x14ac:dyDescent="0.2">
      <c r="A2481" s="104" t="s">
        <v>5593</v>
      </c>
      <c r="B2481" s="105" t="s">
        <v>42</v>
      </c>
      <c r="C2481" s="105" t="s">
        <v>43</v>
      </c>
      <c r="D2481" s="106"/>
      <c r="E2481" s="107"/>
      <c r="F2481" s="108" t="s">
        <v>19275</v>
      </c>
      <c r="G2481" s="120">
        <v>2</v>
      </c>
      <c r="H2481" s="108" t="s">
        <v>19276</v>
      </c>
      <c r="I2481" s="117">
        <v>2</v>
      </c>
      <c r="J2481" s="113"/>
      <c r="K2481" s="108" t="s">
        <v>19277</v>
      </c>
      <c r="L2481" s="117">
        <v>2</v>
      </c>
      <c r="M2481" s="111" t="s">
        <v>40</v>
      </c>
      <c r="N2481" s="108" t="s">
        <v>19275</v>
      </c>
      <c r="O2481" s="117">
        <v>2</v>
      </c>
      <c r="P2481" s="111" t="s">
        <v>40</v>
      </c>
      <c r="Q2481" s="108" t="s">
        <v>19278</v>
      </c>
      <c r="R2481" s="117">
        <v>2</v>
      </c>
      <c r="S2481" s="111" t="s">
        <v>40</v>
      </c>
      <c r="T2481" s="108" t="s">
        <v>19279</v>
      </c>
      <c r="U2481" s="110">
        <v>3</v>
      </c>
      <c r="V2481" s="113"/>
      <c r="W2481" s="108" t="s">
        <v>19280</v>
      </c>
      <c r="X2481" s="112">
        <v>4</v>
      </c>
      <c r="Y2481" s="113"/>
      <c r="Z2481" s="108" t="s">
        <v>47</v>
      </c>
      <c r="AA2481" s="114"/>
      <c r="AB2481" s="113"/>
      <c r="AC2481" s="105" t="s">
        <v>5594</v>
      </c>
      <c r="AD2481" s="115" t="s">
        <v>49</v>
      </c>
    </row>
    <row r="2482" spans="1:30" x14ac:dyDescent="0.2">
      <c r="A2482" s="104" t="s">
        <v>5595</v>
      </c>
      <c r="B2482" s="105" t="s">
        <v>42</v>
      </c>
      <c r="C2482" s="105" t="s">
        <v>3841</v>
      </c>
      <c r="D2482" s="106"/>
      <c r="E2482" s="107"/>
      <c r="F2482" s="108" t="s">
        <v>19281</v>
      </c>
      <c r="G2482" s="109">
        <v>4</v>
      </c>
      <c r="H2482" s="108" t="s">
        <v>4867</v>
      </c>
      <c r="I2482" s="112">
        <v>4</v>
      </c>
      <c r="J2482" s="111" t="s">
        <v>46</v>
      </c>
      <c r="K2482" s="108" t="s">
        <v>19281</v>
      </c>
      <c r="L2482" s="112">
        <v>4</v>
      </c>
      <c r="M2482" s="111" t="s">
        <v>46</v>
      </c>
      <c r="N2482" s="108" t="s">
        <v>19281</v>
      </c>
      <c r="O2482" s="112">
        <v>4</v>
      </c>
      <c r="P2482" s="113"/>
      <c r="Q2482" s="108" t="s">
        <v>19281</v>
      </c>
      <c r="R2482" s="112">
        <v>4</v>
      </c>
      <c r="S2482" s="113"/>
      <c r="T2482" s="108" t="s">
        <v>19282</v>
      </c>
      <c r="U2482" s="112">
        <v>4</v>
      </c>
      <c r="V2482" s="113"/>
      <c r="W2482" s="108" t="s">
        <v>5596</v>
      </c>
      <c r="X2482" s="112">
        <v>4</v>
      </c>
      <c r="Y2482" s="113"/>
      <c r="Z2482" s="108" t="s">
        <v>3302</v>
      </c>
      <c r="AA2482" s="117">
        <v>2</v>
      </c>
      <c r="AB2482" s="113"/>
      <c r="AC2482" s="105" t="s">
        <v>5597</v>
      </c>
      <c r="AD2482" s="115" t="s">
        <v>49</v>
      </c>
    </row>
    <row r="2483" spans="1:30" x14ac:dyDescent="0.2">
      <c r="A2483" s="104" t="s">
        <v>5598</v>
      </c>
      <c r="B2483" s="105" t="s">
        <v>42</v>
      </c>
      <c r="C2483" s="105" t="s">
        <v>51</v>
      </c>
      <c r="D2483" s="106"/>
      <c r="E2483" s="107"/>
      <c r="F2483" s="108" t="s">
        <v>19283</v>
      </c>
      <c r="G2483" s="119">
        <v>1</v>
      </c>
      <c r="H2483" s="108" t="s">
        <v>19284</v>
      </c>
      <c r="I2483" s="117">
        <v>2</v>
      </c>
      <c r="J2483" s="113"/>
      <c r="K2483" s="108" t="s">
        <v>19285</v>
      </c>
      <c r="L2483" s="116">
        <v>1</v>
      </c>
      <c r="M2483" s="113"/>
      <c r="N2483" s="108" t="s">
        <v>19283</v>
      </c>
      <c r="O2483" s="116">
        <v>1</v>
      </c>
      <c r="P2483" s="113"/>
      <c r="Q2483" s="108" t="s">
        <v>19286</v>
      </c>
      <c r="R2483" s="116">
        <v>1</v>
      </c>
      <c r="S2483" s="113"/>
      <c r="T2483" s="108" t="s">
        <v>47</v>
      </c>
      <c r="U2483" s="114"/>
      <c r="V2483" s="113"/>
      <c r="W2483" s="108" t="s">
        <v>47</v>
      </c>
      <c r="X2483" s="114"/>
      <c r="Y2483" s="113"/>
      <c r="Z2483" s="108" t="s">
        <v>47</v>
      </c>
      <c r="AA2483" s="114"/>
      <c r="AB2483" s="113"/>
      <c r="AC2483" s="105" t="s">
        <v>5599</v>
      </c>
      <c r="AD2483" s="115" t="s">
        <v>49</v>
      </c>
    </row>
    <row r="2484" spans="1:30" x14ac:dyDescent="0.2">
      <c r="A2484" s="104" t="s">
        <v>5600</v>
      </c>
      <c r="B2484" s="105" t="s">
        <v>42</v>
      </c>
      <c r="C2484" s="105" t="s">
        <v>51</v>
      </c>
      <c r="D2484" s="106"/>
      <c r="E2484" s="107"/>
      <c r="F2484" s="108" t="s">
        <v>19287</v>
      </c>
      <c r="G2484" s="119">
        <v>1</v>
      </c>
      <c r="H2484" s="108" t="s">
        <v>19288</v>
      </c>
      <c r="I2484" s="117">
        <v>2</v>
      </c>
      <c r="J2484" s="113"/>
      <c r="K2484" s="108" t="s">
        <v>5601</v>
      </c>
      <c r="L2484" s="116">
        <v>1</v>
      </c>
      <c r="M2484" s="113"/>
      <c r="N2484" s="108" t="s">
        <v>19287</v>
      </c>
      <c r="O2484" s="116">
        <v>1</v>
      </c>
      <c r="P2484" s="113"/>
      <c r="Q2484" s="108" t="s">
        <v>19289</v>
      </c>
      <c r="R2484" s="116">
        <v>1</v>
      </c>
      <c r="S2484" s="113"/>
      <c r="T2484" s="108" t="s">
        <v>47</v>
      </c>
      <c r="U2484" s="114"/>
      <c r="V2484" s="113"/>
      <c r="W2484" s="108" t="s">
        <v>47</v>
      </c>
      <c r="X2484" s="114"/>
      <c r="Y2484" s="113"/>
      <c r="Z2484" s="108" t="s">
        <v>47</v>
      </c>
      <c r="AA2484" s="114"/>
      <c r="AB2484" s="113"/>
      <c r="AC2484" s="105" t="s">
        <v>5602</v>
      </c>
      <c r="AD2484" s="115" t="s">
        <v>49</v>
      </c>
    </row>
    <row r="2485" spans="1:30" x14ac:dyDescent="0.2">
      <c r="A2485" s="104" t="s">
        <v>5603</v>
      </c>
      <c r="B2485" s="105" t="s">
        <v>42</v>
      </c>
      <c r="C2485" s="105" t="s">
        <v>51</v>
      </c>
      <c r="D2485" s="106"/>
      <c r="E2485" s="107"/>
      <c r="F2485" s="108" t="s">
        <v>19290</v>
      </c>
      <c r="G2485" s="119">
        <v>1</v>
      </c>
      <c r="H2485" s="108" t="s">
        <v>19291</v>
      </c>
      <c r="I2485" s="117">
        <v>2</v>
      </c>
      <c r="J2485" s="113"/>
      <c r="K2485" s="108" t="s">
        <v>19292</v>
      </c>
      <c r="L2485" s="116">
        <v>1</v>
      </c>
      <c r="M2485" s="113"/>
      <c r="N2485" s="108" t="s">
        <v>19290</v>
      </c>
      <c r="O2485" s="116">
        <v>1</v>
      </c>
      <c r="P2485" s="113"/>
      <c r="Q2485" s="108" t="s">
        <v>19293</v>
      </c>
      <c r="R2485" s="116">
        <v>1</v>
      </c>
      <c r="S2485" s="113"/>
      <c r="T2485" s="108" t="s">
        <v>47</v>
      </c>
      <c r="U2485" s="114"/>
      <c r="V2485" s="113"/>
      <c r="W2485" s="108" t="s">
        <v>47</v>
      </c>
      <c r="X2485" s="114"/>
      <c r="Y2485" s="113"/>
      <c r="Z2485" s="108" t="s">
        <v>47</v>
      </c>
      <c r="AA2485" s="114"/>
      <c r="AB2485" s="113"/>
      <c r="AC2485" s="105" t="s">
        <v>5604</v>
      </c>
      <c r="AD2485" s="115" t="s">
        <v>49</v>
      </c>
    </row>
    <row r="2486" spans="1:30" x14ac:dyDescent="0.2">
      <c r="A2486" s="104" t="s">
        <v>5605</v>
      </c>
      <c r="B2486" s="105" t="s">
        <v>42</v>
      </c>
      <c r="C2486" s="105" t="s">
        <v>160</v>
      </c>
      <c r="D2486" s="106"/>
      <c r="E2486" s="107"/>
      <c r="F2486" s="108" t="s">
        <v>19294</v>
      </c>
      <c r="G2486" s="118">
        <v>3</v>
      </c>
      <c r="H2486" s="108" t="s">
        <v>19295</v>
      </c>
      <c r="I2486" s="110">
        <v>3</v>
      </c>
      <c r="J2486" s="113"/>
      <c r="K2486" s="108" t="s">
        <v>19296</v>
      </c>
      <c r="L2486" s="110">
        <v>3</v>
      </c>
      <c r="M2486" s="113"/>
      <c r="N2486" s="108" t="s">
        <v>19294</v>
      </c>
      <c r="O2486" s="110">
        <v>3</v>
      </c>
      <c r="P2486" s="113"/>
      <c r="Q2486" s="108" t="s">
        <v>19297</v>
      </c>
      <c r="R2486" s="110">
        <v>3</v>
      </c>
      <c r="S2486" s="113"/>
      <c r="T2486" s="108" t="s">
        <v>19298</v>
      </c>
      <c r="U2486" s="110">
        <v>3</v>
      </c>
      <c r="V2486" s="113"/>
      <c r="W2486" s="108" t="s">
        <v>19299</v>
      </c>
      <c r="X2486" s="110">
        <v>3</v>
      </c>
      <c r="Y2486" s="113"/>
      <c r="Z2486" s="108" t="s">
        <v>19300</v>
      </c>
      <c r="AA2486" s="110">
        <v>3</v>
      </c>
      <c r="AB2486" s="111" t="s">
        <v>46</v>
      </c>
      <c r="AC2486" s="105" t="s">
        <v>5606</v>
      </c>
      <c r="AD2486" s="115" t="s">
        <v>49</v>
      </c>
    </row>
    <row r="2487" spans="1:30" x14ac:dyDescent="0.2">
      <c r="A2487" s="104" t="s">
        <v>5607</v>
      </c>
      <c r="B2487" s="105" t="s">
        <v>42</v>
      </c>
      <c r="C2487" s="105" t="s">
        <v>160</v>
      </c>
      <c r="D2487" s="106"/>
      <c r="E2487" s="107"/>
      <c r="F2487" s="108" t="s">
        <v>19301</v>
      </c>
      <c r="G2487" s="118">
        <v>3</v>
      </c>
      <c r="H2487" s="108" t="s">
        <v>5608</v>
      </c>
      <c r="I2487" s="110">
        <v>3</v>
      </c>
      <c r="J2487" s="113"/>
      <c r="K2487" s="108" t="s">
        <v>5609</v>
      </c>
      <c r="L2487" s="110">
        <v>3</v>
      </c>
      <c r="M2487" s="113"/>
      <c r="N2487" s="108" t="s">
        <v>19301</v>
      </c>
      <c r="O2487" s="110">
        <v>3</v>
      </c>
      <c r="P2487" s="113"/>
      <c r="Q2487" s="108" t="s">
        <v>19302</v>
      </c>
      <c r="R2487" s="110">
        <v>3</v>
      </c>
      <c r="S2487" s="113"/>
      <c r="T2487" s="108" t="s">
        <v>19303</v>
      </c>
      <c r="U2487" s="110">
        <v>3</v>
      </c>
      <c r="V2487" s="113"/>
      <c r="W2487" s="108" t="s">
        <v>47</v>
      </c>
      <c r="X2487" s="114"/>
      <c r="Y2487" s="113"/>
      <c r="Z2487" s="108" t="s">
        <v>47</v>
      </c>
      <c r="AA2487" s="114"/>
      <c r="AB2487" s="113"/>
      <c r="AC2487" s="105" t="s">
        <v>5610</v>
      </c>
      <c r="AD2487" s="115" t="s">
        <v>49</v>
      </c>
    </row>
    <row r="2488" spans="1:30" x14ac:dyDescent="0.2">
      <c r="A2488" s="104" t="s">
        <v>5611</v>
      </c>
      <c r="B2488" s="105" t="s">
        <v>42</v>
      </c>
      <c r="C2488" s="105" t="s">
        <v>160</v>
      </c>
      <c r="D2488" s="106"/>
      <c r="E2488" s="107"/>
      <c r="F2488" s="108" t="s">
        <v>19294</v>
      </c>
      <c r="G2488" s="118">
        <v>3</v>
      </c>
      <c r="H2488" s="108" t="s">
        <v>19304</v>
      </c>
      <c r="I2488" s="110">
        <v>3</v>
      </c>
      <c r="J2488" s="113"/>
      <c r="K2488" s="108" t="s">
        <v>5612</v>
      </c>
      <c r="L2488" s="110">
        <v>3</v>
      </c>
      <c r="M2488" s="113"/>
      <c r="N2488" s="108" t="s">
        <v>19294</v>
      </c>
      <c r="O2488" s="110">
        <v>3</v>
      </c>
      <c r="P2488" s="113"/>
      <c r="Q2488" s="108" t="s">
        <v>19302</v>
      </c>
      <c r="R2488" s="110">
        <v>3</v>
      </c>
      <c r="S2488" s="113"/>
      <c r="T2488" s="108" t="s">
        <v>19305</v>
      </c>
      <c r="U2488" s="110">
        <v>3</v>
      </c>
      <c r="V2488" s="113"/>
      <c r="W2488" s="108" t="s">
        <v>19306</v>
      </c>
      <c r="X2488" s="110">
        <v>3</v>
      </c>
      <c r="Y2488" s="113"/>
      <c r="Z2488" s="108" t="s">
        <v>47</v>
      </c>
      <c r="AA2488" s="114"/>
      <c r="AB2488" s="113"/>
      <c r="AC2488" s="105" t="s">
        <v>5613</v>
      </c>
      <c r="AD2488" s="115" t="s">
        <v>49</v>
      </c>
    </row>
    <row r="2489" spans="1:30" x14ac:dyDescent="0.2">
      <c r="A2489" s="104" t="s">
        <v>5614</v>
      </c>
      <c r="B2489" s="105" t="s">
        <v>42</v>
      </c>
      <c r="C2489" s="105" t="s">
        <v>132</v>
      </c>
      <c r="D2489" s="106" t="s">
        <v>125</v>
      </c>
      <c r="E2489" s="107"/>
      <c r="F2489" s="108" t="s">
        <v>19307</v>
      </c>
      <c r="G2489" s="118">
        <v>3</v>
      </c>
      <c r="H2489" s="108" t="s">
        <v>19308</v>
      </c>
      <c r="I2489" s="110">
        <v>3</v>
      </c>
      <c r="J2489" s="113"/>
      <c r="K2489" s="108" t="s">
        <v>19309</v>
      </c>
      <c r="L2489" s="110">
        <v>3</v>
      </c>
      <c r="M2489" s="113"/>
      <c r="N2489" s="108" t="s">
        <v>19307</v>
      </c>
      <c r="O2489" s="110">
        <v>3</v>
      </c>
      <c r="P2489" s="113"/>
      <c r="Q2489" s="108" t="s">
        <v>19310</v>
      </c>
      <c r="R2489" s="110">
        <v>3</v>
      </c>
      <c r="S2489" s="113"/>
      <c r="T2489" s="108" t="s">
        <v>19311</v>
      </c>
      <c r="U2489" s="117">
        <v>2</v>
      </c>
      <c r="V2489" s="113"/>
      <c r="W2489" s="108" t="s">
        <v>19312</v>
      </c>
      <c r="X2489" s="110">
        <v>3</v>
      </c>
      <c r="Y2489" s="113"/>
      <c r="Z2489" s="108" t="s">
        <v>19313</v>
      </c>
      <c r="AA2489" s="117">
        <v>2</v>
      </c>
      <c r="AB2489" s="113"/>
      <c r="AC2489" s="105" t="s">
        <v>5615</v>
      </c>
      <c r="AD2489" s="115" t="s">
        <v>49</v>
      </c>
    </row>
    <row r="2490" spans="1:30" x14ac:dyDescent="0.2">
      <c r="A2490" s="104" t="s">
        <v>5616</v>
      </c>
      <c r="B2490" s="105" t="s">
        <v>42</v>
      </c>
      <c r="C2490" s="105" t="s">
        <v>132</v>
      </c>
      <c r="D2490" s="106" t="s">
        <v>125</v>
      </c>
      <c r="E2490" s="107"/>
      <c r="F2490" s="108" t="s">
        <v>19314</v>
      </c>
      <c r="G2490" s="118">
        <v>3</v>
      </c>
      <c r="H2490" s="108" t="s">
        <v>19315</v>
      </c>
      <c r="I2490" s="110">
        <v>3</v>
      </c>
      <c r="J2490" s="113"/>
      <c r="K2490" s="108" t="s">
        <v>19316</v>
      </c>
      <c r="L2490" s="110">
        <v>3</v>
      </c>
      <c r="M2490" s="113"/>
      <c r="N2490" s="108" t="s">
        <v>19314</v>
      </c>
      <c r="O2490" s="110">
        <v>3</v>
      </c>
      <c r="P2490" s="113"/>
      <c r="Q2490" s="108" t="s">
        <v>5617</v>
      </c>
      <c r="R2490" s="110">
        <v>3</v>
      </c>
      <c r="S2490" s="113"/>
      <c r="T2490" s="108" t="s">
        <v>19317</v>
      </c>
      <c r="U2490" s="117">
        <v>2</v>
      </c>
      <c r="V2490" s="113"/>
      <c r="W2490" s="108" t="s">
        <v>19318</v>
      </c>
      <c r="X2490" s="110">
        <v>3</v>
      </c>
      <c r="Y2490" s="113"/>
      <c r="Z2490" s="108" t="s">
        <v>47</v>
      </c>
      <c r="AA2490" s="114"/>
      <c r="AB2490" s="113"/>
      <c r="AC2490" s="105" t="s">
        <v>5618</v>
      </c>
      <c r="AD2490" s="115" t="s">
        <v>49</v>
      </c>
    </row>
    <row r="2491" spans="1:30" x14ac:dyDescent="0.2">
      <c r="A2491" s="104" t="s">
        <v>5619</v>
      </c>
      <c r="B2491" s="105" t="s">
        <v>42</v>
      </c>
      <c r="C2491" s="105" t="s">
        <v>43</v>
      </c>
      <c r="D2491" s="106"/>
      <c r="E2491" s="107"/>
      <c r="F2491" s="108" t="s">
        <v>19319</v>
      </c>
      <c r="G2491" s="119">
        <v>1</v>
      </c>
      <c r="H2491" s="108" t="s">
        <v>19320</v>
      </c>
      <c r="I2491" s="112">
        <v>4</v>
      </c>
      <c r="J2491" s="111" t="s">
        <v>55</v>
      </c>
      <c r="K2491" s="108" t="s">
        <v>19321</v>
      </c>
      <c r="L2491" s="116">
        <v>1</v>
      </c>
      <c r="M2491" s="113"/>
      <c r="N2491" s="108" t="s">
        <v>19319</v>
      </c>
      <c r="O2491" s="116">
        <v>1</v>
      </c>
      <c r="P2491" s="113"/>
      <c r="Q2491" s="108" t="s">
        <v>19322</v>
      </c>
      <c r="R2491" s="116">
        <v>1</v>
      </c>
      <c r="S2491" s="113"/>
      <c r="T2491" s="108" t="s">
        <v>19323</v>
      </c>
      <c r="U2491" s="116">
        <v>1</v>
      </c>
      <c r="V2491" s="113"/>
      <c r="W2491" s="108" t="s">
        <v>47</v>
      </c>
      <c r="X2491" s="114"/>
      <c r="Y2491" s="113"/>
      <c r="Z2491" s="108" t="s">
        <v>47</v>
      </c>
      <c r="AA2491" s="114"/>
      <c r="AB2491" s="113"/>
      <c r="AC2491" s="105" t="s">
        <v>5620</v>
      </c>
      <c r="AD2491" s="115" t="s">
        <v>49</v>
      </c>
    </row>
    <row r="2492" spans="1:30" x14ac:dyDescent="0.2">
      <c r="A2492" s="104" t="s">
        <v>5621</v>
      </c>
      <c r="B2492" s="105" t="s">
        <v>42</v>
      </c>
      <c r="C2492" s="105" t="s">
        <v>51</v>
      </c>
      <c r="D2492" s="106"/>
      <c r="E2492" s="107"/>
      <c r="F2492" s="108" t="s">
        <v>19324</v>
      </c>
      <c r="G2492" s="119">
        <v>1</v>
      </c>
      <c r="H2492" s="108" t="s">
        <v>19325</v>
      </c>
      <c r="I2492" s="110">
        <v>3</v>
      </c>
      <c r="J2492" s="111" t="s">
        <v>46</v>
      </c>
      <c r="K2492" s="108" t="s">
        <v>19326</v>
      </c>
      <c r="L2492" s="116">
        <v>1</v>
      </c>
      <c r="M2492" s="113"/>
      <c r="N2492" s="108" t="s">
        <v>19324</v>
      </c>
      <c r="O2492" s="116">
        <v>1</v>
      </c>
      <c r="P2492" s="113"/>
      <c r="Q2492" s="108" t="s">
        <v>19327</v>
      </c>
      <c r="R2492" s="116">
        <v>1</v>
      </c>
      <c r="S2492" s="113"/>
      <c r="T2492" s="108" t="s">
        <v>47</v>
      </c>
      <c r="U2492" s="114"/>
      <c r="V2492" s="113"/>
      <c r="W2492" s="108" t="s">
        <v>47</v>
      </c>
      <c r="X2492" s="114"/>
      <c r="Y2492" s="113"/>
      <c r="Z2492" s="108" t="s">
        <v>47</v>
      </c>
      <c r="AA2492" s="114"/>
      <c r="AB2492" s="113"/>
      <c r="AC2492" s="105" t="s">
        <v>5622</v>
      </c>
      <c r="AD2492" s="115" t="s">
        <v>49</v>
      </c>
    </row>
    <row r="2493" spans="1:30" x14ac:dyDescent="0.2">
      <c r="A2493" s="104" t="s">
        <v>5623</v>
      </c>
      <c r="B2493" s="105" t="s">
        <v>42</v>
      </c>
      <c r="C2493" s="105" t="s">
        <v>43</v>
      </c>
      <c r="D2493" s="106"/>
      <c r="E2493" s="107"/>
      <c r="F2493" s="108" t="s">
        <v>19328</v>
      </c>
      <c r="G2493" s="119">
        <v>1</v>
      </c>
      <c r="H2493" s="108" t="s">
        <v>19329</v>
      </c>
      <c r="I2493" s="110">
        <v>3</v>
      </c>
      <c r="J2493" s="111" t="s">
        <v>46</v>
      </c>
      <c r="K2493" s="108" t="s">
        <v>19330</v>
      </c>
      <c r="L2493" s="116">
        <v>1</v>
      </c>
      <c r="M2493" s="113"/>
      <c r="N2493" s="108" t="s">
        <v>19328</v>
      </c>
      <c r="O2493" s="116">
        <v>1</v>
      </c>
      <c r="P2493" s="113"/>
      <c r="Q2493" s="108" t="s">
        <v>19331</v>
      </c>
      <c r="R2493" s="116">
        <v>1</v>
      </c>
      <c r="S2493" s="113"/>
      <c r="T2493" s="108" t="s">
        <v>19332</v>
      </c>
      <c r="U2493" s="116">
        <v>1</v>
      </c>
      <c r="V2493" s="113"/>
      <c r="W2493" s="108" t="s">
        <v>47</v>
      </c>
      <c r="X2493" s="114"/>
      <c r="Y2493" s="113"/>
      <c r="Z2493" s="108" t="s">
        <v>47</v>
      </c>
      <c r="AA2493" s="114"/>
      <c r="AB2493" s="113"/>
      <c r="AC2493" s="105" t="s">
        <v>5624</v>
      </c>
      <c r="AD2493" s="115" t="s">
        <v>49</v>
      </c>
    </row>
    <row r="2494" spans="1:30" x14ac:dyDescent="0.2">
      <c r="A2494" s="104" t="s">
        <v>5625</v>
      </c>
      <c r="B2494" s="105" t="s">
        <v>42</v>
      </c>
      <c r="C2494" s="105" t="s">
        <v>51</v>
      </c>
      <c r="D2494" s="106"/>
      <c r="E2494" s="107"/>
      <c r="F2494" s="108" t="s">
        <v>19333</v>
      </c>
      <c r="G2494" s="120">
        <v>2</v>
      </c>
      <c r="H2494" s="108" t="s">
        <v>19334</v>
      </c>
      <c r="I2494" s="110">
        <v>3</v>
      </c>
      <c r="J2494" s="111" t="s">
        <v>46</v>
      </c>
      <c r="K2494" s="108" t="s">
        <v>19335</v>
      </c>
      <c r="L2494" s="117">
        <v>2</v>
      </c>
      <c r="M2494" s="111" t="s">
        <v>46</v>
      </c>
      <c r="N2494" s="108" t="s">
        <v>19333</v>
      </c>
      <c r="O2494" s="117">
        <v>2</v>
      </c>
      <c r="P2494" s="113"/>
      <c r="Q2494" s="108" t="s">
        <v>47</v>
      </c>
      <c r="R2494" s="114"/>
      <c r="S2494" s="113"/>
      <c r="T2494" s="108" t="s">
        <v>47</v>
      </c>
      <c r="U2494" s="114"/>
      <c r="V2494" s="113"/>
      <c r="W2494" s="108" t="s">
        <v>47</v>
      </c>
      <c r="X2494" s="114"/>
      <c r="Y2494" s="113"/>
      <c r="Z2494" s="108" t="s">
        <v>47</v>
      </c>
      <c r="AA2494" s="114"/>
      <c r="AB2494" s="113"/>
      <c r="AC2494" s="105" t="s">
        <v>5626</v>
      </c>
      <c r="AD2494" s="115" t="s">
        <v>49</v>
      </c>
    </row>
    <row r="2495" spans="1:30" x14ac:dyDescent="0.2">
      <c r="A2495" s="104" t="s">
        <v>5627</v>
      </c>
      <c r="B2495" s="105" t="s">
        <v>42</v>
      </c>
      <c r="C2495" s="105" t="s">
        <v>43</v>
      </c>
      <c r="D2495" s="106"/>
      <c r="E2495" s="107"/>
      <c r="F2495" s="108" t="s">
        <v>19336</v>
      </c>
      <c r="G2495" s="119">
        <v>1</v>
      </c>
      <c r="H2495" s="108" t="s">
        <v>19337</v>
      </c>
      <c r="I2495" s="117">
        <v>2</v>
      </c>
      <c r="J2495" s="113"/>
      <c r="K2495" s="108" t="s">
        <v>19338</v>
      </c>
      <c r="L2495" s="116">
        <v>1</v>
      </c>
      <c r="M2495" s="113"/>
      <c r="N2495" s="108" t="s">
        <v>19336</v>
      </c>
      <c r="O2495" s="116">
        <v>1</v>
      </c>
      <c r="P2495" s="113"/>
      <c r="Q2495" s="108" t="s">
        <v>19339</v>
      </c>
      <c r="R2495" s="116">
        <v>1</v>
      </c>
      <c r="S2495" s="113"/>
      <c r="T2495" s="108" t="s">
        <v>47</v>
      </c>
      <c r="U2495" s="114"/>
      <c r="V2495" s="113"/>
      <c r="W2495" s="108" t="s">
        <v>47</v>
      </c>
      <c r="X2495" s="114"/>
      <c r="Y2495" s="113"/>
      <c r="Z2495" s="108" t="s">
        <v>47</v>
      </c>
      <c r="AA2495" s="114"/>
      <c r="AB2495" s="113"/>
      <c r="AC2495" s="105" t="s">
        <v>5628</v>
      </c>
      <c r="AD2495" s="115" t="s">
        <v>49</v>
      </c>
    </row>
    <row r="2496" spans="1:30" x14ac:dyDescent="0.2">
      <c r="A2496" s="104" t="s">
        <v>5629</v>
      </c>
      <c r="B2496" s="105" t="s">
        <v>42</v>
      </c>
      <c r="C2496" s="105" t="s">
        <v>51</v>
      </c>
      <c r="D2496" s="106"/>
      <c r="E2496" s="107"/>
      <c r="F2496" s="108" t="s">
        <v>19340</v>
      </c>
      <c r="G2496" s="119">
        <v>1</v>
      </c>
      <c r="H2496" s="108" t="s">
        <v>19341</v>
      </c>
      <c r="I2496" s="117">
        <v>2</v>
      </c>
      <c r="J2496" s="113"/>
      <c r="K2496" s="108" t="s">
        <v>19342</v>
      </c>
      <c r="L2496" s="116">
        <v>1</v>
      </c>
      <c r="M2496" s="113"/>
      <c r="N2496" s="108" t="s">
        <v>19340</v>
      </c>
      <c r="O2496" s="116">
        <v>1</v>
      </c>
      <c r="P2496" s="113"/>
      <c r="Q2496" s="108" t="s">
        <v>47</v>
      </c>
      <c r="R2496" s="114"/>
      <c r="S2496" s="113"/>
      <c r="T2496" s="108" t="s">
        <v>47</v>
      </c>
      <c r="U2496" s="114"/>
      <c r="V2496" s="113"/>
      <c r="W2496" s="108" t="s">
        <v>47</v>
      </c>
      <c r="X2496" s="114"/>
      <c r="Y2496" s="113"/>
      <c r="Z2496" s="108" t="s">
        <v>47</v>
      </c>
      <c r="AA2496" s="114"/>
      <c r="AB2496" s="113"/>
      <c r="AC2496" s="105" t="s">
        <v>5630</v>
      </c>
      <c r="AD2496" s="115" t="s">
        <v>49</v>
      </c>
    </row>
    <row r="2497" spans="1:30" x14ac:dyDescent="0.2">
      <c r="A2497" s="104" t="s">
        <v>5631</v>
      </c>
      <c r="B2497" s="105" t="s">
        <v>42</v>
      </c>
      <c r="C2497" s="105" t="s">
        <v>43</v>
      </c>
      <c r="D2497" s="106"/>
      <c r="E2497" s="107"/>
      <c r="F2497" s="108" t="s">
        <v>19343</v>
      </c>
      <c r="G2497" s="119">
        <v>1</v>
      </c>
      <c r="H2497" s="108" t="s">
        <v>19344</v>
      </c>
      <c r="I2497" s="110">
        <v>3</v>
      </c>
      <c r="J2497" s="111" t="s">
        <v>46</v>
      </c>
      <c r="K2497" s="108" t="s">
        <v>19345</v>
      </c>
      <c r="L2497" s="116">
        <v>1</v>
      </c>
      <c r="M2497" s="113"/>
      <c r="N2497" s="108" t="s">
        <v>19343</v>
      </c>
      <c r="O2497" s="116">
        <v>1</v>
      </c>
      <c r="P2497" s="113"/>
      <c r="Q2497" s="108" t="s">
        <v>19346</v>
      </c>
      <c r="R2497" s="116">
        <v>1</v>
      </c>
      <c r="S2497" s="113"/>
      <c r="T2497" s="108" t="s">
        <v>19347</v>
      </c>
      <c r="U2497" s="116">
        <v>1</v>
      </c>
      <c r="V2497" s="113"/>
      <c r="W2497" s="108" t="s">
        <v>47</v>
      </c>
      <c r="X2497" s="114"/>
      <c r="Y2497" s="113"/>
      <c r="Z2497" s="108" t="s">
        <v>47</v>
      </c>
      <c r="AA2497" s="114"/>
      <c r="AB2497" s="113"/>
      <c r="AC2497" s="105" t="s">
        <v>5632</v>
      </c>
      <c r="AD2497" s="115" t="s">
        <v>49</v>
      </c>
    </row>
    <row r="2498" spans="1:30" x14ac:dyDescent="0.2">
      <c r="A2498" s="104" t="s">
        <v>5633</v>
      </c>
      <c r="B2498" s="105" t="s">
        <v>42</v>
      </c>
      <c r="C2498" s="105" t="s">
        <v>51</v>
      </c>
      <c r="D2498" s="106"/>
      <c r="E2498" s="107"/>
      <c r="F2498" s="108" t="s">
        <v>19348</v>
      </c>
      <c r="G2498" s="119">
        <v>1</v>
      </c>
      <c r="H2498" s="108" t="s">
        <v>19349</v>
      </c>
      <c r="I2498" s="110">
        <v>3</v>
      </c>
      <c r="J2498" s="111" t="s">
        <v>46</v>
      </c>
      <c r="K2498" s="108" t="s">
        <v>19350</v>
      </c>
      <c r="L2498" s="116">
        <v>1</v>
      </c>
      <c r="M2498" s="113"/>
      <c r="N2498" s="108" t="s">
        <v>19348</v>
      </c>
      <c r="O2498" s="116">
        <v>1</v>
      </c>
      <c r="P2498" s="113"/>
      <c r="Q2498" s="108" t="s">
        <v>19351</v>
      </c>
      <c r="R2498" s="116">
        <v>1</v>
      </c>
      <c r="S2498" s="113"/>
      <c r="T2498" s="108" t="s">
        <v>47</v>
      </c>
      <c r="U2498" s="114"/>
      <c r="V2498" s="113"/>
      <c r="W2498" s="108" t="s">
        <v>47</v>
      </c>
      <c r="X2498" s="114"/>
      <c r="Y2498" s="113"/>
      <c r="Z2498" s="108" t="s">
        <v>47</v>
      </c>
      <c r="AA2498" s="114"/>
      <c r="AB2498" s="113"/>
      <c r="AC2498" s="105" t="s">
        <v>5634</v>
      </c>
      <c r="AD2498" s="115" t="s">
        <v>49</v>
      </c>
    </row>
    <row r="2499" spans="1:30" x14ac:dyDescent="0.2">
      <c r="A2499" s="104" t="s">
        <v>5635</v>
      </c>
      <c r="B2499" s="105" t="s">
        <v>42</v>
      </c>
      <c r="C2499" s="105" t="s">
        <v>43</v>
      </c>
      <c r="D2499" s="106"/>
      <c r="E2499" s="107"/>
      <c r="F2499" s="108" t="s">
        <v>19352</v>
      </c>
      <c r="G2499" s="119">
        <v>1</v>
      </c>
      <c r="H2499" s="108" t="s">
        <v>19353</v>
      </c>
      <c r="I2499" s="110">
        <v>3</v>
      </c>
      <c r="J2499" s="111" t="s">
        <v>46</v>
      </c>
      <c r="K2499" s="108" t="s">
        <v>19354</v>
      </c>
      <c r="L2499" s="116">
        <v>1</v>
      </c>
      <c r="M2499" s="113"/>
      <c r="N2499" s="108" t="s">
        <v>19352</v>
      </c>
      <c r="O2499" s="116">
        <v>1</v>
      </c>
      <c r="P2499" s="113"/>
      <c r="Q2499" s="108" t="s">
        <v>19355</v>
      </c>
      <c r="R2499" s="116">
        <v>1</v>
      </c>
      <c r="S2499" s="113"/>
      <c r="T2499" s="108" t="s">
        <v>19356</v>
      </c>
      <c r="U2499" s="116">
        <v>1</v>
      </c>
      <c r="V2499" s="113"/>
      <c r="W2499" s="108" t="s">
        <v>47</v>
      </c>
      <c r="X2499" s="114"/>
      <c r="Y2499" s="113"/>
      <c r="Z2499" s="108" t="s">
        <v>47</v>
      </c>
      <c r="AA2499" s="114"/>
      <c r="AB2499" s="113"/>
      <c r="AC2499" s="105" t="s">
        <v>5636</v>
      </c>
      <c r="AD2499" s="115" t="s">
        <v>49</v>
      </c>
    </row>
    <row r="2500" spans="1:30" x14ac:dyDescent="0.2">
      <c r="A2500" s="104" t="s">
        <v>19357</v>
      </c>
      <c r="B2500" s="105" t="s">
        <v>42</v>
      </c>
      <c r="C2500" s="105" t="s">
        <v>51</v>
      </c>
      <c r="D2500" s="106"/>
      <c r="E2500" s="107"/>
      <c r="F2500" s="108" t="s">
        <v>19358</v>
      </c>
      <c r="G2500" s="120">
        <v>2</v>
      </c>
      <c r="H2500" s="108" t="s">
        <v>19359</v>
      </c>
      <c r="I2500" s="110">
        <v>3</v>
      </c>
      <c r="J2500" s="111" t="s">
        <v>46</v>
      </c>
      <c r="K2500" s="108" t="s">
        <v>5637</v>
      </c>
      <c r="L2500" s="117">
        <v>2</v>
      </c>
      <c r="M2500" s="111" t="s">
        <v>46</v>
      </c>
      <c r="N2500" s="108" t="s">
        <v>19358</v>
      </c>
      <c r="O2500" s="117">
        <v>2</v>
      </c>
      <c r="P2500" s="113"/>
      <c r="Q2500" s="108" t="s">
        <v>47</v>
      </c>
      <c r="R2500" s="114"/>
      <c r="S2500" s="113"/>
      <c r="T2500" s="108" t="s">
        <v>47</v>
      </c>
      <c r="U2500" s="114"/>
      <c r="V2500" s="113"/>
      <c r="W2500" s="108" t="s">
        <v>47</v>
      </c>
      <c r="X2500" s="114"/>
      <c r="Y2500" s="113"/>
      <c r="Z2500" s="108" t="s">
        <v>47</v>
      </c>
      <c r="AA2500" s="114"/>
      <c r="AB2500" s="113"/>
      <c r="AC2500" s="105" t="s">
        <v>5638</v>
      </c>
      <c r="AD2500" s="115" t="s">
        <v>49</v>
      </c>
    </row>
    <row r="2501" spans="1:30" x14ac:dyDescent="0.2">
      <c r="A2501" s="104" t="s">
        <v>5639</v>
      </c>
      <c r="B2501" s="105" t="s">
        <v>42</v>
      </c>
      <c r="C2501" s="105" t="s">
        <v>43</v>
      </c>
      <c r="D2501" s="106"/>
      <c r="E2501" s="107"/>
      <c r="F2501" s="108" t="s">
        <v>19360</v>
      </c>
      <c r="G2501" s="119">
        <v>1</v>
      </c>
      <c r="H2501" s="108" t="s">
        <v>19361</v>
      </c>
      <c r="I2501" s="117">
        <v>2</v>
      </c>
      <c r="J2501" s="113"/>
      <c r="K2501" s="108" t="s">
        <v>19362</v>
      </c>
      <c r="L2501" s="116">
        <v>1</v>
      </c>
      <c r="M2501" s="113"/>
      <c r="N2501" s="108" t="s">
        <v>19360</v>
      </c>
      <c r="O2501" s="116">
        <v>1</v>
      </c>
      <c r="P2501" s="113"/>
      <c r="Q2501" s="108" t="s">
        <v>19363</v>
      </c>
      <c r="R2501" s="116">
        <v>1</v>
      </c>
      <c r="S2501" s="113"/>
      <c r="T2501" s="108" t="s">
        <v>47</v>
      </c>
      <c r="U2501" s="114"/>
      <c r="V2501" s="113"/>
      <c r="W2501" s="108" t="s">
        <v>47</v>
      </c>
      <c r="X2501" s="114"/>
      <c r="Y2501" s="113"/>
      <c r="Z2501" s="108" t="s">
        <v>47</v>
      </c>
      <c r="AA2501" s="114"/>
      <c r="AB2501" s="113"/>
      <c r="AC2501" s="105" t="s">
        <v>5640</v>
      </c>
      <c r="AD2501" s="115" t="s">
        <v>49</v>
      </c>
    </row>
    <row r="2502" spans="1:30" x14ac:dyDescent="0.2">
      <c r="A2502" s="104" t="s">
        <v>5641</v>
      </c>
      <c r="B2502" s="105" t="s">
        <v>42</v>
      </c>
      <c r="C2502" s="105" t="s">
        <v>51</v>
      </c>
      <c r="D2502" s="106"/>
      <c r="E2502" s="107"/>
      <c r="F2502" s="108" t="s">
        <v>19364</v>
      </c>
      <c r="G2502" s="119">
        <v>1</v>
      </c>
      <c r="H2502" s="108" t="s">
        <v>19365</v>
      </c>
      <c r="I2502" s="110">
        <v>3</v>
      </c>
      <c r="J2502" s="111" t="s">
        <v>46</v>
      </c>
      <c r="K2502" s="108" t="s">
        <v>19366</v>
      </c>
      <c r="L2502" s="116">
        <v>1</v>
      </c>
      <c r="M2502" s="113"/>
      <c r="N2502" s="108" t="s">
        <v>19364</v>
      </c>
      <c r="O2502" s="116">
        <v>1</v>
      </c>
      <c r="P2502" s="113"/>
      <c r="Q2502" s="108" t="s">
        <v>19367</v>
      </c>
      <c r="R2502" s="116">
        <v>1</v>
      </c>
      <c r="S2502" s="113"/>
      <c r="T2502" s="108" t="s">
        <v>47</v>
      </c>
      <c r="U2502" s="114"/>
      <c r="V2502" s="113"/>
      <c r="W2502" s="108" t="s">
        <v>47</v>
      </c>
      <c r="X2502" s="114"/>
      <c r="Y2502" s="113"/>
      <c r="Z2502" s="108" t="s">
        <v>47</v>
      </c>
      <c r="AA2502" s="114"/>
      <c r="AB2502" s="113"/>
      <c r="AC2502" s="105" t="s">
        <v>5642</v>
      </c>
      <c r="AD2502" s="115" t="s">
        <v>49</v>
      </c>
    </row>
    <row r="2503" spans="1:30" x14ac:dyDescent="0.2">
      <c r="A2503" s="104" t="s">
        <v>5643</v>
      </c>
      <c r="B2503" s="105" t="s">
        <v>42</v>
      </c>
      <c r="C2503" s="105" t="s">
        <v>51</v>
      </c>
      <c r="D2503" s="106"/>
      <c r="E2503" s="107"/>
      <c r="F2503" s="108" t="s">
        <v>19368</v>
      </c>
      <c r="G2503" s="120">
        <v>2</v>
      </c>
      <c r="H2503" s="108" t="s">
        <v>19369</v>
      </c>
      <c r="I2503" s="110">
        <v>3</v>
      </c>
      <c r="J2503" s="113"/>
      <c r="K2503" s="108" t="s">
        <v>19370</v>
      </c>
      <c r="L2503" s="117">
        <v>2</v>
      </c>
      <c r="M2503" s="111" t="s">
        <v>46</v>
      </c>
      <c r="N2503" s="108" t="s">
        <v>19368</v>
      </c>
      <c r="O2503" s="117">
        <v>2</v>
      </c>
      <c r="P2503" s="111" t="s">
        <v>40</v>
      </c>
      <c r="Q2503" s="108" t="s">
        <v>47</v>
      </c>
      <c r="R2503" s="114"/>
      <c r="S2503" s="113"/>
      <c r="T2503" s="108" t="s">
        <v>47</v>
      </c>
      <c r="U2503" s="114"/>
      <c r="V2503" s="113"/>
      <c r="W2503" s="108" t="s">
        <v>47</v>
      </c>
      <c r="X2503" s="114"/>
      <c r="Y2503" s="113"/>
      <c r="Z2503" s="108" t="s">
        <v>47</v>
      </c>
      <c r="AA2503" s="114"/>
      <c r="AB2503" s="113"/>
      <c r="AC2503" s="105" t="s">
        <v>5644</v>
      </c>
      <c r="AD2503" s="115" t="s">
        <v>49</v>
      </c>
    </row>
    <row r="2504" spans="1:30" x14ac:dyDescent="0.2">
      <c r="A2504" s="104" t="s">
        <v>5645</v>
      </c>
      <c r="B2504" s="105" t="s">
        <v>42</v>
      </c>
      <c r="C2504" s="105" t="s">
        <v>51</v>
      </c>
      <c r="D2504" s="106"/>
      <c r="E2504" s="107"/>
      <c r="F2504" s="108" t="s">
        <v>19371</v>
      </c>
      <c r="G2504" s="119">
        <v>1</v>
      </c>
      <c r="H2504" s="108" t="s">
        <v>19372</v>
      </c>
      <c r="I2504" s="110">
        <v>3</v>
      </c>
      <c r="J2504" s="111" t="s">
        <v>46</v>
      </c>
      <c r="K2504" s="108" t="s">
        <v>19373</v>
      </c>
      <c r="L2504" s="116">
        <v>1</v>
      </c>
      <c r="M2504" s="113"/>
      <c r="N2504" s="108" t="s">
        <v>19371</v>
      </c>
      <c r="O2504" s="116">
        <v>1</v>
      </c>
      <c r="P2504" s="113"/>
      <c r="Q2504" s="108" t="s">
        <v>19374</v>
      </c>
      <c r="R2504" s="116">
        <v>1</v>
      </c>
      <c r="S2504" s="113"/>
      <c r="T2504" s="108" t="s">
        <v>47</v>
      </c>
      <c r="U2504" s="114"/>
      <c r="V2504" s="113"/>
      <c r="W2504" s="108" t="s">
        <v>47</v>
      </c>
      <c r="X2504" s="114"/>
      <c r="Y2504" s="113"/>
      <c r="Z2504" s="108" t="s">
        <v>47</v>
      </c>
      <c r="AA2504" s="114"/>
      <c r="AB2504" s="113"/>
      <c r="AC2504" s="105" t="s">
        <v>5646</v>
      </c>
      <c r="AD2504" s="115" t="s">
        <v>49</v>
      </c>
    </row>
    <row r="2505" spans="1:30" x14ac:dyDescent="0.2">
      <c r="A2505" s="104" t="s">
        <v>5647</v>
      </c>
      <c r="B2505" s="105" t="s">
        <v>42</v>
      </c>
      <c r="C2505" s="105" t="s">
        <v>51</v>
      </c>
      <c r="D2505" s="106"/>
      <c r="E2505" s="107"/>
      <c r="F2505" s="108" t="s">
        <v>19375</v>
      </c>
      <c r="G2505" s="120">
        <v>2</v>
      </c>
      <c r="H2505" s="108" t="s">
        <v>19376</v>
      </c>
      <c r="I2505" s="110">
        <v>3</v>
      </c>
      <c r="J2505" s="113"/>
      <c r="K2505" s="108" t="s">
        <v>19377</v>
      </c>
      <c r="L2505" s="117">
        <v>2</v>
      </c>
      <c r="M2505" s="111" t="s">
        <v>46</v>
      </c>
      <c r="N2505" s="108" t="s">
        <v>19375</v>
      </c>
      <c r="O2505" s="117">
        <v>2</v>
      </c>
      <c r="P2505" s="111" t="s">
        <v>40</v>
      </c>
      <c r="Q2505" s="108" t="s">
        <v>47</v>
      </c>
      <c r="R2505" s="114"/>
      <c r="S2505" s="113"/>
      <c r="T2505" s="108" t="s">
        <v>47</v>
      </c>
      <c r="U2505" s="114"/>
      <c r="V2505" s="113"/>
      <c r="W2505" s="108" t="s">
        <v>47</v>
      </c>
      <c r="X2505" s="114"/>
      <c r="Y2505" s="113"/>
      <c r="Z2505" s="108" t="s">
        <v>47</v>
      </c>
      <c r="AA2505" s="114"/>
      <c r="AB2505" s="113"/>
      <c r="AC2505" s="105" t="s">
        <v>5648</v>
      </c>
      <c r="AD2505" s="115" t="s">
        <v>49</v>
      </c>
    </row>
    <row r="2506" spans="1:30" x14ac:dyDescent="0.2">
      <c r="A2506" s="104" t="s">
        <v>5649</v>
      </c>
      <c r="B2506" s="105" t="s">
        <v>42</v>
      </c>
      <c r="C2506" s="105" t="s">
        <v>43</v>
      </c>
      <c r="D2506" s="106"/>
      <c r="E2506" s="107"/>
      <c r="F2506" s="108" t="s">
        <v>19378</v>
      </c>
      <c r="G2506" s="120">
        <v>2</v>
      </c>
      <c r="H2506" s="108" t="s">
        <v>19379</v>
      </c>
      <c r="I2506" s="116">
        <v>1</v>
      </c>
      <c r="J2506" s="111" t="s">
        <v>53</v>
      </c>
      <c r="K2506" s="108" t="s">
        <v>19380</v>
      </c>
      <c r="L2506" s="117">
        <v>2</v>
      </c>
      <c r="M2506" s="111" t="s">
        <v>40</v>
      </c>
      <c r="N2506" s="108" t="s">
        <v>19378</v>
      </c>
      <c r="O2506" s="117">
        <v>2</v>
      </c>
      <c r="P2506" s="111" t="s">
        <v>40</v>
      </c>
      <c r="Q2506" s="108" t="s">
        <v>19381</v>
      </c>
      <c r="R2506" s="117">
        <v>2</v>
      </c>
      <c r="S2506" s="113"/>
      <c r="T2506" s="108" t="s">
        <v>19382</v>
      </c>
      <c r="U2506" s="116">
        <v>1</v>
      </c>
      <c r="V2506" s="113"/>
      <c r="W2506" s="108" t="s">
        <v>47</v>
      </c>
      <c r="X2506" s="114"/>
      <c r="Y2506" s="113"/>
      <c r="Z2506" s="108" t="s">
        <v>47</v>
      </c>
      <c r="AA2506" s="114"/>
      <c r="AB2506" s="113"/>
      <c r="AC2506" s="105" t="s">
        <v>5650</v>
      </c>
      <c r="AD2506" s="115" t="s">
        <v>49</v>
      </c>
    </row>
    <row r="2507" spans="1:30" x14ac:dyDescent="0.2">
      <c r="A2507" s="104" t="s">
        <v>5651</v>
      </c>
      <c r="B2507" s="105" t="s">
        <v>42</v>
      </c>
      <c r="C2507" s="105" t="s">
        <v>43</v>
      </c>
      <c r="D2507" s="106"/>
      <c r="E2507" s="107"/>
      <c r="F2507" s="108" t="s">
        <v>19383</v>
      </c>
      <c r="G2507" s="120">
        <v>2</v>
      </c>
      <c r="H2507" s="108" t="s">
        <v>19384</v>
      </c>
      <c r="I2507" s="116">
        <v>1</v>
      </c>
      <c r="J2507" s="111" t="s">
        <v>40</v>
      </c>
      <c r="K2507" s="108" t="s">
        <v>19385</v>
      </c>
      <c r="L2507" s="116">
        <v>1</v>
      </c>
      <c r="M2507" s="111" t="s">
        <v>53</v>
      </c>
      <c r="N2507" s="108" t="s">
        <v>19383</v>
      </c>
      <c r="O2507" s="117">
        <v>2</v>
      </c>
      <c r="P2507" s="111" t="s">
        <v>40</v>
      </c>
      <c r="Q2507" s="108" t="s">
        <v>19386</v>
      </c>
      <c r="R2507" s="117">
        <v>2</v>
      </c>
      <c r="S2507" s="113"/>
      <c r="T2507" s="108" t="s">
        <v>19387</v>
      </c>
      <c r="U2507" s="117">
        <v>2</v>
      </c>
      <c r="V2507" s="113"/>
      <c r="W2507" s="108" t="s">
        <v>19388</v>
      </c>
      <c r="X2507" s="116">
        <v>1</v>
      </c>
      <c r="Y2507" s="113"/>
      <c r="Z2507" s="108" t="s">
        <v>47</v>
      </c>
      <c r="AA2507" s="114"/>
      <c r="AB2507" s="113"/>
      <c r="AC2507" s="105" t="s">
        <v>5652</v>
      </c>
      <c r="AD2507" s="115" t="s">
        <v>49</v>
      </c>
    </row>
    <row r="2508" spans="1:30" x14ac:dyDescent="0.2">
      <c r="A2508" s="104" t="s">
        <v>5653</v>
      </c>
      <c r="B2508" s="105" t="s">
        <v>42</v>
      </c>
      <c r="C2508" s="105" t="s">
        <v>582</v>
      </c>
      <c r="D2508" s="106" t="s">
        <v>105</v>
      </c>
      <c r="E2508" s="107"/>
      <c r="F2508" s="108" t="s">
        <v>19389</v>
      </c>
      <c r="G2508" s="120">
        <v>2</v>
      </c>
      <c r="H2508" s="108" t="s">
        <v>19390</v>
      </c>
      <c r="I2508" s="117">
        <v>2</v>
      </c>
      <c r="J2508" s="113"/>
      <c r="K2508" s="108" t="s">
        <v>19391</v>
      </c>
      <c r="L2508" s="116">
        <v>1</v>
      </c>
      <c r="M2508" s="113"/>
      <c r="N2508" s="108" t="s">
        <v>19389</v>
      </c>
      <c r="O2508" s="117">
        <v>2</v>
      </c>
      <c r="P2508" s="111" t="s">
        <v>40</v>
      </c>
      <c r="Q2508" s="108" t="s">
        <v>19392</v>
      </c>
      <c r="R2508" s="117">
        <v>2</v>
      </c>
      <c r="S2508" s="113"/>
      <c r="T2508" s="108" t="s">
        <v>19393</v>
      </c>
      <c r="U2508" s="112">
        <v>4</v>
      </c>
      <c r="V2508" s="113"/>
      <c r="W2508" s="108" t="s">
        <v>47</v>
      </c>
      <c r="X2508" s="114"/>
      <c r="Y2508" s="113"/>
      <c r="Z2508" s="108" t="s">
        <v>47</v>
      </c>
      <c r="AA2508" s="114"/>
      <c r="AB2508" s="113"/>
      <c r="AC2508" s="105" t="s">
        <v>5654</v>
      </c>
      <c r="AD2508" s="115" t="s">
        <v>49</v>
      </c>
    </row>
    <row r="2509" spans="1:30" x14ac:dyDescent="0.2">
      <c r="A2509" s="104" t="s">
        <v>5655</v>
      </c>
      <c r="B2509" s="105" t="s">
        <v>111</v>
      </c>
      <c r="C2509" s="105" t="s">
        <v>112</v>
      </c>
      <c r="D2509" s="106"/>
      <c r="E2509" s="107"/>
      <c r="F2509" s="108" t="s">
        <v>19394</v>
      </c>
      <c r="G2509" s="119">
        <v>1</v>
      </c>
      <c r="H2509" s="108" t="s">
        <v>19395</v>
      </c>
      <c r="I2509" s="112">
        <v>4</v>
      </c>
      <c r="J2509" s="111" t="s">
        <v>44</v>
      </c>
      <c r="K2509" s="108" t="s">
        <v>19396</v>
      </c>
      <c r="L2509" s="116">
        <v>1</v>
      </c>
      <c r="M2509" s="113"/>
      <c r="N2509" s="108" t="s">
        <v>19394</v>
      </c>
      <c r="O2509" s="116">
        <v>1</v>
      </c>
      <c r="P2509" s="113"/>
      <c r="Q2509" s="108" t="s">
        <v>19397</v>
      </c>
      <c r="R2509" s="116">
        <v>1</v>
      </c>
      <c r="S2509" s="113"/>
      <c r="T2509" s="108" t="s">
        <v>19398</v>
      </c>
      <c r="U2509" s="110">
        <v>3</v>
      </c>
      <c r="V2509" s="111" t="s">
        <v>46</v>
      </c>
      <c r="W2509" s="108" t="s">
        <v>19399</v>
      </c>
      <c r="X2509" s="110">
        <v>3</v>
      </c>
      <c r="Y2509" s="111" t="s">
        <v>46</v>
      </c>
      <c r="Z2509" s="108" t="s">
        <v>19400</v>
      </c>
      <c r="AA2509" s="117">
        <v>2</v>
      </c>
      <c r="AB2509" s="111" t="s">
        <v>40</v>
      </c>
      <c r="AC2509" s="105" t="s">
        <v>5656</v>
      </c>
      <c r="AD2509" s="115" t="s">
        <v>114</v>
      </c>
    </row>
    <row r="2510" spans="1:30" x14ac:dyDescent="0.2">
      <c r="A2510" s="104" t="s">
        <v>5657</v>
      </c>
      <c r="B2510" s="105" t="s">
        <v>111</v>
      </c>
      <c r="C2510" s="105" t="s">
        <v>112</v>
      </c>
      <c r="D2510" s="106"/>
      <c r="E2510" s="107"/>
      <c r="F2510" s="108" t="s">
        <v>19401</v>
      </c>
      <c r="G2510" s="120">
        <v>2</v>
      </c>
      <c r="H2510" s="108" t="s">
        <v>19402</v>
      </c>
      <c r="I2510" s="110">
        <v>3</v>
      </c>
      <c r="J2510" s="113"/>
      <c r="K2510" s="108" t="s">
        <v>19403</v>
      </c>
      <c r="L2510" s="110">
        <v>3</v>
      </c>
      <c r="M2510" s="111" t="s">
        <v>46</v>
      </c>
      <c r="N2510" s="108" t="s">
        <v>19401</v>
      </c>
      <c r="O2510" s="117">
        <v>2</v>
      </c>
      <c r="P2510" s="113"/>
      <c r="Q2510" s="108" t="s">
        <v>19404</v>
      </c>
      <c r="R2510" s="117">
        <v>2</v>
      </c>
      <c r="S2510" s="111" t="s">
        <v>40</v>
      </c>
      <c r="T2510" s="108" t="s">
        <v>47</v>
      </c>
      <c r="U2510" s="114"/>
      <c r="V2510" s="113"/>
      <c r="W2510" s="108" t="s">
        <v>47</v>
      </c>
      <c r="X2510" s="114"/>
      <c r="Y2510" s="113"/>
      <c r="Z2510" s="108" t="s">
        <v>47</v>
      </c>
      <c r="AA2510" s="114"/>
      <c r="AB2510" s="113"/>
      <c r="AC2510" s="105" t="s">
        <v>5658</v>
      </c>
      <c r="AD2510" s="115" t="s">
        <v>114</v>
      </c>
    </row>
    <row r="2511" spans="1:30" x14ac:dyDescent="0.2">
      <c r="A2511" s="104" t="s">
        <v>5659</v>
      </c>
      <c r="B2511" s="105" t="s">
        <v>42</v>
      </c>
      <c r="C2511" s="105" t="s">
        <v>5660</v>
      </c>
      <c r="D2511" s="106"/>
      <c r="E2511" s="107"/>
      <c r="F2511" s="108" t="s">
        <v>5661</v>
      </c>
      <c r="G2511" s="119">
        <v>1</v>
      </c>
      <c r="H2511" s="108" t="s">
        <v>5662</v>
      </c>
      <c r="I2511" s="112">
        <v>4</v>
      </c>
      <c r="J2511" s="111" t="s">
        <v>44</v>
      </c>
      <c r="K2511" s="108" t="s">
        <v>19405</v>
      </c>
      <c r="L2511" s="116">
        <v>1</v>
      </c>
      <c r="M2511" s="113"/>
      <c r="N2511" s="108" t="s">
        <v>5661</v>
      </c>
      <c r="O2511" s="116">
        <v>1</v>
      </c>
      <c r="P2511" s="113"/>
      <c r="Q2511" s="108" t="s">
        <v>3755</v>
      </c>
      <c r="R2511" s="117">
        <v>2</v>
      </c>
      <c r="S2511" s="111" t="s">
        <v>53</v>
      </c>
      <c r="T2511" s="108" t="s">
        <v>19406</v>
      </c>
      <c r="U2511" s="116">
        <v>1</v>
      </c>
      <c r="V2511" s="113"/>
      <c r="W2511" s="108" t="s">
        <v>19407</v>
      </c>
      <c r="X2511" s="116">
        <v>1</v>
      </c>
      <c r="Y2511" s="113"/>
      <c r="Z2511" s="108" t="s">
        <v>5663</v>
      </c>
      <c r="AA2511" s="116">
        <v>1</v>
      </c>
      <c r="AB2511" s="113"/>
      <c r="AC2511" s="105" t="s">
        <v>5664</v>
      </c>
      <c r="AD2511" s="115" t="s">
        <v>49</v>
      </c>
    </row>
    <row r="2512" spans="1:30" x14ac:dyDescent="0.2">
      <c r="A2512" s="104" t="s">
        <v>5665</v>
      </c>
      <c r="B2512" s="105" t="s">
        <v>111</v>
      </c>
      <c r="C2512" s="105" t="s">
        <v>112</v>
      </c>
      <c r="D2512" s="106"/>
      <c r="E2512" s="107" t="s">
        <v>376</v>
      </c>
      <c r="F2512" s="108" t="s">
        <v>19408</v>
      </c>
      <c r="G2512" s="119">
        <v>1</v>
      </c>
      <c r="H2512" s="108" t="s">
        <v>19409</v>
      </c>
      <c r="I2512" s="112">
        <v>4</v>
      </c>
      <c r="J2512" s="111" t="s">
        <v>46</v>
      </c>
      <c r="K2512" s="108" t="s">
        <v>19410</v>
      </c>
      <c r="L2512" s="110">
        <v>3</v>
      </c>
      <c r="M2512" s="111" t="s">
        <v>55</v>
      </c>
      <c r="N2512" s="108" t="s">
        <v>19408</v>
      </c>
      <c r="O2512" s="116">
        <v>1</v>
      </c>
      <c r="P2512" s="113"/>
      <c r="Q2512" s="108" t="s">
        <v>19411</v>
      </c>
      <c r="R2512" s="116">
        <v>1</v>
      </c>
      <c r="S2512" s="113"/>
      <c r="T2512" s="108" t="s">
        <v>19412</v>
      </c>
      <c r="U2512" s="117">
        <v>2</v>
      </c>
      <c r="V2512" s="113"/>
      <c r="W2512" s="108" t="s">
        <v>19413</v>
      </c>
      <c r="X2512" s="116">
        <v>1</v>
      </c>
      <c r="Y2512" s="113"/>
      <c r="Z2512" s="108" t="s">
        <v>19414</v>
      </c>
      <c r="AA2512" s="116">
        <v>1</v>
      </c>
      <c r="AB2512" s="111" t="s">
        <v>53</v>
      </c>
      <c r="AC2512" s="105" t="s">
        <v>5666</v>
      </c>
      <c r="AD2512" s="115" t="s">
        <v>114</v>
      </c>
    </row>
    <row r="2513" spans="1:30" x14ac:dyDescent="0.2">
      <c r="A2513" s="104" t="s">
        <v>5667</v>
      </c>
      <c r="B2513" s="105" t="s">
        <v>42</v>
      </c>
      <c r="C2513" s="105" t="s">
        <v>495</v>
      </c>
      <c r="D2513" s="106" t="s">
        <v>105</v>
      </c>
      <c r="E2513" s="107" t="s">
        <v>146</v>
      </c>
      <c r="F2513" s="108" t="s">
        <v>19415</v>
      </c>
      <c r="G2513" s="118">
        <v>3</v>
      </c>
      <c r="H2513" s="108" t="s">
        <v>19416</v>
      </c>
      <c r="I2513" s="117">
        <v>2</v>
      </c>
      <c r="J2513" s="111" t="s">
        <v>46</v>
      </c>
      <c r="K2513" s="108" t="s">
        <v>19417</v>
      </c>
      <c r="L2513" s="117">
        <v>2</v>
      </c>
      <c r="M2513" s="113"/>
      <c r="N2513" s="108" t="s">
        <v>19415</v>
      </c>
      <c r="O2513" s="110">
        <v>3</v>
      </c>
      <c r="P2513" s="113"/>
      <c r="Q2513" s="108" t="s">
        <v>19418</v>
      </c>
      <c r="R2513" s="110">
        <v>3</v>
      </c>
      <c r="S2513" s="113"/>
      <c r="T2513" s="108" t="s">
        <v>19419</v>
      </c>
      <c r="U2513" s="112">
        <v>4</v>
      </c>
      <c r="V2513" s="113"/>
      <c r="W2513" s="108" t="s">
        <v>19420</v>
      </c>
      <c r="X2513" s="110">
        <v>3</v>
      </c>
      <c r="Y2513" s="113"/>
      <c r="Z2513" s="108" t="s">
        <v>19421</v>
      </c>
      <c r="AA2513" s="112">
        <v>4</v>
      </c>
      <c r="AB2513" s="113"/>
      <c r="AC2513" s="105" t="s">
        <v>5668</v>
      </c>
      <c r="AD2513" s="115" t="s">
        <v>107</v>
      </c>
    </row>
    <row r="2514" spans="1:30" x14ac:dyDescent="0.2">
      <c r="A2514" s="104" t="s">
        <v>5669</v>
      </c>
      <c r="B2514" s="105" t="s">
        <v>42</v>
      </c>
      <c r="C2514" s="105" t="s">
        <v>132</v>
      </c>
      <c r="D2514" s="106" t="s">
        <v>105</v>
      </c>
      <c r="E2514" s="107"/>
      <c r="F2514" s="108" t="s">
        <v>19422</v>
      </c>
      <c r="G2514" s="118">
        <v>3</v>
      </c>
      <c r="H2514" s="108" t="s">
        <v>19423</v>
      </c>
      <c r="I2514" s="117">
        <v>2</v>
      </c>
      <c r="J2514" s="111" t="s">
        <v>40</v>
      </c>
      <c r="K2514" s="108" t="s">
        <v>19424</v>
      </c>
      <c r="L2514" s="110">
        <v>3</v>
      </c>
      <c r="M2514" s="113"/>
      <c r="N2514" s="108" t="s">
        <v>19422</v>
      </c>
      <c r="O2514" s="110">
        <v>3</v>
      </c>
      <c r="P2514" s="113"/>
      <c r="Q2514" s="108" t="s">
        <v>5670</v>
      </c>
      <c r="R2514" s="110">
        <v>3</v>
      </c>
      <c r="S2514" s="113"/>
      <c r="T2514" s="108" t="s">
        <v>19425</v>
      </c>
      <c r="U2514" s="110">
        <v>3</v>
      </c>
      <c r="V2514" s="113"/>
      <c r="W2514" s="108" t="s">
        <v>5671</v>
      </c>
      <c r="X2514" s="112">
        <v>4</v>
      </c>
      <c r="Y2514" s="113"/>
      <c r="Z2514" s="108" t="s">
        <v>5672</v>
      </c>
      <c r="AA2514" s="112">
        <v>4</v>
      </c>
      <c r="AB2514" s="113"/>
      <c r="AC2514" s="105" t="s">
        <v>5673</v>
      </c>
      <c r="AD2514" s="115" t="s">
        <v>49</v>
      </c>
    </row>
    <row r="2515" spans="1:30" x14ac:dyDescent="0.2">
      <c r="A2515" s="104" t="s">
        <v>5674</v>
      </c>
      <c r="B2515" s="105" t="s">
        <v>42</v>
      </c>
      <c r="C2515" s="105" t="s">
        <v>132</v>
      </c>
      <c r="D2515" s="106" t="s">
        <v>105</v>
      </c>
      <c r="E2515" s="107"/>
      <c r="F2515" s="108" t="s">
        <v>19426</v>
      </c>
      <c r="G2515" s="118">
        <v>3</v>
      </c>
      <c r="H2515" s="108" t="s">
        <v>19427</v>
      </c>
      <c r="I2515" s="110">
        <v>3</v>
      </c>
      <c r="J2515" s="113"/>
      <c r="K2515" s="108" t="s">
        <v>19428</v>
      </c>
      <c r="L2515" s="110">
        <v>3</v>
      </c>
      <c r="M2515" s="113"/>
      <c r="N2515" s="108" t="s">
        <v>19426</v>
      </c>
      <c r="O2515" s="110">
        <v>3</v>
      </c>
      <c r="P2515" s="113"/>
      <c r="Q2515" s="108" t="s">
        <v>19429</v>
      </c>
      <c r="R2515" s="110">
        <v>3</v>
      </c>
      <c r="S2515" s="113"/>
      <c r="T2515" s="108" t="s">
        <v>19430</v>
      </c>
      <c r="U2515" s="110">
        <v>3</v>
      </c>
      <c r="V2515" s="113"/>
      <c r="W2515" s="108" t="s">
        <v>19431</v>
      </c>
      <c r="X2515" s="112">
        <v>4</v>
      </c>
      <c r="Y2515" s="113"/>
      <c r="Z2515" s="108" t="s">
        <v>19432</v>
      </c>
      <c r="AA2515" s="112">
        <v>4</v>
      </c>
      <c r="AB2515" s="113"/>
      <c r="AC2515" s="105" t="s">
        <v>5675</v>
      </c>
      <c r="AD2515" s="115" t="s">
        <v>49</v>
      </c>
    </row>
    <row r="2516" spans="1:30" x14ac:dyDescent="0.2">
      <c r="A2516" s="104" t="s">
        <v>5676</v>
      </c>
      <c r="B2516" s="105" t="s">
        <v>42</v>
      </c>
      <c r="C2516" s="105" t="s">
        <v>104</v>
      </c>
      <c r="D2516" s="106" t="s">
        <v>125</v>
      </c>
      <c r="E2516" s="107"/>
      <c r="F2516" s="108" t="s">
        <v>19433</v>
      </c>
      <c r="G2516" s="118">
        <v>3</v>
      </c>
      <c r="H2516" s="108" t="s">
        <v>19434</v>
      </c>
      <c r="I2516" s="110">
        <v>3</v>
      </c>
      <c r="J2516" s="113"/>
      <c r="K2516" s="108" t="s">
        <v>19435</v>
      </c>
      <c r="L2516" s="110">
        <v>3</v>
      </c>
      <c r="M2516" s="113"/>
      <c r="N2516" s="108" t="s">
        <v>19433</v>
      </c>
      <c r="O2516" s="110">
        <v>3</v>
      </c>
      <c r="P2516" s="111" t="s">
        <v>46</v>
      </c>
      <c r="Q2516" s="108" t="s">
        <v>19436</v>
      </c>
      <c r="R2516" s="110">
        <v>3</v>
      </c>
      <c r="S2516" s="113"/>
      <c r="T2516" s="108" t="s">
        <v>19437</v>
      </c>
      <c r="U2516" s="117">
        <v>2</v>
      </c>
      <c r="V2516" s="113"/>
      <c r="W2516" s="108" t="s">
        <v>19438</v>
      </c>
      <c r="X2516" s="110">
        <v>3</v>
      </c>
      <c r="Y2516" s="113"/>
      <c r="Z2516" s="108" t="s">
        <v>47</v>
      </c>
      <c r="AA2516" s="114"/>
      <c r="AB2516" s="113"/>
      <c r="AC2516" s="105" t="s">
        <v>5677</v>
      </c>
      <c r="AD2516" s="115" t="s">
        <v>49</v>
      </c>
    </row>
    <row r="2517" spans="1:30" x14ac:dyDescent="0.2">
      <c r="A2517" s="104" t="s">
        <v>5678</v>
      </c>
      <c r="B2517" s="105" t="s">
        <v>42</v>
      </c>
      <c r="C2517" s="105" t="s">
        <v>3433</v>
      </c>
      <c r="D2517" s="106"/>
      <c r="E2517" s="107"/>
      <c r="F2517" s="108" t="s">
        <v>19439</v>
      </c>
      <c r="G2517" s="119">
        <v>1</v>
      </c>
      <c r="H2517" s="108" t="s">
        <v>19440</v>
      </c>
      <c r="I2517" s="116">
        <v>1</v>
      </c>
      <c r="J2517" s="111" t="s">
        <v>40</v>
      </c>
      <c r="K2517" s="108" t="s">
        <v>5679</v>
      </c>
      <c r="L2517" s="117">
        <v>2</v>
      </c>
      <c r="M2517" s="111" t="s">
        <v>46</v>
      </c>
      <c r="N2517" s="108" t="s">
        <v>19439</v>
      </c>
      <c r="O2517" s="116">
        <v>1</v>
      </c>
      <c r="P2517" s="113"/>
      <c r="Q2517" s="108" t="s">
        <v>19441</v>
      </c>
      <c r="R2517" s="116">
        <v>1</v>
      </c>
      <c r="S2517" s="113"/>
      <c r="T2517" s="108" t="s">
        <v>19442</v>
      </c>
      <c r="U2517" s="116">
        <v>1</v>
      </c>
      <c r="V2517" s="113"/>
      <c r="W2517" s="108" t="s">
        <v>19443</v>
      </c>
      <c r="X2517" s="116">
        <v>1</v>
      </c>
      <c r="Y2517" s="113"/>
      <c r="Z2517" s="108" t="s">
        <v>19444</v>
      </c>
      <c r="AA2517" s="117">
        <v>2</v>
      </c>
      <c r="AB2517" s="113"/>
      <c r="AC2517" s="105" t="s">
        <v>5680</v>
      </c>
      <c r="AD2517" s="115" t="s">
        <v>49</v>
      </c>
    </row>
    <row r="2518" spans="1:30" x14ac:dyDescent="0.2">
      <c r="A2518" s="104" t="s">
        <v>5681</v>
      </c>
      <c r="B2518" s="105" t="s">
        <v>42</v>
      </c>
      <c r="C2518" s="105" t="s">
        <v>98</v>
      </c>
      <c r="D2518" s="106" t="s">
        <v>94</v>
      </c>
      <c r="E2518" s="107"/>
      <c r="F2518" s="108" t="s">
        <v>19445</v>
      </c>
      <c r="G2518" s="120">
        <v>2</v>
      </c>
      <c r="H2518" s="108" t="s">
        <v>19446</v>
      </c>
      <c r="I2518" s="117">
        <v>2</v>
      </c>
      <c r="J2518" s="111" t="s">
        <v>46</v>
      </c>
      <c r="K2518" s="108" t="s">
        <v>19447</v>
      </c>
      <c r="L2518" s="116">
        <v>1</v>
      </c>
      <c r="M2518" s="111" t="s">
        <v>40</v>
      </c>
      <c r="N2518" s="108" t="s">
        <v>19445</v>
      </c>
      <c r="O2518" s="117">
        <v>2</v>
      </c>
      <c r="P2518" s="113"/>
      <c r="Q2518" s="108" t="s">
        <v>19448</v>
      </c>
      <c r="R2518" s="110">
        <v>3</v>
      </c>
      <c r="S2518" s="111" t="s">
        <v>46</v>
      </c>
      <c r="T2518" s="108" t="s">
        <v>19449</v>
      </c>
      <c r="U2518" s="116">
        <v>1</v>
      </c>
      <c r="V2518" s="111" t="s">
        <v>40</v>
      </c>
      <c r="W2518" s="108" t="s">
        <v>19450</v>
      </c>
      <c r="X2518" s="116">
        <v>1</v>
      </c>
      <c r="Y2518" s="113"/>
      <c r="Z2518" s="108" t="s">
        <v>19451</v>
      </c>
      <c r="AA2518" s="116">
        <v>1</v>
      </c>
      <c r="AB2518" s="113"/>
      <c r="AC2518" s="105" t="s">
        <v>5682</v>
      </c>
      <c r="AD2518" s="115" t="s">
        <v>49</v>
      </c>
    </row>
    <row r="2519" spans="1:30" x14ac:dyDescent="0.2">
      <c r="A2519" s="104" t="s">
        <v>5683</v>
      </c>
      <c r="B2519" s="105" t="s">
        <v>371</v>
      </c>
      <c r="C2519" s="105" t="s">
        <v>2716</v>
      </c>
      <c r="D2519" s="106" t="s">
        <v>105</v>
      </c>
      <c r="E2519" s="107"/>
      <c r="F2519" s="108" t="s">
        <v>19452</v>
      </c>
      <c r="G2519" s="109">
        <v>4</v>
      </c>
      <c r="H2519" s="108" t="s">
        <v>19453</v>
      </c>
      <c r="I2519" s="110">
        <v>3</v>
      </c>
      <c r="J2519" s="113"/>
      <c r="K2519" s="108" t="s">
        <v>19454</v>
      </c>
      <c r="L2519" s="110">
        <v>3</v>
      </c>
      <c r="M2519" s="113"/>
      <c r="N2519" s="108" t="s">
        <v>19452</v>
      </c>
      <c r="O2519" s="112">
        <v>4</v>
      </c>
      <c r="P2519" s="113"/>
      <c r="Q2519" s="108" t="s">
        <v>19455</v>
      </c>
      <c r="R2519" s="112">
        <v>4</v>
      </c>
      <c r="S2519" s="113"/>
      <c r="T2519" s="108" t="s">
        <v>19456</v>
      </c>
      <c r="U2519" s="112">
        <v>4</v>
      </c>
      <c r="V2519" s="113"/>
      <c r="W2519" s="108" t="s">
        <v>19457</v>
      </c>
      <c r="X2519" s="112">
        <v>4</v>
      </c>
      <c r="Y2519" s="113"/>
      <c r="Z2519" s="108" t="s">
        <v>19458</v>
      </c>
      <c r="AA2519" s="112">
        <v>4</v>
      </c>
      <c r="AB2519" s="113"/>
      <c r="AC2519" s="105" t="s">
        <v>5684</v>
      </c>
      <c r="AD2519" s="115" t="s">
        <v>49</v>
      </c>
    </row>
    <row r="2520" spans="1:30" x14ac:dyDescent="0.2">
      <c r="A2520" s="104" t="s">
        <v>19459</v>
      </c>
      <c r="B2520" s="105" t="s">
        <v>42</v>
      </c>
      <c r="C2520" s="105" t="s">
        <v>384</v>
      </c>
      <c r="D2520" s="106" t="s">
        <v>514</v>
      </c>
      <c r="E2520" s="107"/>
      <c r="F2520" s="108" t="s">
        <v>19460</v>
      </c>
      <c r="G2520" s="118">
        <v>3</v>
      </c>
      <c r="H2520" s="108" t="s">
        <v>19461</v>
      </c>
      <c r="I2520" s="112">
        <v>4</v>
      </c>
      <c r="J2520" s="111" t="s">
        <v>55</v>
      </c>
      <c r="K2520" s="108" t="s">
        <v>19462</v>
      </c>
      <c r="L2520" s="110">
        <v>3</v>
      </c>
      <c r="M2520" s="111" t="s">
        <v>46</v>
      </c>
      <c r="N2520" s="108" t="s">
        <v>19460</v>
      </c>
      <c r="O2520" s="110">
        <v>3</v>
      </c>
      <c r="P2520" s="111" t="s">
        <v>46</v>
      </c>
      <c r="Q2520" s="108" t="s">
        <v>19463</v>
      </c>
      <c r="R2520" s="110">
        <v>3</v>
      </c>
      <c r="S2520" s="111" t="s">
        <v>46</v>
      </c>
      <c r="T2520" s="108" t="s">
        <v>19464</v>
      </c>
      <c r="U2520" s="116">
        <v>1</v>
      </c>
      <c r="V2520" s="113"/>
      <c r="W2520" s="108" t="s">
        <v>19465</v>
      </c>
      <c r="X2520" s="116">
        <v>1</v>
      </c>
      <c r="Y2520" s="113"/>
      <c r="Z2520" s="108" t="s">
        <v>19466</v>
      </c>
      <c r="AA2520" s="117">
        <v>2</v>
      </c>
      <c r="AB2520" s="111" t="s">
        <v>46</v>
      </c>
      <c r="AC2520" s="105" t="s">
        <v>5685</v>
      </c>
      <c r="AD2520" s="115" t="s">
        <v>49</v>
      </c>
    </row>
    <row r="2521" spans="1:30" x14ac:dyDescent="0.2">
      <c r="A2521" s="104" t="s">
        <v>5686</v>
      </c>
      <c r="B2521" s="105" t="s">
        <v>42</v>
      </c>
      <c r="C2521" s="105" t="s">
        <v>3672</v>
      </c>
      <c r="D2521" s="106" t="s">
        <v>94</v>
      </c>
      <c r="E2521" s="107"/>
      <c r="F2521" s="108" t="s">
        <v>15711</v>
      </c>
      <c r="G2521" s="109">
        <v>4</v>
      </c>
      <c r="H2521" s="108" t="s">
        <v>19467</v>
      </c>
      <c r="I2521" s="110">
        <v>3</v>
      </c>
      <c r="J2521" s="113"/>
      <c r="K2521" s="108" t="s">
        <v>19468</v>
      </c>
      <c r="L2521" s="112">
        <v>4</v>
      </c>
      <c r="M2521" s="111" t="s">
        <v>46</v>
      </c>
      <c r="N2521" s="108" t="s">
        <v>15711</v>
      </c>
      <c r="O2521" s="112">
        <v>4</v>
      </c>
      <c r="P2521" s="111" t="s">
        <v>46</v>
      </c>
      <c r="Q2521" s="108" t="s">
        <v>19469</v>
      </c>
      <c r="R2521" s="116">
        <v>1</v>
      </c>
      <c r="S2521" s="113"/>
      <c r="T2521" s="108" t="s">
        <v>5687</v>
      </c>
      <c r="U2521" s="116">
        <v>1</v>
      </c>
      <c r="V2521" s="113"/>
      <c r="W2521" s="108" t="s">
        <v>19470</v>
      </c>
      <c r="X2521" s="116">
        <v>1</v>
      </c>
      <c r="Y2521" s="113"/>
      <c r="Z2521" s="108" t="s">
        <v>19471</v>
      </c>
      <c r="AA2521" s="116">
        <v>1</v>
      </c>
      <c r="AB2521" s="113"/>
      <c r="AC2521" s="105" t="s">
        <v>5688</v>
      </c>
      <c r="AD2521" s="115" t="s">
        <v>107</v>
      </c>
    </row>
    <row r="2522" spans="1:30" x14ac:dyDescent="0.2">
      <c r="A2522" s="104" t="s">
        <v>5689</v>
      </c>
      <c r="B2522" s="105" t="s">
        <v>42</v>
      </c>
      <c r="C2522" s="105" t="s">
        <v>43</v>
      </c>
      <c r="D2522" s="106"/>
      <c r="E2522" s="107"/>
      <c r="F2522" s="108" t="s">
        <v>19472</v>
      </c>
      <c r="G2522" s="119">
        <v>1</v>
      </c>
      <c r="H2522" s="108" t="s">
        <v>19473</v>
      </c>
      <c r="I2522" s="112">
        <v>4</v>
      </c>
      <c r="J2522" s="111" t="s">
        <v>44</v>
      </c>
      <c r="K2522" s="108" t="s">
        <v>19474</v>
      </c>
      <c r="L2522" s="117">
        <v>2</v>
      </c>
      <c r="M2522" s="111" t="s">
        <v>46</v>
      </c>
      <c r="N2522" s="108" t="s">
        <v>19472</v>
      </c>
      <c r="O2522" s="116">
        <v>1</v>
      </c>
      <c r="P2522" s="113"/>
      <c r="Q2522" s="108" t="s">
        <v>19475</v>
      </c>
      <c r="R2522" s="116">
        <v>1</v>
      </c>
      <c r="S2522" s="113"/>
      <c r="T2522" s="108" t="s">
        <v>19476</v>
      </c>
      <c r="U2522" s="116">
        <v>1</v>
      </c>
      <c r="V2522" s="113"/>
      <c r="W2522" s="108" t="s">
        <v>19477</v>
      </c>
      <c r="X2522" s="116">
        <v>1</v>
      </c>
      <c r="Y2522" s="113"/>
      <c r="Z2522" s="108" t="s">
        <v>47</v>
      </c>
      <c r="AA2522" s="114"/>
      <c r="AB2522" s="113"/>
      <c r="AC2522" s="105" t="s">
        <v>5690</v>
      </c>
      <c r="AD2522" s="115" t="s">
        <v>49</v>
      </c>
    </row>
    <row r="2523" spans="1:30" x14ac:dyDescent="0.2">
      <c r="A2523" s="104" t="s">
        <v>5691</v>
      </c>
      <c r="B2523" s="105" t="s">
        <v>42</v>
      </c>
      <c r="C2523" s="105" t="s">
        <v>43</v>
      </c>
      <c r="D2523" s="106"/>
      <c r="E2523" s="107"/>
      <c r="F2523" s="108" t="s">
        <v>19478</v>
      </c>
      <c r="G2523" s="119">
        <v>1</v>
      </c>
      <c r="H2523" s="108" t="s">
        <v>19479</v>
      </c>
      <c r="I2523" s="112">
        <v>4</v>
      </c>
      <c r="J2523" s="111" t="s">
        <v>44</v>
      </c>
      <c r="K2523" s="108" t="s">
        <v>19480</v>
      </c>
      <c r="L2523" s="117">
        <v>2</v>
      </c>
      <c r="M2523" s="111" t="s">
        <v>46</v>
      </c>
      <c r="N2523" s="108" t="s">
        <v>19478</v>
      </c>
      <c r="O2523" s="116">
        <v>1</v>
      </c>
      <c r="P2523" s="113"/>
      <c r="Q2523" s="108" t="s">
        <v>19481</v>
      </c>
      <c r="R2523" s="116">
        <v>1</v>
      </c>
      <c r="S2523" s="113"/>
      <c r="T2523" s="108" t="s">
        <v>19482</v>
      </c>
      <c r="U2523" s="116">
        <v>1</v>
      </c>
      <c r="V2523" s="113"/>
      <c r="W2523" s="108" t="s">
        <v>19483</v>
      </c>
      <c r="X2523" s="116">
        <v>1</v>
      </c>
      <c r="Y2523" s="113"/>
      <c r="Z2523" s="108" t="s">
        <v>47</v>
      </c>
      <c r="AA2523" s="114"/>
      <c r="AB2523" s="113"/>
      <c r="AC2523" s="105" t="s">
        <v>5692</v>
      </c>
      <c r="AD2523" s="115" t="s">
        <v>49</v>
      </c>
    </row>
    <row r="2524" spans="1:30" x14ac:dyDescent="0.2">
      <c r="A2524" s="104" t="s">
        <v>5693</v>
      </c>
      <c r="B2524" s="105" t="s">
        <v>42</v>
      </c>
      <c r="C2524" s="105" t="s">
        <v>3841</v>
      </c>
      <c r="D2524" s="106"/>
      <c r="E2524" s="107"/>
      <c r="F2524" s="108" t="s">
        <v>18992</v>
      </c>
      <c r="G2524" s="119">
        <v>1</v>
      </c>
      <c r="H2524" s="108" t="s">
        <v>5694</v>
      </c>
      <c r="I2524" s="112">
        <v>4</v>
      </c>
      <c r="J2524" s="111" t="s">
        <v>44</v>
      </c>
      <c r="K2524" s="108" t="s">
        <v>18991</v>
      </c>
      <c r="L2524" s="116">
        <v>1</v>
      </c>
      <c r="M2524" s="113"/>
      <c r="N2524" s="108" t="s">
        <v>18992</v>
      </c>
      <c r="O2524" s="116">
        <v>1</v>
      </c>
      <c r="P2524" s="113"/>
      <c r="Q2524" s="108" t="s">
        <v>18992</v>
      </c>
      <c r="R2524" s="116">
        <v>1</v>
      </c>
      <c r="S2524" s="113"/>
      <c r="T2524" s="108" t="s">
        <v>15479</v>
      </c>
      <c r="U2524" s="116">
        <v>1</v>
      </c>
      <c r="V2524" s="113"/>
      <c r="W2524" s="108" t="s">
        <v>5695</v>
      </c>
      <c r="X2524" s="116">
        <v>1</v>
      </c>
      <c r="Y2524" s="113"/>
      <c r="Z2524" s="108" t="s">
        <v>47</v>
      </c>
      <c r="AA2524" s="114"/>
      <c r="AB2524" s="113"/>
      <c r="AC2524" s="105" t="s">
        <v>5696</v>
      </c>
      <c r="AD2524" s="115" t="s">
        <v>49</v>
      </c>
    </row>
    <row r="2525" spans="1:30" x14ac:dyDescent="0.2">
      <c r="A2525" s="104" t="s">
        <v>5697</v>
      </c>
      <c r="B2525" s="105" t="s">
        <v>42</v>
      </c>
      <c r="C2525" s="105" t="s">
        <v>43</v>
      </c>
      <c r="D2525" s="106"/>
      <c r="E2525" s="107"/>
      <c r="F2525" s="108" t="s">
        <v>19484</v>
      </c>
      <c r="G2525" s="119">
        <v>1</v>
      </c>
      <c r="H2525" s="108" t="s">
        <v>19485</v>
      </c>
      <c r="I2525" s="112">
        <v>4</v>
      </c>
      <c r="J2525" s="111" t="s">
        <v>44</v>
      </c>
      <c r="K2525" s="108" t="s">
        <v>19486</v>
      </c>
      <c r="L2525" s="117">
        <v>2</v>
      </c>
      <c r="M2525" s="111" t="s">
        <v>46</v>
      </c>
      <c r="N2525" s="108" t="s">
        <v>19484</v>
      </c>
      <c r="O2525" s="116">
        <v>1</v>
      </c>
      <c r="P2525" s="113"/>
      <c r="Q2525" s="108" t="s">
        <v>19487</v>
      </c>
      <c r="R2525" s="116">
        <v>1</v>
      </c>
      <c r="S2525" s="113"/>
      <c r="T2525" s="108" t="s">
        <v>19488</v>
      </c>
      <c r="U2525" s="116">
        <v>1</v>
      </c>
      <c r="V2525" s="113"/>
      <c r="W2525" s="108" t="s">
        <v>19489</v>
      </c>
      <c r="X2525" s="116">
        <v>1</v>
      </c>
      <c r="Y2525" s="113"/>
      <c r="Z2525" s="108" t="s">
        <v>47</v>
      </c>
      <c r="AA2525" s="114"/>
      <c r="AB2525" s="113"/>
      <c r="AC2525" s="105" t="s">
        <v>5698</v>
      </c>
      <c r="AD2525" s="115" t="s">
        <v>49</v>
      </c>
    </row>
    <row r="2526" spans="1:30" x14ac:dyDescent="0.2">
      <c r="A2526" s="104" t="s">
        <v>5699</v>
      </c>
      <c r="B2526" s="105" t="s">
        <v>42</v>
      </c>
      <c r="C2526" s="105" t="s">
        <v>43</v>
      </c>
      <c r="D2526" s="106"/>
      <c r="E2526" s="107"/>
      <c r="F2526" s="108" t="s">
        <v>19490</v>
      </c>
      <c r="G2526" s="119">
        <v>1</v>
      </c>
      <c r="H2526" s="108" t="s">
        <v>19491</v>
      </c>
      <c r="I2526" s="112">
        <v>4</v>
      </c>
      <c r="J2526" s="111" t="s">
        <v>44</v>
      </c>
      <c r="K2526" s="108" t="s">
        <v>19492</v>
      </c>
      <c r="L2526" s="117">
        <v>2</v>
      </c>
      <c r="M2526" s="111" t="s">
        <v>46</v>
      </c>
      <c r="N2526" s="108" t="s">
        <v>19490</v>
      </c>
      <c r="O2526" s="116">
        <v>1</v>
      </c>
      <c r="P2526" s="113"/>
      <c r="Q2526" s="108" t="s">
        <v>19493</v>
      </c>
      <c r="R2526" s="116">
        <v>1</v>
      </c>
      <c r="S2526" s="113"/>
      <c r="T2526" s="108" t="s">
        <v>19494</v>
      </c>
      <c r="U2526" s="116">
        <v>1</v>
      </c>
      <c r="V2526" s="113"/>
      <c r="W2526" s="108" t="s">
        <v>19495</v>
      </c>
      <c r="X2526" s="116">
        <v>1</v>
      </c>
      <c r="Y2526" s="113"/>
      <c r="Z2526" s="108" t="s">
        <v>47</v>
      </c>
      <c r="AA2526" s="114"/>
      <c r="AB2526" s="113"/>
      <c r="AC2526" s="105" t="s">
        <v>5700</v>
      </c>
      <c r="AD2526" s="115" t="s">
        <v>49</v>
      </c>
    </row>
    <row r="2527" spans="1:30" x14ac:dyDescent="0.2">
      <c r="A2527" s="104" t="s">
        <v>19496</v>
      </c>
      <c r="B2527" s="105" t="s">
        <v>42</v>
      </c>
      <c r="C2527" s="105" t="s">
        <v>43</v>
      </c>
      <c r="D2527" s="106"/>
      <c r="E2527" s="107"/>
      <c r="F2527" s="108" t="s">
        <v>19497</v>
      </c>
      <c r="G2527" s="119">
        <v>1</v>
      </c>
      <c r="H2527" s="108" t="s">
        <v>17445</v>
      </c>
      <c r="I2527" s="116">
        <v>1</v>
      </c>
      <c r="J2527" s="113"/>
      <c r="K2527" s="108" t="s">
        <v>19498</v>
      </c>
      <c r="L2527" s="116">
        <v>1</v>
      </c>
      <c r="M2527" s="113"/>
      <c r="N2527" s="108" t="s">
        <v>19497</v>
      </c>
      <c r="O2527" s="116">
        <v>1</v>
      </c>
      <c r="P2527" s="113"/>
      <c r="Q2527" s="108" t="s">
        <v>19499</v>
      </c>
      <c r="R2527" s="116">
        <v>1</v>
      </c>
      <c r="S2527" s="113"/>
      <c r="T2527" s="108" t="s">
        <v>19500</v>
      </c>
      <c r="U2527" s="116">
        <v>1</v>
      </c>
      <c r="V2527" s="113"/>
      <c r="W2527" s="108" t="s">
        <v>19501</v>
      </c>
      <c r="X2527" s="116">
        <v>1</v>
      </c>
      <c r="Y2527" s="113"/>
      <c r="Z2527" s="108" t="s">
        <v>47</v>
      </c>
      <c r="AA2527" s="114"/>
      <c r="AB2527" s="113"/>
      <c r="AC2527" s="105" t="s">
        <v>5701</v>
      </c>
      <c r="AD2527" s="115" t="s">
        <v>49</v>
      </c>
    </row>
    <row r="2528" spans="1:30" x14ac:dyDescent="0.2">
      <c r="A2528" s="104" t="s">
        <v>19502</v>
      </c>
      <c r="B2528" s="105" t="s">
        <v>42</v>
      </c>
      <c r="C2528" s="105" t="s">
        <v>43</v>
      </c>
      <c r="D2528" s="106"/>
      <c r="E2528" s="107"/>
      <c r="F2528" s="108" t="s">
        <v>19503</v>
      </c>
      <c r="G2528" s="118">
        <v>3</v>
      </c>
      <c r="H2528" s="108" t="s">
        <v>17445</v>
      </c>
      <c r="I2528" s="116">
        <v>1</v>
      </c>
      <c r="J2528" s="111" t="s">
        <v>40</v>
      </c>
      <c r="K2528" s="108" t="s">
        <v>19504</v>
      </c>
      <c r="L2528" s="117">
        <v>2</v>
      </c>
      <c r="M2528" s="111" t="s">
        <v>40</v>
      </c>
      <c r="N2528" s="108" t="s">
        <v>19503</v>
      </c>
      <c r="O2528" s="110">
        <v>3</v>
      </c>
      <c r="P2528" s="113"/>
      <c r="Q2528" s="108" t="s">
        <v>19505</v>
      </c>
      <c r="R2528" s="110">
        <v>3</v>
      </c>
      <c r="S2528" s="113"/>
      <c r="T2528" s="108" t="s">
        <v>19506</v>
      </c>
      <c r="U2528" s="112">
        <v>4</v>
      </c>
      <c r="V2528" s="113"/>
      <c r="W2528" s="108" t="s">
        <v>19507</v>
      </c>
      <c r="X2528" s="112">
        <v>4</v>
      </c>
      <c r="Y2528" s="113"/>
      <c r="Z2528" s="108" t="s">
        <v>19508</v>
      </c>
      <c r="AA2528" s="112">
        <v>4</v>
      </c>
      <c r="AB2528" s="113"/>
      <c r="AC2528" s="105" t="s">
        <v>5702</v>
      </c>
      <c r="AD2528" s="115" t="s">
        <v>49</v>
      </c>
    </row>
    <row r="2529" spans="1:30" x14ac:dyDescent="0.2">
      <c r="A2529" s="104" t="s">
        <v>5703</v>
      </c>
      <c r="B2529" s="105" t="s">
        <v>42</v>
      </c>
      <c r="C2529" s="105" t="s">
        <v>244</v>
      </c>
      <c r="D2529" s="106"/>
      <c r="E2529" s="107"/>
      <c r="F2529" s="108" t="s">
        <v>19509</v>
      </c>
      <c r="G2529" s="118">
        <v>3</v>
      </c>
      <c r="H2529" s="108" t="s">
        <v>19510</v>
      </c>
      <c r="I2529" s="110">
        <v>3</v>
      </c>
      <c r="J2529" s="113"/>
      <c r="K2529" s="108" t="s">
        <v>19511</v>
      </c>
      <c r="L2529" s="117">
        <v>2</v>
      </c>
      <c r="M2529" s="111" t="s">
        <v>40</v>
      </c>
      <c r="N2529" s="108" t="s">
        <v>19509</v>
      </c>
      <c r="O2529" s="110">
        <v>3</v>
      </c>
      <c r="P2529" s="111" t="s">
        <v>46</v>
      </c>
      <c r="Q2529" s="108" t="s">
        <v>19512</v>
      </c>
      <c r="R2529" s="116">
        <v>1</v>
      </c>
      <c r="S2529" s="111" t="s">
        <v>53</v>
      </c>
      <c r="T2529" s="108" t="s">
        <v>19513</v>
      </c>
      <c r="U2529" s="110">
        <v>3</v>
      </c>
      <c r="V2529" s="113"/>
      <c r="W2529" s="108" t="s">
        <v>19514</v>
      </c>
      <c r="X2529" s="117">
        <v>2</v>
      </c>
      <c r="Y2529" s="111" t="s">
        <v>40</v>
      </c>
      <c r="Z2529" s="108" t="s">
        <v>19515</v>
      </c>
      <c r="AA2529" s="110">
        <v>3</v>
      </c>
      <c r="AB2529" s="113"/>
      <c r="AC2529" s="105" t="s">
        <v>5704</v>
      </c>
      <c r="AD2529" s="115" t="s">
        <v>180</v>
      </c>
    </row>
    <row r="2530" spans="1:30" x14ac:dyDescent="0.2">
      <c r="A2530" s="104" t="s">
        <v>5705</v>
      </c>
      <c r="B2530" s="105" t="s">
        <v>42</v>
      </c>
      <c r="C2530" s="105" t="s">
        <v>244</v>
      </c>
      <c r="D2530" s="106"/>
      <c r="E2530" s="107"/>
      <c r="F2530" s="108" t="s">
        <v>19516</v>
      </c>
      <c r="G2530" s="120">
        <v>2</v>
      </c>
      <c r="H2530" s="108" t="s">
        <v>19517</v>
      </c>
      <c r="I2530" s="110">
        <v>3</v>
      </c>
      <c r="J2530" s="113"/>
      <c r="K2530" s="108" t="s">
        <v>19518</v>
      </c>
      <c r="L2530" s="117">
        <v>2</v>
      </c>
      <c r="M2530" s="111" t="s">
        <v>40</v>
      </c>
      <c r="N2530" s="108" t="s">
        <v>19516</v>
      </c>
      <c r="O2530" s="117">
        <v>2</v>
      </c>
      <c r="P2530" s="113"/>
      <c r="Q2530" s="108" t="s">
        <v>19519</v>
      </c>
      <c r="R2530" s="116">
        <v>1</v>
      </c>
      <c r="S2530" s="111" t="s">
        <v>53</v>
      </c>
      <c r="T2530" s="108" t="s">
        <v>19520</v>
      </c>
      <c r="U2530" s="110">
        <v>3</v>
      </c>
      <c r="V2530" s="113"/>
      <c r="W2530" s="108" t="s">
        <v>19521</v>
      </c>
      <c r="X2530" s="117">
        <v>2</v>
      </c>
      <c r="Y2530" s="113"/>
      <c r="Z2530" s="108" t="s">
        <v>19522</v>
      </c>
      <c r="AA2530" s="110">
        <v>3</v>
      </c>
      <c r="AB2530" s="113"/>
      <c r="AC2530" s="105" t="s">
        <v>5706</v>
      </c>
      <c r="AD2530" s="115" t="s">
        <v>180</v>
      </c>
    </row>
    <row r="2531" spans="1:30" x14ac:dyDescent="0.2">
      <c r="A2531" s="104" t="s">
        <v>5707</v>
      </c>
      <c r="B2531" s="105" t="s">
        <v>42</v>
      </c>
      <c r="C2531" s="105" t="s">
        <v>279</v>
      </c>
      <c r="D2531" s="106"/>
      <c r="E2531" s="107"/>
      <c r="F2531" s="108" t="s">
        <v>19523</v>
      </c>
      <c r="G2531" s="118">
        <v>3</v>
      </c>
      <c r="H2531" s="108" t="s">
        <v>19524</v>
      </c>
      <c r="I2531" s="110">
        <v>3</v>
      </c>
      <c r="J2531" s="111" t="s">
        <v>55</v>
      </c>
      <c r="K2531" s="108" t="s">
        <v>19525</v>
      </c>
      <c r="L2531" s="110">
        <v>3</v>
      </c>
      <c r="M2531" s="113"/>
      <c r="N2531" s="108" t="s">
        <v>19523</v>
      </c>
      <c r="O2531" s="110">
        <v>3</v>
      </c>
      <c r="P2531" s="111" t="s">
        <v>46</v>
      </c>
      <c r="Q2531" s="108" t="s">
        <v>19526</v>
      </c>
      <c r="R2531" s="110">
        <v>3</v>
      </c>
      <c r="S2531" s="113"/>
      <c r="T2531" s="108" t="s">
        <v>19527</v>
      </c>
      <c r="U2531" s="112">
        <v>4</v>
      </c>
      <c r="V2531" s="113"/>
      <c r="W2531" s="108" t="s">
        <v>19528</v>
      </c>
      <c r="X2531" s="112">
        <v>4</v>
      </c>
      <c r="Y2531" s="113"/>
      <c r="Z2531" s="108" t="s">
        <v>19529</v>
      </c>
      <c r="AA2531" s="112">
        <v>4</v>
      </c>
      <c r="AB2531" s="113"/>
      <c r="AC2531" s="105" t="s">
        <v>5708</v>
      </c>
      <c r="AD2531" s="115" t="s">
        <v>180</v>
      </c>
    </row>
    <row r="2532" spans="1:30" x14ac:dyDescent="0.2">
      <c r="A2532" s="104" t="s">
        <v>5709</v>
      </c>
      <c r="B2532" s="105" t="s">
        <v>42</v>
      </c>
      <c r="C2532" s="105" t="s">
        <v>306</v>
      </c>
      <c r="D2532" s="106"/>
      <c r="E2532" s="107"/>
      <c r="F2532" s="108" t="s">
        <v>17726</v>
      </c>
      <c r="G2532" s="118">
        <v>3</v>
      </c>
      <c r="H2532" s="108" t="s">
        <v>19530</v>
      </c>
      <c r="I2532" s="110">
        <v>3</v>
      </c>
      <c r="J2532" s="111" t="s">
        <v>46</v>
      </c>
      <c r="K2532" s="108" t="s">
        <v>19531</v>
      </c>
      <c r="L2532" s="117">
        <v>2</v>
      </c>
      <c r="M2532" s="111" t="s">
        <v>40</v>
      </c>
      <c r="N2532" s="108" t="s">
        <v>17726</v>
      </c>
      <c r="O2532" s="110">
        <v>3</v>
      </c>
      <c r="P2532" s="113"/>
      <c r="Q2532" s="108" t="s">
        <v>19532</v>
      </c>
      <c r="R2532" s="117">
        <v>2</v>
      </c>
      <c r="S2532" s="111" t="s">
        <v>40</v>
      </c>
      <c r="T2532" s="108" t="s">
        <v>19533</v>
      </c>
      <c r="U2532" s="117">
        <v>2</v>
      </c>
      <c r="V2532" s="113"/>
      <c r="W2532" s="108" t="s">
        <v>19534</v>
      </c>
      <c r="X2532" s="117">
        <v>2</v>
      </c>
      <c r="Y2532" s="113"/>
      <c r="Z2532" s="108" t="s">
        <v>5710</v>
      </c>
      <c r="AA2532" s="110">
        <v>3</v>
      </c>
      <c r="AB2532" s="111" t="s">
        <v>40</v>
      </c>
      <c r="AC2532" s="105" t="s">
        <v>5711</v>
      </c>
      <c r="AD2532" s="115" t="s">
        <v>180</v>
      </c>
    </row>
    <row r="2533" spans="1:30" x14ac:dyDescent="0.2">
      <c r="A2533" s="104" t="s">
        <v>5712</v>
      </c>
      <c r="B2533" s="105" t="s">
        <v>42</v>
      </c>
      <c r="C2533" s="105" t="s">
        <v>439</v>
      </c>
      <c r="D2533" s="106"/>
      <c r="E2533" s="107"/>
      <c r="F2533" s="108" t="s">
        <v>19535</v>
      </c>
      <c r="G2533" s="120">
        <v>2</v>
      </c>
      <c r="H2533" s="108" t="s">
        <v>19536</v>
      </c>
      <c r="I2533" s="117">
        <v>2</v>
      </c>
      <c r="J2533" s="113"/>
      <c r="K2533" s="108" t="s">
        <v>19537</v>
      </c>
      <c r="L2533" s="117">
        <v>2</v>
      </c>
      <c r="M2533" s="113"/>
      <c r="N2533" s="108" t="s">
        <v>19535</v>
      </c>
      <c r="O2533" s="117">
        <v>2</v>
      </c>
      <c r="P2533" s="111" t="s">
        <v>40</v>
      </c>
      <c r="Q2533" s="108" t="s">
        <v>19538</v>
      </c>
      <c r="R2533" s="112">
        <v>4</v>
      </c>
      <c r="S2533" s="113"/>
      <c r="T2533" s="108" t="s">
        <v>19539</v>
      </c>
      <c r="U2533" s="112">
        <v>4</v>
      </c>
      <c r="V2533" s="113"/>
      <c r="W2533" s="108" t="s">
        <v>19540</v>
      </c>
      <c r="X2533" s="110">
        <v>3</v>
      </c>
      <c r="Y2533" s="113"/>
      <c r="Z2533" s="108" t="s">
        <v>19541</v>
      </c>
      <c r="AA2533" s="110">
        <v>3</v>
      </c>
      <c r="AB2533" s="111" t="s">
        <v>40</v>
      </c>
      <c r="AC2533" s="105"/>
      <c r="AD2533" s="115" t="s">
        <v>180</v>
      </c>
    </row>
    <row r="2534" spans="1:30" x14ac:dyDescent="0.2">
      <c r="A2534" s="104" t="s">
        <v>5713</v>
      </c>
      <c r="B2534" s="105" t="s">
        <v>42</v>
      </c>
      <c r="C2534" s="105" t="s">
        <v>582</v>
      </c>
      <c r="D2534" s="106"/>
      <c r="E2534" s="107"/>
      <c r="F2534" s="108" t="s">
        <v>19542</v>
      </c>
      <c r="G2534" s="120">
        <v>2</v>
      </c>
      <c r="H2534" s="108" t="s">
        <v>19543</v>
      </c>
      <c r="I2534" s="117">
        <v>2</v>
      </c>
      <c r="J2534" s="111" t="s">
        <v>46</v>
      </c>
      <c r="K2534" s="108" t="s">
        <v>19544</v>
      </c>
      <c r="L2534" s="116">
        <v>1</v>
      </c>
      <c r="M2534" s="111" t="s">
        <v>40</v>
      </c>
      <c r="N2534" s="108" t="s">
        <v>19542</v>
      </c>
      <c r="O2534" s="117">
        <v>2</v>
      </c>
      <c r="P2534" s="113"/>
      <c r="Q2534" s="108" t="s">
        <v>19545</v>
      </c>
      <c r="R2534" s="110">
        <v>3</v>
      </c>
      <c r="S2534" s="111" t="s">
        <v>46</v>
      </c>
      <c r="T2534" s="108" t="s">
        <v>19546</v>
      </c>
      <c r="U2534" s="117">
        <v>2</v>
      </c>
      <c r="V2534" s="113"/>
      <c r="W2534" s="108" t="s">
        <v>19547</v>
      </c>
      <c r="X2534" s="117">
        <v>2</v>
      </c>
      <c r="Y2534" s="113"/>
      <c r="Z2534" s="108" t="s">
        <v>19548</v>
      </c>
      <c r="AA2534" s="110">
        <v>3</v>
      </c>
      <c r="AB2534" s="113"/>
      <c r="AC2534" s="105" t="s">
        <v>5714</v>
      </c>
      <c r="AD2534" s="115" t="s">
        <v>180</v>
      </c>
    </row>
    <row r="2535" spans="1:30" x14ac:dyDescent="0.2">
      <c r="A2535" s="104" t="s">
        <v>5715</v>
      </c>
      <c r="B2535" s="105" t="s">
        <v>42</v>
      </c>
      <c r="C2535" s="105" t="s">
        <v>98</v>
      </c>
      <c r="D2535" s="106"/>
      <c r="E2535" s="107"/>
      <c r="F2535" s="108" t="s">
        <v>19549</v>
      </c>
      <c r="G2535" s="119">
        <v>1</v>
      </c>
      <c r="H2535" s="108" t="s">
        <v>19550</v>
      </c>
      <c r="I2535" s="116">
        <v>1</v>
      </c>
      <c r="J2535" s="113"/>
      <c r="K2535" s="108" t="s">
        <v>19551</v>
      </c>
      <c r="L2535" s="116">
        <v>1</v>
      </c>
      <c r="M2535" s="113"/>
      <c r="N2535" s="108" t="s">
        <v>19549</v>
      </c>
      <c r="O2535" s="116">
        <v>1</v>
      </c>
      <c r="P2535" s="113"/>
      <c r="Q2535" s="108" t="s">
        <v>19552</v>
      </c>
      <c r="R2535" s="116">
        <v>1</v>
      </c>
      <c r="S2535" s="111" t="s">
        <v>53</v>
      </c>
      <c r="T2535" s="108" t="s">
        <v>19553</v>
      </c>
      <c r="U2535" s="110">
        <v>3</v>
      </c>
      <c r="V2535" s="113"/>
      <c r="W2535" s="108" t="s">
        <v>19554</v>
      </c>
      <c r="X2535" s="110">
        <v>3</v>
      </c>
      <c r="Y2535" s="113"/>
      <c r="Z2535" s="108" t="s">
        <v>19555</v>
      </c>
      <c r="AA2535" s="110">
        <v>3</v>
      </c>
      <c r="AB2535" s="113"/>
      <c r="AC2535" s="105"/>
      <c r="AD2535" s="115" t="s">
        <v>180</v>
      </c>
    </row>
    <row r="2536" spans="1:30" x14ac:dyDescent="0.2">
      <c r="A2536" s="104" t="s">
        <v>5716</v>
      </c>
      <c r="B2536" s="105" t="s">
        <v>42</v>
      </c>
      <c r="C2536" s="105" t="s">
        <v>384</v>
      </c>
      <c r="D2536" s="106"/>
      <c r="E2536" s="107"/>
      <c r="F2536" s="108" t="s">
        <v>19556</v>
      </c>
      <c r="G2536" s="120">
        <v>2</v>
      </c>
      <c r="H2536" s="108" t="s">
        <v>19557</v>
      </c>
      <c r="I2536" s="117">
        <v>2</v>
      </c>
      <c r="J2536" s="111" t="s">
        <v>46</v>
      </c>
      <c r="K2536" s="108" t="s">
        <v>19558</v>
      </c>
      <c r="L2536" s="116">
        <v>1</v>
      </c>
      <c r="M2536" s="111" t="s">
        <v>40</v>
      </c>
      <c r="N2536" s="108" t="s">
        <v>19556</v>
      </c>
      <c r="O2536" s="117">
        <v>2</v>
      </c>
      <c r="P2536" s="111" t="s">
        <v>40</v>
      </c>
      <c r="Q2536" s="108" t="s">
        <v>19559</v>
      </c>
      <c r="R2536" s="110">
        <v>3</v>
      </c>
      <c r="S2536" s="113"/>
      <c r="T2536" s="108" t="s">
        <v>19560</v>
      </c>
      <c r="U2536" s="117">
        <v>2</v>
      </c>
      <c r="V2536" s="113"/>
      <c r="W2536" s="108" t="s">
        <v>19561</v>
      </c>
      <c r="X2536" s="116">
        <v>1</v>
      </c>
      <c r="Y2536" s="113"/>
      <c r="Z2536" s="108" t="s">
        <v>19562</v>
      </c>
      <c r="AA2536" s="117">
        <v>2</v>
      </c>
      <c r="AB2536" s="113"/>
      <c r="AC2536" s="105"/>
      <c r="AD2536" s="115" t="s">
        <v>180</v>
      </c>
    </row>
    <row r="2537" spans="1:30" x14ac:dyDescent="0.2">
      <c r="A2537" s="104" t="s">
        <v>5717</v>
      </c>
      <c r="B2537" s="105" t="s">
        <v>42</v>
      </c>
      <c r="C2537" s="105" t="s">
        <v>132</v>
      </c>
      <c r="D2537" s="106"/>
      <c r="E2537" s="107"/>
      <c r="F2537" s="108" t="s">
        <v>19563</v>
      </c>
      <c r="G2537" s="118">
        <v>3</v>
      </c>
      <c r="H2537" s="108" t="s">
        <v>19564</v>
      </c>
      <c r="I2537" s="110">
        <v>3</v>
      </c>
      <c r="J2537" s="113"/>
      <c r="K2537" s="108" t="s">
        <v>19565</v>
      </c>
      <c r="L2537" s="110">
        <v>3</v>
      </c>
      <c r="M2537" s="113"/>
      <c r="N2537" s="108" t="s">
        <v>19563</v>
      </c>
      <c r="O2537" s="110">
        <v>3</v>
      </c>
      <c r="P2537" s="111" t="s">
        <v>40</v>
      </c>
      <c r="Q2537" s="108" t="s">
        <v>4167</v>
      </c>
      <c r="R2537" s="112">
        <v>4</v>
      </c>
      <c r="S2537" s="111" t="s">
        <v>46</v>
      </c>
      <c r="T2537" s="108" t="s">
        <v>19566</v>
      </c>
      <c r="U2537" s="110">
        <v>3</v>
      </c>
      <c r="V2537" s="113"/>
      <c r="W2537" s="108" t="s">
        <v>19567</v>
      </c>
      <c r="X2537" s="112">
        <v>4</v>
      </c>
      <c r="Y2537" s="113"/>
      <c r="Z2537" s="108" t="s">
        <v>5718</v>
      </c>
      <c r="AA2537" s="112">
        <v>4</v>
      </c>
      <c r="AB2537" s="111" t="s">
        <v>46</v>
      </c>
      <c r="AC2537" s="105" t="s">
        <v>5719</v>
      </c>
      <c r="AD2537" s="115" t="s">
        <v>180</v>
      </c>
    </row>
    <row r="2538" spans="1:30" x14ac:dyDescent="0.2">
      <c r="A2538" s="104" t="s">
        <v>5720</v>
      </c>
      <c r="B2538" s="105" t="s">
        <v>42</v>
      </c>
      <c r="C2538" s="105" t="s">
        <v>1644</v>
      </c>
      <c r="D2538" s="106"/>
      <c r="E2538" s="107"/>
      <c r="F2538" s="108" t="s">
        <v>19568</v>
      </c>
      <c r="G2538" s="120">
        <v>2</v>
      </c>
      <c r="H2538" s="108" t="s">
        <v>19569</v>
      </c>
      <c r="I2538" s="116">
        <v>1</v>
      </c>
      <c r="J2538" s="113"/>
      <c r="K2538" s="108" t="s">
        <v>19570</v>
      </c>
      <c r="L2538" s="116">
        <v>1</v>
      </c>
      <c r="M2538" s="111" t="s">
        <v>40</v>
      </c>
      <c r="N2538" s="108" t="s">
        <v>19568</v>
      </c>
      <c r="O2538" s="117">
        <v>2</v>
      </c>
      <c r="P2538" s="113"/>
      <c r="Q2538" s="108" t="s">
        <v>19571</v>
      </c>
      <c r="R2538" s="117">
        <v>2</v>
      </c>
      <c r="S2538" s="111" t="s">
        <v>40</v>
      </c>
      <c r="T2538" s="108" t="s">
        <v>19572</v>
      </c>
      <c r="U2538" s="110">
        <v>3</v>
      </c>
      <c r="V2538" s="113"/>
      <c r="W2538" s="108" t="s">
        <v>19573</v>
      </c>
      <c r="X2538" s="112">
        <v>4</v>
      </c>
      <c r="Y2538" s="113"/>
      <c r="Z2538" s="108" t="s">
        <v>19574</v>
      </c>
      <c r="AA2538" s="112">
        <v>4</v>
      </c>
      <c r="AB2538" s="113"/>
      <c r="AC2538" s="105" t="s">
        <v>5721</v>
      </c>
      <c r="AD2538" s="115" t="s">
        <v>49</v>
      </c>
    </row>
    <row r="2539" spans="1:30" x14ac:dyDescent="0.2">
      <c r="A2539" s="104" t="s">
        <v>5722</v>
      </c>
      <c r="B2539" s="105" t="s">
        <v>111</v>
      </c>
      <c r="C2539" s="105" t="s">
        <v>112</v>
      </c>
      <c r="D2539" s="106"/>
      <c r="E2539" s="107"/>
      <c r="F2539" s="108" t="s">
        <v>19575</v>
      </c>
      <c r="G2539" s="119">
        <v>1</v>
      </c>
      <c r="H2539" s="108" t="s">
        <v>19576</v>
      </c>
      <c r="I2539" s="117">
        <v>2</v>
      </c>
      <c r="J2539" s="111" t="s">
        <v>46</v>
      </c>
      <c r="K2539" s="108" t="s">
        <v>19577</v>
      </c>
      <c r="L2539" s="116">
        <v>1</v>
      </c>
      <c r="M2539" s="113"/>
      <c r="N2539" s="108" t="s">
        <v>19575</v>
      </c>
      <c r="O2539" s="116">
        <v>1</v>
      </c>
      <c r="P2539" s="113"/>
      <c r="Q2539" s="108" t="s">
        <v>19578</v>
      </c>
      <c r="R2539" s="116">
        <v>1</v>
      </c>
      <c r="S2539" s="113"/>
      <c r="T2539" s="108" t="s">
        <v>19579</v>
      </c>
      <c r="U2539" s="116">
        <v>1</v>
      </c>
      <c r="V2539" s="113"/>
      <c r="W2539" s="108" t="s">
        <v>19580</v>
      </c>
      <c r="X2539" s="116">
        <v>1</v>
      </c>
      <c r="Y2539" s="113"/>
      <c r="Z2539" s="108" t="s">
        <v>19581</v>
      </c>
      <c r="AA2539" s="116">
        <v>1</v>
      </c>
      <c r="AB2539" s="113"/>
      <c r="AC2539" s="105" t="s">
        <v>5723</v>
      </c>
      <c r="AD2539" s="115" t="s">
        <v>114</v>
      </c>
    </row>
    <row r="2540" spans="1:30" x14ac:dyDescent="0.2">
      <c r="A2540" s="104" t="s">
        <v>5724</v>
      </c>
      <c r="B2540" s="105" t="s">
        <v>255</v>
      </c>
      <c r="C2540" s="105" t="s">
        <v>3326</v>
      </c>
      <c r="D2540" s="106" t="s">
        <v>125</v>
      </c>
      <c r="E2540" s="107" t="s">
        <v>99</v>
      </c>
      <c r="F2540" s="108" t="s">
        <v>19582</v>
      </c>
      <c r="G2540" s="120">
        <v>2</v>
      </c>
      <c r="H2540" s="108" t="s">
        <v>19583</v>
      </c>
      <c r="I2540" s="117">
        <v>2</v>
      </c>
      <c r="J2540" s="113"/>
      <c r="K2540" s="108" t="s">
        <v>19584</v>
      </c>
      <c r="L2540" s="117">
        <v>2</v>
      </c>
      <c r="M2540" s="113"/>
      <c r="N2540" s="108" t="s">
        <v>19582</v>
      </c>
      <c r="O2540" s="117">
        <v>2</v>
      </c>
      <c r="P2540" s="113"/>
      <c r="Q2540" s="108" t="s">
        <v>19585</v>
      </c>
      <c r="R2540" s="117">
        <v>2</v>
      </c>
      <c r="S2540" s="113"/>
      <c r="T2540" s="108" t="s">
        <v>19586</v>
      </c>
      <c r="U2540" s="117">
        <v>2</v>
      </c>
      <c r="V2540" s="113"/>
      <c r="W2540" s="108" t="s">
        <v>19587</v>
      </c>
      <c r="X2540" s="117">
        <v>2</v>
      </c>
      <c r="Y2540" s="113"/>
      <c r="Z2540" s="108" t="s">
        <v>19588</v>
      </c>
      <c r="AA2540" s="110">
        <v>3</v>
      </c>
      <c r="AB2540" s="111" t="s">
        <v>40</v>
      </c>
      <c r="AC2540" s="105" t="s">
        <v>5725</v>
      </c>
      <c r="AD2540" s="115" t="s">
        <v>107</v>
      </c>
    </row>
    <row r="2541" spans="1:30" x14ac:dyDescent="0.2">
      <c r="A2541" s="104" t="s">
        <v>5726</v>
      </c>
      <c r="B2541" s="105" t="s">
        <v>371</v>
      </c>
      <c r="C2541" s="105" t="s">
        <v>439</v>
      </c>
      <c r="D2541" s="106" t="s">
        <v>94</v>
      </c>
      <c r="E2541" s="107"/>
      <c r="F2541" s="108" t="s">
        <v>19589</v>
      </c>
      <c r="G2541" s="118">
        <v>3</v>
      </c>
      <c r="H2541" s="108" t="s">
        <v>19590</v>
      </c>
      <c r="I2541" s="110">
        <v>3</v>
      </c>
      <c r="J2541" s="111" t="s">
        <v>40</v>
      </c>
      <c r="K2541" s="108" t="s">
        <v>19591</v>
      </c>
      <c r="L2541" s="112">
        <v>4</v>
      </c>
      <c r="M2541" s="111" t="s">
        <v>46</v>
      </c>
      <c r="N2541" s="108" t="s">
        <v>19589</v>
      </c>
      <c r="O2541" s="110">
        <v>3</v>
      </c>
      <c r="P2541" s="111" t="s">
        <v>46</v>
      </c>
      <c r="Q2541" s="108" t="s">
        <v>19592</v>
      </c>
      <c r="R2541" s="117">
        <v>2</v>
      </c>
      <c r="S2541" s="113"/>
      <c r="T2541" s="108" t="s">
        <v>19593</v>
      </c>
      <c r="U2541" s="116">
        <v>1</v>
      </c>
      <c r="V2541" s="113"/>
      <c r="W2541" s="108" t="s">
        <v>19594</v>
      </c>
      <c r="X2541" s="116">
        <v>1</v>
      </c>
      <c r="Y2541" s="113"/>
      <c r="Z2541" s="108" t="s">
        <v>19595</v>
      </c>
      <c r="AA2541" s="117">
        <v>2</v>
      </c>
      <c r="AB2541" s="113"/>
      <c r="AC2541" s="105" t="s">
        <v>5727</v>
      </c>
      <c r="AD2541" s="115" t="s">
        <v>107</v>
      </c>
    </row>
    <row r="2542" spans="1:30" x14ac:dyDescent="0.2">
      <c r="A2542" s="104" t="s">
        <v>5728</v>
      </c>
      <c r="B2542" s="105" t="s">
        <v>42</v>
      </c>
      <c r="C2542" s="105" t="s">
        <v>439</v>
      </c>
      <c r="D2542" s="106" t="s">
        <v>105</v>
      </c>
      <c r="E2542" s="107"/>
      <c r="F2542" s="108" t="s">
        <v>19596</v>
      </c>
      <c r="G2542" s="120">
        <v>2</v>
      </c>
      <c r="H2542" s="108" t="s">
        <v>19597</v>
      </c>
      <c r="I2542" s="112">
        <v>4</v>
      </c>
      <c r="J2542" s="111" t="s">
        <v>44</v>
      </c>
      <c r="K2542" s="108" t="s">
        <v>19598</v>
      </c>
      <c r="L2542" s="110">
        <v>3</v>
      </c>
      <c r="M2542" s="111" t="s">
        <v>55</v>
      </c>
      <c r="N2542" s="108" t="s">
        <v>19596</v>
      </c>
      <c r="O2542" s="117">
        <v>2</v>
      </c>
      <c r="P2542" s="111" t="s">
        <v>46</v>
      </c>
      <c r="Q2542" s="108" t="s">
        <v>19599</v>
      </c>
      <c r="R2542" s="116">
        <v>1</v>
      </c>
      <c r="S2542" s="111" t="s">
        <v>53</v>
      </c>
      <c r="T2542" s="108" t="s">
        <v>19600</v>
      </c>
      <c r="U2542" s="112">
        <v>4</v>
      </c>
      <c r="V2542" s="113"/>
      <c r="W2542" s="108" t="s">
        <v>19601</v>
      </c>
      <c r="X2542" s="116">
        <v>1</v>
      </c>
      <c r="Y2542" s="113"/>
      <c r="Z2542" s="108" t="s">
        <v>19602</v>
      </c>
      <c r="AA2542" s="110">
        <v>3</v>
      </c>
      <c r="AB2542" s="111" t="s">
        <v>40</v>
      </c>
      <c r="AC2542" s="105" t="s">
        <v>5729</v>
      </c>
      <c r="AD2542" s="115" t="s">
        <v>107</v>
      </c>
    </row>
    <row r="2543" spans="1:30" x14ac:dyDescent="0.2">
      <c r="A2543" s="104" t="s">
        <v>5730</v>
      </c>
      <c r="B2543" s="105" t="s">
        <v>111</v>
      </c>
      <c r="C2543" s="105" t="s">
        <v>112</v>
      </c>
      <c r="D2543" s="106"/>
      <c r="E2543" s="107" t="s">
        <v>146</v>
      </c>
      <c r="F2543" s="108" t="s">
        <v>19603</v>
      </c>
      <c r="G2543" s="120">
        <v>2</v>
      </c>
      <c r="H2543" s="108" t="s">
        <v>19604</v>
      </c>
      <c r="I2543" s="112">
        <v>4</v>
      </c>
      <c r="J2543" s="111" t="s">
        <v>46</v>
      </c>
      <c r="K2543" s="108" t="s">
        <v>19605</v>
      </c>
      <c r="L2543" s="112">
        <v>4</v>
      </c>
      <c r="M2543" s="111" t="s">
        <v>55</v>
      </c>
      <c r="N2543" s="108" t="s">
        <v>19603</v>
      </c>
      <c r="O2543" s="117">
        <v>2</v>
      </c>
      <c r="P2543" s="111" t="s">
        <v>46</v>
      </c>
      <c r="Q2543" s="108" t="s">
        <v>19606</v>
      </c>
      <c r="R2543" s="117">
        <v>2</v>
      </c>
      <c r="S2543" s="113"/>
      <c r="T2543" s="108" t="s">
        <v>19607</v>
      </c>
      <c r="U2543" s="110">
        <v>3</v>
      </c>
      <c r="V2543" s="111" t="s">
        <v>46</v>
      </c>
      <c r="W2543" s="108" t="s">
        <v>19608</v>
      </c>
      <c r="X2543" s="117">
        <v>2</v>
      </c>
      <c r="Y2543" s="113"/>
      <c r="Z2543" s="108" t="s">
        <v>19609</v>
      </c>
      <c r="AA2543" s="117">
        <v>2</v>
      </c>
      <c r="AB2543" s="113"/>
      <c r="AC2543" s="105" t="s">
        <v>5731</v>
      </c>
      <c r="AD2543" s="115" t="s">
        <v>114</v>
      </c>
    </row>
    <row r="2544" spans="1:30" x14ac:dyDescent="0.2">
      <c r="A2544" s="104" t="s">
        <v>5732</v>
      </c>
      <c r="B2544" s="105" t="s">
        <v>111</v>
      </c>
      <c r="C2544" s="105" t="s">
        <v>112</v>
      </c>
      <c r="D2544" s="106"/>
      <c r="E2544" s="107"/>
      <c r="F2544" s="108" t="s">
        <v>19610</v>
      </c>
      <c r="G2544" s="118">
        <v>3</v>
      </c>
      <c r="H2544" s="108" t="s">
        <v>19611</v>
      </c>
      <c r="I2544" s="117">
        <v>2</v>
      </c>
      <c r="J2544" s="111" t="s">
        <v>40</v>
      </c>
      <c r="K2544" s="108" t="s">
        <v>19612</v>
      </c>
      <c r="L2544" s="117">
        <v>2</v>
      </c>
      <c r="M2544" s="113"/>
      <c r="N2544" s="108" t="s">
        <v>19610</v>
      </c>
      <c r="O2544" s="110">
        <v>3</v>
      </c>
      <c r="P2544" s="113"/>
      <c r="Q2544" s="108" t="s">
        <v>19613</v>
      </c>
      <c r="R2544" s="112">
        <v>4</v>
      </c>
      <c r="S2544" s="113"/>
      <c r="T2544" s="108" t="s">
        <v>47</v>
      </c>
      <c r="U2544" s="114"/>
      <c r="V2544" s="113"/>
      <c r="W2544" s="108" t="s">
        <v>47</v>
      </c>
      <c r="X2544" s="114"/>
      <c r="Y2544" s="113"/>
      <c r="Z2544" s="108" t="s">
        <v>47</v>
      </c>
      <c r="AA2544" s="114"/>
      <c r="AB2544" s="113"/>
      <c r="AC2544" s="105" t="s">
        <v>5733</v>
      </c>
      <c r="AD2544" s="115" t="s">
        <v>114</v>
      </c>
    </row>
    <row r="2545" spans="1:30" x14ac:dyDescent="0.2">
      <c r="A2545" s="104" t="s">
        <v>19614</v>
      </c>
      <c r="B2545" s="105" t="s">
        <v>42</v>
      </c>
      <c r="C2545" s="105" t="s">
        <v>145</v>
      </c>
      <c r="D2545" s="106"/>
      <c r="E2545" s="107"/>
      <c r="F2545" s="108" t="s">
        <v>47</v>
      </c>
      <c r="G2545" s="113"/>
      <c r="H2545" s="108" t="s">
        <v>19615</v>
      </c>
      <c r="I2545" s="116">
        <v>1</v>
      </c>
      <c r="J2545" s="113"/>
      <c r="K2545" s="108" t="s">
        <v>47</v>
      </c>
      <c r="L2545" s="114"/>
      <c r="M2545" s="113"/>
      <c r="N2545" s="108" t="s">
        <v>47</v>
      </c>
      <c r="O2545" s="114"/>
      <c r="P2545" s="113"/>
      <c r="Q2545" s="108" t="s">
        <v>47</v>
      </c>
      <c r="R2545" s="114"/>
      <c r="S2545" s="113"/>
      <c r="T2545" s="108" t="s">
        <v>47</v>
      </c>
      <c r="U2545" s="114"/>
      <c r="V2545" s="113"/>
      <c r="W2545" s="108" t="s">
        <v>47</v>
      </c>
      <c r="X2545" s="114"/>
      <c r="Y2545" s="113"/>
      <c r="Z2545" s="108" t="s">
        <v>47</v>
      </c>
      <c r="AA2545" s="114"/>
      <c r="AB2545" s="113"/>
      <c r="AC2545" s="105" t="s">
        <v>19616</v>
      </c>
      <c r="AD2545" s="115" t="s">
        <v>49</v>
      </c>
    </row>
    <row r="2546" spans="1:30" x14ac:dyDescent="0.2">
      <c r="A2546" s="104" t="s">
        <v>5734</v>
      </c>
      <c r="B2546" s="105" t="s">
        <v>42</v>
      </c>
      <c r="C2546" s="105" t="s">
        <v>513</v>
      </c>
      <c r="D2546" s="106" t="s">
        <v>298</v>
      </c>
      <c r="E2546" s="107"/>
      <c r="F2546" s="108" t="s">
        <v>19617</v>
      </c>
      <c r="G2546" s="109">
        <v>4</v>
      </c>
      <c r="H2546" s="108" t="s">
        <v>19618</v>
      </c>
      <c r="I2546" s="117">
        <v>2</v>
      </c>
      <c r="J2546" s="111" t="s">
        <v>53</v>
      </c>
      <c r="K2546" s="108" t="s">
        <v>19619</v>
      </c>
      <c r="L2546" s="112">
        <v>4</v>
      </c>
      <c r="M2546" s="113"/>
      <c r="N2546" s="108" t="s">
        <v>19617</v>
      </c>
      <c r="O2546" s="112">
        <v>4</v>
      </c>
      <c r="P2546" s="113"/>
      <c r="Q2546" s="108" t="s">
        <v>19620</v>
      </c>
      <c r="R2546" s="112">
        <v>4</v>
      </c>
      <c r="S2546" s="113"/>
      <c r="T2546" s="108" t="s">
        <v>19621</v>
      </c>
      <c r="U2546" s="112">
        <v>4</v>
      </c>
      <c r="V2546" s="113"/>
      <c r="W2546" s="108" t="s">
        <v>47</v>
      </c>
      <c r="X2546" s="114"/>
      <c r="Y2546" s="113"/>
      <c r="Z2546" s="108" t="s">
        <v>47</v>
      </c>
      <c r="AA2546" s="114"/>
      <c r="AB2546" s="113"/>
      <c r="AC2546" s="105" t="s">
        <v>5735</v>
      </c>
      <c r="AD2546" s="115" t="s">
        <v>49</v>
      </c>
    </row>
    <row r="2547" spans="1:30" x14ac:dyDescent="0.2">
      <c r="A2547" s="104" t="s">
        <v>5736</v>
      </c>
      <c r="B2547" s="105" t="s">
        <v>42</v>
      </c>
      <c r="C2547" s="105" t="s">
        <v>638</v>
      </c>
      <c r="D2547" s="106" t="s">
        <v>105</v>
      </c>
      <c r="E2547" s="107"/>
      <c r="F2547" s="108" t="s">
        <v>19622</v>
      </c>
      <c r="G2547" s="119">
        <v>1</v>
      </c>
      <c r="H2547" s="108" t="s">
        <v>19623</v>
      </c>
      <c r="I2547" s="116">
        <v>1</v>
      </c>
      <c r="J2547" s="111" t="s">
        <v>53</v>
      </c>
      <c r="K2547" s="108" t="s">
        <v>19624</v>
      </c>
      <c r="L2547" s="116">
        <v>1</v>
      </c>
      <c r="M2547" s="113"/>
      <c r="N2547" s="108" t="s">
        <v>19622</v>
      </c>
      <c r="O2547" s="116">
        <v>1</v>
      </c>
      <c r="P2547" s="113"/>
      <c r="Q2547" s="108" t="s">
        <v>19625</v>
      </c>
      <c r="R2547" s="116">
        <v>1</v>
      </c>
      <c r="S2547" s="113"/>
      <c r="T2547" s="108" t="s">
        <v>19626</v>
      </c>
      <c r="U2547" s="112">
        <v>4</v>
      </c>
      <c r="V2547" s="113"/>
      <c r="W2547" s="108" t="s">
        <v>19627</v>
      </c>
      <c r="X2547" s="112">
        <v>4</v>
      </c>
      <c r="Y2547" s="113"/>
      <c r="Z2547" s="108" t="s">
        <v>19628</v>
      </c>
      <c r="AA2547" s="112">
        <v>4</v>
      </c>
      <c r="AB2547" s="113"/>
      <c r="AC2547" s="105" t="s">
        <v>5737</v>
      </c>
      <c r="AD2547" s="115" t="s">
        <v>49</v>
      </c>
    </row>
    <row r="2548" spans="1:30" x14ac:dyDescent="0.2">
      <c r="A2548" s="104" t="s">
        <v>19629</v>
      </c>
      <c r="B2548" s="105" t="s">
        <v>42</v>
      </c>
      <c r="C2548" s="105" t="s">
        <v>132</v>
      </c>
      <c r="D2548" s="106"/>
      <c r="E2548" s="107"/>
      <c r="F2548" s="108" t="s">
        <v>47</v>
      </c>
      <c r="G2548" s="113"/>
      <c r="H2548" s="108" t="s">
        <v>47</v>
      </c>
      <c r="I2548" s="114"/>
      <c r="J2548" s="113"/>
      <c r="K2548" s="108" t="s">
        <v>47</v>
      </c>
      <c r="L2548" s="114"/>
      <c r="M2548" s="113"/>
      <c r="N2548" s="108" t="s">
        <v>47</v>
      </c>
      <c r="O2548" s="114"/>
      <c r="P2548" s="113"/>
      <c r="Q2548" s="108" t="s">
        <v>47</v>
      </c>
      <c r="R2548" s="114"/>
      <c r="S2548" s="113"/>
      <c r="T2548" s="108" t="s">
        <v>47</v>
      </c>
      <c r="U2548" s="114"/>
      <c r="V2548" s="113"/>
      <c r="W2548" s="108" t="s">
        <v>47</v>
      </c>
      <c r="X2548" s="114"/>
      <c r="Y2548" s="113"/>
      <c r="Z2548" s="108" t="s">
        <v>47</v>
      </c>
      <c r="AA2548" s="114"/>
      <c r="AB2548" s="113"/>
      <c r="AC2548" s="105" t="s">
        <v>5738</v>
      </c>
      <c r="AD2548" s="115" t="s">
        <v>49</v>
      </c>
    </row>
    <row r="2549" spans="1:30" x14ac:dyDescent="0.2">
      <c r="A2549" s="104" t="s">
        <v>5739</v>
      </c>
      <c r="B2549" s="105" t="s">
        <v>255</v>
      </c>
      <c r="C2549" s="105" t="s">
        <v>279</v>
      </c>
      <c r="D2549" s="106" t="s">
        <v>94</v>
      </c>
      <c r="E2549" s="107"/>
      <c r="F2549" s="108" t="s">
        <v>19630</v>
      </c>
      <c r="G2549" s="119">
        <v>1</v>
      </c>
      <c r="H2549" s="108" t="s">
        <v>19631</v>
      </c>
      <c r="I2549" s="117">
        <v>2</v>
      </c>
      <c r="J2549" s="113"/>
      <c r="K2549" s="108" t="s">
        <v>19632</v>
      </c>
      <c r="L2549" s="110">
        <v>3</v>
      </c>
      <c r="M2549" s="111" t="s">
        <v>55</v>
      </c>
      <c r="N2549" s="108" t="s">
        <v>19630</v>
      </c>
      <c r="O2549" s="116">
        <v>1</v>
      </c>
      <c r="P2549" s="113"/>
      <c r="Q2549" s="108" t="s">
        <v>19633</v>
      </c>
      <c r="R2549" s="116">
        <v>1</v>
      </c>
      <c r="S2549" s="113"/>
      <c r="T2549" s="108" t="s">
        <v>19634</v>
      </c>
      <c r="U2549" s="117">
        <v>2</v>
      </c>
      <c r="V2549" s="113"/>
      <c r="W2549" s="108" t="s">
        <v>19635</v>
      </c>
      <c r="X2549" s="116">
        <v>1</v>
      </c>
      <c r="Y2549" s="113"/>
      <c r="Z2549" s="108" t="s">
        <v>47</v>
      </c>
      <c r="AA2549" s="114"/>
      <c r="AB2549" s="113"/>
      <c r="AC2549" s="105" t="s">
        <v>5740</v>
      </c>
      <c r="AD2549" s="115" t="s">
        <v>49</v>
      </c>
    </row>
    <row r="2550" spans="1:30" x14ac:dyDescent="0.2">
      <c r="A2550" s="104" t="s">
        <v>5741</v>
      </c>
      <c r="B2550" s="105" t="s">
        <v>255</v>
      </c>
      <c r="C2550" s="105" t="s">
        <v>306</v>
      </c>
      <c r="D2550" s="106" t="s">
        <v>514</v>
      </c>
      <c r="E2550" s="107"/>
      <c r="F2550" s="108" t="s">
        <v>19636</v>
      </c>
      <c r="G2550" s="119">
        <v>1</v>
      </c>
      <c r="H2550" s="108" t="s">
        <v>19637</v>
      </c>
      <c r="I2550" s="116">
        <v>1</v>
      </c>
      <c r="J2550" s="111" t="s">
        <v>40</v>
      </c>
      <c r="K2550" s="108" t="s">
        <v>19638</v>
      </c>
      <c r="L2550" s="116">
        <v>1</v>
      </c>
      <c r="M2550" s="111" t="s">
        <v>40</v>
      </c>
      <c r="N2550" s="108" t="s">
        <v>19636</v>
      </c>
      <c r="O2550" s="116">
        <v>1</v>
      </c>
      <c r="P2550" s="113"/>
      <c r="Q2550" s="108" t="s">
        <v>19639</v>
      </c>
      <c r="R2550" s="116">
        <v>1</v>
      </c>
      <c r="S2550" s="113"/>
      <c r="T2550" s="108" t="s">
        <v>19640</v>
      </c>
      <c r="U2550" s="116">
        <v>1</v>
      </c>
      <c r="V2550" s="113"/>
      <c r="W2550" s="108" t="s">
        <v>19641</v>
      </c>
      <c r="X2550" s="116">
        <v>1</v>
      </c>
      <c r="Y2550" s="113"/>
      <c r="Z2550" s="108" t="s">
        <v>47</v>
      </c>
      <c r="AA2550" s="114"/>
      <c r="AB2550" s="113"/>
      <c r="AC2550" s="105" t="s">
        <v>5742</v>
      </c>
      <c r="AD2550" s="115" t="s">
        <v>49</v>
      </c>
    </row>
    <row r="2551" spans="1:30" x14ac:dyDescent="0.2">
      <c r="A2551" s="104" t="s">
        <v>5743</v>
      </c>
      <c r="B2551" s="105" t="s">
        <v>42</v>
      </c>
      <c r="C2551" s="105" t="s">
        <v>513</v>
      </c>
      <c r="D2551" s="106" t="s">
        <v>298</v>
      </c>
      <c r="E2551" s="107"/>
      <c r="F2551" s="108" t="s">
        <v>19642</v>
      </c>
      <c r="G2551" s="109">
        <v>4</v>
      </c>
      <c r="H2551" s="108" t="s">
        <v>19643</v>
      </c>
      <c r="I2551" s="116">
        <v>1</v>
      </c>
      <c r="J2551" s="111" t="s">
        <v>157</v>
      </c>
      <c r="K2551" s="108" t="s">
        <v>19644</v>
      </c>
      <c r="L2551" s="112">
        <v>4</v>
      </c>
      <c r="M2551" s="113"/>
      <c r="N2551" s="108" t="s">
        <v>19642</v>
      </c>
      <c r="O2551" s="112">
        <v>4</v>
      </c>
      <c r="P2551" s="113"/>
      <c r="Q2551" s="108" t="s">
        <v>19645</v>
      </c>
      <c r="R2551" s="112">
        <v>4</v>
      </c>
      <c r="S2551" s="113"/>
      <c r="T2551" s="108" t="s">
        <v>19646</v>
      </c>
      <c r="U2551" s="112">
        <v>4</v>
      </c>
      <c r="V2551" s="113"/>
      <c r="W2551" s="108" t="s">
        <v>19647</v>
      </c>
      <c r="X2551" s="110">
        <v>3</v>
      </c>
      <c r="Y2551" s="113"/>
      <c r="Z2551" s="108" t="s">
        <v>19648</v>
      </c>
      <c r="AA2551" s="117">
        <v>2</v>
      </c>
      <c r="AB2551" s="111" t="s">
        <v>53</v>
      </c>
      <c r="AC2551" s="105" t="s">
        <v>5744</v>
      </c>
      <c r="AD2551" s="115" t="s">
        <v>49</v>
      </c>
    </row>
    <row r="2552" spans="1:30" x14ac:dyDescent="0.2">
      <c r="A2552" s="104" t="s">
        <v>5745</v>
      </c>
      <c r="B2552" s="105" t="s">
        <v>371</v>
      </c>
      <c r="C2552" s="105" t="s">
        <v>2716</v>
      </c>
      <c r="D2552" s="106" t="s">
        <v>125</v>
      </c>
      <c r="E2552" s="107"/>
      <c r="F2552" s="108" t="s">
        <v>19649</v>
      </c>
      <c r="G2552" s="119">
        <v>1</v>
      </c>
      <c r="H2552" s="108" t="s">
        <v>19650</v>
      </c>
      <c r="I2552" s="112">
        <v>4</v>
      </c>
      <c r="J2552" s="111" t="s">
        <v>44</v>
      </c>
      <c r="K2552" s="108" t="s">
        <v>19651</v>
      </c>
      <c r="L2552" s="116">
        <v>1</v>
      </c>
      <c r="M2552" s="113"/>
      <c r="N2552" s="108" t="s">
        <v>19649</v>
      </c>
      <c r="O2552" s="116">
        <v>1</v>
      </c>
      <c r="P2552" s="113"/>
      <c r="Q2552" s="108" t="s">
        <v>19652</v>
      </c>
      <c r="R2552" s="116">
        <v>1</v>
      </c>
      <c r="S2552" s="113"/>
      <c r="T2552" s="108" t="s">
        <v>19653</v>
      </c>
      <c r="U2552" s="116">
        <v>1</v>
      </c>
      <c r="V2552" s="113"/>
      <c r="W2552" s="108" t="s">
        <v>19654</v>
      </c>
      <c r="X2552" s="110">
        <v>3</v>
      </c>
      <c r="Y2552" s="113"/>
      <c r="Z2552" s="108" t="s">
        <v>47</v>
      </c>
      <c r="AA2552" s="114"/>
      <c r="AB2552" s="113"/>
      <c r="AC2552" s="105" t="s">
        <v>5746</v>
      </c>
      <c r="AD2552" s="115" t="s">
        <v>49</v>
      </c>
    </row>
    <row r="2553" spans="1:30" x14ac:dyDescent="0.2">
      <c r="A2553" s="104" t="s">
        <v>5747</v>
      </c>
      <c r="B2553" s="105" t="s">
        <v>42</v>
      </c>
      <c r="C2553" s="105" t="s">
        <v>43</v>
      </c>
      <c r="D2553" s="106"/>
      <c r="E2553" s="107"/>
      <c r="F2553" s="108" t="s">
        <v>19655</v>
      </c>
      <c r="G2553" s="120">
        <v>2</v>
      </c>
      <c r="H2553" s="108" t="s">
        <v>19656</v>
      </c>
      <c r="I2553" s="117">
        <v>2</v>
      </c>
      <c r="J2553" s="111" t="s">
        <v>40</v>
      </c>
      <c r="K2553" s="108" t="s">
        <v>19657</v>
      </c>
      <c r="L2553" s="110">
        <v>3</v>
      </c>
      <c r="M2553" s="113"/>
      <c r="N2553" s="108" t="s">
        <v>19655</v>
      </c>
      <c r="O2553" s="117">
        <v>2</v>
      </c>
      <c r="P2553" s="111" t="s">
        <v>40</v>
      </c>
      <c r="Q2553" s="108" t="s">
        <v>19658</v>
      </c>
      <c r="R2553" s="117">
        <v>2</v>
      </c>
      <c r="S2553" s="113"/>
      <c r="T2553" s="108" t="s">
        <v>19659</v>
      </c>
      <c r="U2553" s="117">
        <v>2</v>
      </c>
      <c r="V2553" s="113"/>
      <c r="W2553" s="108" t="s">
        <v>19660</v>
      </c>
      <c r="X2553" s="116">
        <v>1</v>
      </c>
      <c r="Y2553" s="113"/>
      <c r="Z2553" s="108" t="s">
        <v>47</v>
      </c>
      <c r="AA2553" s="114"/>
      <c r="AB2553" s="113"/>
      <c r="AC2553" s="105" t="s">
        <v>5748</v>
      </c>
      <c r="AD2553" s="115" t="s">
        <v>49</v>
      </c>
    </row>
    <row r="2554" spans="1:30" x14ac:dyDescent="0.2">
      <c r="A2554" s="104" t="s">
        <v>5749</v>
      </c>
      <c r="B2554" s="105" t="s">
        <v>42</v>
      </c>
      <c r="C2554" s="105" t="s">
        <v>43</v>
      </c>
      <c r="D2554" s="106"/>
      <c r="E2554" s="107"/>
      <c r="F2554" s="108" t="s">
        <v>19661</v>
      </c>
      <c r="G2554" s="120">
        <v>2</v>
      </c>
      <c r="H2554" s="108" t="s">
        <v>19662</v>
      </c>
      <c r="I2554" s="117">
        <v>2</v>
      </c>
      <c r="J2554" s="113"/>
      <c r="K2554" s="108" t="s">
        <v>19663</v>
      </c>
      <c r="L2554" s="110">
        <v>3</v>
      </c>
      <c r="M2554" s="113"/>
      <c r="N2554" s="108" t="s">
        <v>19661</v>
      </c>
      <c r="O2554" s="117">
        <v>2</v>
      </c>
      <c r="P2554" s="111" t="s">
        <v>40</v>
      </c>
      <c r="Q2554" s="108" t="s">
        <v>19664</v>
      </c>
      <c r="R2554" s="117">
        <v>2</v>
      </c>
      <c r="S2554" s="113"/>
      <c r="T2554" s="108" t="s">
        <v>19665</v>
      </c>
      <c r="U2554" s="117">
        <v>2</v>
      </c>
      <c r="V2554" s="113"/>
      <c r="W2554" s="108" t="s">
        <v>19666</v>
      </c>
      <c r="X2554" s="116">
        <v>1</v>
      </c>
      <c r="Y2554" s="113"/>
      <c r="Z2554" s="108" t="s">
        <v>47</v>
      </c>
      <c r="AA2554" s="114"/>
      <c r="AB2554" s="113"/>
      <c r="AC2554" s="105" t="s">
        <v>5750</v>
      </c>
      <c r="AD2554" s="115" t="s">
        <v>49</v>
      </c>
    </row>
    <row r="2555" spans="1:30" x14ac:dyDescent="0.2">
      <c r="A2555" s="104" t="s">
        <v>5751</v>
      </c>
      <c r="B2555" s="105" t="s">
        <v>255</v>
      </c>
      <c r="C2555" s="105" t="s">
        <v>98</v>
      </c>
      <c r="D2555" s="106"/>
      <c r="E2555" s="107"/>
      <c r="F2555" s="108" t="s">
        <v>19667</v>
      </c>
      <c r="G2555" s="119">
        <v>1</v>
      </c>
      <c r="H2555" s="108" t="s">
        <v>19668</v>
      </c>
      <c r="I2555" s="112">
        <v>4</v>
      </c>
      <c r="J2555" s="111" t="s">
        <v>44</v>
      </c>
      <c r="K2555" s="108" t="s">
        <v>19669</v>
      </c>
      <c r="L2555" s="116">
        <v>1</v>
      </c>
      <c r="M2555" s="113"/>
      <c r="N2555" s="108" t="s">
        <v>19667</v>
      </c>
      <c r="O2555" s="116">
        <v>1</v>
      </c>
      <c r="P2555" s="113"/>
      <c r="Q2555" s="108" t="s">
        <v>19670</v>
      </c>
      <c r="R2555" s="116">
        <v>1</v>
      </c>
      <c r="S2555" s="113"/>
      <c r="T2555" s="108" t="s">
        <v>19671</v>
      </c>
      <c r="U2555" s="110">
        <v>3</v>
      </c>
      <c r="V2555" s="113"/>
      <c r="W2555" s="108" t="s">
        <v>19672</v>
      </c>
      <c r="X2555" s="116">
        <v>1</v>
      </c>
      <c r="Y2555" s="113"/>
      <c r="Z2555" s="108" t="s">
        <v>19673</v>
      </c>
      <c r="AA2555" s="110">
        <v>3</v>
      </c>
      <c r="AB2555" s="113"/>
      <c r="AC2555" s="105" t="s">
        <v>5752</v>
      </c>
      <c r="AD2555" s="115" t="s">
        <v>180</v>
      </c>
    </row>
    <row r="2556" spans="1:30" x14ac:dyDescent="0.2">
      <c r="A2556" s="104" t="s">
        <v>5753</v>
      </c>
      <c r="B2556" s="105" t="s">
        <v>255</v>
      </c>
      <c r="C2556" s="105" t="s">
        <v>439</v>
      </c>
      <c r="D2556" s="106"/>
      <c r="E2556" s="107"/>
      <c r="F2556" s="108" t="s">
        <v>19674</v>
      </c>
      <c r="G2556" s="119">
        <v>1</v>
      </c>
      <c r="H2556" s="108" t="s">
        <v>19675</v>
      </c>
      <c r="I2556" s="112">
        <v>4</v>
      </c>
      <c r="J2556" s="111" t="s">
        <v>44</v>
      </c>
      <c r="K2556" s="108" t="s">
        <v>19676</v>
      </c>
      <c r="L2556" s="116">
        <v>1</v>
      </c>
      <c r="M2556" s="113"/>
      <c r="N2556" s="108" t="s">
        <v>19674</v>
      </c>
      <c r="O2556" s="116">
        <v>1</v>
      </c>
      <c r="P2556" s="113"/>
      <c r="Q2556" s="108" t="s">
        <v>19677</v>
      </c>
      <c r="R2556" s="117">
        <v>2</v>
      </c>
      <c r="S2556" s="113"/>
      <c r="T2556" s="108" t="s">
        <v>19678</v>
      </c>
      <c r="U2556" s="110">
        <v>3</v>
      </c>
      <c r="V2556" s="113"/>
      <c r="W2556" s="108" t="s">
        <v>19679</v>
      </c>
      <c r="X2556" s="110">
        <v>3</v>
      </c>
      <c r="Y2556" s="113"/>
      <c r="Z2556" s="108" t="s">
        <v>19680</v>
      </c>
      <c r="AA2556" s="112">
        <v>4</v>
      </c>
      <c r="AB2556" s="113"/>
      <c r="AC2556" s="105" t="s">
        <v>5754</v>
      </c>
      <c r="AD2556" s="115" t="s">
        <v>180</v>
      </c>
    </row>
    <row r="2557" spans="1:30" x14ac:dyDescent="0.2">
      <c r="A2557" s="104" t="s">
        <v>5755</v>
      </c>
      <c r="B2557" s="105" t="s">
        <v>42</v>
      </c>
      <c r="C2557" s="105" t="s">
        <v>43</v>
      </c>
      <c r="D2557" s="106"/>
      <c r="E2557" s="107"/>
      <c r="F2557" s="108" t="s">
        <v>19681</v>
      </c>
      <c r="G2557" s="118">
        <v>3</v>
      </c>
      <c r="H2557" s="108" t="s">
        <v>19682</v>
      </c>
      <c r="I2557" s="116">
        <v>1</v>
      </c>
      <c r="J2557" s="111" t="s">
        <v>157</v>
      </c>
      <c r="K2557" s="108" t="s">
        <v>19683</v>
      </c>
      <c r="L2557" s="117">
        <v>2</v>
      </c>
      <c r="M2557" s="111" t="s">
        <v>40</v>
      </c>
      <c r="N2557" s="108" t="s">
        <v>19681</v>
      </c>
      <c r="O2557" s="110">
        <v>3</v>
      </c>
      <c r="P2557" s="113"/>
      <c r="Q2557" s="108" t="s">
        <v>19684</v>
      </c>
      <c r="R2557" s="117">
        <v>2</v>
      </c>
      <c r="S2557" s="113"/>
      <c r="T2557" s="108" t="s">
        <v>19685</v>
      </c>
      <c r="U2557" s="117">
        <v>2</v>
      </c>
      <c r="V2557" s="113"/>
      <c r="W2557" s="108" t="s">
        <v>47</v>
      </c>
      <c r="X2557" s="114"/>
      <c r="Y2557" s="113"/>
      <c r="Z2557" s="108" t="s">
        <v>47</v>
      </c>
      <c r="AA2557" s="114"/>
      <c r="AB2557" s="113"/>
      <c r="AC2557" s="105" t="s">
        <v>5756</v>
      </c>
      <c r="AD2557" s="115" t="s">
        <v>49</v>
      </c>
    </row>
    <row r="2558" spans="1:30" x14ac:dyDescent="0.2">
      <c r="A2558" s="104" t="s">
        <v>5757</v>
      </c>
      <c r="B2558" s="105" t="s">
        <v>255</v>
      </c>
      <c r="C2558" s="105" t="s">
        <v>4754</v>
      </c>
      <c r="D2558" s="106" t="s">
        <v>125</v>
      </c>
      <c r="E2558" s="107" t="s">
        <v>99</v>
      </c>
      <c r="F2558" s="108" t="s">
        <v>19686</v>
      </c>
      <c r="G2558" s="120">
        <v>2</v>
      </c>
      <c r="H2558" s="108" t="s">
        <v>19687</v>
      </c>
      <c r="I2558" s="117">
        <v>2</v>
      </c>
      <c r="J2558" s="113"/>
      <c r="K2558" s="108" t="s">
        <v>10162</v>
      </c>
      <c r="L2558" s="117">
        <v>2</v>
      </c>
      <c r="M2558" s="113"/>
      <c r="N2558" s="108" t="s">
        <v>19686</v>
      </c>
      <c r="O2558" s="117">
        <v>2</v>
      </c>
      <c r="P2558" s="113"/>
      <c r="Q2558" s="108" t="s">
        <v>19688</v>
      </c>
      <c r="R2558" s="117">
        <v>2</v>
      </c>
      <c r="S2558" s="113"/>
      <c r="T2558" s="108" t="s">
        <v>5758</v>
      </c>
      <c r="U2558" s="116">
        <v>1</v>
      </c>
      <c r="V2558" s="113"/>
      <c r="W2558" s="108" t="s">
        <v>12490</v>
      </c>
      <c r="X2558" s="117">
        <v>2</v>
      </c>
      <c r="Y2558" s="111" t="s">
        <v>46</v>
      </c>
      <c r="Z2558" s="108" t="s">
        <v>19689</v>
      </c>
      <c r="AA2558" s="116">
        <v>1</v>
      </c>
      <c r="AB2558" s="113"/>
      <c r="AC2558" s="105" t="s">
        <v>5759</v>
      </c>
      <c r="AD2558" s="115" t="s">
        <v>49</v>
      </c>
    </row>
    <row r="2559" spans="1:30" x14ac:dyDescent="0.2">
      <c r="A2559" s="104" t="s">
        <v>5760</v>
      </c>
      <c r="B2559" s="105" t="s">
        <v>255</v>
      </c>
      <c r="C2559" s="105" t="s">
        <v>355</v>
      </c>
      <c r="D2559" s="106" t="s">
        <v>514</v>
      </c>
      <c r="E2559" s="107"/>
      <c r="F2559" s="108" t="s">
        <v>19690</v>
      </c>
      <c r="G2559" s="119">
        <v>1</v>
      </c>
      <c r="H2559" s="108" t="s">
        <v>19691</v>
      </c>
      <c r="I2559" s="112">
        <v>4</v>
      </c>
      <c r="J2559" s="111" t="s">
        <v>44</v>
      </c>
      <c r="K2559" s="108" t="s">
        <v>5761</v>
      </c>
      <c r="L2559" s="117">
        <v>2</v>
      </c>
      <c r="M2559" s="111" t="s">
        <v>46</v>
      </c>
      <c r="N2559" s="108" t="s">
        <v>19690</v>
      </c>
      <c r="O2559" s="116">
        <v>1</v>
      </c>
      <c r="P2559" s="113"/>
      <c r="Q2559" s="108" t="s">
        <v>4972</v>
      </c>
      <c r="R2559" s="117">
        <v>2</v>
      </c>
      <c r="S2559" s="111" t="s">
        <v>46</v>
      </c>
      <c r="T2559" s="108" t="s">
        <v>8432</v>
      </c>
      <c r="U2559" s="116">
        <v>1</v>
      </c>
      <c r="V2559" s="113"/>
      <c r="W2559" s="108" t="s">
        <v>47</v>
      </c>
      <c r="X2559" s="114"/>
      <c r="Y2559" s="113"/>
      <c r="Z2559" s="108" t="s">
        <v>47</v>
      </c>
      <c r="AA2559" s="114"/>
      <c r="AB2559" s="113"/>
      <c r="AC2559" s="105" t="s">
        <v>5762</v>
      </c>
      <c r="AD2559" s="115" t="s">
        <v>49</v>
      </c>
    </row>
    <row r="2560" spans="1:30" x14ac:dyDescent="0.2">
      <c r="A2560" s="104" t="s">
        <v>5763</v>
      </c>
      <c r="B2560" s="105" t="s">
        <v>255</v>
      </c>
      <c r="C2560" s="105" t="s">
        <v>244</v>
      </c>
      <c r="D2560" s="106" t="s">
        <v>105</v>
      </c>
      <c r="E2560" s="107" t="s">
        <v>119</v>
      </c>
      <c r="F2560" s="108" t="s">
        <v>19692</v>
      </c>
      <c r="G2560" s="109">
        <v>4</v>
      </c>
      <c r="H2560" s="108" t="s">
        <v>19693</v>
      </c>
      <c r="I2560" s="117">
        <v>2</v>
      </c>
      <c r="J2560" s="111" t="s">
        <v>40</v>
      </c>
      <c r="K2560" s="108" t="s">
        <v>19694</v>
      </c>
      <c r="L2560" s="110">
        <v>3</v>
      </c>
      <c r="M2560" s="111" t="s">
        <v>40</v>
      </c>
      <c r="N2560" s="108" t="s">
        <v>19692</v>
      </c>
      <c r="O2560" s="112">
        <v>4</v>
      </c>
      <c r="P2560" s="113"/>
      <c r="Q2560" s="108" t="s">
        <v>19695</v>
      </c>
      <c r="R2560" s="112">
        <v>4</v>
      </c>
      <c r="S2560" s="113"/>
      <c r="T2560" s="108" t="s">
        <v>19696</v>
      </c>
      <c r="U2560" s="112">
        <v>4</v>
      </c>
      <c r="V2560" s="113"/>
      <c r="W2560" s="108" t="s">
        <v>19697</v>
      </c>
      <c r="X2560" s="112">
        <v>4</v>
      </c>
      <c r="Y2560" s="113"/>
      <c r="Z2560" s="108" t="s">
        <v>19698</v>
      </c>
      <c r="AA2560" s="112">
        <v>4</v>
      </c>
      <c r="AB2560" s="113"/>
      <c r="AC2560" s="105" t="s">
        <v>5764</v>
      </c>
      <c r="AD2560" s="115" t="s">
        <v>49</v>
      </c>
    </row>
    <row r="2561" spans="1:30" x14ac:dyDescent="0.2">
      <c r="A2561" s="104" t="s">
        <v>5765</v>
      </c>
      <c r="B2561" s="105" t="s">
        <v>255</v>
      </c>
      <c r="C2561" s="105" t="s">
        <v>244</v>
      </c>
      <c r="D2561" s="106" t="s">
        <v>105</v>
      </c>
      <c r="E2561" s="107" t="s">
        <v>119</v>
      </c>
      <c r="F2561" s="108" t="s">
        <v>19699</v>
      </c>
      <c r="G2561" s="109">
        <v>4</v>
      </c>
      <c r="H2561" s="108" t="s">
        <v>19700</v>
      </c>
      <c r="I2561" s="116">
        <v>1</v>
      </c>
      <c r="J2561" s="113"/>
      <c r="K2561" s="108" t="s">
        <v>19701</v>
      </c>
      <c r="L2561" s="117">
        <v>2</v>
      </c>
      <c r="M2561" s="111" t="s">
        <v>53</v>
      </c>
      <c r="N2561" s="108" t="s">
        <v>19699</v>
      </c>
      <c r="O2561" s="112">
        <v>4</v>
      </c>
      <c r="P2561" s="113"/>
      <c r="Q2561" s="108" t="s">
        <v>19702</v>
      </c>
      <c r="R2561" s="110">
        <v>3</v>
      </c>
      <c r="S2561" s="111" t="s">
        <v>40</v>
      </c>
      <c r="T2561" s="108" t="s">
        <v>19703</v>
      </c>
      <c r="U2561" s="112">
        <v>4</v>
      </c>
      <c r="V2561" s="113"/>
      <c r="W2561" s="108" t="s">
        <v>19704</v>
      </c>
      <c r="X2561" s="112">
        <v>4</v>
      </c>
      <c r="Y2561" s="113"/>
      <c r="Z2561" s="108" t="s">
        <v>19705</v>
      </c>
      <c r="AA2561" s="112">
        <v>4</v>
      </c>
      <c r="AB2561" s="113"/>
      <c r="AC2561" s="105" t="s">
        <v>5766</v>
      </c>
      <c r="AD2561" s="115" t="s">
        <v>49</v>
      </c>
    </row>
    <row r="2562" spans="1:30" x14ac:dyDescent="0.2">
      <c r="A2562" s="104" t="s">
        <v>5767</v>
      </c>
      <c r="B2562" s="105" t="s">
        <v>255</v>
      </c>
      <c r="C2562" s="105" t="s">
        <v>244</v>
      </c>
      <c r="D2562" s="106" t="s">
        <v>105</v>
      </c>
      <c r="E2562" s="107" t="s">
        <v>119</v>
      </c>
      <c r="F2562" s="108" t="s">
        <v>19706</v>
      </c>
      <c r="G2562" s="109">
        <v>4</v>
      </c>
      <c r="H2562" s="108" t="s">
        <v>19707</v>
      </c>
      <c r="I2562" s="116">
        <v>1</v>
      </c>
      <c r="J2562" s="113"/>
      <c r="K2562" s="108" t="s">
        <v>19708</v>
      </c>
      <c r="L2562" s="117">
        <v>2</v>
      </c>
      <c r="M2562" s="111" t="s">
        <v>53</v>
      </c>
      <c r="N2562" s="108" t="s">
        <v>19706</v>
      </c>
      <c r="O2562" s="112">
        <v>4</v>
      </c>
      <c r="P2562" s="113"/>
      <c r="Q2562" s="108" t="s">
        <v>19709</v>
      </c>
      <c r="R2562" s="110">
        <v>3</v>
      </c>
      <c r="S2562" s="111" t="s">
        <v>40</v>
      </c>
      <c r="T2562" s="108" t="s">
        <v>19710</v>
      </c>
      <c r="U2562" s="112">
        <v>4</v>
      </c>
      <c r="V2562" s="113"/>
      <c r="W2562" s="108" t="s">
        <v>19711</v>
      </c>
      <c r="X2562" s="112">
        <v>4</v>
      </c>
      <c r="Y2562" s="113"/>
      <c r="Z2562" s="108" t="s">
        <v>19712</v>
      </c>
      <c r="AA2562" s="112">
        <v>4</v>
      </c>
      <c r="AB2562" s="113"/>
      <c r="AC2562" s="105" t="s">
        <v>5768</v>
      </c>
      <c r="AD2562" s="115" t="s">
        <v>49</v>
      </c>
    </row>
    <row r="2563" spans="1:30" x14ac:dyDescent="0.2">
      <c r="A2563" s="104" t="s">
        <v>5769</v>
      </c>
      <c r="B2563" s="105" t="s">
        <v>255</v>
      </c>
      <c r="C2563" s="105" t="s">
        <v>279</v>
      </c>
      <c r="D2563" s="106" t="s">
        <v>105</v>
      </c>
      <c r="E2563" s="107" t="s">
        <v>182</v>
      </c>
      <c r="F2563" s="108" t="s">
        <v>19713</v>
      </c>
      <c r="G2563" s="118">
        <v>3</v>
      </c>
      <c r="H2563" s="108" t="s">
        <v>19714</v>
      </c>
      <c r="I2563" s="110">
        <v>3</v>
      </c>
      <c r="J2563" s="111" t="s">
        <v>55</v>
      </c>
      <c r="K2563" s="108" t="s">
        <v>19715</v>
      </c>
      <c r="L2563" s="117">
        <v>2</v>
      </c>
      <c r="M2563" s="113"/>
      <c r="N2563" s="108" t="s">
        <v>19713</v>
      </c>
      <c r="O2563" s="110">
        <v>3</v>
      </c>
      <c r="P2563" s="111" t="s">
        <v>46</v>
      </c>
      <c r="Q2563" s="108" t="s">
        <v>19716</v>
      </c>
      <c r="R2563" s="110">
        <v>3</v>
      </c>
      <c r="S2563" s="113"/>
      <c r="T2563" s="108" t="s">
        <v>19717</v>
      </c>
      <c r="U2563" s="110">
        <v>3</v>
      </c>
      <c r="V2563" s="113"/>
      <c r="W2563" s="108" t="s">
        <v>19718</v>
      </c>
      <c r="X2563" s="110">
        <v>3</v>
      </c>
      <c r="Y2563" s="113"/>
      <c r="Z2563" s="108" t="s">
        <v>19719</v>
      </c>
      <c r="AA2563" s="112">
        <v>4</v>
      </c>
      <c r="AB2563" s="111" t="s">
        <v>46</v>
      </c>
      <c r="AC2563" s="105" t="s">
        <v>5770</v>
      </c>
      <c r="AD2563" s="115" t="s">
        <v>49</v>
      </c>
    </row>
    <row r="2564" spans="1:30" x14ac:dyDescent="0.2">
      <c r="A2564" s="104" t="s">
        <v>5771</v>
      </c>
      <c r="B2564" s="105" t="s">
        <v>255</v>
      </c>
      <c r="C2564" s="105" t="s">
        <v>279</v>
      </c>
      <c r="D2564" s="106" t="s">
        <v>105</v>
      </c>
      <c r="E2564" s="107" t="s">
        <v>182</v>
      </c>
      <c r="F2564" s="108" t="s">
        <v>19720</v>
      </c>
      <c r="G2564" s="118">
        <v>3</v>
      </c>
      <c r="H2564" s="108" t="s">
        <v>19721</v>
      </c>
      <c r="I2564" s="110">
        <v>3</v>
      </c>
      <c r="J2564" s="111" t="s">
        <v>55</v>
      </c>
      <c r="K2564" s="108" t="s">
        <v>19722</v>
      </c>
      <c r="L2564" s="110">
        <v>3</v>
      </c>
      <c r="M2564" s="111" t="s">
        <v>55</v>
      </c>
      <c r="N2564" s="108" t="s">
        <v>19720</v>
      </c>
      <c r="O2564" s="110">
        <v>3</v>
      </c>
      <c r="P2564" s="113"/>
      <c r="Q2564" s="108" t="s">
        <v>19723</v>
      </c>
      <c r="R2564" s="110">
        <v>3</v>
      </c>
      <c r="S2564" s="111" t="s">
        <v>40</v>
      </c>
      <c r="T2564" s="108" t="s">
        <v>19724</v>
      </c>
      <c r="U2564" s="112">
        <v>4</v>
      </c>
      <c r="V2564" s="113"/>
      <c r="W2564" s="108" t="s">
        <v>19725</v>
      </c>
      <c r="X2564" s="112">
        <v>4</v>
      </c>
      <c r="Y2564" s="113"/>
      <c r="Z2564" s="108" t="s">
        <v>19726</v>
      </c>
      <c r="AA2564" s="112">
        <v>4</v>
      </c>
      <c r="AB2564" s="113"/>
      <c r="AC2564" s="105" t="s">
        <v>5772</v>
      </c>
      <c r="AD2564" s="115" t="s">
        <v>49</v>
      </c>
    </row>
    <row r="2565" spans="1:30" x14ac:dyDescent="0.2">
      <c r="A2565" s="104" t="s">
        <v>5773</v>
      </c>
      <c r="B2565" s="105" t="s">
        <v>255</v>
      </c>
      <c r="C2565" s="105" t="s">
        <v>279</v>
      </c>
      <c r="D2565" s="106" t="s">
        <v>105</v>
      </c>
      <c r="E2565" s="107" t="s">
        <v>182</v>
      </c>
      <c r="F2565" s="108" t="s">
        <v>19727</v>
      </c>
      <c r="G2565" s="118">
        <v>3</v>
      </c>
      <c r="H2565" s="108" t="s">
        <v>19728</v>
      </c>
      <c r="I2565" s="110">
        <v>3</v>
      </c>
      <c r="J2565" s="111" t="s">
        <v>55</v>
      </c>
      <c r="K2565" s="108" t="s">
        <v>19729</v>
      </c>
      <c r="L2565" s="110">
        <v>3</v>
      </c>
      <c r="M2565" s="111" t="s">
        <v>46</v>
      </c>
      <c r="N2565" s="108" t="s">
        <v>19727</v>
      </c>
      <c r="O2565" s="110">
        <v>3</v>
      </c>
      <c r="P2565" s="111" t="s">
        <v>46</v>
      </c>
      <c r="Q2565" s="108" t="s">
        <v>19730</v>
      </c>
      <c r="R2565" s="112">
        <v>4</v>
      </c>
      <c r="S2565" s="111" t="s">
        <v>46</v>
      </c>
      <c r="T2565" s="108" t="s">
        <v>5774</v>
      </c>
      <c r="U2565" s="110">
        <v>3</v>
      </c>
      <c r="V2565" s="113"/>
      <c r="W2565" s="108" t="s">
        <v>19731</v>
      </c>
      <c r="X2565" s="110">
        <v>3</v>
      </c>
      <c r="Y2565" s="113"/>
      <c r="Z2565" s="108" t="s">
        <v>19732</v>
      </c>
      <c r="AA2565" s="112">
        <v>4</v>
      </c>
      <c r="AB2565" s="113"/>
      <c r="AC2565" s="105" t="s">
        <v>5775</v>
      </c>
      <c r="AD2565" s="115" t="s">
        <v>49</v>
      </c>
    </row>
    <row r="2566" spans="1:30" x14ac:dyDescent="0.2">
      <c r="A2566" s="104" t="s">
        <v>5776</v>
      </c>
      <c r="B2566" s="105" t="s">
        <v>255</v>
      </c>
      <c r="C2566" s="105" t="s">
        <v>279</v>
      </c>
      <c r="D2566" s="106" t="s">
        <v>105</v>
      </c>
      <c r="E2566" s="107" t="s">
        <v>182</v>
      </c>
      <c r="F2566" s="108" t="s">
        <v>19733</v>
      </c>
      <c r="G2566" s="118">
        <v>3</v>
      </c>
      <c r="H2566" s="108" t="s">
        <v>19734</v>
      </c>
      <c r="I2566" s="110">
        <v>3</v>
      </c>
      <c r="J2566" s="111" t="s">
        <v>55</v>
      </c>
      <c r="K2566" s="108" t="s">
        <v>19735</v>
      </c>
      <c r="L2566" s="110">
        <v>3</v>
      </c>
      <c r="M2566" s="111" t="s">
        <v>46</v>
      </c>
      <c r="N2566" s="108" t="s">
        <v>19733</v>
      </c>
      <c r="O2566" s="110">
        <v>3</v>
      </c>
      <c r="P2566" s="111" t="s">
        <v>46</v>
      </c>
      <c r="Q2566" s="108" t="s">
        <v>19736</v>
      </c>
      <c r="R2566" s="112">
        <v>4</v>
      </c>
      <c r="S2566" s="111" t="s">
        <v>46</v>
      </c>
      <c r="T2566" s="108" t="s">
        <v>19737</v>
      </c>
      <c r="U2566" s="110">
        <v>3</v>
      </c>
      <c r="V2566" s="113"/>
      <c r="W2566" s="108" t="s">
        <v>19738</v>
      </c>
      <c r="X2566" s="112">
        <v>4</v>
      </c>
      <c r="Y2566" s="111" t="s">
        <v>46</v>
      </c>
      <c r="Z2566" s="108" t="s">
        <v>19739</v>
      </c>
      <c r="AA2566" s="112">
        <v>4</v>
      </c>
      <c r="AB2566" s="113"/>
      <c r="AC2566" s="105" t="s">
        <v>5777</v>
      </c>
      <c r="AD2566" s="115" t="s">
        <v>49</v>
      </c>
    </row>
    <row r="2567" spans="1:30" x14ac:dyDescent="0.2">
      <c r="A2567" s="104" t="s">
        <v>5778</v>
      </c>
      <c r="B2567" s="105" t="s">
        <v>255</v>
      </c>
      <c r="C2567" s="105" t="s">
        <v>2161</v>
      </c>
      <c r="D2567" s="106" t="s">
        <v>125</v>
      </c>
      <c r="E2567" s="107" t="s">
        <v>146</v>
      </c>
      <c r="F2567" s="108" t="s">
        <v>19740</v>
      </c>
      <c r="G2567" s="109">
        <v>4</v>
      </c>
      <c r="H2567" s="108" t="s">
        <v>19741</v>
      </c>
      <c r="I2567" s="112">
        <v>4</v>
      </c>
      <c r="J2567" s="111" t="s">
        <v>46</v>
      </c>
      <c r="K2567" s="108" t="s">
        <v>19742</v>
      </c>
      <c r="L2567" s="112">
        <v>4</v>
      </c>
      <c r="M2567" s="111" t="s">
        <v>46</v>
      </c>
      <c r="N2567" s="108" t="s">
        <v>19740</v>
      </c>
      <c r="O2567" s="112">
        <v>4</v>
      </c>
      <c r="P2567" s="111" t="s">
        <v>46</v>
      </c>
      <c r="Q2567" s="108" t="s">
        <v>5779</v>
      </c>
      <c r="R2567" s="110">
        <v>3</v>
      </c>
      <c r="S2567" s="113"/>
      <c r="T2567" s="108" t="s">
        <v>19743</v>
      </c>
      <c r="U2567" s="112">
        <v>4</v>
      </c>
      <c r="V2567" s="113"/>
      <c r="W2567" s="108" t="s">
        <v>5780</v>
      </c>
      <c r="X2567" s="112">
        <v>4</v>
      </c>
      <c r="Y2567" s="113"/>
      <c r="Z2567" s="108" t="s">
        <v>19744</v>
      </c>
      <c r="AA2567" s="110">
        <v>3</v>
      </c>
      <c r="AB2567" s="111" t="s">
        <v>46</v>
      </c>
      <c r="AC2567" s="105" t="s">
        <v>5781</v>
      </c>
      <c r="AD2567" s="115" t="s">
        <v>49</v>
      </c>
    </row>
    <row r="2568" spans="1:30" x14ac:dyDescent="0.2">
      <c r="A2568" s="104" t="s">
        <v>5782</v>
      </c>
      <c r="B2568" s="105" t="s">
        <v>255</v>
      </c>
      <c r="C2568" s="105" t="s">
        <v>2161</v>
      </c>
      <c r="D2568" s="106" t="s">
        <v>125</v>
      </c>
      <c r="E2568" s="107" t="s">
        <v>146</v>
      </c>
      <c r="F2568" s="108" t="s">
        <v>19745</v>
      </c>
      <c r="G2568" s="109">
        <v>4</v>
      </c>
      <c r="H2568" s="108" t="s">
        <v>5783</v>
      </c>
      <c r="I2568" s="112">
        <v>4</v>
      </c>
      <c r="J2568" s="111" t="s">
        <v>46</v>
      </c>
      <c r="K2568" s="108" t="s">
        <v>19746</v>
      </c>
      <c r="L2568" s="112">
        <v>4</v>
      </c>
      <c r="M2568" s="111" t="s">
        <v>46</v>
      </c>
      <c r="N2568" s="108" t="s">
        <v>19745</v>
      </c>
      <c r="O2568" s="112">
        <v>4</v>
      </c>
      <c r="P2568" s="113"/>
      <c r="Q2568" s="108" t="s">
        <v>5784</v>
      </c>
      <c r="R2568" s="112">
        <v>4</v>
      </c>
      <c r="S2568" s="111" t="s">
        <v>46</v>
      </c>
      <c r="T2568" s="108" t="s">
        <v>19747</v>
      </c>
      <c r="U2568" s="112">
        <v>4</v>
      </c>
      <c r="V2568" s="113"/>
      <c r="W2568" s="108" t="s">
        <v>19748</v>
      </c>
      <c r="X2568" s="112">
        <v>4</v>
      </c>
      <c r="Y2568" s="113"/>
      <c r="Z2568" s="108" t="s">
        <v>5785</v>
      </c>
      <c r="AA2568" s="112">
        <v>4</v>
      </c>
      <c r="AB2568" s="111" t="s">
        <v>46</v>
      </c>
      <c r="AC2568" s="105" t="s">
        <v>5786</v>
      </c>
      <c r="AD2568" s="115" t="s">
        <v>49</v>
      </c>
    </row>
    <row r="2569" spans="1:30" x14ac:dyDescent="0.2">
      <c r="A2569" s="104" t="s">
        <v>5787</v>
      </c>
      <c r="B2569" s="105" t="s">
        <v>255</v>
      </c>
      <c r="C2569" s="105" t="s">
        <v>279</v>
      </c>
      <c r="D2569" s="106" t="s">
        <v>105</v>
      </c>
      <c r="E2569" s="107"/>
      <c r="F2569" s="108" t="s">
        <v>19749</v>
      </c>
      <c r="G2569" s="118">
        <v>3</v>
      </c>
      <c r="H2569" s="108" t="s">
        <v>19750</v>
      </c>
      <c r="I2569" s="110">
        <v>3</v>
      </c>
      <c r="J2569" s="113"/>
      <c r="K2569" s="108" t="s">
        <v>19751</v>
      </c>
      <c r="L2569" s="112">
        <v>4</v>
      </c>
      <c r="M2569" s="111" t="s">
        <v>46</v>
      </c>
      <c r="N2569" s="108" t="s">
        <v>19749</v>
      </c>
      <c r="O2569" s="110">
        <v>3</v>
      </c>
      <c r="P2569" s="113"/>
      <c r="Q2569" s="108" t="s">
        <v>19752</v>
      </c>
      <c r="R2569" s="117">
        <v>2</v>
      </c>
      <c r="S2569" s="113"/>
      <c r="T2569" s="108" t="s">
        <v>19753</v>
      </c>
      <c r="U2569" s="112">
        <v>4</v>
      </c>
      <c r="V2569" s="113"/>
      <c r="W2569" s="108" t="s">
        <v>19754</v>
      </c>
      <c r="X2569" s="110">
        <v>3</v>
      </c>
      <c r="Y2569" s="113"/>
      <c r="Z2569" s="108" t="s">
        <v>19755</v>
      </c>
      <c r="AA2569" s="110">
        <v>3</v>
      </c>
      <c r="AB2569" s="111" t="s">
        <v>40</v>
      </c>
      <c r="AC2569" s="105" t="s">
        <v>5788</v>
      </c>
      <c r="AD2569" s="115" t="s">
        <v>49</v>
      </c>
    </row>
    <row r="2570" spans="1:30" x14ac:dyDescent="0.2">
      <c r="A2570" s="104" t="s">
        <v>5789</v>
      </c>
      <c r="B2570" s="105" t="s">
        <v>255</v>
      </c>
      <c r="C2570" s="105" t="s">
        <v>279</v>
      </c>
      <c r="D2570" s="106"/>
      <c r="E2570" s="107"/>
      <c r="F2570" s="108" t="s">
        <v>19756</v>
      </c>
      <c r="G2570" s="119">
        <v>1</v>
      </c>
      <c r="H2570" s="108" t="s">
        <v>19757</v>
      </c>
      <c r="I2570" s="110">
        <v>3</v>
      </c>
      <c r="J2570" s="113"/>
      <c r="K2570" s="108" t="s">
        <v>19758</v>
      </c>
      <c r="L2570" s="110">
        <v>3</v>
      </c>
      <c r="M2570" s="111" t="s">
        <v>46</v>
      </c>
      <c r="N2570" s="108" t="s">
        <v>19756</v>
      </c>
      <c r="O2570" s="116">
        <v>1</v>
      </c>
      <c r="P2570" s="113"/>
      <c r="Q2570" s="108" t="s">
        <v>19759</v>
      </c>
      <c r="R2570" s="116">
        <v>1</v>
      </c>
      <c r="S2570" s="111" t="s">
        <v>40</v>
      </c>
      <c r="T2570" s="108" t="s">
        <v>19760</v>
      </c>
      <c r="U2570" s="112">
        <v>4</v>
      </c>
      <c r="V2570" s="113"/>
      <c r="W2570" s="108" t="s">
        <v>19761</v>
      </c>
      <c r="X2570" s="112">
        <v>4</v>
      </c>
      <c r="Y2570" s="113"/>
      <c r="Z2570" s="108" t="s">
        <v>19762</v>
      </c>
      <c r="AA2570" s="112">
        <v>4</v>
      </c>
      <c r="AB2570" s="113"/>
      <c r="AC2570" s="105" t="s">
        <v>5790</v>
      </c>
      <c r="AD2570" s="115" t="s">
        <v>49</v>
      </c>
    </row>
    <row r="2571" spans="1:30" x14ac:dyDescent="0.2">
      <c r="A2571" s="104" t="s">
        <v>5791</v>
      </c>
      <c r="B2571" s="105" t="s">
        <v>255</v>
      </c>
      <c r="C2571" s="105" t="s">
        <v>279</v>
      </c>
      <c r="D2571" s="106" t="s">
        <v>105</v>
      </c>
      <c r="E2571" s="107" t="s">
        <v>119</v>
      </c>
      <c r="F2571" s="108" t="s">
        <v>19763</v>
      </c>
      <c r="G2571" s="109">
        <v>4</v>
      </c>
      <c r="H2571" s="108" t="s">
        <v>19764</v>
      </c>
      <c r="I2571" s="117">
        <v>2</v>
      </c>
      <c r="J2571" s="111" t="s">
        <v>46</v>
      </c>
      <c r="K2571" s="108" t="s">
        <v>19765</v>
      </c>
      <c r="L2571" s="110">
        <v>3</v>
      </c>
      <c r="M2571" s="111" t="s">
        <v>46</v>
      </c>
      <c r="N2571" s="108" t="s">
        <v>19763</v>
      </c>
      <c r="O2571" s="112">
        <v>4</v>
      </c>
      <c r="P2571" s="111" t="s">
        <v>46</v>
      </c>
      <c r="Q2571" s="108" t="s">
        <v>19766</v>
      </c>
      <c r="R2571" s="110">
        <v>3</v>
      </c>
      <c r="S2571" s="111" t="s">
        <v>40</v>
      </c>
      <c r="T2571" s="108" t="s">
        <v>19767</v>
      </c>
      <c r="U2571" s="112">
        <v>4</v>
      </c>
      <c r="V2571" s="113"/>
      <c r="W2571" s="108" t="s">
        <v>19768</v>
      </c>
      <c r="X2571" s="112">
        <v>4</v>
      </c>
      <c r="Y2571" s="113"/>
      <c r="Z2571" s="108" t="s">
        <v>19769</v>
      </c>
      <c r="AA2571" s="112">
        <v>4</v>
      </c>
      <c r="AB2571" s="113"/>
      <c r="AC2571" s="105" t="s">
        <v>5792</v>
      </c>
      <c r="AD2571" s="115" t="s">
        <v>49</v>
      </c>
    </row>
    <row r="2572" spans="1:30" x14ac:dyDescent="0.2">
      <c r="A2572" s="104" t="s">
        <v>5793</v>
      </c>
      <c r="B2572" s="105" t="s">
        <v>255</v>
      </c>
      <c r="C2572" s="105" t="s">
        <v>306</v>
      </c>
      <c r="D2572" s="106" t="s">
        <v>125</v>
      </c>
      <c r="E2572" s="107" t="s">
        <v>182</v>
      </c>
      <c r="F2572" s="108" t="s">
        <v>19770</v>
      </c>
      <c r="G2572" s="120">
        <v>2</v>
      </c>
      <c r="H2572" s="108" t="s">
        <v>15917</v>
      </c>
      <c r="I2572" s="110">
        <v>3</v>
      </c>
      <c r="J2572" s="111" t="s">
        <v>55</v>
      </c>
      <c r="K2572" s="108" t="s">
        <v>15384</v>
      </c>
      <c r="L2572" s="117">
        <v>2</v>
      </c>
      <c r="M2572" s="111" t="s">
        <v>40</v>
      </c>
      <c r="N2572" s="108" t="s">
        <v>19770</v>
      </c>
      <c r="O2572" s="117">
        <v>2</v>
      </c>
      <c r="P2572" s="111" t="s">
        <v>40</v>
      </c>
      <c r="Q2572" s="108" t="s">
        <v>8197</v>
      </c>
      <c r="R2572" s="110">
        <v>3</v>
      </c>
      <c r="S2572" s="113"/>
      <c r="T2572" s="108" t="s">
        <v>19771</v>
      </c>
      <c r="U2572" s="110">
        <v>3</v>
      </c>
      <c r="V2572" s="111" t="s">
        <v>46</v>
      </c>
      <c r="W2572" s="108" t="s">
        <v>19772</v>
      </c>
      <c r="X2572" s="117">
        <v>2</v>
      </c>
      <c r="Y2572" s="113"/>
      <c r="Z2572" s="108" t="s">
        <v>19773</v>
      </c>
      <c r="AA2572" s="117">
        <v>2</v>
      </c>
      <c r="AB2572" s="111" t="s">
        <v>53</v>
      </c>
      <c r="AC2572" s="105" t="s">
        <v>5794</v>
      </c>
      <c r="AD2572" s="115" t="s">
        <v>49</v>
      </c>
    </row>
    <row r="2573" spans="1:30" x14ac:dyDescent="0.2">
      <c r="A2573" s="104" t="s">
        <v>5795</v>
      </c>
      <c r="B2573" s="105" t="s">
        <v>255</v>
      </c>
      <c r="C2573" s="105" t="s">
        <v>306</v>
      </c>
      <c r="D2573" s="106" t="s">
        <v>105</v>
      </c>
      <c r="E2573" s="107" t="s">
        <v>119</v>
      </c>
      <c r="F2573" s="108" t="s">
        <v>19774</v>
      </c>
      <c r="G2573" s="118">
        <v>3</v>
      </c>
      <c r="H2573" s="108" t="s">
        <v>11376</v>
      </c>
      <c r="I2573" s="117">
        <v>2</v>
      </c>
      <c r="J2573" s="113"/>
      <c r="K2573" s="108" t="s">
        <v>19775</v>
      </c>
      <c r="L2573" s="110">
        <v>3</v>
      </c>
      <c r="M2573" s="111" t="s">
        <v>40</v>
      </c>
      <c r="N2573" s="108" t="s">
        <v>19774</v>
      </c>
      <c r="O2573" s="110">
        <v>3</v>
      </c>
      <c r="P2573" s="111" t="s">
        <v>40</v>
      </c>
      <c r="Q2573" s="108" t="s">
        <v>10876</v>
      </c>
      <c r="R2573" s="112">
        <v>4</v>
      </c>
      <c r="S2573" s="113"/>
      <c r="T2573" s="108" t="s">
        <v>8900</v>
      </c>
      <c r="U2573" s="112">
        <v>4</v>
      </c>
      <c r="V2573" s="113"/>
      <c r="W2573" s="108" t="s">
        <v>19776</v>
      </c>
      <c r="X2573" s="112">
        <v>4</v>
      </c>
      <c r="Y2573" s="113"/>
      <c r="Z2573" s="108" t="s">
        <v>19777</v>
      </c>
      <c r="AA2573" s="116">
        <v>1</v>
      </c>
      <c r="AB2573" s="111" t="s">
        <v>53</v>
      </c>
      <c r="AC2573" s="105" t="s">
        <v>5796</v>
      </c>
      <c r="AD2573" s="115" t="s">
        <v>49</v>
      </c>
    </row>
    <row r="2574" spans="1:30" x14ac:dyDescent="0.2">
      <c r="A2574" s="104" t="s">
        <v>5797</v>
      </c>
      <c r="B2574" s="105" t="s">
        <v>255</v>
      </c>
      <c r="C2574" s="105" t="s">
        <v>306</v>
      </c>
      <c r="D2574" s="106" t="s">
        <v>105</v>
      </c>
      <c r="E2574" s="107" t="s">
        <v>99</v>
      </c>
      <c r="F2574" s="108" t="s">
        <v>19778</v>
      </c>
      <c r="G2574" s="118">
        <v>3</v>
      </c>
      <c r="H2574" s="108" t="s">
        <v>8134</v>
      </c>
      <c r="I2574" s="112">
        <v>4</v>
      </c>
      <c r="J2574" s="111" t="s">
        <v>44</v>
      </c>
      <c r="K2574" s="108" t="s">
        <v>19779</v>
      </c>
      <c r="L2574" s="110">
        <v>3</v>
      </c>
      <c r="M2574" s="111" t="s">
        <v>55</v>
      </c>
      <c r="N2574" s="108" t="s">
        <v>19778</v>
      </c>
      <c r="O2574" s="110">
        <v>3</v>
      </c>
      <c r="P2574" s="113"/>
      <c r="Q2574" s="108" t="s">
        <v>19780</v>
      </c>
      <c r="R2574" s="112">
        <v>4</v>
      </c>
      <c r="S2574" s="113"/>
      <c r="T2574" s="108" t="s">
        <v>19781</v>
      </c>
      <c r="U2574" s="112">
        <v>4</v>
      </c>
      <c r="V2574" s="113"/>
      <c r="W2574" s="108" t="s">
        <v>19782</v>
      </c>
      <c r="X2574" s="112">
        <v>4</v>
      </c>
      <c r="Y2574" s="113"/>
      <c r="Z2574" s="108" t="s">
        <v>47</v>
      </c>
      <c r="AA2574" s="114"/>
      <c r="AB2574" s="113"/>
      <c r="AC2574" s="105" t="s">
        <v>5798</v>
      </c>
      <c r="AD2574" s="115" t="s">
        <v>49</v>
      </c>
    </row>
    <row r="2575" spans="1:30" x14ac:dyDescent="0.2">
      <c r="A2575" s="104" t="s">
        <v>5799</v>
      </c>
      <c r="B2575" s="105" t="s">
        <v>255</v>
      </c>
      <c r="C2575" s="105" t="s">
        <v>306</v>
      </c>
      <c r="D2575" s="106" t="s">
        <v>105</v>
      </c>
      <c r="E2575" s="107" t="s">
        <v>99</v>
      </c>
      <c r="F2575" s="108" t="s">
        <v>19783</v>
      </c>
      <c r="G2575" s="118">
        <v>3</v>
      </c>
      <c r="H2575" s="108" t="s">
        <v>8129</v>
      </c>
      <c r="I2575" s="112">
        <v>4</v>
      </c>
      <c r="J2575" s="111" t="s">
        <v>44</v>
      </c>
      <c r="K2575" s="108" t="s">
        <v>16697</v>
      </c>
      <c r="L2575" s="110">
        <v>3</v>
      </c>
      <c r="M2575" s="111" t="s">
        <v>55</v>
      </c>
      <c r="N2575" s="108" t="s">
        <v>19783</v>
      </c>
      <c r="O2575" s="110">
        <v>3</v>
      </c>
      <c r="P2575" s="113"/>
      <c r="Q2575" s="108" t="s">
        <v>5800</v>
      </c>
      <c r="R2575" s="112">
        <v>4</v>
      </c>
      <c r="S2575" s="113"/>
      <c r="T2575" s="108" t="s">
        <v>19784</v>
      </c>
      <c r="U2575" s="112">
        <v>4</v>
      </c>
      <c r="V2575" s="113"/>
      <c r="W2575" s="108" t="s">
        <v>19785</v>
      </c>
      <c r="X2575" s="112">
        <v>4</v>
      </c>
      <c r="Y2575" s="113"/>
      <c r="Z2575" s="108" t="s">
        <v>47</v>
      </c>
      <c r="AA2575" s="114"/>
      <c r="AB2575" s="113"/>
      <c r="AC2575" s="105" t="s">
        <v>5801</v>
      </c>
      <c r="AD2575" s="115" t="s">
        <v>49</v>
      </c>
    </row>
    <row r="2576" spans="1:30" x14ac:dyDescent="0.2">
      <c r="A2576" s="104" t="s">
        <v>5802</v>
      </c>
      <c r="B2576" s="105" t="s">
        <v>255</v>
      </c>
      <c r="C2576" s="105" t="s">
        <v>306</v>
      </c>
      <c r="D2576" s="106" t="s">
        <v>125</v>
      </c>
      <c r="E2576" s="107" t="s">
        <v>146</v>
      </c>
      <c r="F2576" s="108" t="s">
        <v>19786</v>
      </c>
      <c r="G2576" s="109">
        <v>4</v>
      </c>
      <c r="H2576" s="108" t="s">
        <v>17482</v>
      </c>
      <c r="I2576" s="112">
        <v>4</v>
      </c>
      <c r="J2576" s="111" t="s">
        <v>46</v>
      </c>
      <c r="K2576" s="108" t="s">
        <v>5803</v>
      </c>
      <c r="L2576" s="112">
        <v>4</v>
      </c>
      <c r="M2576" s="111" t="s">
        <v>46</v>
      </c>
      <c r="N2576" s="108" t="s">
        <v>19786</v>
      </c>
      <c r="O2576" s="112">
        <v>4</v>
      </c>
      <c r="P2576" s="113"/>
      <c r="Q2576" s="108" t="s">
        <v>5804</v>
      </c>
      <c r="R2576" s="110">
        <v>3</v>
      </c>
      <c r="S2576" s="111" t="s">
        <v>46</v>
      </c>
      <c r="T2576" s="108" t="s">
        <v>19787</v>
      </c>
      <c r="U2576" s="110">
        <v>3</v>
      </c>
      <c r="V2576" s="113"/>
      <c r="W2576" s="108" t="s">
        <v>19788</v>
      </c>
      <c r="X2576" s="110">
        <v>3</v>
      </c>
      <c r="Y2576" s="113"/>
      <c r="Z2576" s="108" t="s">
        <v>9592</v>
      </c>
      <c r="AA2576" s="110">
        <v>3</v>
      </c>
      <c r="AB2576" s="113"/>
      <c r="AC2576" s="105" t="s">
        <v>5805</v>
      </c>
      <c r="AD2576" s="115" t="s">
        <v>49</v>
      </c>
    </row>
    <row r="2577" spans="1:30" x14ac:dyDescent="0.2">
      <c r="A2577" s="104" t="s">
        <v>5806</v>
      </c>
      <c r="B2577" s="105" t="s">
        <v>255</v>
      </c>
      <c r="C2577" s="105" t="s">
        <v>306</v>
      </c>
      <c r="D2577" s="106" t="s">
        <v>125</v>
      </c>
      <c r="E2577" s="107" t="s">
        <v>146</v>
      </c>
      <c r="F2577" s="108" t="s">
        <v>15595</v>
      </c>
      <c r="G2577" s="120">
        <v>2</v>
      </c>
      <c r="H2577" s="108" t="s">
        <v>19779</v>
      </c>
      <c r="I2577" s="110">
        <v>3</v>
      </c>
      <c r="J2577" s="111" t="s">
        <v>46</v>
      </c>
      <c r="K2577" s="108" t="s">
        <v>5807</v>
      </c>
      <c r="L2577" s="110">
        <v>3</v>
      </c>
      <c r="M2577" s="113"/>
      <c r="N2577" s="108" t="s">
        <v>15595</v>
      </c>
      <c r="O2577" s="117">
        <v>2</v>
      </c>
      <c r="P2577" s="111" t="s">
        <v>40</v>
      </c>
      <c r="Q2577" s="108" t="s">
        <v>19789</v>
      </c>
      <c r="R2577" s="110">
        <v>3</v>
      </c>
      <c r="S2577" s="113"/>
      <c r="T2577" s="108" t="s">
        <v>19790</v>
      </c>
      <c r="U2577" s="110">
        <v>3</v>
      </c>
      <c r="V2577" s="113"/>
      <c r="W2577" s="108" t="s">
        <v>19791</v>
      </c>
      <c r="X2577" s="110">
        <v>3</v>
      </c>
      <c r="Y2577" s="113"/>
      <c r="Z2577" s="108" t="s">
        <v>9549</v>
      </c>
      <c r="AA2577" s="110">
        <v>3</v>
      </c>
      <c r="AB2577" s="113"/>
      <c r="AC2577" s="105" t="s">
        <v>5808</v>
      </c>
      <c r="AD2577" s="115" t="s">
        <v>49</v>
      </c>
    </row>
    <row r="2578" spans="1:30" x14ac:dyDescent="0.2">
      <c r="A2578" s="104" t="s">
        <v>5809</v>
      </c>
      <c r="B2578" s="105" t="s">
        <v>255</v>
      </c>
      <c r="C2578" s="105" t="s">
        <v>306</v>
      </c>
      <c r="D2578" s="106" t="s">
        <v>105</v>
      </c>
      <c r="E2578" s="107" t="s">
        <v>146</v>
      </c>
      <c r="F2578" s="108" t="s">
        <v>19792</v>
      </c>
      <c r="G2578" s="109">
        <v>4</v>
      </c>
      <c r="H2578" s="108" t="s">
        <v>19793</v>
      </c>
      <c r="I2578" s="110">
        <v>3</v>
      </c>
      <c r="J2578" s="113"/>
      <c r="K2578" s="108" t="s">
        <v>19794</v>
      </c>
      <c r="L2578" s="112">
        <v>4</v>
      </c>
      <c r="M2578" s="113"/>
      <c r="N2578" s="108" t="s">
        <v>19792</v>
      </c>
      <c r="O2578" s="112">
        <v>4</v>
      </c>
      <c r="P2578" s="113"/>
      <c r="Q2578" s="108" t="s">
        <v>5810</v>
      </c>
      <c r="R2578" s="112">
        <v>4</v>
      </c>
      <c r="S2578" s="113"/>
      <c r="T2578" s="108" t="s">
        <v>19795</v>
      </c>
      <c r="U2578" s="112">
        <v>4</v>
      </c>
      <c r="V2578" s="113"/>
      <c r="W2578" s="108" t="s">
        <v>19796</v>
      </c>
      <c r="X2578" s="112">
        <v>4</v>
      </c>
      <c r="Y2578" s="113"/>
      <c r="Z2578" s="108" t="s">
        <v>5811</v>
      </c>
      <c r="AA2578" s="112">
        <v>4</v>
      </c>
      <c r="AB2578" s="113"/>
      <c r="AC2578" s="105" t="s">
        <v>5812</v>
      </c>
      <c r="AD2578" s="115" t="s">
        <v>49</v>
      </c>
    </row>
    <row r="2579" spans="1:30" x14ac:dyDescent="0.2">
      <c r="A2579" s="104" t="s">
        <v>5813</v>
      </c>
      <c r="B2579" s="105" t="s">
        <v>255</v>
      </c>
      <c r="C2579" s="105" t="s">
        <v>293</v>
      </c>
      <c r="D2579" s="106" t="s">
        <v>105</v>
      </c>
      <c r="E2579" s="107" t="s">
        <v>146</v>
      </c>
      <c r="F2579" s="108" t="s">
        <v>19797</v>
      </c>
      <c r="G2579" s="118">
        <v>3</v>
      </c>
      <c r="H2579" s="108" t="s">
        <v>19798</v>
      </c>
      <c r="I2579" s="110">
        <v>3</v>
      </c>
      <c r="J2579" s="111" t="s">
        <v>55</v>
      </c>
      <c r="K2579" s="108" t="s">
        <v>19799</v>
      </c>
      <c r="L2579" s="110">
        <v>3</v>
      </c>
      <c r="M2579" s="113"/>
      <c r="N2579" s="108" t="s">
        <v>19797</v>
      </c>
      <c r="O2579" s="110">
        <v>3</v>
      </c>
      <c r="P2579" s="113"/>
      <c r="Q2579" s="108" t="s">
        <v>19800</v>
      </c>
      <c r="R2579" s="112">
        <v>4</v>
      </c>
      <c r="S2579" s="113"/>
      <c r="T2579" s="108" t="s">
        <v>19801</v>
      </c>
      <c r="U2579" s="112">
        <v>4</v>
      </c>
      <c r="V2579" s="113"/>
      <c r="W2579" s="108" t="s">
        <v>19802</v>
      </c>
      <c r="X2579" s="112">
        <v>4</v>
      </c>
      <c r="Y2579" s="113"/>
      <c r="Z2579" s="108" t="s">
        <v>19803</v>
      </c>
      <c r="AA2579" s="110">
        <v>3</v>
      </c>
      <c r="AB2579" s="113"/>
      <c r="AC2579" s="105" t="s">
        <v>5814</v>
      </c>
      <c r="AD2579" s="115" t="s">
        <v>49</v>
      </c>
    </row>
    <row r="2580" spans="1:30" x14ac:dyDescent="0.2">
      <c r="A2580" s="104" t="s">
        <v>5815</v>
      </c>
      <c r="B2580" s="105" t="s">
        <v>255</v>
      </c>
      <c r="C2580" s="105" t="s">
        <v>293</v>
      </c>
      <c r="D2580" s="106" t="s">
        <v>105</v>
      </c>
      <c r="E2580" s="107" t="s">
        <v>146</v>
      </c>
      <c r="F2580" s="108" t="s">
        <v>19187</v>
      </c>
      <c r="G2580" s="109">
        <v>4</v>
      </c>
      <c r="H2580" s="108" t="s">
        <v>5816</v>
      </c>
      <c r="I2580" s="110">
        <v>3</v>
      </c>
      <c r="J2580" s="111" t="s">
        <v>55</v>
      </c>
      <c r="K2580" s="108" t="s">
        <v>12915</v>
      </c>
      <c r="L2580" s="110">
        <v>3</v>
      </c>
      <c r="M2580" s="111" t="s">
        <v>46</v>
      </c>
      <c r="N2580" s="108" t="s">
        <v>19187</v>
      </c>
      <c r="O2580" s="112">
        <v>4</v>
      </c>
      <c r="P2580" s="111" t="s">
        <v>46</v>
      </c>
      <c r="Q2580" s="108" t="s">
        <v>5817</v>
      </c>
      <c r="R2580" s="112">
        <v>4</v>
      </c>
      <c r="S2580" s="113"/>
      <c r="T2580" s="108" t="s">
        <v>19804</v>
      </c>
      <c r="U2580" s="112">
        <v>4</v>
      </c>
      <c r="V2580" s="113"/>
      <c r="W2580" s="108" t="s">
        <v>19805</v>
      </c>
      <c r="X2580" s="112">
        <v>4</v>
      </c>
      <c r="Y2580" s="113"/>
      <c r="Z2580" s="108" t="s">
        <v>5818</v>
      </c>
      <c r="AA2580" s="110">
        <v>3</v>
      </c>
      <c r="AB2580" s="113"/>
      <c r="AC2580" s="105" t="s">
        <v>5819</v>
      </c>
      <c r="AD2580" s="115" t="s">
        <v>49</v>
      </c>
    </row>
    <row r="2581" spans="1:30" x14ac:dyDescent="0.2">
      <c r="A2581" s="104" t="s">
        <v>5820</v>
      </c>
      <c r="B2581" s="105" t="s">
        <v>255</v>
      </c>
      <c r="C2581" s="105" t="s">
        <v>2414</v>
      </c>
      <c r="D2581" s="106" t="s">
        <v>105</v>
      </c>
      <c r="E2581" s="107" t="s">
        <v>182</v>
      </c>
      <c r="F2581" s="108" t="s">
        <v>19806</v>
      </c>
      <c r="G2581" s="109">
        <v>4</v>
      </c>
      <c r="H2581" s="108" t="s">
        <v>19807</v>
      </c>
      <c r="I2581" s="117">
        <v>2</v>
      </c>
      <c r="J2581" s="113"/>
      <c r="K2581" s="108" t="s">
        <v>19808</v>
      </c>
      <c r="L2581" s="117">
        <v>2</v>
      </c>
      <c r="M2581" s="111" t="s">
        <v>40</v>
      </c>
      <c r="N2581" s="108" t="s">
        <v>19806</v>
      </c>
      <c r="O2581" s="112">
        <v>4</v>
      </c>
      <c r="P2581" s="113"/>
      <c r="Q2581" s="108" t="s">
        <v>19809</v>
      </c>
      <c r="R2581" s="110">
        <v>3</v>
      </c>
      <c r="S2581" s="111" t="s">
        <v>40</v>
      </c>
      <c r="T2581" s="108" t="s">
        <v>19810</v>
      </c>
      <c r="U2581" s="112">
        <v>4</v>
      </c>
      <c r="V2581" s="113"/>
      <c r="W2581" s="108" t="s">
        <v>19811</v>
      </c>
      <c r="X2581" s="112">
        <v>4</v>
      </c>
      <c r="Y2581" s="113"/>
      <c r="Z2581" s="108" t="s">
        <v>19812</v>
      </c>
      <c r="AA2581" s="112">
        <v>4</v>
      </c>
      <c r="AB2581" s="113"/>
      <c r="AC2581" s="105" t="s">
        <v>5821</v>
      </c>
      <c r="AD2581" s="115" t="s">
        <v>49</v>
      </c>
    </row>
    <row r="2582" spans="1:30" x14ac:dyDescent="0.2">
      <c r="A2582" s="104" t="s">
        <v>5822</v>
      </c>
      <c r="B2582" s="105" t="s">
        <v>255</v>
      </c>
      <c r="C2582" s="105" t="s">
        <v>1811</v>
      </c>
      <c r="D2582" s="106" t="s">
        <v>125</v>
      </c>
      <c r="E2582" s="107" t="s">
        <v>99</v>
      </c>
      <c r="F2582" s="108" t="s">
        <v>19813</v>
      </c>
      <c r="G2582" s="120">
        <v>2</v>
      </c>
      <c r="H2582" s="108" t="s">
        <v>19814</v>
      </c>
      <c r="I2582" s="116">
        <v>1</v>
      </c>
      <c r="J2582" s="111" t="s">
        <v>157</v>
      </c>
      <c r="K2582" s="108" t="s">
        <v>19815</v>
      </c>
      <c r="L2582" s="117">
        <v>2</v>
      </c>
      <c r="M2582" s="113"/>
      <c r="N2582" s="108" t="s">
        <v>19813</v>
      </c>
      <c r="O2582" s="117">
        <v>2</v>
      </c>
      <c r="P2582" s="113"/>
      <c r="Q2582" s="108" t="s">
        <v>19816</v>
      </c>
      <c r="R2582" s="117">
        <v>2</v>
      </c>
      <c r="S2582" s="113"/>
      <c r="T2582" s="108" t="s">
        <v>19817</v>
      </c>
      <c r="U2582" s="117">
        <v>2</v>
      </c>
      <c r="V2582" s="113"/>
      <c r="W2582" s="108" t="s">
        <v>19818</v>
      </c>
      <c r="X2582" s="117">
        <v>2</v>
      </c>
      <c r="Y2582" s="113"/>
      <c r="Z2582" s="108" t="s">
        <v>5823</v>
      </c>
      <c r="AA2582" s="116">
        <v>1</v>
      </c>
      <c r="AB2582" s="111" t="s">
        <v>40</v>
      </c>
      <c r="AC2582" s="105" t="s">
        <v>5824</v>
      </c>
      <c r="AD2582" s="115" t="s">
        <v>49</v>
      </c>
    </row>
    <row r="2583" spans="1:30" x14ac:dyDescent="0.2">
      <c r="A2583" s="104" t="s">
        <v>5825</v>
      </c>
      <c r="B2583" s="105" t="s">
        <v>255</v>
      </c>
      <c r="C2583" s="105" t="s">
        <v>338</v>
      </c>
      <c r="D2583" s="106" t="s">
        <v>125</v>
      </c>
      <c r="E2583" s="107"/>
      <c r="F2583" s="108" t="s">
        <v>19819</v>
      </c>
      <c r="G2583" s="118">
        <v>3</v>
      </c>
      <c r="H2583" s="108" t="s">
        <v>19820</v>
      </c>
      <c r="I2583" s="117">
        <v>2</v>
      </c>
      <c r="J2583" s="113"/>
      <c r="K2583" s="108" t="s">
        <v>19821</v>
      </c>
      <c r="L2583" s="116">
        <v>1</v>
      </c>
      <c r="M2583" s="111" t="s">
        <v>40</v>
      </c>
      <c r="N2583" s="108" t="s">
        <v>19819</v>
      </c>
      <c r="O2583" s="110">
        <v>3</v>
      </c>
      <c r="P2583" s="113"/>
      <c r="Q2583" s="108" t="s">
        <v>19822</v>
      </c>
      <c r="R2583" s="117">
        <v>2</v>
      </c>
      <c r="S2583" s="111" t="s">
        <v>40</v>
      </c>
      <c r="T2583" s="108" t="s">
        <v>19823</v>
      </c>
      <c r="U2583" s="110">
        <v>3</v>
      </c>
      <c r="V2583" s="113"/>
      <c r="W2583" s="108" t="s">
        <v>19824</v>
      </c>
      <c r="X2583" s="110">
        <v>3</v>
      </c>
      <c r="Y2583" s="113"/>
      <c r="Z2583" s="108" t="s">
        <v>5826</v>
      </c>
      <c r="AA2583" s="110">
        <v>3</v>
      </c>
      <c r="AB2583" s="111" t="s">
        <v>46</v>
      </c>
      <c r="AC2583" s="105" t="s">
        <v>5827</v>
      </c>
      <c r="AD2583" s="115" t="s">
        <v>49</v>
      </c>
    </row>
    <row r="2584" spans="1:30" x14ac:dyDescent="0.2">
      <c r="A2584" s="104" t="s">
        <v>5828</v>
      </c>
      <c r="B2584" s="105" t="s">
        <v>255</v>
      </c>
      <c r="C2584" s="105" t="s">
        <v>332</v>
      </c>
      <c r="D2584" s="106" t="s">
        <v>125</v>
      </c>
      <c r="E2584" s="107" t="s">
        <v>182</v>
      </c>
      <c r="F2584" s="108" t="s">
        <v>19825</v>
      </c>
      <c r="G2584" s="109">
        <v>4</v>
      </c>
      <c r="H2584" s="108" t="s">
        <v>19826</v>
      </c>
      <c r="I2584" s="110">
        <v>3</v>
      </c>
      <c r="J2584" s="113"/>
      <c r="K2584" s="108" t="s">
        <v>19827</v>
      </c>
      <c r="L2584" s="112">
        <v>4</v>
      </c>
      <c r="M2584" s="111" t="s">
        <v>46</v>
      </c>
      <c r="N2584" s="108" t="s">
        <v>19825</v>
      </c>
      <c r="O2584" s="112">
        <v>4</v>
      </c>
      <c r="P2584" s="113"/>
      <c r="Q2584" s="108" t="s">
        <v>19828</v>
      </c>
      <c r="R2584" s="112">
        <v>4</v>
      </c>
      <c r="S2584" s="111" t="s">
        <v>46</v>
      </c>
      <c r="T2584" s="108" t="s">
        <v>19829</v>
      </c>
      <c r="U2584" s="110">
        <v>3</v>
      </c>
      <c r="V2584" s="113"/>
      <c r="W2584" s="108" t="s">
        <v>19830</v>
      </c>
      <c r="X2584" s="110">
        <v>3</v>
      </c>
      <c r="Y2584" s="113"/>
      <c r="Z2584" s="108" t="s">
        <v>19831</v>
      </c>
      <c r="AA2584" s="117">
        <v>2</v>
      </c>
      <c r="AB2584" s="111" t="s">
        <v>40</v>
      </c>
      <c r="AC2584" s="105" t="s">
        <v>5829</v>
      </c>
      <c r="AD2584" s="115" t="s">
        <v>49</v>
      </c>
    </row>
    <row r="2585" spans="1:30" x14ac:dyDescent="0.2">
      <c r="A2585" s="104" t="s">
        <v>5830</v>
      </c>
      <c r="B2585" s="105" t="s">
        <v>255</v>
      </c>
      <c r="C2585" s="105" t="s">
        <v>104</v>
      </c>
      <c r="D2585" s="106" t="s">
        <v>105</v>
      </c>
      <c r="E2585" s="107"/>
      <c r="F2585" s="108" t="s">
        <v>19832</v>
      </c>
      <c r="G2585" s="118">
        <v>3</v>
      </c>
      <c r="H2585" s="108" t="s">
        <v>19833</v>
      </c>
      <c r="I2585" s="110">
        <v>3</v>
      </c>
      <c r="J2585" s="113"/>
      <c r="K2585" s="108" t="s">
        <v>19834</v>
      </c>
      <c r="L2585" s="110">
        <v>3</v>
      </c>
      <c r="M2585" s="113"/>
      <c r="N2585" s="108" t="s">
        <v>19832</v>
      </c>
      <c r="O2585" s="110">
        <v>3</v>
      </c>
      <c r="P2585" s="111" t="s">
        <v>40</v>
      </c>
      <c r="Q2585" s="108" t="s">
        <v>19835</v>
      </c>
      <c r="R2585" s="110">
        <v>3</v>
      </c>
      <c r="S2585" s="113"/>
      <c r="T2585" s="108" t="s">
        <v>19836</v>
      </c>
      <c r="U2585" s="112">
        <v>4</v>
      </c>
      <c r="V2585" s="113"/>
      <c r="W2585" s="108" t="s">
        <v>19837</v>
      </c>
      <c r="X2585" s="112">
        <v>4</v>
      </c>
      <c r="Y2585" s="113"/>
      <c r="Z2585" s="108" t="s">
        <v>47</v>
      </c>
      <c r="AA2585" s="114"/>
      <c r="AB2585" s="113"/>
      <c r="AC2585" s="105" t="s">
        <v>5831</v>
      </c>
      <c r="AD2585" s="115" t="s">
        <v>49</v>
      </c>
    </row>
    <row r="2586" spans="1:30" x14ac:dyDescent="0.2">
      <c r="A2586" s="104" t="s">
        <v>5832</v>
      </c>
      <c r="B2586" s="105" t="s">
        <v>255</v>
      </c>
      <c r="C2586" s="105" t="s">
        <v>332</v>
      </c>
      <c r="D2586" s="106" t="s">
        <v>125</v>
      </c>
      <c r="E2586" s="107"/>
      <c r="F2586" s="108" t="s">
        <v>19838</v>
      </c>
      <c r="G2586" s="118">
        <v>3</v>
      </c>
      <c r="H2586" s="108" t="s">
        <v>19839</v>
      </c>
      <c r="I2586" s="110">
        <v>3</v>
      </c>
      <c r="J2586" s="113"/>
      <c r="K2586" s="108" t="s">
        <v>19840</v>
      </c>
      <c r="L2586" s="112">
        <v>4</v>
      </c>
      <c r="M2586" s="111" t="s">
        <v>46</v>
      </c>
      <c r="N2586" s="108" t="s">
        <v>19838</v>
      </c>
      <c r="O2586" s="110">
        <v>3</v>
      </c>
      <c r="P2586" s="113"/>
      <c r="Q2586" s="108" t="s">
        <v>19841</v>
      </c>
      <c r="R2586" s="110">
        <v>3</v>
      </c>
      <c r="S2586" s="113"/>
      <c r="T2586" s="108" t="s">
        <v>19842</v>
      </c>
      <c r="U2586" s="110">
        <v>3</v>
      </c>
      <c r="V2586" s="113"/>
      <c r="W2586" s="108" t="s">
        <v>19843</v>
      </c>
      <c r="X2586" s="117">
        <v>2</v>
      </c>
      <c r="Y2586" s="113"/>
      <c r="Z2586" s="108" t="s">
        <v>19844</v>
      </c>
      <c r="AA2586" s="117">
        <v>2</v>
      </c>
      <c r="AB2586" s="111" t="s">
        <v>40</v>
      </c>
      <c r="AC2586" s="105" t="s">
        <v>5833</v>
      </c>
      <c r="AD2586" s="115" t="s">
        <v>49</v>
      </c>
    </row>
    <row r="2587" spans="1:30" x14ac:dyDescent="0.2">
      <c r="A2587" s="104" t="s">
        <v>5834</v>
      </c>
      <c r="B2587" s="105" t="s">
        <v>255</v>
      </c>
      <c r="C2587" s="105" t="s">
        <v>5835</v>
      </c>
      <c r="D2587" s="106" t="s">
        <v>105</v>
      </c>
      <c r="E2587" s="107" t="s">
        <v>182</v>
      </c>
      <c r="F2587" s="108" t="s">
        <v>19845</v>
      </c>
      <c r="G2587" s="109">
        <v>4</v>
      </c>
      <c r="H2587" s="108" t="s">
        <v>19846</v>
      </c>
      <c r="I2587" s="112">
        <v>4</v>
      </c>
      <c r="J2587" s="113"/>
      <c r="K2587" s="108" t="s">
        <v>19847</v>
      </c>
      <c r="L2587" s="112">
        <v>4</v>
      </c>
      <c r="M2587" s="113"/>
      <c r="N2587" s="108" t="s">
        <v>19845</v>
      </c>
      <c r="O2587" s="112">
        <v>4</v>
      </c>
      <c r="P2587" s="113"/>
      <c r="Q2587" s="108" t="s">
        <v>19848</v>
      </c>
      <c r="R2587" s="112">
        <v>4</v>
      </c>
      <c r="S2587" s="111" t="s">
        <v>46</v>
      </c>
      <c r="T2587" s="108" t="s">
        <v>19849</v>
      </c>
      <c r="U2587" s="110">
        <v>3</v>
      </c>
      <c r="V2587" s="113"/>
      <c r="W2587" s="108" t="s">
        <v>19850</v>
      </c>
      <c r="X2587" s="112">
        <v>4</v>
      </c>
      <c r="Y2587" s="113"/>
      <c r="Z2587" s="108" t="s">
        <v>19851</v>
      </c>
      <c r="AA2587" s="112">
        <v>4</v>
      </c>
      <c r="AB2587" s="113"/>
      <c r="AC2587" s="105" t="s">
        <v>5836</v>
      </c>
      <c r="AD2587" s="115" t="s">
        <v>49</v>
      </c>
    </row>
    <row r="2588" spans="1:30" x14ac:dyDescent="0.2">
      <c r="A2588" s="104" t="s">
        <v>5837</v>
      </c>
      <c r="B2588" s="105" t="s">
        <v>255</v>
      </c>
      <c r="C2588" s="105" t="s">
        <v>5838</v>
      </c>
      <c r="D2588" s="106" t="s">
        <v>125</v>
      </c>
      <c r="E2588" s="107" t="s">
        <v>146</v>
      </c>
      <c r="F2588" s="108" t="s">
        <v>19852</v>
      </c>
      <c r="G2588" s="109">
        <v>4</v>
      </c>
      <c r="H2588" s="108" t="s">
        <v>19853</v>
      </c>
      <c r="I2588" s="110">
        <v>3</v>
      </c>
      <c r="J2588" s="111" t="s">
        <v>40</v>
      </c>
      <c r="K2588" s="108" t="s">
        <v>19854</v>
      </c>
      <c r="L2588" s="112">
        <v>4</v>
      </c>
      <c r="M2588" s="113"/>
      <c r="N2588" s="108" t="s">
        <v>19852</v>
      </c>
      <c r="O2588" s="112">
        <v>4</v>
      </c>
      <c r="P2588" s="113"/>
      <c r="Q2588" s="108" t="s">
        <v>19855</v>
      </c>
      <c r="R2588" s="110">
        <v>3</v>
      </c>
      <c r="S2588" s="113"/>
      <c r="T2588" s="108" t="s">
        <v>19856</v>
      </c>
      <c r="U2588" s="110">
        <v>3</v>
      </c>
      <c r="V2588" s="111" t="s">
        <v>46</v>
      </c>
      <c r="W2588" s="108" t="s">
        <v>19857</v>
      </c>
      <c r="X2588" s="110">
        <v>3</v>
      </c>
      <c r="Y2588" s="113"/>
      <c r="Z2588" s="108" t="s">
        <v>19858</v>
      </c>
      <c r="AA2588" s="117">
        <v>2</v>
      </c>
      <c r="AB2588" s="111" t="s">
        <v>40</v>
      </c>
      <c r="AC2588" s="105" t="s">
        <v>5839</v>
      </c>
      <c r="AD2588" s="115" t="s">
        <v>49</v>
      </c>
    </row>
    <row r="2589" spans="1:30" x14ac:dyDescent="0.2">
      <c r="A2589" s="104" t="s">
        <v>5840</v>
      </c>
      <c r="B2589" s="105" t="s">
        <v>255</v>
      </c>
      <c r="C2589" s="105" t="s">
        <v>347</v>
      </c>
      <c r="D2589" s="106" t="s">
        <v>125</v>
      </c>
      <c r="E2589" s="107"/>
      <c r="F2589" s="108" t="s">
        <v>1429</v>
      </c>
      <c r="G2589" s="118">
        <v>3</v>
      </c>
      <c r="H2589" s="108" t="s">
        <v>19859</v>
      </c>
      <c r="I2589" s="112">
        <v>4</v>
      </c>
      <c r="J2589" s="111" t="s">
        <v>55</v>
      </c>
      <c r="K2589" s="108" t="s">
        <v>19860</v>
      </c>
      <c r="L2589" s="117">
        <v>2</v>
      </c>
      <c r="M2589" s="111" t="s">
        <v>46</v>
      </c>
      <c r="N2589" s="108" t="s">
        <v>1429</v>
      </c>
      <c r="O2589" s="110">
        <v>3</v>
      </c>
      <c r="P2589" s="111" t="s">
        <v>55</v>
      </c>
      <c r="Q2589" s="108" t="s">
        <v>19861</v>
      </c>
      <c r="R2589" s="112">
        <v>4</v>
      </c>
      <c r="S2589" s="113"/>
      <c r="T2589" s="108" t="s">
        <v>19862</v>
      </c>
      <c r="U2589" s="112">
        <v>4</v>
      </c>
      <c r="V2589" s="113"/>
      <c r="W2589" s="108" t="s">
        <v>5841</v>
      </c>
      <c r="X2589" s="112">
        <v>4</v>
      </c>
      <c r="Y2589" s="113"/>
      <c r="Z2589" s="108" t="s">
        <v>9126</v>
      </c>
      <c r="AA2589" s="112">
        <v>4</v>
      </c>
      <c r="AB2589" s="113"/>
      <c r="AC2589" s="105" t="s">
        <v>5842</v>
      </c>
      <c r="AD2589" s="115" t="s">
        <v>49</v>
      </c>
    </row>
    <row r="2590" spans="1:30" x14ac:dyDescent="0.2">
      <c r="A2590" s="104" t="s">
        <v>5843</v>
      </c>
      <c r="B2590" s="105" t="s">
        <v>255</v>
      </c>
      <c r="C2590" s="105" t="s">
        <v>375</v>
      </c>
      <c r="D2590" s="106" t="s">
        <v>125</v>
      </c>
      <c r="E2590" s="107"/>
      <c r="F2590" s="108" t="s">
        <v>19863</v>
      </c>
      <c r="G2590" s="120">
        <v>2</v>
      </c>
      <c r="H2590" s="108" t="s">
        <v>19864</v>
      </c>
      <c r="I2590" s="110">
        <v>3</v>
      </c>
      <c r="J2590" s="111" t="s">
        <v>46</v>
      </c>
      <c r="K2590" s="108" t="s">
        <v>19865</v>
      </c>
      <c r="L2590" s="117">
        <v>2</v>
      </c>
      <c r="M2590" s="113"/>
      <c r="N2590" s="108" t="s">
        <v>19863</v>
      </c>
      <c r="O2590" s="117">
        <v>2</v>
      </c>
      <c r="P2590" s="113"/>
      <c r="Q2590" s="108" t="s">
        <v>19866</v>
      </c>
      <c r="R2590" s="110">
        <v>3</v>
      </c>
      <c r="S2590" s="113"/>
      <c r="T2590" s="108" t="s">
        <v>19867</v>
      </c>
      <c r="U2590" s="117">
        <v>2</v>
      </c>
      <c r="V2590" s="111" t="s">
        <v>40</v>
      </c>
      <c r="W2590" s="108" t="s">
        <v>19868</v>
      </c>
      <c r="X2590" s="110">
        <v>3</v>
      </c>
      <c r="Y2590" s="113"/>
      <c r="Z2590" s="108" t="s">
        <v>19869</v>
      </c>
      <c r="AA2590" s="117">
        <v>2</v>
      </c>
      <c r="AB2590" s="111" t="s">
        <v>40</v>
      </c>
      <c r="AC2590" s="105" t="s">
        <v>5844</v>
      </c>
      <c r="AD2590" s="115" t="s">
        <v>49</v>
      </c>
    </row>
    <row r="2591" spans="1:30" x14ac:dyDescent="0.2">
      <c r="A2591" s="104" t="s">
        <v>5845</v>
      </c>
      <c r="B2591" s="105" t="s">
        <v>255</v>
      </c>
      <c r="C2591" s="105" t="s">
        <v>5846</v>
      </c>
      <c r="D2591" s="106" t="s">
        <v>105</v>
      </c>
      <c r="E2591" s="107" t="s">
        <v>99</v>
      </c>
      <c r="F2591" s="108" t="s">
        <v>19870</v>
      </c>
      <c r="G2591" s="118">
        <v>3</v>
      </c>
      <c r="H2591" s="108" t="s">
        <v>19871</v>
      </c>
      <c r="I2591" s="116">
        <v>1</v>
      </c>
      <c r="J2591" s="111" t="s">
        <v>40</v>
      </c>
      <c r="K2591" s="108" t="s">
        <v>19872</v>
      </c>
      <c r="L2591" s="117">
        <v>2</v>
      </c>
      <c r="M2591" s="111" t="s">
        <v>40</v>
      </c>
      <c r="N2591" s="108" t="s">
        <v>19870</v>
      </c>
      <c r="O2591" s="110">
        <v>3</v>
      </c>
      <c r="P2591" s="113"/>
      <c r="Q2591" s="108" t="s">
        <v>19873</v>
      </c>
      <c r="R2591" s="110">
        <v>3</v>
      </c>
      <c r="S2591" s="111" t="s">
        <v>46</v>
      </c>
      <c r="T2591" s="108" t="s">
        <v>19874</v>
      </c>
      <c r="U2591" s="112">
        <v>4</v>
      </c>
      <c r="V2591" s="113"/>
      <c r="W2591" s="108" t="s">
        <v>19875</v>
      </c>
      <c r="X2591" s="112">
        <v>4</v>
      </c>
      <c r="Y2591" s="113"/>
      <c r="Z2591" s="108" t="s">
        <v>19876</v>
      </c>
      <c r="AA2591" s="112">
        <v>4</v>
      </c>
      <c r="AB2591" s="113"/>
      <c r="AC2591" s="105" t="s">
        <v>5847</v>
      </c>
      <c r="AD2591" s="115" t="s">
        <v>49</v>
      </c>
    </row>
    <row r="2592" spans="1:30" x14ac:dyDescent="0.2">
      <c r="A2592" s="104" t="s">
        <v>5848</v>
      </c>
      <c r="B2592" s="105" t="s">
        <v>255</v>
      </c>
      <c r="C2592" s="105" t="s">
        <v>3326</v>
      </c>
      <c r="D2592" s="106" t="s">
        <v>125</v>
      </c>
      <c r="E2592" s="107" t="s">
        <v>99</v>
      </c>
      <c r="F2592" s="108" t="s">
        <v>19877</v>
      </c>
      <c r="G2592" s="120">
        <v>2</v>
      </c>
      <c r="H2592" s="108" t="s">
        <v>19878</v>
      </c>
      <c r="I2592" s="112">
        <v>4</v>
      </c>
      <c r="J2592" s="111" t="s">
        <v>44</v>
      </c>
      <c r="K2592" s="108" t="s">
        <v>19879</v>
      </c>
      <c r="L2592" s="117">
        <v>2</v>
      </c>
      <c r="M2592" s="111" t="s">
        <v>46</v>
      </c>
      <c r="N2592" s="108" t="s">
        <v>19877</v>
      </c>
      <c r="O2592" s="117">
        <v>2</v>
      </c>
      <c r="P2592" s="111" t="s">
        <v>46</v>
      </c>
      <c r="Q2592" s="108" t="s">
        <v>19880</v>
      </c>
      <c r="R2592" s="116">
        <v>1</v>
      </c>
      <c r="S2592" s="113"/>
      <c r="T2592" s="108" t="s">
        <v>16274</v>
      </c>
      <c r="U2592" s="117">
        <v>2</v>
      </c>
      <c r="V2592" s="113"/>
      <c r="W2592" s="108" t="s">
        <v>19881</v>
      </c>
      <c r="X2592" s="117">
        <v>2</v>
      </c>
      <c r="Y2592" s="111" t="s">
        <v>46</v>
      </c>
      <c r="Z2592" s="108" t="s">
        <v>19882</v>
      </c>
      <c r="AA2592" s="117">
        <v>2</v>
      </c>
      <c r="AB2592" s="111" t="s">
        <v>53</v>
      </c>
      <c r="AC2592" s="105" t="s">
        <v>5849</v>
      </c>
      <c r="AD2592" s="115" t="s">
        <v>49</v>
      </c>
    </row>
    <row r="2593" spans="1:30" x14ac:dyDescent="0.2">
      <c r="A2593" s="104" t="s">
        <v>5850</v>
      </c>
      <c r="B2593" s="105" t="s">
        <v>255</v>
      </c>
      <c r="C2593" s="105" t="s">
        <v>51</v>
      </c>
      <c r="D2593" s="106"/>
      <c r="E2593" s="107"/>
      <c r="F2593" s="108" t="s">
        <v>19883</v>
      </c>
      <c r="G2593" s="119">
        <v>1</v>
      </c>
      <c r="H2593" s="108" t="s">
        <v>19884</v>
      </c>
      <c r="I2593" s="116">
        <v>1</v>
      </c>
      <c r="J2593" s="111" t="s">
        <v>53</v>
      </c>
      <c r="K2593" s="108" t="s">
        <v>19885</v>
      </c>
      <c r="L2593" s="117">
        <v>2</v>
      </c>
      <c r="M2593" s="113"/>
      <c r="N2593" s="108" t="s">
        <v>19883</v>
      </c>
      <c r="O2593" s="116">
        <v>1</v>
      </c>
      <c r="P2593" s="111" t="s">
        <v>40</v>
      </c>
      <c r="Q2593" s="108" t="s">
        <v>19886</v>
      </c>
      <c r="R2593" s="117">
        <v>2</v>
      </c>
      <c r="S2593" s="113"/>
      <c r="T2593" s="108" t="s">
        <v>47</v>
      </c>
      <c r="U2593" s="114"/>
      <c r="V2593" s="113"/>
      <c r="W2593" s="108" t="s">
        <v>47</v>
      </c>
      <c r="X2593" s="114"/>
      <c r="Y2593" s="113"/>
      <c r="Z2593" s="108" t="s">
        <v>47</v>
      </c>
      <c r="AA2593" s="114"/>
      <c r="AB2593" s="113"/>
      <c r="AC2593" s="105" t="s">
        <v>5851</v>
      </c>
      <c r="AD2593" s="115" t="s">
        <v>49</v>
      </c>
    </row>
    <row r="2594" spans="1:30" x14ac:dyDescent="0.2">
      <c r="A2594" s="104" t="s">
        <v>5852</v>
      </c>
      <c r="B2594" s="105" t="s">
        <v>4312</v>
      </c>
      <c r="C2594" s="105" t="s">
        <v>1787</v>
      </c>
      <c r="D2594" s="106"/>
      <c r="E2594" s="107"/>
      <c r="F2594" s="108" t="s">
        <v>47</v>
      </c>
      <c r="G2594" s="113"/>
      <c r="H2594" s="108" t="s">
        <v>47</v>
      </c>
      <c r="I2594" s="114"/>
      <c r="J2594" s="113"/>
      <c r="K2594" s="108" t="s">
        <v>47</v>
      </c>
      <c r="L2594" s="114"/>
      <c r="M2594" s="113"/>
      <c r="N2594" s="108" t="s">
        <v>47</v>
      </c>
      <c r="O2594" s="114"/>
      <c r="P2594" s="113"/>
      <c r="Q2594" s="108" t="s">
        <v>47</v>
      </c>
      <c r="R2594" s="114"/>
      <c r="S2594" s="113"/>
      <c r="T2594" s="108" t="s">
        <v>47</v>
      </c>
      <c r="U2594" s="114"/>
      <c r="V2594" s="113"/>
      <c r="W2594" s="108" t="s">
        <v>47</v>
      </c>
      <c r="X2594" s="114"/>
      <c r="Y2594" s="113"/>
      <c r="Z2594" s="108" t="s">
        <v>47</v>
      </c>
      <c r="AA2594" s="114"/>
      <c r="AB2594" s="113"/>
      <c r="AC2594" s="105" t="s">
        <v>5853</v>
      </c>
      <c r="AD2594" s="115" t="s">
        <v>4986</v>
      </c>
    </row>
    <row r="2595" spans="1:30" x14ac:dyDescent="0.2">
      <c r="A2595" s="104" t="s">
        <v>5854</v>
      </c>
      <c r="B2595" s="105" t="s">
        <v>4312</v>
      </c>
      <c r="C2595" s="105" t="s">
        <v>1787</v>
      </c>
      <c r="D2595" s="106"/>
      <c r="E2595" s="107"/>
      <c r="F2595" s="108" t="s">
        <v>47</v>
      </c>
      <c r="G2595" s="113"/>
      <c r="H2595" s="108" t="s">
        <v>47</v>
      </c>
      <c r="I2595" s="114"/>
      <c r="J2595" s="113"/>
      <c r="K2595" s="108" t="s">
        <v>47</v>
      </c>
      <c r="L2595" s="114"/>
      <c r="M2595" s="113"/>
      <c r="N2595" s="108" t="s">
        <v>47</v>
      </c>
      <c r="O2595" s="114"/>
      <c r="P2595" s="113"/>
      <c r="Q2595" s="108" t="s">
        <v>47</v>
      </c>
      <c r="R2595" s="114"/>
      <c r="S2595" s="113"/>
      <c r="T2595" s="108" t="s">
        <v>47</v>
      </c>
      <c r="U2595" s="114"/>
      <c r="V2595" s="113"/>
      <c r="W2595" s="108" t="s">
        <v>47</v>
      </c>
      <c r="X2595" s="114"/>
      <c r="Y2595" s="113"/>
      <c r="Z2595" s="108" t="s">
        <v>47</v>
      </c>
      <c r="AA2595" s="114"/>
      <c r="AB2595" s="113"/>
      <c r="AC2595" s="105" t="s">
        <v>5855</v>
      </c>
      <c r="AD2595" s="115" t="s">
        <v>4986</v>
      </c>
    </row>
    <row r="2596" spans="1:30" x14ac:dyDescent="0.2">
      <c r="A2596" s="104" t="s">
        <v>5856</v>
      </c>
      <c r="B2596" s="105" t="s">
        <v>4312</v>
      </c>
      <c r="C2596" s="105" t="s">
        <v>1787</v>
      </c>
      <c r="D2596" s="106"/>
      <c r="E2596" s="107"/>
      <c r="F2596" s="108" t="s">
        <v>47</v>
      </c>
      <c r="G2596" s="113"/>
      <c r="H2596" s="108" t="s">
        <v>47</v>
      </c>
      <c r="I2596" s="114"/>
      <c r="J2596" s="113"/>
      <c r="K2596" s="108" t="s">
        <v>47</v>
      </c>
      <c r="L2596" s="114"/>
      <c r="M2596" s="113"/>
      <c r="N2596" s="108" t="s">
        <v>47</v>
      </c>
      <c r="O2596" s="114"/>
      <c r="P2596" s="113"/>
      <c r="Q2596" s="108" t="s">
        <v>47</v>
      </c>
      <c r="R2596" s="114"/>
      <c r="S2596" s="113"/>
      <c r="T2596" s="108" t="s">
        <v>47</v>
      </c>
      <c r="U2596" s="114"/>
      <c r="V2596" s="113"/>
      <c r="W2596" s="108" t="s">
        <v>47</v>
      </c>
      <c r="X2596" s="114"/>
      <c r="Y2596" s="113"/>
      <c r="Z2596" s="108" t="s">
        <v>47</v>
      </c>
      <c r="AA2596" s="114"/>
      <c r="AB2596" s="113"/>
      <c r="AC2596" s="105" t="s">
        <v>5857</v>
      </c>
      <c r="AD2596" s="115" t="s">
        <v>4986</v>
      </c>
    </row>
    <row r="2597" spans="1:30" x14ac:dyDescent="0.2">
      <c r="A2597" s="104" t="s">
        <v>5858</v>
      </c>
      <c r="B2597" s="105" t="s">
        <v>4312</v>
      </c>
      <c r="C2597" s="105" t="s">
        <v>1787</v>
      </c>
      <c r="D2597" s="106"/>
      <c r="E2597" s="107"/>
      <c r="F2597" s="108" t="s">
        <v>47</v>
      </c>
      <c r="G2597" s="113"/>
      <c r="H2597" s="108" t="s">
        <v>47</v>
      </c>
      <c r="I2597" s="114"/>
      <c r="J2597" s="113"/>
      <c r="K2597" s="108" t="s">
        <v>47</v>
      </c>
      <c r="L2597" s="114"/>
      <c r="M2597" s="113"/>
      <c r="N2597" s="108" t="s">
        <v>47</v>
      </c>
      <c r="O2597" s="114"/>
      <c r="P2597" s="113"/>
      <c r="Q2597" s="108" t="s">
        <v>47</v>
      </c>
      <c r="R2597" s="114"/>
      <c r="S2597" s="113"/>
      <c r="T2597" s="108" t="s">
        <v>47</v>
      </c>
      <c r="U2597" s="114"/>
      <c r="V2597" s="113"/>
      <c r="W2597" s="108" t="s">
        <v>47</v>
      </c>
      <c r="X2597" s="114"/>
      <c r="Y2597" s="113"/>
      <c r="Z2597" s="108" t="s">
        <v>47</v>
      </c>
      <c r="AA2597" s="114"/>
      <c r="AB2597" s="113"/>
      <c r="AC2597" s="105" t="s">
        <v>5859</v>
      </c>
      <c r="AD2597" s="115" t="s">
        <v>4986</v>
      </c>
    </row>
    <row r="2598" spans="1:30" x14ac:dyDescent="0.2">
      <c r="A2598" s="104" t="s">
        <v>5860</v>
      </c>
      <c r="B2598" s="105" t="s">
        <v>4312</v>
      </c>
      <c r="C2598" s="105" t="s">
        <v>1787</v>
      </c>
      <c r="D2598" s="106"/>
      <c r="E2598" s="107"/>
      <c r="F2598" s="108" t="s">
        <v>47</v>
      </c>
      <c r="G2598" s="113"/>
      <c r="H2598" s="108" t="s">
        <v>47</v>
      </c>
      <c r="I2598" s="114"/>
      <c r="J2598" s="113"/>
      <c r="K2598" s="108" t="s">
        <v>47</v>
      </c>
      <c r="L2598" s="114"/>
      <c r="M2598" s="113"/>
      <c r="N2598" s="108" t="s">
        <v>47</v>
      </c>
      <c r="O2598" s="114"/>
      <c r="P2598" s="113"/>
      <c r="Q2598" s="108" t="s">
        <v>47</v>
      </c>
      <c r="R2598" s="114"/>
      <c r="S2598" s="113"/>
      <c r="T2598" s="108" t="s">
        <v>47</v>
      </c>
      <c r="U2598" s="114"/>
      <c r="V2598" s="113"/>
      <c r="W2598" s="108" t="s">
        <v>47</v>
      </c>
      <c r="X2598" s="114"/>
      <c r="Y2598" s="113"/>
      <c r="Z2598" s="108" t="s">
        <v>47</v>
      </c>
      <c r="AA2598" s="114"/>
      <c r="AB2598" s="113"/>
      <c r="AC2598" s="105" t="s">
        <v>5861</v>
      </c>
      <c r="AD2598" s="115" t="s">
        <v>4986</v>
      </c>
    </row>
    <row r="2599" spans="1:30" x14ac:dyDescent="0.2">
      <c r="A2599" s="104" t="s">
        <v>5862</v>
      </c>
      <c r="B2599" s="105" t="s">
        <v>4312</v>
      </c>
      <c r="C2599" s="105" t="s">
        <v>1787</v>
      </c>
      <c r="D2599" s="106"/>
      <c r="E2599" s="107"/>
      <c r="F2599" s="108" t="s">
        <v>47</v>
      </c>
      <c r="G2599" s="113"/>
      <c r="H2599" s="108" t="s">
        <v>47</v>
      </c>
      <c r="I2599" s="114"/>
      <c r="J2599" s="113"/>
      <c r="K2599" s="108" t="s">
        <v>47</v>
      </c>
      <c r="L2599" s="114"/>
      <c r="M2599" s="113"/>
      <c r="N2599" s="108" t="s">
        <v>47</v>
      </c>
      <c r="O2599" s="114"/>
      <c r="P2599" s="113"/>
      <c r="Q2599" s="108" t="s">
        <v>47</v>
      </c>
      <c r="R2599" s="114"/>
      <c r="S2599" s="113"/>
      <c r="T2599" s="108" t="s">
        <v>47</v>
      </c>
      <c r="U2599" s="114"/>
      <c r="V2599" s="113"/>
      <c r="W2599" s="108" t="s">
        <v>47</v>
      </c>
      <c r="X2599" s="114"/>
      <c r="Y2599" s="113"/>
      <c r="Z2599" s="108" t="s">
        <v>47</v>
      </c>
      <c r="AA2599" s="114"/>
      <c r="AB2599" s="113"/>
      <c r="AC2599" s="105" t="s">
        <v>5863</v>
      </c>
      <c r="AD2599" s="115" t="s">
        <v>4986</v>
      </c>
    </row>
    <row r="2600" spans="1:30" x14ac:dyDescent="0.2">
      <c r="A2600" s="104" t="s">
        <v>5864</v>
      </c>
      <c r="B2600" s="105" t="s">
        <v>4312</v>
      </c>
      <c r="C2600" s="105" t="s">
        <v>1787</v>
      </c>
      <c r="D2600" s="106"/>
      <c r="E2600" s="107"/>
      <c r="F2600" s="108" t="s">
        <v>47</v>
      </c>
      <c r="G2600" s="113"/>
      <c r="H2600" s="108" t="s">
        <v>47</v>
      </c>
      <c r="I2600" s="114"/>
      <c r="J2600" s="113"/>
      <c r="K2600" s="108" t="s">
        <v>47</v>
      </c>
      <c r="L2600" s="114"/>
      <c r="M2600" s="113"/>
      <c r="N2600" s="108" t="s">
        <v>47</v>
      </c>
      <c r="O2600" s="114"/>
      <c r="P2600" s="113"/>
      <c r="Q2600" s="108" t="s">
        <v>47</v>
      </c>
      <c r="R2600" s="114"/>
      <c r="S2600" s="113"/>
      <c r="T2600" s="108" t="s">
        <v>47</v>
      </c>
      <c r="U2600" s="114"/>
      <c r="V2600" s="113"/>
      <c r="W2600" s="108" t="s">
        <v>47</v>
      </c>
      <c r="X2600" s="114"/>
      <c r="Y2600" s="113"/>
      <c r="Z2600" s="108" t="s">
        <v>47</v>
      </c>
      <c r="AA2600" s="114"/>
      <c r="AB2600" s="113"/>
      <c r="AC2600" s="105" t="s">
        <v>5865</v>
      </c>
      <c r="AD2600" s="115" t="s">
        <v>4986</v>
      </c>
    </row>
    <row r="2601" spans="1:30" x14ac:dyDescent="0.2">
      <c r="A2601" s="104" t="s">
        <v>5866</v>
      </c>
      <c r="B2601" s="105" t="s">
        <v>4312</v>
      </c>
      <c r="C2601" s="105" t="s">
        <v>1787</v>
      </c>
      <c r="D2601" s="106"/>
      <c r="E2601" s="107"/>
      <c r="F2601" s="108" t="s">
        <v>47</v>
      </c>
      <c r="G2601" s="113"/>
      <c r="H2601" s="108" t="s">
        <v>47</v>
      </c>
      <c r="I2601" s="114"/>
      <c r="J2601" s="113"/>
      <c r="K2601" s="108" t="s">
        <v>47</v>
      </c>
      <c r="L2601" s="114"/>
      <c r="M2601" s="113"/>
      <c r="N2601" s="108" t="s">
        <v>47</v>
      </c>
      <c r="O2601" s="114"/>
      <c r="P2601" s="113"/>
      <c r="Q2601" s="108" t="s">
        <v>47</v>
      </c>
      <c r="R2601" s="114"/>
      <c r="S2601" s="113"/>
      <c r="T2601" s="108" t="s">
        <v>47</v>
      </c>
      <c r="U2601" s="114"/>
      <c r="V2601" s="113"/>
      <c r="W2601" s="108" t="s">
        <v>47</v>
      </c>
      <c r="X2601" s="114"/>
      <c r="Y2601" s="113"/>
      <c r="Z2601" s="108" t="s">
        <v>47</v>
      </c>
      <c r="AA2601" s="114"/>
      <c r="AB2601" s="113"/>
      <c r="AC2601" s="105" t="s">
        <v>5867</v>
      </c>
      <c r="AD2601" s="115" t="s">
        <v>4986</v>
      </c>
    </row>
    <row r="2602" spans="1:30" x14ac:dyDescent="0.2">
      <c r="A2602" s="104" t="s">
        <v>5868</v>
      </c>
      <c r="B2602" s="105" t="s">
        <v>4312</v>
      </c>
      <c r="C2602" s="105" t="s">
        <v>1787</v>
      </c>
      <c r="D2602" s="106"/>
      <c r="E2602" s="107"/>
      <c r="F2602" s="108" t="s">
        <v>47</v>
      </c>
      <c r="G2602" s="113"/>
      <c r="H2602" s="108" t="s">
        <v>47</v>
      </c>
      <c r="I2602" s="114"/>
      <c r="J2602" s="113"/>
      <c r="K2602" s="108" t="s">
        <v>47</v>
      </c>
      <c r="L2602" s="114"/>
      <c r="M2602" s="113"/>
      <c r="N2602" s="108" t="s">
        <v>47</v>
      </c>
      <c r="O2602" s="114"/>
      <c r="P2602" s="113"/>
      <c r="Q2602" s="108" t="s">
        <v>47</v>
      </c>
      <c r="R2602" s="114"/>
      <c r="S2602" s="113"/>
      <c r="T2602" s="108" t="s">
        <v>47</v>
      </c>
      <c r="U2602" s="114"/>
      <c r="V2602" s="113"/>
      <c r="W2602" s="108" t="s">
        <v>47</v>
      </c>
      <c r="X2602" s="114"/>
      <c r="Y2602" s="113"/>
      <c r="Z2602" s="108" t="s">
        <v>47</v>
      </c>
      <c r="AA2602" s="114"/>
      <c r="AB2602" s="113"/>
      <c r="AC2602" s="105" t="s">
        <v>5869</v>
      </c>
      <c r="AD2602" s="115" t="s">
        <v>4986</v>
      </c>
    </row>
    <row r="2603" spans="1:30" x14ac:dyDescent="0.2">
      <c r="A2603" s="104" t="s">
        <v>5870</v>
      </c>
      <c r="B2603" s="105" t="s">
        <v>4312</v>
      </c>
      <c r="C2603" s="105" t="s">
        <v>1787</v>
      </c>
      <c r="D2603" s="106"/>
      <c r="E2603" s="107"/>
      <c r="F2603" s="108" t="s">
        <v>47</v>
      </c>
      <c r="G2603" s="113"/>
      <c r="H2603" s="108" t="s">
        <v>47</v>
      </c>
      <c r="I2603" s="114"/>
      <c r="J2603" s="113"/>
      <c r="K2603" s="108" t="s">
        <v>47</v>
      </c>
      <c r="L2603" s="114"/>
      <c r="M2603" s="113"/>
      <c r="N2603" s="108" t="s">
        <v>47</v>
      </c>
      <c r="O2603" s="114"/>
      <c r="P2603" s="113"/>
      <c r="Q2603" s="108" t="s">
        <v>47</v>
      </c>
      <c r="R2603" s="114"/>
      <c r="S2603" s="113"/>
      <c r="T2603" s="108" t="s">
        <v>47</v>
      </c>
      <c r="U2603" s="114"/>
      <c r="V2603" s="113"/>
      <c r="W2603" s="108" t="s">
        <v>47</v>
      </c>
      <c r="X2603" s="114"/>
      <c r="Y2603" s="113"/>
      <c r="Z2603" s="108" t="s">
        <v>47</v>
      </c>
      <c r="AA2603" s="114"/>
      <c r="AB2603" s="113"/>
      <c r="AC2603" s="105" t="s">
        <v>5871</v>
      </c>
      <c r="AD2603" s="115" t="s">
        <v>4986</v>
      </c>
    </row>
    <row r="2604" spans="1:30" x14ac:dyDescent="0.2">
      <c r="A2604" s="104" t="s">
        <v>5872</v>
      </c>
      <c r="B2604" s="105" t="s">
        <v>4312</v>
      </c>
      <c r="C2604" s="105" t="s">
        <v>1787</v>
      </c>
      <c r="D2604" s="106"/>
      <c r="E2604" s="107"/>
      <c r="F2604" s="108" t="s">
        <v>47</v>
      </c>
      <c r="G2604" s="113"/>
      <c r="H2604" s="108" t="s">
        <v>47</v>
      </c>
      <c r="I2604" s="114"/>
      <c r="J2604" s="113"/>
      <c r="K2604" s="108" t="s">
        <v>47</v>
      </c>
      <c r="L2604" s="114"/>
      <c r="M2604" s="113"/>
      <c r="N2604" s="108" t="s">
        <v>47</v>
      </c>
      <c r="O2604" s="114"/>
      <c r="P2604" s="113"/>
      <c r="Q2604" s="108" t="s">
        <v>47</v>
      </c>
      <c r="R2604" s="114"/>
      <c r="S2604" s="113"/>
      <c r="T2604" s="108" t="s">
        <v>47</v>
      </c>
      <c r="U2604" s="114"/>
      <c r="V2604" s="113"/>
      <c r="W2604" s="108" t="s">
        <v>47</v>
      </c>
      <c r="X2604" s="114"/>
      <c r="Y2604" s="113"/>
      <c r="Z2604" s="108" t="s">
        <v>47</v>
      </c>
      <c r="AA2604" s="114"/>
      <c r="AB2604" s="113"/>
      <c r="AC2604" s="105" t="s">
        <v>5873</v>
      </c>
      <c r="AD2604" s="115" t="s">
        <v>4986</v>
      </c>
    </row>
    <row r="2605" spans="1:30" x14ac:dyDescent="0.2">
      <c r="A2605" s="104" t="s">
        <v>5874</v>
      </c>
      <c r="B2605" s="105" t="s">
        <v>4312</v>
      </c>
      <c r="C2605" s="105" t="s">
        <v>1787</v>
      </c>
      <c r="D2605" s="106"/>
      <c r="E2605" s="107"/>
      <c r="F2605" s="108" t="s">
        <v>47</v>
      </c>
      <c r="G2605" s="113"/>
      <c r="H2605" s="108" t="s">
        <v>47</v>
      </c>
      <c r="I2605" s="114"/>
      <c r="J2605" s="113"/>
      <c r="K2605" s="108" t="s">
        <v>47</v>
      </c>
      <c r="L2605" s="114"/>
      <c r="M2605" s="113"/>
      <c r="N2605" s="108" t="s">
        <v>47</v>
      </c>
      <c r="O2605" s="114"/>
      <c r="P2605" s="113"/>
      <c r="Q2605" s="108" t="s">
        <v>47</v>
      </c>
      <c r="R2605" s="114"/>
      <c r="S2605" s="113"/>
      <c r="T2605" s="108" t="s">
        <v>47</v>
      </c>
      <c r="U2605" s="114"/>
      <c r="V2605" s="113"/>
      <c r="W2605" s="108" t="s">
        <v>47</v>
      </c>
      <c r="X2605" s="114"/>
      <c r="Y2605" s="113"/>
      <c r="Z2605" s="108" t="s">
        <v>47</v>
      </c>
      <c r="AA2605" s="114"/>
      <c r="AB2605" s="113"/>
      <c r="AC2605" s="105" t="s">
        <v>5875</v>
      </c>
      <c r="AD2605" s="115" t="s">
        <v>4986</v>
      </c>
    </row>
    <row r="2606" spans="1:30" x14ac:dyDescent="0.2">
      <c r="A2606" s="104" t="s">
        <v>5876</v>
      </c>
      <c r="B2606" s="105" t="s">
        <v>255</v>
      </c>
      <c r="C2606" s="105" t="s">
        <v>2741</v>
      </c>
      <c r="D2606" s="106" t="s">
        <v>105</v>
      </c>
      <c r="E2606" s="107"/>
      <c r="F2606" s="108" t="s">
        <v>19887</v>
      </c>
      <c r="G2606" s="118">
        <v>3</v>
      </c>
      <c r="H2606" s="108" t="s">
        <v>19888</v>
      </c>
      <c r="I2606" s="117">
        <v>2</v>
      </c>
      <c r="J2606" s="111" t="s">
        <v>40</v>
      </c>
      <c r="K2606" s="108" t="s">
        <v>19889</v>
      </c>
      <c r="L2606" s="117">
        <v>2</v>
      </c>
      <c r="M2606" s="113"/>
      <c r="N2606" s="108" t="s">
        <v>19887</v>
      </c>
      <c r="O2606" s="110">
        <v>3</v>
      </c>
      <c r="P2606" s="111" t="s">
        <v>40</v>
      </c>
      <c r="Q2606" s="108" t="s">
        <v>19890</v>
      </c>
      <c r="R2606" s="112">
        <v>4</v>
      </c>
      <c r="S2606" s="113"/>
      <c r="T2606" s="108" t="s">
        <v>19891</v>
      </c>
      <c r="U2606" s="117">
        <v>2</v>
      </c>
      <c r="V2606" s="113"/>
      <c r="W2606" s="108" t="s">
        <v>19892</v>
      </c>
      <c r="X2606" s="117">
        <v>2</v>
      </c>
      <c r="Y2606" s="113"/>
      <c r="Z2606" s="108" t="s">
        <v>19893</v>
      </c>
      <c r="AA2606" s="117">
        <v>2</v>
      </c>
      <c r="AB2606" s="111" t="s">
        <v>53</v>
      </c>
      <c r="AC2606" s="105" t="s">
        <v>5877</v>
      </c>
      <c r="AD2606" s="115" t="s">
        <v>49</v>
      </c>
    </row>
    <row r="2607" spans="1:30" x14ac:dyDescent="0.2">
      <c r="A2607" s="104" t="s">
        <v>5878</v>
      </c>
      <c r="B2607" s="105" t="s">
        <v>255</v>
      </c>
      <c r="C2607" s="105" t="s">
        <v>3841</v>
      </c>
      <c r="D2607" s="106"/>
      <c r="E2607" s="107"/>
      <c r="F2607" s="108" t="s">
        <v>19894</v>
      </c>
      <c r="G2607" s="109">
        <v>4</v>
      </c>
      <c r="H2607" s="108" t="s">
        <v>19894</v>
      </c>
      <c r="I2607" s="112">
        <v>4</v>
      </c>
      <c r="J2607" s="111" t="s">
        <v>46</v>
      </c>
      <c r="K2607" s="108" t="s">
        <v>19894</v>
      </c>
      <c r="L2607" s="112">
        <v>4</v>
      </c>
      <c r="M2607" s="111" t="s">
        <v>46</v>
      </c>
      <c r="N2607" s="108" t="s">
        <v>19894</v>
      </c>
      <c r="O2607" s="112">
        <v>4</v>
      </c>
      <c r="P2607" s="111" t="s">
        <v>46</v>
      </c>
      <c r="Q2607" s="108" t="s">
        <v>19894</v>
      </c>
      <c r="R2607" s="112">
        <v>4</v>
      </c>
      <c r="S2607" s="113"/>
      <c r="T2607" s="108" t="s">
        <v>15480</v>
      </c>
      <c r="U2607" s="110">
        <v>3</v>
      </c>
      <c r="V2607" s="113"/>
      <c r="W2607" s="108" t="s">
        <v>19895</v>
      </c>
      <c r="X2607" s="112">
        <v>4</v>
      </c>
      <c r="Y2607" s="113"/>
      <c r="Z2607" s="108" t="s">
        <v>5879</v>
      </c>
      <c r="AA2607" s="110">
        <v>3</v>
      </c>
      <c r="AB2607" s="111" t="s">
        <v>46</v>
      </c>
      <c r="AC2607" s="105" t="s">
        <v>5880</v>
      </c>
      <c r="AD2607" s="115" t="s">
        <v>49</v>
      </c>
    </row>
    <row r="2608" spans="1:30" x14ac:dyDescent="0.2">
      <c r="A2608" s="104" t="s">
        <v>5881</v>
      </c>
      <c r="B2608" s="105" t="s">
        <v>255</v>
      </c>
      <c r="C2608" s="105" t="s">
        <v>160</v>
      </c>
      <c r="D2608" s="106"/>
      <c r="E2608" s="107"/>
      <c r="F2608" s="108" t="s">
        <v>19896</v>
      </c>
      <c r="G2608" s="118">
        <v>3</v>
      </c>
      <c r="H2608" s="108" t="s">
        <v>19897</v>
      </c>
      <c r="I2608" s="110">
        <v>3</v>
      </c>
      <c r="J2608" s="113"/>
      <c r="K2608" s="108" t="s">
        <v>19898</v>
      </c>
      <c r="L2608" s="110">
        <v>3</v>
      </c>
      <c r="M2608" s="113"/>
      <c r="N2608" s="108" t="s">
        <v>19896</v>
      </c>
      <c r="O2608" s="110">
        <v>3</v>
      </c>
      <c r="P2608" s="113"/>
      <c r="Q2608" s="108" t="s">
        <v>19899</v>
      </c>
      <c r="R2608" s="110">
        <v>3</v>
      </c>
      <c r="S2608" s="113"/>
      <c r="T2608" s="108" t="s">
        <v>19900</v>
      </c>
      <c r="U2608" s="110">
        <v>3</v>
      </c>
      <c r="V2608" s="113"/>
      <c r="W2608" s="108" t="s">
        <v>47</v>
      </c>
      <c r="X2608" s="114"/>
      <c r="Y2608" s="113"/>
      <c r="Z2608" s="108" t="s">
        <v>47</v>
      </c>
      <c r="AA2608" s="114"/>
      <c r="AB2608" s="113"/>
      <c r="AC2608" s="105" t="s">
        <v>5882</v>
      </c>
      <c r="AD2608" s="115" t="s">
        <v>49</v>
      </c>
    </row>
    <row r="2609" spans="1:30" x14ac:dyDescent="0.2">
      <c r="A2609" s="104" t="s">
        <v>5883</v>
      </c>
      <c r="B2609" s="105" t="s">
        <v>255</v>
      </c>
      <c r="C2609" s="105" t="s">
        <v>160</v>
      </c>
      <c r="D2609" s="106"/>
      <c r="E2609" s="107"/>
      <c r="F2609" s="108" t="s">
        <v>12067</v>
      </c>
      <c r="G2609" s="119">
        <v>1</v>
      </c>
      <c r="H2609" s="108" t="s">
        <v>19901</v>
      </c>
      <c r="I2609" s="117">
        <v>2</v>
      </c>
      <c r="J2609" s="111" t="s">
        <v>46</v>
      </c>
      <c r="K2609" s="108" t="s">
        <v>19902</v>
      </c>
      <c r="L2609" s="116">
        <v>1</v>
      </c>
      <c r="M2609" s="111" t="s">
        <v>40</v>
      </c>
      <c r="N2609" s="108" t="s">
        <v>12067</v>
      </c>
      <c r="O2609" s="116">
        <v>1</v>
      </c>
      <c r="P2609" s="113"/>
      <c r="Q2609" s="108" t="s">
        <v>19903</v>
      </c>
      <c r="R2609" s="116">
        <v>1</v>
      </c>
      <c r="S2609" s="113"/>
      <c r="T2609" s="108" t="s">
        <v>19904</v>
      </c>
      <c r="U2609" s="117">
        <v>2</v>
      </c>
      <c r="V2609" s="113"/>
      <c r="W2609" s="108" t="s">
        <v>19905</v>
      </c>
      <c r="X2609" s="117">
        <v>2</v>
      </c>
      <c r="Y2609" s="111" t="s">
        <v>40</v>
      </c>
      <c r="Z2609" s="108" t="s">
        <v>19906</v>
      </c>
      <c r="AA2609" s="110">
        <v>3</v>
      </c>
      <c r="AB2609" s="111" t="s">
        <v>46</v>
      </c>
      <c r="AC2609" s="105" t="s">
        <v>5884</v>
      </c>
      <c r="AD2609" s="115" t="s">
        <v>49</v>
      </c>
    </row>
    <row r="2610" spans="1:30" x14ac:dyDescent="0.2">
      <c r="A2610" s="104" t="s">
        <v>5885</v>
      </c>
      <c r="B2610" s="105" t="s">
        <v>255</v>
      </c>
      <c r="C2610" s="105" t="s">
        <v>1680</v>
      </c>
      <c r="D2610" s="106"/>
      <c r="E2610" s="107"/>
      <c r="F2610" s="108" t="s">
        <v>19907</v>
      </c>
      <c r="G2610" s="119">
        <v>1</v>
      </c>
      <c r="H2610" s="108" t="s">
        <v>19908</v>
      </c>
      <c r="I2610" s="116">
        <v>1</v>
      </c>
      <c r="J2610" s="111" t="s">
        <v>40</v>
      </c>
      <c r="K2610" s="108" t="s">
        <v>19909</v>
      </c>
      <c r="L2610" s="116">
        <v>1</v>
      </c>
      <c r="M2610" s="113"/>
      <c r="N2610" s="108" t="s">
        <v>19907</v>
      </c>
      <c r="O2610" s="116">
        <v>1</v>
      </c>
      <c r="P2610" s="113"/>
      <c r="Q2610" s="108" t="s">
        <v>19910</v>
      </c>
      <c r="R2610" s="116">
        <v>1</v>
      </c>
      <c r="S2610" s="113"/>
      <c r="T2610" s="108" t="s">
        <v>5886</v>
      </c>
      <c r="U2610" s="117">
        <v>2</v>
      </c>
      <c r="V2610" s="113"/>
      <c r="W2610" s="108" t="s">
        <v>19911</v>
      </c>
      <c r="X2610" s="117">
        <v>2</v>
      </c>
      <c r="Y2610" s="113"/>
      <c r="Z2610" s="108" t="s">
        <v>19912</v>
      </c>
      <c r="AA2610" s="117">
        <v>2</v>
      </c>
      <c r="AB2610" s="111" t="s">
        <v>46</v>
      </c>
      <c r="AC2610" s="105" t="s">
        <v>5887</v>
      </c>
      <c r="AD2610" s="115" t="s">
        <v>49</v>
      </c>
    </row>
    <row r="2611" spans="1:30" x14ac:dyDescent="0.2">
      <c r="A2611" s="104" t="s">
        <v>5888</v>
      </c>
      <c r="B2611" s="105" t="s">
        <v>255</v>
      </c>
      <c r="C2611" s="105" t="s">
        <v>1680</v>
      </c>
      <c r="D2611" s="106"/>
      <c r="E2611" s="107"/>
      <c r="F2611" s="108" t="s">
        <v>19913</v>
      </c>
      <c r="G2611" s="119">
        <v>1</v>
      </c>
      <c r="H2611" s="108" t="s">
        <v>19908</v>
      </c>
      <c r="I2611" s="116">
        <v>1</v>
      </c>
      <c r="J2611" s="111" t="s">
        <v>40</v>
      </c>
      <c r="K2611" s="108" t="s">
        <v>19914</v>
      </c>
      <c r="L2611" s="116">
        <v>1</v>
      </c>
      <c r="M2611" s="113"/>
      <c r="N2611" s="108" t="s">
        <v>19913</v>
      </c>
      <c r="O2611" s="116">
        <v>1</v>
      </c>
      <c r="P2611" s="113"/>
      <c r="Q2611" s="108" t="s">
        <v>19915</v>
      </c>
      <c r="R2611" s="116">
        <v>1</v>
      </c>
      <c r="S2611" s="113"/>
      <c r="T2611" s="108" t="s">
        <v>5889</v>
      </c>
      <c r="U2611" s="117">
        <v>2</v>
      </c>
      <c r="V2611" s="113"/>
      <c r="W2611" s="108" t="s">
        <v>5890</v>
      </c>
      <c r="X2611" s="117">
        <v>2</v>
      </c>
      <c r="Y2611" s="113"/>
      <c r="Z2611" s="108" t="s">
        <v>1502</v>
      </c>
      <c r="AA2611" s="117">
        <v>2</v>
      </c>
      <c r="AB2611" s="111" t="s">
        <v>46</v>
      </c>
      <c r="AC2611" s="105" t="s">
        <v>5891</v>
      </c>
      <c r="AD2611" s="115" t="s">
        <v>49</v>
      </c>
    </row>
    <row r="2612" spans="1:30" x14ac:dyDescent="0.2">
      <c r="A2612" s="104" t="s">
        <v>5892</v>
      </c>
      <c r="B2612" s="105" t="s">
        <v>255</v>
      </c>
      <c r="C2612" s="105" t="s">
        <v>3433</v>
      </c>
      <c r="D2612" s="106"/>
      <c r="E2612" s="107"/>
      <c r="F2612" s="108" t="s">
        <v>19916</v>
      </c>
      <c r="G2612" s="120">
        <v>2</v>
      </c>
      <c r="H2612" s="108" t="s">
        <v>19917</v>
      </c>
      <c r="I2612" s="117">
        <v>2</v>
      </c>
      <c r="J2612" s="113"/>
      <c r="K2612" s="108" t="s">
        <v>19918</v>
      </c>
      <c r="L2612" s="117">
        <v>2</v>
      </c>
      <c r="M2612" s="113"/>
      <c r="N2612" s="108" t="s">
        <v>19916</v>
      </c>
      <c r="O2612" s="117">
        <v>2</v>
      </c>
      <c r="P2612" s="113"/>
      <c r="Q2612" s="108" t="s">
        <v>19919</v>
      </c>
      <c r="R2612" s="117">
        <v>2</v>
      </c>
      <c r="S2612" s="113"/>
      <c r="T2612" s="108" t="s">
        <v>19920</v>
      </c>
      <c r="U2612" s="117">
        <v>2</v>
      </c>
      <c r="V2612" s="113"/>
      <c r="W2612" s="108" t="s">
        <v>19921</v>
      </c>
      <c r="X2612" s="116">
        <v>1</v>
      </c>
      <c r="Y2612" s="113"/>
      <c r="Z2612" s="108" t="s">
        <v>19922</v>
      </c>
      <c r="AA2612" s="116">
        <v>1</v>
      </c>
      <c r="AB2612" s="113"/>
      <c r="AC2612" s="105" t="s">
        <v>5893</v>
      </c>
      <c r="AD2612" s="115" t="s">
        <v>49</v>
      </c>
    </row>
    <row r="2613" spans="1:30" x14ac:dyDescent="0.2">
      <c r="A2613" s="104" t="s">
        <v>5894</v>
      </c>
      <c r="B2613" s="105" t="s">
        <v>255</v>
      </c>
      <c r="C2613" s="105" t="s">
        <v>3433</v>
      </c>
      <c r="D2613" s="106"/>
      <c r="E2613" s="107"/>
      <c r="F2613" s="108" t="s">
        <v>19923</v>
      </c>
      <c r="G2613" s="119">
        <v>1</v>
      </c>
      <c r="H2613" s="108" t="s">
        <v>19440</v>
      </c>
      <c r="I2613" s="116">
        <v>1</v>
      </c>
      <c r="J2613" s="111" t="s">
        <v>40</v>
      </c>
      <c r="K2613" s="108" t="s">
        <v>19924</v>
      </c>
      <c r="L2613" s="116">
        <v>1</v>
      </c>
      <c r="M2613" s="111" t="s">
        <v>40</v>
      </c>
      <c r="N2613" s="108" t="s">
        <v>19923</v>
      </c>
      <c r="O2613" s="116">
        <v>1</v>
      </c>
      <c r="P2613" s="113"/>
      <c r="Q2613" s="108" t="s">
        <v>19925</v>
      </c>
      <c r="R2613" s="116">
        <v>1</v>
      </c>
      <c r="S2613" s="113"/>
      <c r="T2613" s="108" t="s">
        <v>19926</v>
      </c>
      <c r="U2613" s="116">
        <v>1</v>
      </c>
      <c r="V2613" s="113"/>
      <c r="W2613" s="108" t="s">
        <v>19927</v>
      </c>
      <c r="X2613" s="116">
        <v>1</v>
      </c>
      <c r="Y2613" s="113"/>
      <c r="Z2613" s="108" t="s">
        <v>47</v>
      </c>
      <c r="AA2613" s="114"/>
      <c r="AB2613" s="113"/>
      <c r="AC2613" s="105" t="s">
        <v>5895</v>
      </c>
      <c r="AD2613" s="115" t="s">
        <v>49</v>
      </c>
    </row>
    <row r="2614" spans="1:30" x14ac:dyDescent="0.2">
      <c r="A2614" s="104" t="s">
        <v>5896</v>
      </c>
      <c r="B2614" s="105" t="s">
        <v>255</v>
      </c>
      <c r="C2614" s="105" t="s">
        <v>3433</v>
      </c>
      <c r="D2614" s="106"/>
      <c r="E2614" s="107"/>
      <c r="F2614" s="108" t="s">
        <v>5897</v>
      </c>
      <c r="G2614" s="120">
        <v>2</v>
      </c>
      <c r="H2614" s="108" t="s">
        <v>19928</v>
      </c>
      <c r="I2614" s="117">
        <v>2</v>
      </c>
      <c r="J2614" s="113"/>
      <c r="K2614" s="108" t="s">
        <v>19929</v>
      </c>
      <c r="L2614" s="117">
        <v>2</v>
      </c>
      <c r="M2614" s="113"/>
      <c r="N2614" s="108" t="s">
        <v>5897</v>
      </c>
      <c r="O2614" s="117">
        <v>2</v>
      </c>
      <c r="P2614" s="113"/>
      <c r="Q2614" s="108" t="s">
        <v>19930</v>
      </c>
      <c r="R2614" s="117">
        <v>2</v>
      </c>
      <c r="S2614" s="113"/>
      <c r="T2614" s="108" t="s">
        <v>19931</v>
      </c>
      <c r="U2614" s="117">
        <v>2</v>
      </c>
      <c r="V2614" s="113"/>
      <c r="W2614" s="108" t="s">
        <v>47</v>
      </c>
      <c r="X2614" s="114"/>
      <c r="Y2614" s="113"/>
      <c r="Z2614" s="108" t="s">
        <v>47</v>
      </c>
      <c r="AA2614" s="114"/>
      <c r="AB2614" s="113"/>
      <c r="AC2614" s="105" t="s">
        <v>5898</v>
      </c>
      <c r="AD2614" s="115" t="s">
        <v>49</v>
      </c>
    </row>
    <row r="2615" spans="1:30" x14ac:dyDescent="0.2">
      <c r="A2615" s="104" t="s">
        <v>5899</v>
      </c>
      <c r="B2615" s="105" t="s">
        <v>255</v>
      </c>
      <c r="C2615" s="105" t="s">
        <v>3433</v>
      </c>
      <c r="D2615" s="106"/>
      <c r="E2615" s="107"/>
      <c r="F2615" s="108" t="s">
        <v>19932</v>
      </c>
      <c r="G2615" s="109">
        <v>4</v>
      </c>
      <c r="H2615" s="108" t="s">
        <v>19933</v>
      </c>
      <c r="I2615" s="112">
        <v>4</v>
      </c>
      <c r="J2615" s="113"/>
      <c r="K2615" s="108" t="s">
        <v>5900</v>
      </c>
      <c r="L2615" s="112">
        <v>4</v>
      </c>
      <c r="M2615" s="113"/>
      <c r="N2615" s="108" t="s">
        <v>19932</v>
      </c>
      <c r="O2615" s="112">
        <v>4</v>
      </c>
      <c r="P2615" s="113"/>
      <c r="Q2615" s="108" t="s">
        <v>19934</v>
      </c>
      <c r="R2615" s="112">
        <v>4</v>
      </c>
      <c r="S2615" s="113"/>
      <c r="T2615" s="108" t="s">
        <v>19935</v>
      </c>
      <c r="U2615" s="112">
        <v>4</v>
      </c>
      <c r="V2615" s="113"/>
      <c r="W2615" s="108" t="s">
        <v>19936</v>
      </c>
      <c r="X2615" s="112">
        <v>4</v>
      </c>
      <c r="Y2615" s="113"/>
      <c r="Z2615" s="108" t="s">
        <v>19937</v>
      </c>
      <c r="AA2615" s="112">
        <v>4</v>
      </c>
      <c r="AB2615" s="113"/>
      <c r="AC2615" s="105" t="s">
        <v>5901</v>
      </c>
      <c r="AD2615" s="115" t="s">
        <v>49</v>
      </c>
    </row>
    <row r="2616" spans="1:30" x14ac:dyDescent="0.2">
      <c r="A2616" s="104" t="s">
        <v>5902</v>
      </c>
      <c r="B2616" s="105" t="s">
        <v>255</v>
      </c>
      <c r="C2616" s="105" t="s">
        <v>3433</v>
      </c>
      <c r="D2616" s="106"/>
      <c r="E2616" s="107"/>
      <c r="F2616" s="108" t="s">
        <v>19938</v>
      </c>
      <c r="G2616" s="109">
        <v>4</v>
      </c>
      <c r="H2616" s="108" t="s">
        <v>19939</v>
      </c>
      <c r="I2616" s="112">
        <v>4</v>
      </c>
      <c r="J2616" s="113"/>
      <c r="K2616" s="108" t="s">
        <v>19940</v>
      </c>
      <c r="L2616" s="112">
        <v>4</v>
      </c>
      <c r="M2616" s="113"/>
      <c r="N2616" s="108" t="s">
        <v>19938</v>
      </c>
      <c r="O2616" s="112">
        <v>4</v>
      </c>
      <c r="P2616" s="113"/>
      <c r="Q2616" s="108" t="s">
        <v>19941</v>
      </c>
      <c r="R2616" s="112">
        <v>4</v>
      </c>
      <c r="S2616" s="113"/>
      <c r="T2616" s="108" t="s">
        <v>19942</v>
      </c>
      <c r="U2616" s="112">
        <v>4</v>
      </c>
      <c r="V2616" s="113"/>
      <c r="W2616" s="108" t="s">
        <v>19943</v>
      </c>
      <c r="X2616" s="112">
        <v>4</v>
      </c>
      <c r="Y2616" s="113"/>
      <c r="Z2616" s="108" t="s">
        <v>19944</v>
      </c>
      <c r="AA2616" s="112">
        <v>4</v>
      </c>
      <c r="AB2616" s="113"/>
      <c r="AC2616" s="105" t="s">
        <v>5903</v>
      </c>
      <c r="AD2616" s="115" t="s">
        <v>49</v>
      </c>
    </row>
    <row r="2617" spans="1:30" x14ac:dyDescent="0.2">
      <c r="A2617" s="104" t="s">
        <v>5904</v>
      </c>
      <c r="B2617" s="105" t="s">
        <v>255</v>
      </c>
      <c r="C2617" s="105" t="s">
        <v>160</v>
      </c>
      <c r="D2617" s="106"/>
      <c r="E2617" s="107"/>
      <c r="F2617" s="108" t="s">
        <v>19945</v>
      </c>
      <c r="G2617" s="120">
        <v>2</v>
      </c>
      <c r="H2617" s="108" t="s">
        <v>19946</v>
      </c>
      <c r="I2617" s="117">
        <v>2</v>
      </c>
      <c r="J2617" s="113"/>
      <c r="K2617" s="108" t="s">
        <v>19947</v>
      </c>
      <c r="L2617" s="117">
        <v>2</v>
      </c>
      <c r="M2617" s="113"/>
      <c r="N2617" s="108" t="s">
        <v>19945</v>
      </c>
      <c r="O2617" s="117">
        <v>2</v>
      </c>
      <c r="P2617" s="113"/>
      <c r="Q2617" s="108" t="s">
        <v>19948</v>
      </c>
      <c r="R2617" s="110">
        <v>3</v>
      </c>
      <c r="S2617" s="113"/>
      <c r="T2617" s="108" t="s">
        <v>19949</v>
      </c>
      <c r="U2617" s="110">
        <v>3</v>
      </c>
      <c r="V2617" s="113"/>
      <c r="W2617" s="108" t="s">
        <v>19950</v>
      </c>
      <c r="X2617" s="117">
        <v>2</v>
      </c>
      <c r="Y2617" s="113"/>
      <c r="Z2617" s="108" t="s">
        <v>47</v>
      </c>
      <c r="AA2617" s="114"/>
      <c r="AB2617" s="113"/>
      <c r="AC2617" s="105" t="s">
        <v>5905</v>
      </c>
      <c r="AD2617" s="115" t="s">
        <v>107</v>
      </c>
    </row>
    <row r="2618" spans="1:30" x14ac:dyDescent="0.2">
      <c r="A2618" s="104" t="s">
        <v>5906</v>
      </c>
      <c r="B2618" s="105" t="s">
        <v>255</v>
      </c>
      <c r="C2618" s="105" t="s">
        <v>160</v>
      </c>
      <c r="D2618" s="106"/>
      <c r="E2618" s="107"/>
      <c r="F2618" s="108" t="s">
        <v>19951</v>
      </c>
      <c r="G2618" s="119">
        <v>1</v>
      </c>
      <c r="H2618" s="108" t="s">
        <v>19952</v>
      </c>
      <c r="I2618" s="116">
        <v>1</v>
      </c>
      <c r="J2618" s="113"/>
      <c r="K2618" s="108" t="s">
        <v>19953</v>
      </c>
      <c r="L2618" s="116">
        <v>1</v>
      </c>
      <c r="M2618" s="113"/>
      <c r="N2618" s="108" t="s">
        <v>19951</v>
      </c>
      <c r="O2618" s="116">
        <v>1</v>
      </c>
      <c r="P2618" s="111" t="s">
        <v>40</v>
      </c>
      <c r="Q2618" s="108" t="s">
        <v>19954</v>
      </c>
      <c r="R2618" s="117">
        <v>2</v>
      </c>
      <c r="S2618" s="113"/>
      <c r="T2618" s="108" t="s">
        <v>19955</v>
      </c>
      <c r="U2618" s="116">
        <v>1</v>
      </c>
      <c r="V2618" s="113"/>
      <c r="W2618" s="108" t="s">
        <v>19956</v>
      </c>
      <c r="X2618" s="117">
        <v>2</v>
      </c>
      <c r="Y2618" s="113"/>
      <c r="Z2618" s="108" t="s">
        <v>19957</v>
      </c>
      <c r="AA2618" s="117">
        <v>2</v>
      </c>
      <c r="AB2618" s="113"/>
      <c r="AC2618" s="105" t="s">
        <v>5907</v>
      </c>
      <c r="AD2618" s="115" t="s">
        <v>107</v>
      </c>
    </row>
    <row r="2619" spans="1:30" x14ac:dyDescent="0.2">
      <c r="A2619" s="104" t="s">
        <v>5908</v>
      </c>
      <c r="B2619" s="105" t="s">
        <v>255</v>
      </c>
      <c r="C2619" s="105" t="s">
        <v>160</v>
      </c>
      <c r="D2619" s="106"/>
      <c r="E2619" s="107"/>
      <c r="F2619" s="108" t="s">
        <v>19958</v>
      </c>
      <c r="G2619" s="119">
        <v>1</v>
      </c>
      <c r="H2619" s="108" t="s">
        <v>19959</v>
      </c>
      <c r="I2619" s="116">
        <v>1</v>
      </c>
      <c r="J2619" s="113"/>
      <c r="K2619" s="108" t="s">
        <v>19960</v>
      </c>
      <c r="L2619" s="116">
        <v>1</v>
      </c>
      <c r="M2619" s="113"/>
      <c r="N2619" s="108" t="s">
        <v>19958</v>
      </c>
      <c r="O2619" s="116">
        <v>1</v>
      </c>
      <c r="P2619" s="113"/>
      <c r="Q2619" s="108" t="s">
        <v>19961</v>
      </c>
      <c r="R2619" s="116">
        <v>1</v>
      </c>
      <c r="S2619" s="113"/>
      <c r="T2619" s="108" t="s">
        <v>47</v>
      </c>
      <c r="U2619" s="114"/>
      <c r="V2619" s="113"/>
      <c r="W2619" s="108" t="s">
        <v>47</v>
      </c>
      <c r="X2619" s="114"/>
      <c r="Y2619" s="113"/>
      <c r="Z2619" s="108" t="s">
        <v>47</v>
      </c>
      <c r="AA2619" s="114"/>
      <c r="AB2619" s="113"/>
      <c r="AC2619" s="105" t="s">
        <v>5909</v>
      </c>
      <c r="AD2619" s="115" t="s">
        <v>107</v>
      </c>
    </row>
    <row r="2620" spans="1:30" x14ac:dyDescent="0.2">
      <c r="A2620" s="104" t="s">
        <v>5910</v>
      </c>
      <c r="B2620" s="105" t="s">
        <v>255</v>
      </c>
      <c r="C2620" s="105" t="s">
        <v>160</v>
      </c>
      <c r="D2620" s="106"/>
      <c r="E2620" s="107"/>
      <c r="F2620" s="108" t="s">
        <v>19962</v>
      </c>
      <c r="G2620" s="118">
        <v>3</v>
      </c>
      <c r="H2620" s="108" t="s">
        <v>10598</v>
      </c>
      <c r="I2620" s="110">
        <v>3</v>
      </c>
      <c r="J2620" s="113"/>
      <c r="K2620" s="108" t="s">
        <v>19963</v>
      </c>
      <c r="L2620" s="110">
        <v>3</v>
      </c>
      <c r="M2620" s="113"/>
      <c r="N2620" s="108" t="s">
        <v>19962</v>
      </c>
      <c r="O2620" s="110">
        <v>3</v>
      </c>
      <c r="P2620" s="113"/>
      <c r="Q2620" s="108" t="s">
        <v>19964</v>
      </c>
      <c r="R2620" s="110">
        <v>3</v>
      </c>
      <c r="S2620" s="113"/>
      <c r="T2620" s="108" t="s">
        <v>19965</v>
      </c>
      <c r="U2620" s="110">
        <v>3</v>
      </c>
      <c r="V2620" s="113"/>
      <c r="W2620" s="108" t="s">
        <v>47</v>
      </c>
      <c r="X2620" s="114"/>
      <c r="Y2620" s="113"/>
      <c r="Z2620" s="108" t="s">
        <v>47</v>
      </c>
      <c r="AA2620" s="114"/>
      <c r="AB2620" s="113"/>
      <c r="AC2620" s="105" t="s">
        <v>5911</v>
      </c>
      <c r="AD2620" s="115" t="s">
        <v>107</v>
      </c>
    </row>
    <row r="2621" spans="1:30" x14ac:dyDescent="0.2">
      <c r="A2621" s="104" t="s">
        <v>5912</v>
      </c>
      <c r="B2621" s="105" t="s">
        <v>255</v>
      </c>
      <c r="C2621" s="105" t="s">
        <v>495</v>
      </c>
      <c r="D2621" s="106" t="s">
        <v>125</v>
      </c>
      <c r="E2621" s="107" t="s">
        <v>99</v>
      </c>
      <c r="F2621" s="108" t="s">
        <v>19966</v>
      </c>
      <c r="G2621" s="118">
        <v>3</v>
      </c>
      <c r="H2621" s="108" t="s">
        <v>19967</v>
      </c>
      <c r="I2621" s="117">
        <v>2</v>
      </c>
      <c r="J2621" s="111" t="s">
        <v>46</v>
      </c>
      <c r="K2621" s="108" t="s">
        <v>19968</v>
      </c>
      <c r="L2621" s="117">
        <v>2</v>
      </c>
      <c r="M2621" s="113"/>
      <c r="N2621" s="108" t="s">
        <v>19966</v>
      </c>
      <c r="O2621" s="110">
        <v>3</v>
      </c>
      <c r="P2621" s="113"/>
      <c r="Q2621" s="108" t="s">
        <v>19969</v>
      </c>
      <c r="R2621" s="110">
        <v>3</v>
      </c>
      <c r="S2621" s="113"/>
      <c r="T2621" s="108" t="s">
        <v>19970</v>
      </c>
      <c r="U2621" s="112">
        <v>4</v>
      </c>
      <c r="V2621" s="113"/>
      <c r="W2621" s="108" t="s">
        <v>19971</v>
      </c>
      <c r="X2621" s="110">
        <v>3</v>
      </c>
      <c r="Y2621" s="113"/>
      <c r="Z2621" s="108" t="s">
        <v>47</v>
      </c>
      <c r="AA2621" s="114"/>
      <c r="AB2621" s="113"/>
      <c r="AC2621" s="105" t="s">
        <v>5913</v>
      </c>
      <c r="AD2621" s="115" t="s">
        <v>49</v>
      </c>
    </row>
    <row r="2622" spans="1:30" x14ac:dyDescent="0.2">
      <c r="A2622" s="104" t="s">
        <v>5914</v>
      </c>
      <c r="B2622" s="105" t="s">
        <v>255</v>
      </c>
      <c r="C2622" s="105" t="s">
        <v>495</v>
      </c>
      <c r="D2622" s="106" t="s">
        <v>125</v>
      </c>
      <c r="E2622" s="107" t="s">
        <v>99</v>
      </c>
      <c r="F2622" s="108" t="s">
        <v>19972</v>
      </c>
      <c r="G2622" s="118">
        <v>3</v>
      </c>
      <c r="H2622" s="108" t="s">
        <v>19973</v>
      </c>
      <c r="I2622" s="117">
        <v>2</v>
      </c>
      <c r="J2622" s="111" t="s">
        <v>46</v>
      </c>
      <c r="K2622" s="108" t="s">
        <v>19974</v>
      </c>
      <c r="L2622" s="117">
        <v>2</v>
      </c>
      <c r="M2622" s="111" t="s">
        <v>40</v>
      </c>
      <c r="N2622" s="108" t="s">
        <v>19972</v>
      </c>
      <c r="O2622" s="110">
        <v>3</v>
      </c>
      <c r="P2622" s="113"/>
      <c r="Q2622" s="108" t="s">
        <v>19975</v>
      </c>
      <c r="R2622" s="110">
        <v>3</v>
      </c>
      <c r="S2622" s="113"/>
      <c r="T2622" s="108" t="s">
        <v>19976</v>
      </c>
      <c r="U2622" s="112">
        <v>4</v>
      </c>
      <c r="V2622" s="113"/>
      <c r="W2622" s="108" t="s">
        <v>19977</v>
      </c>
      <c r="X2622" s="110">
        <v>3</v>
      </c>
      <c r="Y2622" s="111" t="s">
        <v>40</v>
      </c>
      <c r="Z2622" s="108" t="s">
        <v>19978</v>
      </c>
      <c r="AA2622" s="110">
        <v>3</v>
      </c>
      <c r="AB2622" s="111" t="s">
        <v>46</v>
      </c>
      <c r="AC2622" s="105" t="s">
        <v>5915</v>
      </c>
      <c r="AD2622" s="115" t="s">
        <v>49</v>
      </c>
    </row>
    <row r="2623" spans="1:30" x14ac:dyDescent="0.2">
      <c r="A2623" s="104" t="s">
        <v>5916</v>
      </c>
      <c r="B2623" s="105" t="s">
        <v>255</v>
      </c>
      <c r="C2623" s="105" t="s">
        <v>508</v>
      </c>
      <c r="D2623" s="106" t="s">
        <v>94</v>
      </c>
      <c r="E2623" s="107" t="s">
        <v>146</v>
      </c>
      <c r="F2623" s="108" t="s">
        <v>19979</v>
      </c>
      <c r="G2623" s="119">
        <v>1</v>
      </c>
      <c r="H2623" s="108" t="s">
        <v>19980</v>
      </c>
      <c r="I2623" s="116">
        <v>1</v>
      </c>
      <c r="J2623" s="113"/>
      <c r="K2623" s="108" t="s">
        <v>19981</v>
      </c>
      <c r="L2623" s="116">
        <v>1</v>
      </c>
      <c r="M2623" s="113"/>
      <c r="N2623" s="108" t="s">
        <v>19979</v>
      </c>
      <c r="O2623" s="116">
        <v>1</v>
      </c>
      <c r="P2623" s="113"/>
      <c r="Q2623" s="108" t="s">
        <v>8110</v>
      </c>
      <c r="R2623" s="116">
        <v>1</v>
      </c>
      <c r="S2623" s="113"/>
      <c r="T2623" s="108" t="s">
        <v>19982</v>
      </c>
      <c r="U2623" s="116">
        <v>1</v>
      </c>
      <c r="V2623" s="113"/>
      <c r="W2623" s="108" t="s">
        <v>19983</v>
      </c>
      <c r="X2623" s="117">
        <v>2</v>
      </c>
      <c r="Y2623" s="113"/>
      <c r="Z2623" s="108" t="s">
        <v>19984</v>
      </c>
      <c r="AA2623" s="117">
        <v>2</v>
      </c>
      <c r="AB2623" s="111" t="s">
        <v>46</v>
      </c>
      <c r="AC2623" s="105" t="s">
        <v>5917</v>
      </c>
      <c r="AD2623" s="115" t="s">
        <v>49</v>
      </c>
    </row>
    <row r="2624" spans="1:30" x14ac:dyDescent="0.2">
      <c r="A2624" s="104" t="s">
        <v>5918</v>
      </c>
      <c r="B2624" s="105" t="s">
        <v>255</v>
      </c>
      <c r="C2624" s="105" t="s">
        <v>508</v>
      </c>
      <c r="D2624" s="106" t="s">
        <v>125</v>
      </c>
      <c r="E2624" s="107" t="s">
        <v>146</v>
      </c>
      <c r="F2624" s="108" t="s">
        <v>19985</v>
      </c>
      <c r="G2624" s="119">
        <v>1</v>
      </c>
      <c r="H2624" s="108" t="s">
        <v>19986</v>
      </c>
      <c r="I2624" s="116">
        <v>1</v>
      </c>
      <c r="J2624" s="111" t="s">
        <v>53</v>
      </c>
      <c r="K2624" s="108" t="s">
        <v>19987</v>
      </c>
      <c r="L2624" s="116">
        <v>1</v>
      </c>
      <c r="M2624" s="113"/>
      <c r="N2624" s="108" t="s">
        <v>19985</v>
      </c>
      <c r="O2624" s="116">
        <v>1</v>
      </c>
      <c r="P2624" s="113"/>
      <c r="Q2624" s="108" t="s">
        <v>19988</v>
      </c>
      <c r="R2624" s="117">
        <v>2</v>
      </c>
      <c r="S2624" s="113"/>
      <c r="T2624" s="108" t="s">
        <v>19989</v>
      </c>
      <c r="U2624" s="117">
        <v>2</v>
      </c>
      <c r="V2624" s="111" t="s">
        <v>40</v>
      </c>
      <c r="W2624" s="108" t="s">
        <v>19990</v>
      </c>
      <c r="X2624" s="110">
        <v>3</v>
      </c>
      <c r="Y2624" s="113"/>
      <c r="Z2624" s="108" t="s">
        <v>47</v>
      </c>
      <c r="AA2624" s="114"/>
      <c r="AB2624" s="113"/>
      <c r="AC2624" s="105" t="s">
        <v>5919</v>
      </c>
      <c r="AD2624" s="115" t="s">
        <v>49</v>
      </c>
    </row>
    <row r="2625" spans="1:30" x14ac:dyDescent="0.2">
      <c r="A2625" s="104" t="s">
        <v>5920</v>
      </c>
      <c r="B2625" s="105" t="s">
        <v>255</v>
      </c>
      <c r="C2625" s="105" t="s">
        <v>513</v>
      </c>
      <c r="D2625" s="106" t="s">
        <v>298</v>
      </c>
      <c r="E2625" s="107"/>
      <c r="F2625" s="108" t="s">
        <v>19991</v>
      </c>
      <c r="G2625" s="120">
        <v>2</v>
      </c>
      <c r="H2625" s="108" t="s">
        <v>19992</v>
      </c>
      <c r="I2625" s="116">
        <v>1</v>
      </c>
      <c r="J2625" s="111" t="s">
        <v>40</v>
      </c>
      <c r="K2625" s="108" t="s">
        <v>19993</v>
      </c>
      <c r="L2625" s="116">
        <v>1</v>
      </c>
      <c r="M2625" s="113"/>
      <c r="N2625" s="108" t="s">
        <v>19991</v>
      </c>
      <c r="O2625" s="117">
        <v>2</v>
      </c>
      <c r="P2625" s="113"/>
      <c r="Q2625" s="108" t="s">
        <v>19994</v>
      </c>
      <c r="R2625" s="117">
        <v>2</v>
      </c>
      <c r="S2625" s="113"/>
      <c r="T2625" s="108" t="s">
        <v>19995</v>
      </c>
      <c r="U2625" s="110">
        <v>3</v>
      </c>
      <c r="V2625" s="111" t="s">
        <v>40</v>
      </c>
      <c r="W2625" s="108" t="s">
        <v>19996</v>
      </c>
      <c r="X2625" s="112">
        <v>4</v>
      </c>
      <c r="Y2625" s="113"/>
      <c r="Z2625" s="108" t="s">
        <v>19997</v>
      </c>
      <c r="AA2625" s="112">
        <v>4</v>
      </c>
      <c r="AB2625" s="113"/>
      <c r="AC2625" s="105" t="s">
        <v>5921</v>
      </c>
      <c r="AD2625" s="115" t="s">
        <v>49</v>
      </c>
    </row>
    <row r="2626" spans="1:30" x14ac:dyDescent="0.2">
      <c r="A2626" s="104" t="s">
        <v>5922</v>
      </c>
      <c r="B2626" s="105" t="s">
        <v>255</v>
      </c>
      <c r="C2626" s="105" t="s">
        <v>638</v>
      </c>
      <c r="D2626" s="106" t="s">
        <v>125</v>
      </c>
      <c r="E2626" s="107"/>
      <c r="F2626" s="108" t="s">
        <v>19998</v>
      </c>
      <c r="G2626" s="118">
        <v>3</v>
      </c>
      <c r="H2626" s="108" t="s">
        <v>19999</v>
      </c>
      <c r="I2626" s="116">
        <v>1</v>
      </c>
      <c r="J2626" s="111" t="s">
        <v>53</v>
      </c>
      <c r="K2626" s="108" t="s">
        <v>20000</v>
      </c>
      <c r="L2626" s="116">
        <v>1</v>
      </c>
      <c r="M2626" s="111" t="s">
        <v>53</v>
      </c>
      <c r="N2626" s="108" t="s">
        <v>19998</v>
      </c>
      <c r="O2626" s="110">
        <v>3</v>
      </c>
      <c r="P2626" s="113"/>
      <c r="Q2626" s="108" t="s">
        <v>20001</v>
      </c>
      <c r="R2626" s="112">
        <v>4</v>
      </c>
      <c r="S2626" s="113"/>
      <c r="T2626" s="108" t="s">
        <v>20002</v>
      </c>
      <c r="U2626" s="117">
        <v>2</v>
      </c>
      <c r="V2626" s="113"/>
      <c r="W2626" s="108" t="s">
        <v>20003</v>
      </c>
      <c r="X2626" s="117">
        <v>2</v>
      </c>
      <c r="Y2626" s="113"/>
      <c r="Z2626" s="108" t="s">
        <v>20004</v>
      </c>
      <c r="AA2626" s="110">
        <v>3</v>
      </c>
      <c r="AB2626" s="111" t="s">
        <v>46</v>
      </c>
      <c r="AC2626" s="105" t="s">
        <v>5923</v>
      </c>
      <c r="AD2626" s="115" t="s">
        <v>49</v>
      </c>
    </row>
    <row r="2627" spans="1:30" x14ac:dyDescent="0.2">
      <c r="A2627" s="104" t="s">
        <v>5924</v>
      </c>
      <c r="B2627" s="105" t="s">
        <v>255</v>
      </c>
      <c r="C2627" s="105" t="s">
        <v>638</v>
      </c>
      <c r="D2627" s="106" t="s">
        <v>125</v>
      </c>
      <c r="E2627" s="107"/>
      <c r="F2627" s="108" t="s">
        <v>20005</v>
      </c>
      <c r="G2627" s="118">
        <v>3</v>
      </c>
      <c r="H2627" s="108" t="s">
        <v>20006</v>
      </c>
      <c r="I2627" s="116">
        <v>1</v>
      </c>
      <c r="J2627" s="111" t="s">
        <v>53</v>
      </c>
      <c r="K2627" s="108" t="s">
        <v>20007</v>
      </c>
      <c r="L2627" s="116">
        <v>1</v>
      </c>
      <c r="M2627" s="111" t="s">
        <v>53</v>
      </c>
      <c r="N2627" s="108" t="s">
        <v>20005</v>
      </c>
      <c r="O2627" s="110">
        <v>3</v>
      </c>
      <c r="P2627" s="113"/>
      <c r="Q2627" s="108" t="s">
        <v>20008</v>
      </c>
      <c r="R2627" s="112">
        <v>4</v>
      </c>
      <c r="S2627" s="113"/>
      <c r="T2627" s="108" t="s">
        <v>20009</v>
      </c>
      <c r="U2627" s="117">
        <v>2</v>
      </c>
      <c r="V2627" s="113"/>
      <c r="W2627" s="108" t="s">
        <v>20010</v>
      </c>
      <c r="X2627" s="117">
        <v>2</v>
      </c>
      <c r="Y2627" s="113"/>
      <c r="Z2627" s="108" t="s">
        <v>20011</v>
      </c>
      <c r="AA2627" s="110">
        <v>3</v>
      </c>
      <c r="AB2627" s="111" t="s">
        <v>46</v>
      </c>
      <c r="AC2627" s="105" t="s">
        <v>5925</v>
      </c>
      <c r="AD2627" s="115" t="s">
        <v>49</v>
      </c>
    </row>
    <row r="2628" spans="1:30" x14ac:dyDescent="0.2">
      <c r="A2628" s="104" t="s">
        <v>5926</v>
      </c>
      <c r="B2628" s="105" t="s">
        <v>255</v>
      </c>
      <c r="C2628" s="105" t="s">
        <v>638</v>
      </c>
      <c r="D2628" s="106" t="s">
        <v>94</v>
      </c>
      <c r="E2628" s="107"/>
      <c r="F2628" s="108" t="s">
        <v>20012</v>
      </c>
      <c r="G2628" s="120">
        <v>2</v>
      </c>
      <c r="H2628" s="108" t="s">
        <v>20013</v>
      </c>
      <c r="I2628" s="116">
        <v>1</v>
      </c>
      <c r="J2628" s="111" t="s">
        <v>40</v>
      </c>
      <c r="K2628" s="108" t="s">
        <v>20014</v>
      </c>
      <c r="L2628" s="116">
        <v>1</v>
      </c>
      <c r="M2628" s="111" t="s">
        <v>53</v>
      </c>
      <c r="N2628" s="108" t="s">
        <v>20012</v>
      </c>
      <c r="O2628" s="117">
        <v>2</v>
      </c>
      <c r="P2628" s="111" t="s">
        <v>40</v>
      </c>
      <c r="Q2628" s="108" t="s">
        <v>20015</v>
      </c>
      <c r="R2628" s="110">
        <v>3</v>
      </c>
      <c r="S2628" s="113"/>
      <c r="T2628" s="108" t="s">
        <v>20016</v>
      </c>
      <c r="U2628" s="116">
        <v>1</v>
      </c>
      <c r="V2628" s="113"/>
      <c r="W2628" s="108" t="s">
        <v>20017</v>
      </c>
      <c r="X2628" s="116">
        <v>1</v>
      </c>
      <c r="Y2628" s="113"/>
      <c r="Z2628" s="108" t="s">
        <v>47</v>
      </c>
      <c r="AA2628" s="114"/>
      <c r="AB2628" s="113"/>
      <c r="AC2628" s="105" t="s">
        <v>5927</v>
      </c>
      <c r="AD2628" s="115" t="s">
        <v>49</v>
      </c>
    </row>
    <row r="2629" spans="1:30" x14ac:dyDescent="0.2">
      <c r="A2629" s="104" t="s">
        <v>5928</v>
      </c>
      <c r="B2629" s="105" t="s">
        <v>255</v>
      </c>
      <c r="C2629" s="105" t="s">
        <v>4217</v>
      </c>
      <c r="D2629" s="106" t="s">
        <v>105</v>
      </c>
      <c r="E2629" s="107"/>
      <c r="F2629" s="108" t="s">
        <v>20018</v>
      </c>
      <c r="G2629" s="118">
        <v>3</v>
      </c>
      <c r="H2629" s="108" t="s">
        <v>20019</v>
      </c>
      <c r="I2629" s="116">
        <v>1</v>
      </c>
      <c r="J2629" s="111" t="s">
        <v>53</v>
      </c>
      <c r="K2629" s="108" t="s">
        <v>20020</v>
      </c>
      <c r="L2629" s="116">
        <v>1</v>
      </c>
      <c r="M2629" s="113"/>
      <c r="N2629" s="108" t="s">
        <v>20018</v>
      </c>
      <c r="O2629" s="110">
        <v>3</v>
      </c>
      <c r="P2629" s="113"/>
      <c r="Q2629" s="108" t="s">
        <v>20021</v>
      </c>
      <c r="R2629" s="110">
        <v>3</v>
      </c>
      <c r="S2629" s="111" t="s">
        <v>40</v>
      </c>
      <c r="T2629" s="108" t="s">
        <v>10374</v>
      </c>
      <c r="U2629" s="117">
        <v>2</v>
      </c>
      <c r="V2629" s="113"/>
      <c r="W2629" s="108" t="s">
        <v>20022</v>
      </c>
      <c r="X2629" s="117">
        <v>2</v>
      </c>
      <c r="Y2629" s="111" t="s">
        <v>40</v>
      </c>
      <c r="Z2629" s="108" t="s">
        <v>12210</v>
      </c>
      <c r="AA2629" s="117">
        <v>2</v>
      </c>
      <c r="AB2629" s="111" t="s">
        <v>53</v>
      </c>
      <c r="AC2629" s="105" t="s">
        <v>5929</v>
      </c>
      <c r="AD2629" s="115" t="s">
        <v>49</v>
      </c>
    </row>
    <row r="2630" spans="1:30" x14ac:dyDescent="0.2">
      <c r="A2630" s="104" t="s">
        <v>5930</v>
      </c>
      <c r="B2630" s="105" t="s">
        <v>255</v>
      </c>
      <c r="C2630" s="105" t="s">
        <v>1110</v>
      </c>
      <c r="D2630" s="106" t="s">
        <v>125</v>
      </c>
      <c r="E2630" s="107"/>
      <c r="F2630" s="108" t="s">
        <v>20023</v>
      </c>
      <c r="G2630" s="109">
        <v>4</v>
      </c>
      <c r="H2630" s="108" t="s">
        <v>20024</v>
      </c>
      <c r="I2630" s="116">
        <v>1</v>
      </c>
      <c r="J2630" s="111" t="s">
        <v>157</v>
      </c>
      <c r="K2630" s="108" t="s">
        <v>5931</v>
      </c>
      <c r="L2630" s="112">
        <v>4</v>
      </c>
      <c r="M2630" s="113"/>
      <c r="N2630" s="108" t="s">
        <v>20023</v>
      </c>
      <c r="O2630" s="112">
        <v>4</v>
      </c>
      <c r="P2630" s="113"/>
      <c r="Q2630" s="108" t="s">
        <v>20025</v>
      </c>
      <c r="R2630" s="116">
        <v>1</v>
      </c>
      <c r="S2630" s="111" t="s">
        <v>53</v>
      </c>
      <c r="T2630" s="108" t="s">
        <v>20026</v>
      </c>
      <c r="U2630" s="112">
        <v>4</v>
      </c>
      <c r="V2630" s="113"/>
      <c r="W2630" s="108" t="s">
        <v>20027</v>
      </c>
      <c r="X2630" s="110">
        <v>3</v>
      </c>
      <c r="Y2630" s="113"/>
      <c r="Z2630" s="108" t="s">
        <v>20028</v>
      </c>
      <c r="AA2630" s="110">
        <v>3</v>
      </c>
      <c r="AB2630" s="111" t="s">
        <v>46</v>
      </c>
      <c r="AC2630" s="105" t="s">
        <v>5932</v>
      </c>
      <c r="AD2630" s="115" t="s">
        <v>49</v>
      </c>
    </row>
    <row r="2631" spans="1:30" x14ac:dyDescent="0.2">
      <c r="A2631" s="104" t="s">
        <v>5933</v>
      </c>
      <c r="B2631" s="105" t="s">
        <v>255</v>
      </c>
      <c r="C2631" s="105" t="s">
        <v>1110</v>
      </c>
      <c r="D2631" s="106" t="s">
        <v>105</v>
      </c>
      <c r="E2631" s="107"/>
      <c r="F2631" s="108" t="s">
        <v>20029</v>
      </c>
      <c r="G2631" s="109">
        <v>4</v>
      </c>
      <c r="H2631" s="108" t="s">
        <v>20030</v>
      </c>
      <c r="I2631" s="116">
        <v>1</v>
      </c>
      <c r="J2631" s="111" t="s">
        <v>157</v>
      </c>
      <c r="K2631" s="108" t="s">
        <v>20031</v>
      </c>
      <c r="L2631" s="112">
        <v>4</v>
      </c>
      <c r="M2631" s="113"/>
      <c r="N2631" s="108" t="s">
        <v>20029</v>
      </c>
      <c r="O2631" s="112">
        <v>4</v>
      </c>
      <c r="P2631" s="113"/>
      <c r="Q2631" s="108" t="s">
        <v>20032</v>
      </c>
      <c r="R2631" s="116">
        <v>1</v>
      </c>
      <c r="S2631" s="111" t="s">
        <v>157</v>
      </c>
      <c r="T2631" s="108" t="s">
        <v>20033</v>
      </c>
      <c r="U2631" s="112">
        <v>4</v>
      </c>
      <c r="V2631" s="113"/>
      <c r="W2631" s="108" t="s">
        <v>20034</v>
      </c>
      <c r="X2631" s="112">
        <v>4</v>
      </c>
      <c r="Y2631" s="113"/>
      <c r="Z2631" s="108" t="s">
        <v>20035</v>
      </c>
      <c r="AA2631" s="112">
        <v>4</v>
      </c>
      <c r="AB2631" s="113"/>
      <c r="AC2631" s="105" t="s">
        <v>5934</v>
      </c>
      <c r="AD2631" s="115" t="s">
        <v>49</v>
      </c>
    </row>
    <row r="2632" spans="1:30" x14ac:dyDescent="0.2">
      <c r="A2632" s="104" t="s">
        <v>5935</v>
      </c>
      <c r="B2632" s="105" t="s">
        <v>255</v>
      </c>
      <c r="C2632" s="105" t="s">
        <v>1241</v>
      </c>
      <c r="D2632" s="106" t="s">
        <v>125</v>
      </c>
      <c r="E2632" s="107"/>
      <c r="F2632" s="108" t="s">
        <v>20036</v>
      </c>
      <c r="G2632" s="120">
        <v>2</v>
      </c>
      <c r="H2632" s="108" t="s">
        <v>20037</v>
      </c>
      <c r="I2632" s="116">
        <v>1</v>
      </c>
      <c r="J2632" s="111" t="s">
        <v>53</v>
      </c>
      <c r="K2632" s="108" t="s">
        <v>20038</v>
      </c>
      <c r="L2632" s="116">
        <v>1</v>
      </c>
      <c r="M2632" s="113"/>
      <c r="N2632" s="108" t="s">
        <v>20036</v>
      </c>
      <c r="O2632" s="117">
        <v>2</v>
      </c>
      <c r="P2632" s="113"/>
      <c r="Q2632" s="108" t="s">
        <v>20039</v>
      </c>
      <c r="R2632" s="117">
        <v>2</v>
      </c>
      <c r="S2632" s="111" t="s">
        <v>40</v>
      </c>
      <c r="T2632" s="108" t="s">
        <v>20040</v>
      </c>
      <c r="U2632" s="117">
        <v>2</v>
      </c>
      <c r="V2632" s="113"/>
      <c r="W2632" s="108" t="s">
        <v>20041</v>
      </c>
      <c r="X2632" s="116">
        <v>1</v>
      </c>
      <c r="Y2632" s="113"/>
      <c r="Z2632" s="108" t="s">
        <v>20042</v>
      </c>
      <c r="AA2632" s="110">
        <v>3</v>
      </c>
      <c r="AB2632" s="113"/>
      <c r="AC2632" s="105" t="s">
        <v>5936</v>
      </c>
      <c r="AD2632" s="115" t="s">
        <v>49</v>
      </c>
    </row>
    <row r="2633" spans="1:30" x14ac:dyDescent="0.2">
      <c r="A2633" s="104" t="s">
        <v>5937</v>
      </c>
      <c r="B2633" s="105" t="s">
        <v>255</v>
      </c>
      <c r="C2633" s="105" t="s">
        <v>582</v>
      </c>
      <c r="D2633" s="106" t="s">
        <v>125</v>
      </c>
      <c r="E2633" s="107"/>
      <c r="F2633" s="108" t="s">
        <v>20043</v>
      </c>
      <c r="G2633" s="118">
        <v>3</v>
      </c>
      <c r="H2633" s="108" t="s">
        <v>20044</v>
      </c>
      <c r="I2633" s="117">
        <v>2</v>
      </c>
      <c r="J2633" s="111" t="s">
        <v>40</v>
      </c>
      <c r="K2633" s="108" t="s">
        <v>20045</v>
      </c>
      <c r="L2633" s="110">
        <v>3</v>
      </c>
      <c r="M2633" s="111" t="s">
        <v>40</v>
      </c>
      <c r="N2633" s="108" t="s">
        <v>20043</v>
      </c>
      <c r="O2633" s="110">
        <v>3</v>
      </c>
      <c r="P2633" s="113"/>
      <c r="Q2633" s="108" t="s">
        <v>20046</v>
      </c>
      <c r="R2633" s="110">
        <v>3</v>
      </c>
      <c r="S2633" s="113"/>
      <c r="T2633" s="108" t="s">
        <v>20047</v>
      </c>
      <c r="U2633" s="110">
        <v>3</v>
      </c>
      <c r="V2633" s="113"/>
      <c r="W2633" s="108" t="s">
        <v>20048</v>
      </c>
      <c r="X2633" s="117">
        <v>2</v>
      </c>
      <c r="Y2633" s="113"/>
      <c r="Z2633" s="108" t="s">
        <v>20049</v>
      </c>
      <c r="AA2633" s="110">
        <v>3</v>
      </c>
      <c r="AB2633" s="113"/>
      <c r="AC2633" s="105" t="s">
        <v>5938</v>
      </c>
      <c r="AD2633" s="115" t="s">
        <v>49</v>
      </c>
    </row>
    <row r="2634" spans="1:30" x14ac:dyDescent="0.2">
      <c r="A2634" s="104" t="s">
        <v>5939</v>
      </c>
      <c r="B2634" s="105" t="s">
        <v>255</v>
      </c>
      <c r="C2634" s="105" t="s">
        <v>582</v>
      </c>
      <c r="D2634" s="106" t="s">
        <v>125</v>
      </c>
      <c r="E2634" s="107"/>
      <c r="F2634" s="108" t="s">
        <v>20050</v>
      </c>
      <c r="G2634" s="118">
        <v>3</v>
      </c>
      <c r="H2634" s="108" t="s">
        <v>20051</v>
      </c>
      <c r="I2634" s="117">
        <v>2</v>
      </c>
      <c r="J2634" s="111" t="s">
        <v>40</v>
      </c>
      <c r="K2634" s="108" t="s">
        <v>20052</v>
      </c>
      <c r="L2634" s="110">
        <v>3</v>
      </c>
      <c r="M2634" s="111" t="s">
        <v>40</v>
      </c>
      <c r="N2634" s="108" t="s">
        <v>20050</v>
      </c>
      <c r="O2634" s="110">
        <v>3</v>
      </c>
      <c r="P2634" s="113"/>
      <c r="Q2634" s="108" t="s">
        <v>20053</v>
      </c>
      <c r="R2634" s="110">
        <v>3</v>
      </c>
      <c r="S2634" s="113"/>
      <c r="T2634" s="108" t="s">
        <v>20054</v>
      </c>
      <c r="U2634" s="110">
        <v>3</v>
      </c>
      <c r="V2634" s="113"/>
      <c r="W2634" s="108" t="s">
        <v>20055</v>
      </c>
      <c r="X2634" s="117">
        <v>2</v>
      </c>
      <c r="Y2634" s="113"/>
      <c r="Z2634" s="108" t="s">
        <v>20056</v>
      </c>
      <c r="AA2634" s="110">
        <v>3</v>
      </c>
      <c r="AB2634" s="113"/>
      <c r="AC2634" s="105" t="s">
        <v>5940</v>
      </c>
      <c r="AD2634" s="115" t="s">
        <v>49</v>
      </c>
    </row>
    <row r="2635" spans="1:30" x14ac:dyDescent="0.2">
      <c r="A2635" s="104" t="s">
        <v>5941</v>
      </c>
      <c r="B2635" s="105" t="s">
        <v>255</v>
      </c>
      <c r="C2635" s="105" t="s">
        <v>582</v>
      </c>
      <c r="D2635" s="106" t="s">
        <v>125</v>
      </c>
      <c r="E2635" s="107"/>
      <c r="F2635" s="108" t="s">
        <v>20057</v>
      </c>
      <c r="G2635" s="120">
        <v>2</v>
      </c>
      <c r="H2635" s="108" t="s">
        <v>20058</v>
      </c>
      <c r="I2635" s="116">
        <v>1</v>
      </c>
      <c r="J2635" s="111" t="s">
        <v>53</v>
      </c>
      <c r="K2635" s="108" t="s">
        <v>20059</v>
      </c>
      <c r="L2635" s="117">
        <v>2</v>
      </c>
      <c r="M2635" s="111" t="s">
        <v>40</v>
      </c>
      <c r="N2635" s="108" t="s">
        <v>20057</v>
      </c>
      <c r="O2635" s="117">
        <v>2</v>
      </c>
      <c r="P2635" s="113"/>
      <c r="Q2635" s="108" t="s">
        <v>20060</v>
      </c>
      <c r="R2635" s="116">
        <v>1</v>
      </c>
      <c r="S2635" s="111" t="s">
        <v>40</v>
      </c>
      <c r="T2635" s="108" t="s">
        <v>20061</v>
      </c>
      <c r="U2635" s="110">
        <v>3</v>
      </c>
      <c r="V2635" s="113"/>
      <c r="W2635" s="108" t="s">
        <v>20062</v>
      </c>
      <c r="X2635" s="110">
        <v>3</v>
      </c>
      <c r="Y2635" s="113"/>
      <c r="Z2635" s="108" t="s">
        <v>20063</v>
      </c>
      <c r="AA2635" s="112">
        <v>4</v>
      </c>
      <c r="AB2635" s="113"/>
      <c r="AC2635" s="105" t="s">
        <v>5942</v>
      </c>
      <c r="AD2635" s="115" t="s">
        <v>49</v>
      </c>
    </row>
    <row r="2636" spans="1:30" x14ac:dyDescent="0.2">
      <c r="A2636" s="104" t="s">
        <v>5943</v>
      </c>
      <c r="B2636" s="105" t="s">
        <v>255</v>
      </c>
      <c r="C2636" s="105" t="s">
        <v>582</v>
      </c>
      <c r="D2636" s="106" t="s">
        <v>105</v>
      </c>
      <c r="E2636" s="107"/>
      <c r="F2636" s="108" t="s">
        <v>20064</v>
      </c>
      <c r="G2636" s="120">
        <v>2</v>
      </c>
      <c r="H2636" s="108" t="s">
        <v>20065</v>
      </c>
      <c r="I2636" s="116">
        <v>1</v>
      </c>
      <c r="J2636" s="111" t="s">
        <v>53</v>
      </c>
      <c r="K2636" s="108" t="s">
        <v>20066</v>
      </c>
      <c r="L2636" s="117">
        <v>2</v>
      </c>
      <c r="M2636" s="111" t="s">
        <v>40</v>
      </c>
      <c r="N2636" s="108" t="s">
        <v>20064</v>
      </c>
      <c r="O2636" s="117">
        <v>2</v>
      </c>
      <c r="P2636" s="113"/>
      <c r="Q2636" s="108" t="s">
        <v>19211</v>
      </c>
      <c r="R2636" s="116">
        <v>1</v>
      </c>
      <c r="S2636" s="111" t="s">
        <v>40</v>
      </c>
      <c r="T2636" s="108" t="s">
        <v>20067</v>
      </c>
      <c r="U2636" s="112">
        <v>4</v>
      </c>
      <c r="V2636" s="113"/>
      <c r="W2636" s="108" t="s">
        <v>20068</v>
      </c>
      <c r="X2636" s="110">
        <v>3</v>
      </c>
      <c r="Y2636" s="113"/>
      <c r="Z2636" s="108" t="s">
        <v>20069</v>
      </c>
      <c r="AA2636" s="112">
        <v>4</v>
      </c>
      <c r="AB2636" s="113"/>
      <c r="AC2636" s="105" t="s">
        <v>5944</v>
      </c>
      <c r="AD2636" s="115" t="s">
        <v>49</v>
      </c>
    </row>
    <row r="2637" spans="1:30" x14ac:dyDescent="0.2">
      <c r="A2637" s="104" t="s">
        <v>5945</v>
      </c>
      <c r="B2637" s="105" t="s">
        <v>255</v>
      </c>
      <c r="C2637" s="105" t="s">
        <v>582</v>
      </c>
      <c r="D2637" s="106" t="s">
        <v>125</v>
      </c>
      <c r="E2637" s="107"/>
      <c r="F2637" s="108" t="s">
        <v>20070</v>
      </c>
      <c r="G2637" s="120">
        <v>2</v>
      </c>
      <c r="H2637" s="108" t="s">
        <v>20071</v>
      </c>
      <c r="I2637" s="116">
        <v>1</v>
      </c>
      <c r="J2637" s="111" t="s">
        <v>53</v>
      </c>
      <c r="K2637" s="108" t="s">
        <v>20072</v>
      </c>
      <c r="L2637" s="117">
        <v>2</v>
      </c>
      <c r="M2637" s="111" t="s">
        <v>40</v>
      </c>
      <c r="N2637" s="108" t="s">
        <v>20070</v>
      </c>
      <c r="O2637" s="117">
        <v>2</v>
      </c>
      <c r="P2637" s="113"/>
      <c r="Q2637" s="108" t="s">
        <v>20073</v>
      </c>
      <c r="R2637" s="117">
        <v>2</v>
      </c>
      <c r="S2637" s="113"/>
      <c r="T2637" s="108" t="s">
        <v>20074</v>
      </c>
      <c r="U2637" s="110">
        <v>3</v>
      </c>
      <c r="V2637" s="113"/>
      <c r="W2637" s="108" t="s">
        <v>20075</v>
      </c>
      <c r="X2637" s="117">
        <v>2</v>
      </c>
      <c r="Y2637" s="113"/>
      <c r="Z2637" s="108" t="s">
        <v>20076</v>
      </c>
      <c r="AA2637" s="112">
        <v>4</v>
      </c>
      <c r="AB2637" s="111" t="s">
        <v>46</v>
      </c>
      <c r="AC2637" s="105" t="s">
        <v>5946</v>
      </c>
      <c r="AD2637" s="115" t="s">
        <v>49</v>
      </c>
    </row>
    <row r="2638" spans="1:30" x14ac:dyDescent="0.2">
      <c r="A2638" s="104" t="s">
        <v>5947</v>
      </c>
      <c r="B2638" s="105" t="s">
        <v>255</v>
      </c>
      <c r="C2638" s="105" t="s">
        <v>582</v>
      </c>
      <c r="D2638" s="106" t="s">
        <v>125</v>
      </c>
      <c r="E2638" s="107"/>
      <c r="F2638" s="108" t="s">
        <v>20077</v>
      </c>
      <c r="G2638" s="120">
        <v>2</v>
      </c>
      <c r="H2638" s="108" t="s">
        <v>20078</v>
      </c>
      <c r="I2638" s="116">
        <v>1</v>
      </c>
      <c r="J2638" s="111" t="s">
        <v>53</v>
      </c>
      <c r="K2638" s="108" t="s">
        <v>20079</v>
      </c>
      <c r="L2638" s="117">
        <v>2</v>
      </c>
      <c r="M2638" s="111" t="s">
        <v>40</v>
      </c>
      <c r="N2638" s="108" t="s">
        <v>20077</v>
      </c>
      <c r="O2638" s="117">
        <v>2</v>
      </c>
      <c r="P2638" s="113"/>
      <c r="Q2638" s="108" t="s">
        <v>20080</v>
      </c>
      <c r="R2638" s="117">
        <v>2</v>
      </c>
      <c r="S2638" s="113"/>
      <c r="T2638" s="108" t="s">
        <v>20081</v>
      </c>
      <c r="U2638" s="110">
        <v>3</v>
      </c>
      <c r="V2638" s="113"/>
      <c r="W2638" s="108" t="s">
        <v>20082</v>
      </c>
      <c r="X2638" s="117">
        <v>2</v>
      </c>
      <c r="Y2638" s="113"/>
      <c r="Z2638" s="108" t="s">
        <v>20083</v>
      </c>
      <c r="AA2638" s="112">
        <v>4</v>
      </c>
      <c r="AB2638" s="111" t="s">
        <v>46</v>
      </c>
      <c r="AC2638" s="105" t="s">
        <v>5948</v>
      </c>
      <c r="AD2638" s="115" t="s">
        <v>49</v>
      </c>
    </row>
    <row r="2639" spans="1:30" x14ac:dyDescent="0.2">
      <c r="A2639" s="104" t="s">
        <v>5949</v>
      </c>
      <c r="B2639" s="105" t="s">
        <v>255</v>
      </c>
      <c r="C2639" s="105" t="s">
        <v>582</v>
      </c>
      <c r="D2639" s="106" t="s">
        <v>94</v>
      </c>
      <c r="E2639" s="107"/>
      <c r="F2639" s="108" t="s">
        <v>20084</v>
      </c>
      <c r="G2639" s="119">
        <v>1</v>
      </c>
      <c r="H2639" s="108" t="s">
        <v>20085</v>
      </c>
      <c r="I2639" s="116">
        <v>1</v>
      </c>
      <c r="J2639" s="113"/>
      <c r="K2639" s="108" t="s">
        <v>20086</v>
      </c>
      <c r="L2639" s="116">
        <v>1</v>
      </c>
      <c r="M2639" s="113"/>
      <c r="N2639" s="108" t="s">
        <v>20084</v>
      </c>
      <c r="O2639" s="116">
        <v>1</v>
      </c>
      <c r="P2639" s="113"/>
      <c r="Q2639" s="108" t="s">
        <v>20087</v>
      </c>
      <c r="R2639" s="110">
        <v>3</v>
      </c>
      <c r="S2639" s="111" t="s">
        <v>46</v>
      </c>
      <c r="T2639" s="108" t="s">
        <v>20088</v>
      </c>
      <c r="U2639" s="116">
        <v>1</v>
      </c>
      <c r="V2639" s="113"/>
      <c r="W2639" s="108" t="s">
        <v>20089</v>
      </c>
      <c r="X2639" s="116">
        <v>1</v>
      </c>
      <c r="Y2639" s="113"/>
      <c r="Z2639" s="108" t="s">
        <v>20090</v>
      </c>
      <c r="AA2639" s="117">
        <v>2</v>
      </c>
      <c r="AB2639" s="113"/>
      <c r="AC2639" s="105" t="s">
        <v>5950</v>
      </c>
      <c r="AD2639" s="115" t="s">
        <v>49</v>
      </c>
    </row>
    <row r="2640" spans="1:30" x14ac:dyDescent="0.2">
      <c r="A2640" s="104" t="s">
        <v>5951</v>
      </c>
      <c r="B2640" s="105" t="s">
        <v>255</v>
      </c>
      <c r="C2640" s="105" t="s">
        <v>2716</v>
      </c>
      <c r="D2640" s="106" t="s">
        <v>105</v>
      </c>
      <c r="E2640" s="107"/>
      <c r="F2640" s="108" t="s">
        <v>20091</v>
      </c>
      <c r="G2640" s="118">
        <v>3</v>
      </c>
      <c r="H2640" s="108" t="s">
        <v>20092</v>
      </c>
      <c r="I2640" s="116">
        <v>1</v>
      </c>
      <c r="J2640" s="111" t="s">
        <v>40</v>
      </c>
      <c r="K2640" s="108" t="s">
        <v>20093</v>
      </c>
      <c r="L2640" s="117">
        <v>2</v>
      </c>
      <c r="M2640" s="113"/>
      <c r="N2640" s="108" t="s">
        <v>20091</v>
      </c>
      <c r="O2640" s="110">
        <v>3</v>
      </c>
      <c r="P2640" s="113"/>
      <c r="Q2640" s="108" t="s">
        <v>20094</v>
      </c>
      <c r="R2640" s="112">
        <v>4</v>
      </c>
      <c r="S2640" s="113"/>
      <c r="T2640" s="108" t="s">
        <v>20095</v>
      </c>
      <c r="U2640" s="112">
        <v>4</v>
      </c>
      <c r="V2640" s="113"/>
      <c r="W2640" s="108" t="s">
        <v>47</v>
      </c>
      <c r="X2640" s="114"/>
      <c r="Y2640" s="113"/>
      <c r="Z2640" s="108" t="s">
        <v>47</v>
      </c>
      <c r="AA2640" s="114"/>
      <c r="AB2640" s="113"/>
      <c r="AC2640" s="105" t="s">
        <v>5952</v>
      </c>
      <c r="AD2640" s="115" t="s">
        <v>49</v>
      </c>
    </row>
    <row r="2641" spans="1:30" x14ac:dyDescent="0.2">
      <c r="A2641" s="104" t="s">
        <v>5953</v>
      </c>
      <c r="B2641" s="105" t="s">
        <v>255</v>
      </c>
      <c r="C2641" s="105" t="s">
        <v>3692</v>
      </c>
      <c r="D2641" s="106"/>
      <c r="E2641" s="107"/>
      <c r="F2641" s="108" t="s">
        <v>20096</v>
      </c>
      <c r="G2641" s="118">
        <v>3</v>
      </c>
      <c r="H2641" s="108" t="s">
        <v>20097</v>
      </c>
      <c r="I2641" s="116">
        <v>1</v>
      </c>
      <c r="J2641" s="111" t="s">
        <v>53</v>
      </c>
      <c r="K2641" s="108" t="s">
        <v>20098</v>
      </c>
      <c r="L2641" s="110">
        <v>3</v>
      </c>
      <c r="M2641" s="113"/>
      <c r="N2641" s="108" t="s">
        <v>20096</v>
      </c>
      <c r="O2641" s="110">
        <v>3</v>
      </c>
      <c r="P2641" s="111" t="s">
        <v>40</v>
      </c>
      <c r="Q2641" s="108" t="s">
        <v>20099</v>
      </c>
      <c r="R2641" s="112">
        <v>4</v>
      </c>
      <c r="S2641" s="113"/>
      <c r="T2641" s="108" t="s">
        <v>47</v>
      </c>
      <c r="U2641" s="114"/>
      <c r="V2641" s="113"/>
      <c r="W2641" s="108" t="s">
        <v>47</v>
      </c>
      <c r="X2641" s="114"/>
      <c r="Y2641" s="113"/>
      <c r="Z2641" s="108" t="s">
        <v>47</v>
      </c>
      <c r="AA2641" s="114"/>
      <c r="AB2641" s="113"/>
      <c r="AC2641" s="105" t="s">
        <v>5954</v>
      </c>
      <c r="AD2641" s="115" t="s">
        <v>49</v>
      </c>
    </row>
    <row r="2642" spans="1:30" x14ac:dyDescent="0.2">
      <c r="A2642" s="104" t="s">
        <v>5955</v>
      </c>
      <c r="B2642" s="105" t="s">
        <v>42</v>
      </c>
      <c r="C2642" s="105" t="s">
        <v>3841</v>
      </c>
      <c r="D2642" s="106"/>
      <c r="E2642" s="107"/>
      <c r="F2642" s="108" t="s">
        <v>4867</v>
      </c>
      <c r="G2642" s="109">
        <v>4</v>
      </c>
      <c r="H2642" s="108" t="s">
        <v>8844</v>
      </c>
      <c r="I2642" s="110">
        <v>3</v>
      </c>
      <c r="J2642" s="111" t="s">
        <v>40</v>
      </c>
      <c r="K2642" s="108" t="s">
        <v>5694</v>
      </c>
      <c r="L2642" s="112">
        <v>4</v>
      </c>
      <c r="M2642" s="111" t="s">
        <v>46</v>
      </c>
      <c r="N2642" s="108" t="s">
        <v>4867</v>
      </c>
      <c r="O2642" s="112">
        <v>4</v>
      </c>
      <c r="P2642" s="113"/>
      <c r="Q2642" s="108" t="s">
        <v>5694</v>
      </c>
      <c r="R2642" s="112">
        <v>4</v>
      </c>
      <c r="S2642" s="113"/>
      <c r="T2642" s="108" t="s">
        <v>5956</v>
      </c>
      <c r="U2642" s="112">
        <v>4</v>
      </c>
      <c r="V2642" s="113"/>
      <c r="W2642" s="108" t="s">
        <v>15416</v>
      </c>
      <c r="X2642" s="117">
        <v>2</v>
      </c>
      <c r="Y2642" s="111" t="s">
        <v>46</v>
      </c>
      <c r="Z2642" s="108" t="s">
        <v>5957</v>
      </c>
      <c r="AA2642" s="116">
        <v>1</v>
      </c>
      <c r="AB2642" s="111" t="s">
        <v>157</v>
      </c>
      <c r="AC2642" s="105" t="s">
        <v>5958</v>
      </c>
      <c r="AD2642" s="115" t="s">
        <v>49</v>
      </c>
    </row>
    <row r="2643" spans="1:30" x14ac:dyDescent="0.2">
      <c r="A2643" s="104" t="s">
        <v>5959</v>
      </c>
      <c r="B2643" s="105" t="s">
        <v>255</v>
      </c>
      <c r="C2643" s="105" t="s">
        <v>384</v>
      </c>
      <c r="D2643" s="106"/>
      <c r="E2643" s="107"/>
      <c r="F2643" s="108" t="s">
        <v>20100</v>
      </c>
      <c r="G2643" s="118">
        <v>3</v>
      </c>
      <c r="H2643" s="108" t="s">
        <v>20101</v>
      </c>
      <c r="I2643" s="110">
        <v>3</v>
      </c>
      <c r="J2643" s="111" t="s">
        <v>55</v>
      </c>
      <c r="K2643" s="108" t="s">
        <v>20102</v>
      </c>
      <c r="L2643" s="116">
        <v>1</v>
      </c>
      <c r="M2643" s="111" t="s">
        <v>40</v>
      </c>
      <c r="N2643" s="108" t="s">
        <v>20100</v>
      </c>
      <c r="O2643" s="110">
        <v>3</v>
      </c>
      <c r="P2643" s="111" t="s">
        <v>46</v>
      </c>
      <c r="Q2643" s="108" t="s">
        <v>20103</v>
      </c>
      <c r="R2643" s="110">
        <v>3</v>
      </c>
      <c r="S2643" s="111" t="s">
        <v>40</v>
      </c>
      <c r="T2643" s="108" t="s">
        <v>47</v>
      </c>
      <c r="U2643" s="114"/>
      <c r="V2643" s="113"/>
      <c r="W2643" s="108" t="s">
        <v>47</v>
      </c>
      <c r="X2643" s="114"/>
      <c r="Y2643" s="113"/>
      <c r="Z2643" s="108" t="s">
        <v>47</v>
      </c>
      <c r="AA2643" s="114"/>
      <c r="AB2643" s="113"/>
      <c r="AC2643" s="105" t="s">
        <v>5960</v>
      </c>
      <c r="AD2643" s="115" t="s">
        <v>49</v>
      </c>
    </row>
    <row r="2644" spans="1:30" x14ac:dyDescent="0.2">
      <c r="A2644" s="104" t="s">
        <v>5961</v>
      </c>
      <c r="B2644" s="105" t="s">
        <v>255</v>
      </c>
      <c r="C2644" s="105" t="s">
        <v>384</v>
      </c>
      <c r="D2644" s="106"/>
      <c r="E2644" s="107"/>
      <c r="F2644" s="108" t="s">
        <v>20104</v>
      </c>
      <c r="G2644" s="118">
        <v>3</v>
      </c>
      <c r="H2644" s="108" t="s">
        <v>20101</v>
      </c>
      <c r="I2644" s="110">
        <v>3</v>
      </c>
      <c r="J2644" s="111" t="s">
        <v>55</v>
      </c>
      <c r="K2644" s="108" t="s">
        <v>20105</v>
      </c>
      <c r="L2644" s="116">
        <v>1</v>
      </c>
      <c r="M2644" s="111" t="s">
        <v>40</v>
      </c>
      <c r="N2644" s="108" t="s">
        <v>20104</v>
      </c>
      <c r="O2644" s="110">
        <v>3</v>
      </c>
      <c r="P2644" s="111" t="s">
        <v>46</v>
      </c>
      <c r="Q2644" s="108" t="s">
        <v>20106</v>
      </c>
      <c r="R2644" s="110">
        <v>3</v>
      </c>
      <c r="S2644" s="111" t="s">
        <v>40</v>
      </c>
      <c r="T2644" s="108" t="s">
        <v>47</v>
      </c>
      <c r="U2644" s="114"/>
      <c r="V2644" s="113"/>
      <c r="W2644" s="108" t="s">
        <v>47</v>
      </c>
      <c r="X2644" s="114"/>
      <c r="Y2644" s="113"/>
      <c r="Z2644" s="108" t="s">
        <v>47</v>
      </c>
      <c r="AA2644" s="114"/>
      <c r="AB2644" s="113"/>
      <c r="AC2644" s="105" t="s">
        <v>5962</v>
      </c>
      <c r="AD2644" s="115" t="s">
        <v>49</v>
      </c>
    </row>
    <row r="2645" spans="1:30" x14ac:dyDescent="0.2">
      <c r="A2645" s="104" t="s">
        <v>5963</v>
      </c>
      <c r="B2645" s="105" t="s">
        <v>255</v>
      </c>
      <c r="C2645" s="105" t="s">
        <v>384</v>
      </c>
      <c r="D2645" s="106"/>
      <c r="E2645" s="107"/>
      <c r="F2645" s="108" t="s">
        <v>20100</v>
      </c>
      <c r="G2645" s="118">
        <v>3</v>
      </c>
      <c r="H2645" s="108" t="s">
        <v>20101</v>
      </c>
      <c r="I2645" s="110">
        <v>3</v>
      </c>
      <c r="J2645" s="111" t="s">
        <v>55</v>
      </c>
      <c r="K2645" s="108" t="s">
        <v>20102</v>
      </c>
      <c r="L2645" s="116">
        <v>1</v>
      </c>
      <c r="M2645" s="111" t="s">
        <v>40</v>
      </c>
      <c r="N2645" s="108" t="s">
        <v>20100</v>
      </c>
      <c r="O2645" s="110">
        <v>3</v>
      </c>
      <c r="P2645" s="111" t="s">
        <v>46</v>
      </c>
      <c r="Q2645" s="108" t="s">
        <v>20107</v>
      </c>
      <c r="R2645" s="110">
        <v>3</v>
      </c>
      <c r="S2645" s="111" t="s">
        <v>40</v>
      </c>
      <c r="T2645" s="108" t="s">
        <v>47</v>
      </c>
      <c r="U2645" s="114"/>
      <c r="V2645" s="113"/>
      <c r="W2645" s="108" t="s">
        <v>47</v>
      </c>
      <c r="X2645" s="114"/>
      <c r="Y2645" s="113"/>
      <c r="Z2645" s="108" t="s">
        <v>47</v>
      </c>
      <c r="AA2645" s="114"/>
      <c r="AB2645" s="113"/>
      <c r="AC2645" s="105" t="s">
        <v>5964</v>
      </c>
      <c r="AD2645" s="115" t="s">
        <v>49</v>
      </c>
    </row>
    <row r="2646" spans="1:30" x14ac:dyDescent="0.2">
      <c r="A2646" s="104" t="s">
        <v>5965</v>
      </c>
      <c r="B2646" s="105" t="s">
        <v>255</v>
      </c>
      <c r="C2646" s="105" t="s">
        <v>384</v>
      </c>
      <c r="D2646" s="106"/>
      <c r="E2646" s="107"/>
      <c r="F2646" s="108" t="s">
        <v>20108</v>
      </c>
      <c r="G2646" s="118">
        <v>3</v>
      </c>
      <c r="H2646" s="108" t="s">
        <v>20101</v>
      </c>
      <c r="I2646" s="110">
        <v>3</v>
      </c>
      <c r="J2646" s="111" t="s">
        <v>55</v>
      </c>
      <c r="K2646" s="108" t="s">
        <v>20102</v>
      </c>
      <c r="L2646" s="116">
        <v>1</v>
      </c>
      <c r="M2646" s="111" t="s">
        <v>40</v>
      </c>
      <c r="N2646" s="108" t="s">
        <v>20108</v>
      </c>
      <c r="O2646" s="110">
        <v>3</v>
      </c>
      <c r="P2646" s="111" t="s">
        <v>46</v>
      </c>
      <c r="Q2646" s="108" t="s">
        <v>20109</v>
      </c>
      <c r="R2646" s="110">
        <v>3</v>
      </c>
      <c r="S2646" s="111" t="s">
        <v>40</v>
      </c>
      <c r="T2646" s="108" t="s">
        <v>47</v>
      </c>
      <c r="U2646" s="114"/>
      <c r="V2646" s="113"/>
      <c r="W2646" s="108" t="s">
        <v>47</v>
      </c>
      <c r="X2646" s="114"/>
      <c r="Y2646" s="113"/>
      <c r="Z2646" s="108" t="s">
        <v>47</v>
      </c>
      <c r="AA2646" s="114"/>
      <c r="AB2646" s="113"/>
      <c r="AC2646" s="105" t="s">
        <v>5966</v>
      </c>
      <c r="AD2646" s="115" t="s">
        <v>49</v>
      </c>
    </row>
    <row r="2647" spans="1:30" x14ac:dyDescent="0.2">
      <c r="A2647" s="104" t="s">
        <v>5967</v>
      </c>
      <c r="B2647" s="105" t="s">
        <v>255</v>
      </c>
      <c r="C2647" s="105" t="s">
        <v>132</v>
      </c>
      <c r="D2647" s="106" t="s">
        <v>125</v>
      </c>
      <c r="E2647" s="107"/>
      <c r="F2647" s="108" t="s">
        <v>20110</v>
      </c>
      <c r="G2647" s="120">
        <v>2</v>
      </c>
      <c r="H2647" s="108" t="s">
        <v>20111</v>
      </c>
      <c r="I2647" s="110">
        <v>3</v>
      </c>
      <c r="J2647" s="111" t="s">
        <v>46</v>
      </c>
      <c r="K2647" s="108" t="s">
        <v>20112</v>
      </c>
      <c r="L2647" s="117">
        <v>2</v>
      </c>
      <c r="M2647" s="113"/>
      <c r="N2647" s="108" t="s">
        <v>20110</v>
      </c>
      <c r="O2647" s="117">
        <v>2</v>
      </c>
      <c r="P2647" s="113"/>
      <c r="Q2647" s="108" t="s">
        <v>5968</v>
      </c>
      <c r="R2647" s="117">
        <v>2</v>
      </c>
      <c r="S2647" s="113"/>
      <c r="T2647" s="108" t="s">
        <v>20113</v>
      </c>
      <c r="U2647" s="117">
        <v>2</v>
      </c>
      <c r="V2647" s="113"/>
      <c r="W2647" s="108" t="s">
        <v>20114</v>
      </c>
      <c r="X2647" s="117">
        <v>2</v>
      </c>
      <c r="Y2647" s="113"/>
      <c r="Z2647" s="108" t="s">
        <v>47</v>
      </c>
      <c r="AA2647" s="114"/>
      <c r="AB2647" s="113"/>
      <c r="AC2647" s="105" t="s">
        <v>5969</v>
      </c>
      <c r="AD2647" s="115" t="s">
        <v>49</v>
      </c>
    </row>
    <row r="2648" spans="1:30" x14ac:dyDescent="0.2">
      <c r="A2648" s="104" t="s">
        <v>5970</v>
      </c>
      <c r="B2648" s="105" t="s">
        <v>255</v>
      </c>
      <c r="C2648" s="105" t="s">
        <v>132</v>
      </c>
      <c r="D2648" s="106" t="s">
        <v>125</v>
      </c>
      <c r="E2648" s="107"/>
      <c r="F2648" s="108" t="s">
        <v>20115</v>
      </c>
      <c r="G2648" s="119">
        <v>1</v>
      </c>
      <c r="H2648" s="108" t="s">
        <v>20116</v>
      </c>
      <c r="I2648" s="117">
        <v>2</v>
      </c>
      <c r="J2648" s="113"/>
      <c r="K2648" s="108" t="s">
        <v>20117</v>
      </c>
      <c r="L2648" s="117">
        <v>2</v>
      </c>
      <c r="M2648" s="113"/>
      <c r="N2648" s="108" t="s">
        <v>20115</v>
      </c>
      <c r="O2648" s="116">
        <v>1</v>
      </c>
      <c r="P2648" s="113"/>
      <c r="Q2648" s="108" t="s">
        <v>20118</v>
      </c>
      <c r="R2648" s="116">
        <v>1</v>
      </c>
      <c r="S2648" s="113"/>
      <c r="T2648" s="108" t="s">
        <v>20119</v>
      </c>
      <c r="U2648" s="116">
        <v>1</v>
      </c>
      <c r="V2648" s="113"/>
      <c r="W2648" s="108" t="s">
        <v>20120</v>
      </c>
      <c r="X2648" s="117">
        <v>2</v>
      </c>
      <c r="Y2648" s="113"/>
      <c r="Z2648" s="108" t="s">
        <v>47</v>
      </c>
      <c r="AA2648" s="114"/>
      <c r="AB2648" s="113"/>
      <c r="AC2648" s="105" t="s">
        <v>5971</v>
      </c>
      <c r="AD2648" s="115" t="s">
        <v>49</v>
      </c>
    </row>
    <row r="2649" spans="1:30" x14ac:dyDescent="0.2">
      <c r="A2649" s="104" t="s">
        <v>5972</v>
      </c>
      <c r="B2649" s="105" t="s">
        <v>255</v>
      </c>
      <c r="C2649" s="105" t="s">
        <v>132</v>
      </c>
      <c r="D2649" s="106" t="s">
        <v>125</v>
      </c>
      <c r="E2649" s="107"/>
      <c r="F2649" s="108" t="s">
        <v>20121</v>
      </c>
      <c r="G2649" s="118">
        <v>3</v>
      </c>
      <c r="H2649" s="108" t="s">
        <v>20122</v>
      </c>
      <c r="I2649" s="110">
        <v>3</v>
      </c>
      <c r="J2649" s="113"/>
      <c r="K2649" s="108" t="s">
        <v>20123</v>
      </c>
      <c r="L2649" s="110">
        <v>3</v>
      </c>
      <c r="M2649" s="113"/>
      <c r="N2649" s="108" t="s">
        <v>20121</v>
      </c>
      <c r="O2649" s="110">
        <v>3</v>
      </c>
      <c r="P2649" s="113"/>
      <c r="Q2649" s="108" t="s">
        <v>5973</v>
      </c>
      <c r="R2649" s="110">
        <v>3</v>
      </c>
      <c r="S2649" s="113"/>
      <c r="T2649" s="108" t="s">
        <v>20124</v>
      </c>
      <c r="U2649" s="117">
        <v>2</v>
      </c>
      <c r="V2649" s="113"/>
      <c r="W2649" s="108" t="s">
        <v>20125</v>
      </c>
      <c r="X2649" s="110">
        <v>3</v>
      </c>
      <c r="Y2649" s="113"/>
      <c r="Z2649" s="108" t="s">
        <v>47</v>
      </c>
      <c r="AA2649" s="114"/>
      <c r="AB2649" s="113"/>
      <c r="AC2649" s="105" t="s">
        <v>5974</v>
      </c>
      <c r="AD2649" s="115" t="s">
        <v>49</v>
      </c>
    </row>
    <row r="2650" spans="1:30" x14ac:dyDescent="0.2">
      <c r="A2650" s="104" t="s">
        <v>5975</v>
      </c>
      <c r="B2650" s="105" t="s">
        <v>255</v>
      </c>
      <c r="C2650" s="105" t="s">
        <v>132</v>
      </c>
      <c r="D2650" s="106" t="s">
        <v>125</v>
      </c>
      <c r="E2650" s="107"/>
      <c r="F2650" s="108" t="s">
        <v>20126</v>
      </c>
      <c r="G2650" s="120">
        <v>2</v>
      </c>
      <c r="H2650" s="108" t="s">
        <v>20127</v>
      </c>
      <c r="I2650" s="117">
        <v>2</v>
      </c>
      <c r="J2650" s="113"/>
      <c r="K2650" s="108" t="s">
        <v>20128</v>
      </c>
      <c r="L2650" s="117">
        <v>2</v>
      </c>
      <c r="M2650" s="111" t="s">
        <v>40</v>
      </c>
      <c r="N2650" s="108" t="s">
        <v>20126</v>
      </c>
      <c r="O2650" s="117">
        <v>2</v>
      </c>
      <c r="P2650" s="111" t="s">
        <v>40</v>
      </c>
      <c r="Q2650" s="108" t="s">
        <v>20129</v>
      </c>
      <c r="R2650" s="117">
        <v>2</v>
      </c>
      <c r="S2650" s="113"/>
      <c r="T2650" s="108" t="s">
        <v>20130</v>
      </c>
      <c r="U2650" s="117">
        <v>2</v>
      </c>
      <c r="V2650" s="113"/>
      <c r="W2650" s="108" t="s">
        <v>20131</v>
      </c>
      <c r="X2650" s="117">
        <v>2</v>
      </c>
      <c r="Y2650" s="113"/>
      <c r="Z2650" s="108" t="s">
        <v>47</v>
      </c>
      <c r="AA2650" s="114"/>
      <c r="AB2650" s="113"/>
      <c r="AC2650" s="105" t="s">
        <v>5976</v>
      </c>
      <c r="AD2650" s="115" t="s">
        <v>49</v>
      </c>
    </row>
    <row r="2651" spans="1:30" x14ac:dyDescent="0.2">
      <c r="A2651" s="104" t="s">
        <v>5977</v>
      </c>
      <c r="B2651" s="105" t="s">
        <v>255</v>
      </c>
      <c r="C2651" s="105" t="s">
        <v>132</v>
      </c>
      <c r="D2651" s="106" t="s">
        <v>105</v>
      </c>
      <c r="E2651" s="107"/>
      <c r="F2651" s="108" t="s">
        <v>20132</v>
      </c>
      <c r="G2651" s="109">
        <v>4</v>
      </c>
      <c r="H2651" s="108" t="s">
        <v>20133</v>
      </c>
      <c r="I2651" s="110">
        <v>3</v>
      </c>
      <c r="J2651" s="111" t="s">
        <v>40</v>
      </c>
      <c r="K2651" s="108" t="s">
        <v>20134</v>
      </c>
      <c r="L2651" s="112">
        <v>4</v>
      </c>
      <c r="M2651" s="113"/>
      <c r="N2651" s="108" t="s">
        <v>20132</v>
      </c>
      <c r="O2651" s="112">
        <v>4</v>
      </c>
      <c r="P2651" s="113"/>
      <c r="Q2651" s="108" t="s">
        <v>20135</v>
      </c>
      <c r="R2651" s="112">
        <v>4</v>
      </c>
      <c r="S2651" s="113"/>
      <c r="T2651" s="108" t="s">
        <v>20136</v>
      </c>
      <c r="U2651" s="112">
        <v>4</v>
      </c>
      <c r="V2651" s="113"/>
      <c r="W2651" s="108" t="s">
        <v>20137</v>
      </c>
      <c r="X2651" s="112">
        <v>4</v>
      </c>
      <c r="Y2651" s="113"/>
      <c r="Z2651" s="108" t="s">
        <v>47</v>
      </c>
      <c r="AA2651" s="114"/>
      <c r="AB2651" s="113"/>
      <c r="AC2651" s="105" t="s">
        <v>5978</v>
      </c>
      <c r="AD2651" s="115" t="s">
        <v>49</v>
      </c>
    </row>
    <row r="2652" spans="1:30" x14ac:dyDescent="0.2">
      <c r="A2652" s="104" t="s">
        <v>5979</v>
      </c>
      <c r="B2652" s="105" t="s">
        <v>255</v>
      </c>
      <c r="C2652" s="105" t="s">
        <v>306</v>
      </c>
      <c r="D2652" s="106" t="s">
        <v>298</v>
      </c>
      <c r="E2652" s="107" t="s">
        <v>182</v>
      </c>
      <c r="F2652" s="108" t="s">
        <v>20138</v>
      </c>
      <c r="G2652" s="109">
        <v>4</v>
      </c>
      <c r="H2652" s="108" t="s">
        <v>20139</v>
      </c>
      <c r="I2652" s="112">
        <v>4</v>
      </c>
      <c r="J2652" s="113"/>
      <c r="K2652" s="108" t="s">
        <v>20140</v>
      </c>
      <c r="L2652" s="112">
        <v>4</v>
      </c>
      <c r="M2652" s="113"/>
      <c r="N2652" s="108" t="s">
        <v>20138</v>
      </c>
      <c r="O2652" s="112">
        <v>4</v>
      </c>
      <c r="P2652" s="111" t="s">
        <v>46</v>
      </c>
      <c r="Q2652" s="108" t="s">
        <v>20141</v>
      </c>
      <c r="R2652" s="110">
        <v>3</v>
      </c>
      <c r="S2652" s="111" t="s">
        <v>40</v>
      </c>
      <c r="T2652" s="108" t="s">
        <v>15470</v>
      </c>
      <c r="U2652" s="112">
        <v>4</v>
      </c>
      <c r="V2652" s="113"/>
      <c r="W2652" s="108" t="s">
        <v>20142</v>
      </c>
      <c r="X2652" s="112">
        <v>4</v>
      </c>
      <c r="Y2652" s="113"/>
      <c r="Z2652" s="108" t="s">
        <v>5931</v>
      </c>
      <c r="AA2652" s="112">
        <v>4</v>
      </c>
      <c r="AB2652" s="113"/>
      <c r="AC2652" s="105" t="s">
        <v>5980</v>
      </c>
      <c r="AD2652" s="115" t="s">
        <v>49</v>
      </c>
    </row>
    <row r="2653" spans="1:30" x14ac:dyDescent="0.2">
      <c r="A2653" s="104" t="s">
        <v>5981</v>
      </c>
      <c r="B2653" s="105" t="s">
        <v>4312</v>
      </c>
      <c r="C2653" s="105" t="s">
        <v>1787</v>
      </c>
      <c r="D2653" s="106"/>
      <c r="E2653" s="107"/>
      <c r="F2653" s="108" t="s">
        <v>47</v>
      </c>
      <c r="G2653" s="113"/>
      <c r="H2653" s="108" t="s">
        <v>47</v>
      </c>
      <c r="I2653" s="114"/>
      <c r="J2653" s="113"/>
      <c r="K2653" s="108" t="s">
        <v>47</v>
      </c>
      <c r="L2653" s="114"/>
      <c r="M2653" s="113"/>
      <c r="N2653" s="108" t="s">
        <v>47</v>
      </c>
      <c r="O2653" s="114"/>
      <c r="P2653" s="113"/>
      <c r="Q2653" s="108" t="s">
        <v>47</v>
      </c>
      <c r="R2653" s="114"/>
      <c r="S2653" s="113"/>
      <c r="T2653" s="108" t="s">
        <v>47</v>
      </c>
      <c r="U2653" s="114"/>
      <c r="V2653" s="113"/>
      <c r="W2653" s="108" t="s">
        <v>47</v>
      </c>
      <c r="X2653" s="114"/>
      <c r="Y2653" s="113"/>
      <c r="Z2653" s="108" t="s">
        <v>47</v>
      </c>
      <c r="AA2653" s="114"/>
      <c r="AB2653" s="113"/>
      <c r="AC2653" s="105" t="s">
        <v>5982</v>
      </c>
      <c r="AD2653" s="115" t="s">
        <v>4314</v>
      </c>
    </row>
    <row r="2654" spans="1:30" x14ac:dyDescent="0.2">
      <c r="A2654" s="104" t="s">
        <v>5983</v>
      </c>
      <c r="B2654" s="105" t="s">
        <v>111</v>
      </c>
      <c r="C2654" s="105" t="s">
        <v>112</v>
      </c>
      <c r="D2654" s="106"/>
      <c r="E2654" s="107"/>
      <c r="F2654" s="108" t="s">
        <v>20143</v>
      </c>
      <c r="G2654" s="120">
        <v>2</v>
      </c>
      <c r="H2654" s="108" t="s">
        <v>20144</v>
      </c>
      <c r="I2654" s="110">
        <v>3</v>
      </c>
      <c r="J2654" s="113"/>
      <c r="K2654" s="108" t="s">
        <v>20145</v>
      </c>
      <c r="L2654" s="110">
        <v>3</v>
      </c>
      <c r="M2654" s="111" t="s">
        <v>46</v>
      </c>
      <c r="N2654" s="108" t="s">
        <v>20143</v>
      </c>
      <c r="O2654" s="117">
        <v>2</v>
      </c>
      <c r="P2654" s="113"/>
      <c r="Q2654" s="108" t="s">
        <v>20146</v>
      </c>
      <c r="R2654" s="110">
        <v>3</v>
      </c>
      <c r="S2654" s="113"/>
      <c r="T2654" s="108" t="s">
        <v>20147</v>
      </c>
      <c r="U2654" s="112">
        <v>4</v>
      </c>
      <c r="V2654" s="113"/>
      <c r="W2654" s="108" t="s">
        <v>20148</v>
      </c>
      <c r="X2654" s="112">
        <v>4</v>
      </c>
      <c r="Y2654" s="113"/>
      <c r="Z2654" s="108" t="s">
        <v>20149</v>
      </c>
      <c r="AA2654" s="112">
        <v>4</v>
      </c>
      <c r="AB2654" s="113"/>
      <c r="AC2654" s="105" t="s">
        <v>5984</v>
      </c>
      <c r="AD2654" s="115" t="s">
        <v>114</v>
      </c>
    </row>
    <row r="2655" spans="1:30" x14ac:dyDescent="0.2">
      <c r="A2655" s="104" t="s">
        <v>5985</v>
      </c>
      <c r="B2655" s="105" t="s">
        <v>111</v>
      </c>
      <c r="C2655" s="105" t="s">
        <v>112</v>
      </c>
      <c r="D2655" s="106"/>
      <c r="E2655" s="107"/>
      <c r="F2655" s="108" t="s">
        <v>20150</v>
      </c>
      <c r="G2655" s="119">
        <v>1</v>
      </c>
      <c r="H2655" s="108" t="s">
        <v>20151</v>
      </c>
      <c r="I2655" s="116">
        <v>1</v>
      </c>
      <c r="J2655" s="113"/>
      <c r="K2655" s="108" t="s">
        <v>20152</v>
      </c>
      <c r="L2655" s="116">
        <v>1</v>
      </c>
      <c r="M2655" s="113"/>
      <c r="N2655" s="108" t="s">
        <v>20150</v>
      </c>
      <c r="O2655" s="116">
        <v>1</v>
      </c>
      <c r="P2655" s="113"/>
      <c r="Q2655" s="108" t="s">
        <v>20153</v>
      </c>
      <c r="R2655" s="116">
        <v>1</v>
      </c>
      <c r="S2655" s="113"/>
      <c r="T2655" s="108" t="s">
        <v>20154</v>
      </c>
      <c r="U2655" s="116">
        <v>1</v>
      </c>
      <c r="V2655" s="113"/>
      <c r="W2655" s="108" t="s">
        <v>20155</v>
      </c>
      <c r="X2655" s="116">
        <v>1</v>
      </c>
      <c r="Y2655" s="113"/>
      <c r="Z2655" s="108" t="s">
        <v>20156</v>
      </c>
      <c r="AA2655" s="116">
        <v>1</v>
      </c>
      <c r="AB2655" s="113"/>
      <c r="AC2655" s="105" t="s">
        <v>5986</v>
      </c>
      <c r="AD2655" s="115" t="s">
        <v>114</v>
      </c>
    </row>
    <row r="2656" spans="1:30" x14ac:dyDescent="0.2">
      <c r="A2656" s="104" t="s">
        <v>5987</v>
      </c>
      <c r="B2656" s="105" t="s">
        <v>255</v>
      </c>
      <c r="C2656" s="105" t="s">
        <v>5239</v>
      </c>
      <c r="D2656" s="106" t="s">
        <v>105</v>
      </c>
      <c r="E2656" s="107"/>
      <c r="F2656" s="108" t="s">
        <v>19489</v>
      </c>
      <c r="G2656" s="119">
        <v>1</v>
      </c>
      <c r="H2656" s="108" t="s">
        <v>20157</v>
      </c>
      <c r="I2656" s="112">
        <v>4</v>
      </c>
      <c r="J2656" s="111" t="s">
        <v>44</v>
      </c>
      <c r="K2656" s="108" t="s">
        <v>20158</v>
      </c>
      <c r="L2656" s="116">
        <v>1</v>
      </c>
      <c r="M2656" s="113"/>
      <c r="N2656" s="108" t="s">
        <v>19489</v>
      </c>
      <c r="O2656" s="116">
        <v>1</v>
      </c>
      <c r="P2656" s="113"/>
      <c r="Q2656" s="108" t="s">
        <v>20159</v>
      </c>
      <c r="R2656" s="117">
        <v>2</v>
      </c>
      <c r="S2656" s="111" t="s">
        <v>46</v>
      </c>
      <c r="T2656" s="108" t="s">
        <v>20160</v>
      </c>
      <c r="U2656" s="110">
        <v>3</v>
      </c>
      <c r="V2656" s="113"/>
      <c r="W2656" s="108" t="s">
        <v>20161</v>
      </c>
      <c r="X2656" s="110">
        <v>3</v>
      </c>
      <c r="Y2656" s="111" t="s">
        <v>46</v>
      </c>
      <c r="Z2656" s="108" t="s">
        <v>12130</v>
      </c>
      <c r="AA2656" s="112">
        <v>4</v>
      </c>
      <c r="AB2656" s="113"/>
      <c r="AC2656" s="105" t="s">
        <v>5988</v>
      </c>
      <c r="AD2656" s="115" t="s">
        <v>49</v>
      </c>
    </row>
    <row r="2657" spans="1:30" x14ac:dyDescent="0.2">
      <c r="A2657" s="104" t="s">
        <v>5989</v>
      </c>
      <c r="B2657" s="105" t="s">
        <v>255</v>
      </c>
      <c r="C2657" s="105" t="s">
        <v>5239</v>
      </c>
      <c r="D2657" s="106" t="s">
        <v>125</v>
      </c>
      <c r="E2657" s="107"/>
      <c r="F2657" s="108" t="s">
        <v>20162</v>
      </c>
      <c r="G2657" s="119">
        <v>1</v>
      </c>
      <c r="H2657" s="108" t="s">
        <v>20163</v>
      </c>
      <c r="I2657" s="112">
        <v>4</v>
      </c>
      <c r="J2657" s="111" t="s">
        <v>44</v>
      </c>
      <c r="K2657" s="108" t="s">
        <v>20164</v>
      </c>
      <c r="L2657" s="116">
        <v>1</v>
      </c>
      <c r="M2657" s="113"/>
      <c r="N2657" s="108" t="s">
        <v>20162</v>
      </c>
      <c r="O2657" s="116">
        <v>1</v>
      </c>
      <c r="P2657" s="113"/>
      <c r="Q2657" s="108" t="s">
        <v>20165</v>
      </c>
      <c r="R2657" s="116">
        <v>1</v>
      </c>
      <c r="S2657" s="113"/>
      <c r="T2657" s="108" t="s">
        <v>20166</v>
      </c>
      <c r="U2657" s="110">
        <v>3</v>
      </c>
      <c r="V2657" s="113"/>
      <c r="W2657" s="108" t="s">
        <v>20167</v>
      </c>
      <c r="X2657" s="117">
        <v>2</v>
      </c>
      <c r="Y2657" s="113"/>
      <c r="Z2657" s="108" t="s">
        <v>20168</v>
      </c>
      <c r="AA2657" s="112">
        <v>4</v>
      </c>
      <c r="AB2657" s="113"/>
      <c r="AC2657" s="105" t="s">
        <v>5990</v>
      </c>
      <c r="AD2657" s="115" t="s">
        <v>49</v>
      </c>
    </row>
    <row r="2658" spans="1:30" x14ac:dyDescent="0.2">
      <c r="A2658" s="104" t="s">
        <v>5991</v>
      </c>
      <c r="B2658" s="105" t="s">
        <v>42</v>
      </c>
      <c r="C2658" s="105" t="s">
        <v>384</v>
      </c>
      <c r="D2658" s="106" t="s">
        <v>125</v>
      </c>
      <c r="E2658" s="107"/>
      <c r="F2658" s="108" t="s">
        <v>20169</v>
      </c>
      <c r="G2658" s="120">
        <v>2</v>
      </c>
      <c r="H2658" s="108" t="s">
        <v>20170</v>
      </c>
      <c r="I2658" s="117">
        <v>2</v>
      </c>
      <c r="J2658" s="113"/>
      <c r="K2658" s="108" t="s">
        <v>20171</v>
      </c>
      <c r="L2658" s="116">
        <v>1</v>
      </c>
      <c r="M2658" s="113"/>
      <c r="N2658" s="108" t="s">
        <v>20169</v>
      </c>
      <c r="O2658" s="117">
        <v>2</v>
      </c>
      <c r="P2658" s="113"/>
      <c r="Q2658" s="108" t="s">
        <v>20172</v>
      </c>
      <c r="R2658" s="110">
        <v>3</v>
      </c>
      <c r="S2658" s="111" t="s">
        <v>46</v>
      </c>
      <c r="T2658" s="108" t="s">
        <v>20173</v>
      </c>
      <c r="U2658" s="117">
        <v>2</v>
      </c>
      <c r="V2658" s="113"/>
      <c r="W2658" s="108" t="s">
        <v>20174</v>
      </c>
      <c r="X2658" s="117">
        <v>2</v>
      </c>
      <c r="Y2658" s="113"/>
      <c r="Z2658" s="108" t="s">
        <v>47</v>
      </c>
      <c r="AA2658" s="114"/>
      <c r="AB2658" s="113"/>
      <c r="AC2658" s="105" t="s">
        <v>5992</v>
      </c>
      <c r="AD2658" s="115" t="s">
        <v>49</v>
      </c>
    </row>
    <row r="2659" spans="1:30" x14ac:dyDescent="0.2">
      <c r="A2659" s="104" t="s">
        <v>5993</v>
      </c>
      <c r="B2659" s="105" t="s">
        <v>42</v>
      </c>
      <c r="C2659" s="105" t="s">
        <v>384</v>
      </c>
      <c r="D2659" s="106" t="s">
        <v>125</v>
      </c>
      <c r="E2659" s="107"/>
      <c r="F2659" s="108" t="s">
        <v>20175</v>
      </c>
      <c r="G2659" s="118">
        <v>3</v>
      </c>
      <c r="H2659" s="108" t="s">
        <v>20176</v>
      </c>
      <c r="I2659" s="117">
        <v>2</v>
      </c>
      <c r="J2659" s="111" t="s">
        <v>46</v>
      </c>
      <c r="K2659" s="108" t="s">
        <v>20177</v>
      </c>
      <c r="L2659" s="116">
        <v>1</v>
      </c>
      <c r="M2659" s="113"/>
      <c r="N2659" s="108" t="s">
        <v>20175</v>
      </c>
      <c r="O2659" s="110">
        <v>3</v>
      </c>
      <c r="P2659" s="111" t="s">
        <v>46</v>
      </c>
      <c r="Q2659" s="108" t="s">
        <v>20178</v>
      </c>
      <c r="R2659" s="110">
        <v>3</v>
      </c>
      <c r="S2659" s="111" t="s">
        <v>40</v>
      </c>
      <c r="T2659" s="108" t="s">
        <v>20179</v>
      </c>
      <c r="U2659" s="110">
        <v>3</v>
      </c>
      <c r="V2659" s="113"/>
      <c r="W2659" s="108" t="s">
        <v>20180</v>
      </c>
      <c r="X2659" s="117">
        <v>2</v>
      </c>
      <c r="Y2659" s="113"/>
      <c r="Z2659" s="108" t="s">
        <v>47</v>
      </c>
      <c r="AA2659" s="114"/>
      <c r="AB2659" s="113"/>
      <c r="AC2659" s="105" t="s">
        <v>5994</v>
      </c>
      <c r="AD2659" s="115" t="s">
        <v>49</v>
      </c>
    </row>
    <row r="2660" spans="1:30" x14ac:dyDescent="0.2">
      <c r="A2660" s="104" t="s">
        <v>5995</v>
      </c>
      <c r="B2660" s="105" t="s">
        <v>42</v>
      </c>
      <c r="C2660" s="105" t="s">
        <v>384</v>
      </c>
      <c r="D2660" s="106" t="s">
        <v>125</v>
      </c>
      <c r="E2660" s="107"/>
      <c r="F2660" s="108" t="s">
        <v>20181</v>
      </c>
      <c r="G2660" s="118">
        <v>3</v>
      </c>
      <c r="H2660" s="108" t="s">
        <v>20182</v>
      </c>
      <c r="I2660" s="110">
        <v>3</v>
      </c>
      <c r="J2660" s="111" t="s">
        <v>55</v>
      </c>
      <c r="K2660" s="108" t="s">
        <v>20183</v>
      </c>
      <c r="L2660" s="116">
        <v>1</v>
      </c>
      <c r="M2660" s="111" t="s">
        <v>40</v>
      </c>
      <c r="N2660" s="108" t="s">
        <v>20181</v>
      </c>
      <c r="O2660" s="110">
        <v>3</v>
      </c>
      <c r="P2660" s="113"/>
      <c r="Q2660" s="108" t="s">
        <v>20184</v>
      </c>
      <c r="R2660" s="110">
        <v>3</v>
      </c>
      <c r="S2660" s="111" t="s">
        <v>40</v>
      </c>
      <c r="T2660" s="108" t="s">
        <v>20185</v>
      </c>
      <c r="U2660" s="112">
        <v>4</v>
      </c>
      <c r="V2660" s="113"/>
      <c r="W2660" s="108" t="s">
        <v>20186</v>
      </c>
      <c r="X2660" s="110">
        <v>3</v>
      </c>
      <c r="Y2660" s="113"/>
      <c r="Z2660" s="108" t="s">
        <v>47</v>
      </c>
      <c r="AA2660" s="114"/>
      <c r="AB2660" s="113"/>
      <c r="AC2660" s="105" t="s">
        <v>5996</v>
      </c>
      <c r="AD2660" s="115" t="s">
        <v>49</v>
      </c>
    </row>
    <row r="2661" spans="1:30" x14ac:dyDescent="0.2">
      <c r="A2661" s="104" t="s">
        <v>5997</v>
      </c>
      <c r="B2661" s="105" t="s">
        <v>42</v>
      </c>
      <c r="C2661" s="105" t="s">
        <v>384</v>
      </c>
      <c r="D2661" s="106" t="s">
        <v>105</v>
      </c>
      <c r="E2661" s="107"/>
      <c r="F2661" s="108" t="s">
        <v>20187</v>
      </c>
      <c r="G2661" s="118">
        <v>3</v>
      </c>
      <c r="H2661" s="108" t="s">
        <v>20188</v>
      </c>
      <c r="I2661" s="110">
        <v>3</v>
      </c>
      <c r="J2661" s="111" t="s">
        <v>55</v>
      </c>
      <c r="K2661" s="108" t="s">
        <v>20189</v>
      </c>
      <c r="L2661" s="116">
        <v>1</v>
      </c>
      <c r="M2661" s="113"/>
      <c r="N2661" s="108" t="s">
        <v>20187</v>
      </c>
      <c r="O2661" s="110">
        <v>3</v>
      </c>
      <c r="P2661" s="111" t="s">
        <v>46</v>
      </c>
      <c r="Q2661" s="108" t="s">
        <v>20190</v>
      </c>
      <c r="R2661" s="110">
        <v>3</v>
      </c>
      <c r="S2661" s="111" t="s">
        <v>40</v>
      </c>
      <c r="T2661" s="108" t="s">
        <v>20191</v>
      </c>
      <c r="U2661" s="110">
        <v>3</v>
      </c>
      <c r="V2661" s="113"/>
      <c r="W2661" s="108" t="s">
        <v>47</v>
      </c>
      <c r="X2661" s="114"/>
      <c r="Y2661" s="113"/>
      <c r="Z2661" s="108" t="s">
        <v>47</v>
      </c>
      <c r="AA2661" s="114"/>
      <c r="AB2661" s="113"/>
      <c r="AC2661" s="105" t="s">
        <v>5998</v>
      </c>
      <c r="AD2661" s="115" t="s">
        <v>49</v>
      </c>
    </row>
    <row r="2662" spans="1:30" x14ac:dyDescent="0.2">
      <c r="A2662" s="104" t="s">
        <v>5999</v>
      </c>
      <c r="B2662" s="105" t="s">
        <v>42</v>
      </c>
      <c r="C2662" s="105" t="s">
        <v>384</v>
      </c>
      <c r="D2662" s="106" t="s">
        <v>105</v>
      </c>
      <c r="E2662" s="107"/>
      <c r="F2662" s="108" t="s">
        <v>20192</v>
      </c>
      <c r="G2662" s="118">
        <v>3</v>
      </c>
      <c r="H2662" s="108" t="s">
        <v>20193</v>
      </c>
      <c r="I2662" s="117">
        <v>2</v>
      </c>
      <c r="J2662" s="111" t="s">
        <v>46</v>
      </c>
      <c r="K2662" s="108" t="s">
        <v>20194</v>
      </c>
      <c r="L2662" s="116">
        <v>1</v>
      </c>
      <c r="M2662" s="113"/>
      <c r="N2662" s="108" t="s">
        <v>20192</v>
      </c>
      <c r="O2662" s="110">
        <v>3</v>
      </c>
      <c r="P2662" s="111" t="s">
        <v>46</v>
      </c>
      <c r="Q2662" s="108" t="s">
        <v>20195</v>
      </c>
      <c r="R2662" s="110">
        <v>3</v>
      </c>
      <c r="S2662" s="111" t="s">
        <v>40</v>
      </c>
      <c r="T2662" s="108" t="s">
        <v>20196</v>
      </c>
      <c r="U2662" s="110">
        <v>3</v>
      </c>
      <c r="V2662" s="113"/>
      <c r="W2662" s="108" t="s">
        <v>47</v>
      </c>
      <c r="X2662" s="114"/>
      <c r="Y2662" s="113"/>
      <c r="Z2662" s="108" t="s">
        <v>47</v>
      </c>
      <c r="AA2662" s="114"/>
      <c r="AB2662" s="113"/>
      <c r="AC2662" s="105" t="s">
        <v>6000</v>
      </c>
      <c r="AD2662" s="115" t="s">
        <v>49</v>
      </c>
    </row>
    <row r="2663" spans="1:30" x14ac:dyDescent="0.2">
      <c r="A2663" s="104" t="s">
        <v>6001</v>
      </c>
      <c r="B2663" s="105" t="s">
        <v>42</v>
      </c>
      <c r="C2663" s="105" t="s">
        <v>384</v>
      </c>
      <c r="D2663" s="106" t="s">
        <v>105</v>
      </c>
      <c r="E2663" s="107"/>
      <c r="F2663" s="108" t="s">
        <v>20197</v>
      </c>
      <c r="G2663" s="118">
        <v>3</v>
      </c>
      <c r="H2663" s="108" t="s">
        <v>20198</v>
      </c>
      <c r="I2663" s="110">
        <v>3</v>
      </c>
      <c r="J2663" s="111" t="s">
        <v>46</v>
      </c>
      <c r="K2663" s="108" t="s">
        <v>20199</v>
      </c>
      <c r="L2663" s="116">
        <v>1</v>
      </c>
      <c r="M2663" s="111" t="s">
        <v>40</v>
      </c>
      <c r="N2663" s="108" t="s">
        <v>20197</v>
      </c>
      <c r="O2663" s="110">
        <v>3</v>
      </c>
      <c r="P2663" s="113"/>
      <c r="Q2663" s="108" t="s">
        <v>20200</v>
      </c>
      <c r="R2663" s="112">
        <v>4</v>
      </c>
      <c r="S2663" s="113"/>
      <c r="T2663" s="108" t="s">
        <v>20201</v>
      </c>
      <c r="U2663" s="112">
        <v>4</v>
      </c>
      <c r="V2663" s="113"/>
      <c r="W2663" s="108" t="s">
        <v>47</v>
      </c>
      <c r="X2663" s="114"/>
      <c r="Y2663" s="113"/>
      <c r="Z2663" s="108" t="s">
        <v>47</v>
      </c>
      <c r="AA2663" s="114"/>
      <c r="AB2663" s="113"/>
      <c r="AC2663" s="105" t="s">
        <v>6002</v>
      </c>
      <c r="AD2663" s="115" t="s">
        <v>49</v>
      </c>
    </row>
    <row r="2664" spans="1:30" x14ac:dyDescent="0.2">
      <c r="A2664" s="104" t="s">
        <v>6003</v>
      </c>
      <c r="B2664" s="105" t="s">
        <v>42</v>
      </c>
      <c r="C2664" s="105" t="s">
        <v>384</v>
      </c>
      <c r="D2664" s="106" t="s">
        <v>105</v>
      </c>
      <c r="E2664" s="107"/>
      <c r="F2664" s="108" t="s">
        <v>20202</v>
      </c>
      <c r="G2664" s="118">
        <v>3</v>
      </c>
      <c r="H2664" s="108" t="s">
        <v>20203</v>
      </c>
      <c r="I2664" s="110">
        <v>3</v>
      </c>
      <c r="J2664" s="111" t="s">
        <v>46</v>
      </c>
      <c r="K2664" s="108" t="s">
        <v>20204</v>
      </c>
      <c r="L2664" s="116">
        <v>1</v>
      </c>
      <c r="M2664" s="111" t="s">
        <v>40</v>
      </c>
      <c r="N2664" s="108" t="s">
        <v>20202</v>
      </c>
      <c r="O2664" s="110">
        <v>3</v>
      </c>
      <c r="P2664" s="113"/>
      <c r="Q2664" s="108" t="s">
        <v>20205</v>
      </c>
      <c r="R2664" s="112">
        <v>4</v>
      </c>
      <c r="S2664" s="113"/>
      <c r="T2664" s="108" t="s">
        <v>20206</v>
      </c>
      <c r="U2664" s="112">
        <v>4</v>
      </c>
      <c r="V2664" s="113"/>
      <c r="W2664" s="108" t="s">
        <v>47</v>
      </c>
      <c r="X2664" s="114"/>
      <c r="Y2664" s="113"/>
      <c r="Z2664" s="108" t="s">
        <v>47</v>
      </c>
      <c r="AA2664" s="114"/>
      <c r="AB2664" s="113"/>
      <c r="AC2664" s="105" t="s">
        <v>6004</v>
      </c>
      <c r="AD2664" s="115" t="s">
        <v>49</v>
      </c>
    </row>
    <row r="2665" spans="1:30" x14ac:dyDescent="0.2">
      <c r="A2665" s="104" t="s">
        <v>6005</v>
      </c>
      <c r="B2665" s="105" t="s">
        <v>42</v>
      </c>
      <c r="C2665" s="105" t="s">
        <v>384</v>
      </c>
      <c r="D2665" s="106" t="s">
        <v>125</v>
      </c>
      <c r="E2665" s="107"/>
      <c r="F2665" s="108" t="s">
        <v>20207</v>
      </c>
      <c r="G2665" s="118">
        <v>3</v>
      </c>
      <c r="H2665" s="108" t="s">
        <v>20208</v>
      </c>
      <c r="I2665" s="117">
        <v>2</v>
      </c>
      <c r="J2665" s="111" t="s">
        <v>46</v>
      </c>
      <c r="K2665" s="108" t="s">
        <v>20209</v>
      </c>
      <c r="L2665" s="116">
        <v>1</v>
      </c>
      <c r="M2665" s="113"/>
      <c r="N2665" s="108" t="s">
        <v>20207</v>
      </c>
      <c r="O2665" s="110">
        <v>3</v>
      </c>
      <c r="P2665" s="111" t="s">
        <v>46</v>
      </c>
      <c r="Q2665" s="108" t="s">
        <v>20210</v>
      </c>
      <c r="R2665" s="110">
        <v>3</v>
      </c>
      <c r="S2665" s="111" t="s">
        <v>40</v>
      </c>
      <c r="T2665" s="108" t="s">
        <v>20211</v>
      </c>
      <c r="U2665" s="110">
        <v>3</v>
      </c>
      <c r="V2665" s="113"/>
      <c r="W2665" s="108" t="s">
        <v>47</v>
      </c>
      <c r="X2665" s="114"/>
      <c r="Y2665" s="113"/>
      <c r="Z2665" s="108" t="s">
        <v>47</v>
      </c>
      <c r="AA2665" s="114"/>
      <c r="AB2665" s="113"/>
      <c r="AC2665" s="105" t="s">
        <v>6006</v>
      </c>
      <c r="AD2665" s="115" t="s">
        <v>49</v>
      </c>
    </row>
    <row r="2666" spans="1:30" x14ac:dyDescent="0.2">
      <c r="A2666" s="104" t="s">
        <v>6007</v>
      </c>
      <c r="B2666" s="105" t="s">
        <v>42</v>
      </c>
      <c r="C2666" s="105" t="s">
        <v>384</v>
      </c>
      <c r="D2666" s="106"/>
      <c r="E2666" s="107"/>
      <c r="F2666" s="108" t="s">
        <v>20212</v>
      </c>
      <c r="G2666" s="109">
        <v>4</v>
      </c>
      <c r="H2666" s="108" t="s">
        <v>20213</v>
      </c>
      <c r="I2666" s="112">
        <v>4</v>
      </c>
      <c r="J2666" s="111" t="s">
        <v>44</v>
      </c>
      <c r="K2666" s="108" t="s">
        <v>20214</v>
      </c>
      <c r="L2666" s="110">
        <v>3</v>
      </c>
      <c r="M2666" s="111" t="s">
        <v>55</v>
      </c>
      <c r="N2666" s="108" t="s">
        <v>20212</v>
      </c>
      <c r="O2666" s="112">
        <v>4</v>
      </c>
      <c r="P2666" s="111" t="s">
        <v>55</v>
      </c>
      <c r="Q2666" s="108" t="s">
        <v>20215</v>
      </c>
      <c r="R2666" s="112">
        <v>4</v>
      </c>
      <c r="S2666" s="113"/>
      <c r="T2666" s="108" t="s">
        <v>47</v>
      </c>
      <c r="U2666" s="114"/>
      <c r="V2666" s="113"/>
      <c r="W2666" s="108" t="s">
        <v>47</v>
      </c>
      <c r="X2666" s="114"/>
      <c r="Y2666" s="113"/>
      <c r="Z2666" s="108" t="s">
        <v>47</v>
      </c>
      <c r="AA2666" s="114"/>
      <c r="AB2666" s="113"/>
      <c r="AC2666" s="105" t="s">
        <v>6008</v>
      </c>
      <c r="AD2666" s="115" t="s">
        <v>49</v>
      </c>
    </row>
    <row r="2667" spans="1:30" x14ac:dyDescent="0.2">
      <c r="A2667" s="104" t="s">
        <v>6009</v>
      </c>
      <c r="B2667" s="105" t="s">
        <v>42</v>
      </c>
      <c r="C2667" s="105" t="s">
        <v>43</v>
      </c>
      <c r="D2667" s="106"/>
      <c r="E2667" s="107"/>
      <c r="F2667" s="108" t="s">
        <v>20216</v>
      </c>
      <c r="G2667" s="120">
        <v>2</v>
      </c>
      <c r="H2667" s="108" t="s">
        <v>20217</v>
      </c>
      <c r="I2667" s="112">
        <v>4</v>
      </c>
      <c r="J2667" s="111" t="s">
        <v>55</v>
      </c>
      <c r="K2667" s="108" t="s">
        <v>20218</v>
      </c>
      <c r="L2667" s="112">
        <v>4</v>
      </c>
      <c r="M2667" s="111" t="s">
        <v>44</v>
      </c>
      <c r="N2667" s="108" t="s">
        <v>20216</v>
      </c>
      <c r="O2667" s="117">
        <v>2</v>
      </c>
      <c r="P2667" s="111" t="s">
        <v>46</v>
      </c>
      <c r="Q2667" s="108" t="s">
        <v>20219</v>
      </c>
      <c r="R2667" s="116">
        <v>1</v>
      </c>
      <c r="S2667" s="113"/>
      <c r="T2667" s="108" t="s">
        <v>20220</v>
      </c>
      <c r="U2667" s="117">
        <v>2</v>
      </c>
      <c r="V2667" s="113"/>
      <c r="W2667" s="108" t="s">
        <v>20221</v>
      </c>
      <c r="X2667" s="117">
        <v>2</v>
      </c>
      <c r="Y2667" s="113"/>
      <c r="Z2667" s="108" t="s">
        <v>47</v>
      </c>
      <c r="AA2667" s="114"/>
      <c r="AB2667" s="113"/>
      <c r="AC2667" s="105" t="s">
        <v>6010</v>
      </c>
      <c r="AD2667" s="115" t="s">
        <v>49</v>
      </c>
    </row>
    <row r="2668" spans="1:30" x14ac:dyDescent="0.2">
      <c r="A2668" s="104" t="s">
        <v>6011</v>
      </c>
      <c r="B2668" s="105" t="s">
        <v>42</v>
      </c>
      <c r="C2668" s="105" t="s">
        <v>43</v>
      </c>
      <c r="D2668" s="106"/>
      <c r="E2668" s="107"/>
      <c r="F2668" s="108" t="s">
        <v>20222</v>
      </c>
      <c r="G2668" s="119">
        <v>1</v>
      </c>
      <c r="H2668" s="108" t="s">
        <v>20223</v>
      </c>
      <c r="I2668" s="112">
        <v>4</v>
      </c>
      <c r="J2668" s="111" t="s">
        <v>44</v>
      </c>
      <c r="K2668" s="108" t="s">
        <v>20224</v>
      </c>
      <c r="L2668" s="110">
        <v>3</v>
      </c>
      <c r="M2668" s="111" t="s">
        <v>55</v>
      </c>
      <c r="N2668" s="108" t="s">
        <v>20222</v>
      </c>
      <c r="O2668" s="116">
        <v>1</v>
      </c>
      <c r="P2668" s="113"/>
      <c r="Q2668" s="108" t="s">
        <v>20225</v>
      </c>
      <c r="R2668" s="116">
        <v>1</v>
      </c>
      <c r="S2668" s="113"/>
      <c r="T2668" s="108" t="s">
        <v>20226</v>
      </c>
      <c r="U2668" s="116">
        <v>1</v>
      </c>
      <c r="V2668" s="113"/>
      <c r="W2668" s="108" t="s">
        <v>20227</v>
      </c>
      <c r="X2668" s="116">
        <v>1</v>
      </c>
      <c r="Y2668" s="113"/>
      <c r="Z2668" s="108" t="s">
        <v>47</v>
      </c>
      <c r="AA2668" s="114"/>
      <c r="AB2668" s="113"/>
      <c r="AC2668" s="105" t="s">
        <v>6012</v>
      </c>
      <c r="AD2668" s="115" t="s">
        <v>49</v>
      </c>
    </row>
    <row r="2669" spans="1:30" x14ac:dyDescent="0.2">
      <c r="A2669" s="104" t="s">
        <v>6013</v>
      </c>
      <c r="B2669" s="105" t="s">
        <v>42</v>
      </c>
      <c r="C2669" s="105" t="s">
        <v>43</v>
      </c>
      <c r="D2669" s="106"/>
      <c r="E2669" s="107"/>
      <c r="F2669" s="108" t="s">
        <v>20228</v>
      </c>
      <c r="G2669" s="119">
        <v>1</v>
      </c>
      <c r="H2669" s="108" t="s">
        <v>20229</v>
      </c>
      <c r="I2669" s="112">
        <v>4</v>
      </c>
      <c r="J2669" s="111" t="s">
        <v>44</v>
      </c>
      <c r="K2669" s="108" t="s">
        <v>20230</v>
      </c>
      <c r="L2669" s="110">
        <v>3</v>
      </c>
      <c r="M2669" s="111" t="s">
        <v>55</v>
      </c>
      <c r="N2669" s="108" t="s">
        <v>20228</v>
      </c>
      <c r="O2669" s="116">
        <v>1</v>
      </c>
      <c r="P2669" s="113"/>
      <c r="Q2669" s="108" t="s">
        <v>20231</v>
      </c>
      <c r="R2669" s="116">
        <v>1</v>
      </c>
      <c r="S2669" s="113"/>
      <c r="T2669" s="108" t="s">
        <v>20232</v>
      </c>
      <c r="U2669" s="116">
        <v>1</v>
      </c>
      <c r="V2669" s="113"/>
      <c r="W2669" s="108" t="s">
        <v>20233</v>
      </c>
      <c r="X2669" s="116">
        <v>1</v>
      </c>
      <c r="Y2669" s="113"/>
      <c r="Z2669" s="108" t="s">
        <v>47</v>
      </c>
      <c r="AA2669" s="114"/>
      <c r="AB2669" s="113"/>
      <c r="AC2669" s="105" t="s">
        <v>6014</v>
      </c>
      <c r="AD2669" s="115" t="s">
        <v>49</v>
      </c>
    </row>
    <row r="2670" spans="1:30" x14ac:dyDescent="0.2">
      <c r="A2670" s="104" t="s">
        <v>6015</v>
      </c>
      <c r="B2670" s="105" t="s">
        <v>42</v>
      </c>
      <c r="C2670" s="105" t="s">
        <v>43</v>
      </c>
      <c r="D2670" s="106"/>
      <c r="E2670" s="107"/>
      <c r="F2670" s="108" t="s">
        <v>20234</v>
      </c>
      <c r="G2670" s="119">
        <v>1</v>
      </c>
      <c r="H2670" s="108" t="s">
        <v>20235</v>
      </c>
      <c r="I2670" s="112">
        <v>4</v>
      </c>
      <c r="J2670" s="111" t="s">
        <v>44</v>
      </c>
      <c r="K2670" s="108" t="s">
        <v>20236</v>
      </c>
      <c r="L2670" s="110">
        <v>3</v>
      </c>
      <c r="M2670" s="111" t="s">
        <v>55</v>
      </c>
      <c r="N2670" s="108" t="s">
        <v>20234</v>
      </c>
      <c r="O2670" s="116">
        <v>1</v>
      </c>
      <c r="P2670" s="113"/>
      <c r="Q2670" s="108" t="s">
        <v>20237</v>
      </c>
      <c r="R2670" s="116">
        <v>1</v>
      </c>
      <c r="S2670" s="113"/>
      <c r="T2670" s="108" t="s">
        <v>20238</v>
      </c>
      <c r="U2670" s="116">
        <v>1</v>
      </c>
      <c r="V2670" s="113"/>
      <c r="W2670" s="108" t="s">
        <v>20239</v>
      </c>
      <c r="X2670" s="116">
        <v>1</v>
      </c>
      <c r="Y2670" s="113"/>
      <c r="Z2670" s="108" t="s">
        <v>47</v>
      </c>
      <c r="AA2670" s="114"/>
      <c r="AB2670" s="113"/>
      <c r="AC2670" s="105" t="s">
        <v>6016</v>
      </c>
      <c r="AD2670" s="115" t="s">
        <v>49</v>
      </c>
    </row>
    <row r="2671" spans="1:30" x14ac:dyDescent="0.2">
      <c r="A2671" s="104" t="s">
        <v>6017</v>
      </c>
      <c r="B2671" s="105" t="s">
        <v>42</v>
      </c>
      <c r="C2671" s="105" t="s">
        <v>43</v>
      </c>
      <c r="D2671" s="106"/>
      <c r="E2671" s="107"/>
      <c r="F2671" s="108" t="s">
        <v>20240</v>
      </c>
      <c r="G2671" s="119">
        <v>1</v>
      </c>
      <c r="H2671" s="108" t="s">
        <v>20241</v>
      </c>
      <c r="I2671" s="112">
        <v>4</v>
      </c>
      <c r="J2671" s="111" t="s">
        <v>55</v>
      </c>
      <c r="K2671" s="108" t="s">
        <v>20242</v>
      </c>
      <c r="L2671" s="110">
        <v>3</v>
      </c>
      <c r="M2671" s="111" t="s">
        <v>55</v>
      </c>
      <c r="N2671" s="108" t="s">
        <v>20240</v>
      </c>
      <c r="O2671" s="116">
        <v>1</v>
      </c>
      <c r="P2671" s="113"/>
      <c r="Q2671" s="108" t="s">
        <v>20243</v>
      </c>
      <c r="R2671" s="116">
        <v>1</v>
      </c>
      <c r="S2671" s="113"/>
      <c r="T2671" s="108" t="s">
        <v>20244</v>
      </c>
      <c r="U2671" s="116">
        <v>1</v>
      </c>
      <c r="V2671" s="113"/>
      <c r="W2671" s="108" t="s">
        <v>20245</v>
      </c>
      <c r="X2671" s="117">
        <v>2</v>
      </c>
      <c r="Y2671" s="113"/>
      <c r="Z2671" s="108" t="s">
        <v>47</v>
      </c>
      <c r="AA2671" s="114"/>
      <c r="AB2671" s="113"/>
      <c r="AC2671" s="105" t="s">
        <v>6018</v>
      </c>
      <c r="AD2671" s="115" t="s">
        <v>49</v>
      </c>
    </row>
    <row r="2672" spans="1:30" x14ac:dyDescent="0.2">
      <c r="A2672" s="104" t="s">
        <v>6019</v>
      </c>
      <c r="B2672" s="105" t="s">
        <v>42</v>
      </c>
      <c r="C2672" s="105" t="s">
        <v>43</v>
      </c>
      <c r="D2672" s="106"/>
      <c r="E2672" s="107"/>
      <c r="F2672" s="108" t="s">
        <v>20246</v>
      </c>
      <c r="G2672" s="119">
        <v>1</v>
      </c>
      <c r="H2672" s="108" t="s">
        <v>20247</v>
      </c>
      <c r="I2672" s="112">
        <v>4</v>
      </c>
      <c r="J2672" s="111" t="s">
        <v>44</v>
      </c>
      <c r="K2672" s="108" t="s">
        <v>20248</v>
      </c>
      <c r="L2672" s="110">
        <v>3</v>
      </c>
      <c r="M2672" s="111" t="s">
        <v>55</v>
      </c>
      <c r="N2672" s="108" t="s">
        <v>20246</v>
      </c>
      <c r="O2672" s="116">
        <v>1</v>
      </c>
      <c r="P2672" s="113"/>
      <c r="Q2672" s="108" t="s">
        <v>20249</v>
      </c>
      <c r="R2672" s="116">
        <v>1</v>
      </c>
      <c r="S2672" s="113"/>
      <c r="T2672" s="108" t="s">
        <v>20250</v>
      </c>
      <c r="U2672" s="116">
        <v>1</v>
      </c>
      <c r="V2672" s="113"/>
      <c r="W2672" s="108" t="s">
        <v>47</v>
      </c>
      <c r="X2672" s="114"/>
      <c r="Y2672" s="113"/>
      <c r="Z2672" s="108" t="s">
        <v>47</v>
      </c>
      <c r="AA2672" s="114"/>
      <c r="AB2672" s="113"/>
      <c r="AC2672" s="105" t="s">
        <v>6020</v>
      </c>
      <c r="AD2672" s="115" t="s">
        <v>49</v>
      </c>
    </row>
    <row r="2673" spans="1:30" x14ac:dyDescent="0.2">
      <c r="A2673" s="104" t="s">
        <v>6021</v>
      </c>
      <c r="B2673" s="105" t="s">
        <v>42</v>
      </c>
      <c r="C2673" s="105" t="s">
        <v>43</v>
      </c>
      <c r="D2673" s="106"/>
      <c r="E2673" s="107"/>
      <c r="F2673" s="108" t="s">
        <v>20251</v>
      </c>
      <c r="G2673" s="119">
        <v>1</v>
      </c>
      <c r="H2673" s="108" t="s">
        <v>20252</v>
      </c>
      <c r="I2673" s="112">
        <v>4</v>
      </c>
      <c r="J2673" s="111" t="s">
        <v>44</v>
      </c>
      <c r="K2673" s="108" t="s">
        <v>20253</v>
      </c>
      <c r="L2673" s="112">
        <v>4</v>
      </c>
      <c r="M2673" s="111" t="s">
        <v>44</v>
      </c>
      <c r="N2673" s="108" t="s">
        <v>20251</v>
      </c>
      <c r="O2673" s="116">
        <v>1</v>
      </c>
      <c r="P2673" s="113"/>
      <c r="Q2673" s="108" t="s">
        <v>20254</v>
      </c>
      <c r="R2673" s="116">
        <v>1</v>
      </c>
      <c r="S2673" s="113"/>
      <c r="T2673" s="108" t="s">
        <v>20255</v>
      </c>
      <c r="U2673" s="116">
        <v>1</v>
      </c>
      <c r="V2673" s="113"/>
      <c r="W2673" s="108" t="s">
        <v>47</v>
      </c>
      <c r="X2673" s="114"/>
      <c r="Y2673" s="113"/>
      <c r="Z2673" s="108" t="s">
        <v>47</v>
      </c>
      <c r="AA2673" s="114"/>
      <c r="AB2673" s="113"/>
      <c r="AC2673" s="105" t="s">
        <v>6022</v>
      </c>
      <c r="AD2673" s="115" t="s">
        <v>49</v>
      </c>
    </row>
    <row r="2674" spans="1:30" x14ac:dyDescent="0.2">
      <c r="A2674" s="104" t="s">
        <v>6023</v>
      </c>
      <c r="B2674" s="105" t="s">
        <v>42</v>
      </c>
      <c r="C2674" s="105" t="s">
        <v>43</v>
      </c>
      <c r="D2674" s="106"/>
      <c r="E2674" s="107"/>
      <c r="F2674" s="108" t="s">
        <v>20256</v>
      </c>
      <c r="G2674" s="119">
        <v>1</v>
      </c>
      <c r="H2674" s="108" t="s">
        <v>20257</v>
      </c>
      <c r="I2674" s="112">
        <v>4</v>
      </c>
      <c r="J2674" s="111" t="s">
        <v>55</v>
      </c>
      <c r="K2674" s="108" t="s">
        <v>20258</v>
      </c>
      <c r="L2674" s="112">
        <v>4</v>
      </c>
      <c r="M2674" s="111" t="s">
        <v>44</v>
      </c>
      <c r="N2674" s="108" t="s">
        <v>20256</v>
      </c>
      <c r="O2674" s="116">
        <v>1</v>
      </c>
      <c r="P2674" s="113"/>
      <c r="Q2674" s="108" t="s">
        <v>20259</v>
      </c>
      <c r="R2674" s="116">
        <v>1</v>
      </c>
      <c r="S2674" s="113"/>
      <c r="T2674" s="108" t="s">
        <v>20260</v>
      </c>
      <c r="U2674" s="116">
        <v>1</v>
      </c>
      <c r="V2674" s="113"/>
      <c r="W2674" s="108" t="s">
        <v>47</v>
      </c>
      <c r="X2674" s="114"/>
      <c r="Y2674" s="113"/>
      <c r="Z2674" s="108" t="s">
        <v>47</v>
      </c>
      <c r="AA2674" s="114"/>
      <c r="AB2674" s="113"/>
      <c r="AC2674" s="105" t="s">
        <v>6024</v>
      </c>
      <c r="AD2674" s="115" t="s">
        <v>49</v>
      </c>
    </row>
    <row r="2675" spans="1:30" x14ac:dyDescent="0.2">
      <c r="A2675" s="104" t="s">
        <v>6025</v>
      </c>
      <c r="B2675" s="105" t="s">
        <v>42</v>
      </c>
      <c r="C2675" s="105" t="s">
        <v>43</v>
      </c>
      <c r="D2675" s="106"/>
      <c r="E2675" s="107"/>
      <c r="F2675" s="108" t="s">
        <v>20261</v>
      </c>
      <c r="G2675" s="120">
        <v>2</v>
      </c>
      <c r="H2675" s="108" t="s">
        <v>20262</v>
      </c>
      <c r="I2675" s="112">
        <v>4</v>
      </c>
      <c r="J2675" s="111" t="s">
        <v>55</v>
      </c>
      <c r="K2675" s="108" t="s">
        <v>20263</v>
      </c>
      <c r="L2675" s="112">
        <v>4</v>
      </c>
      <c r="M2675" s="111" t="s">
        <v>44</v>
      </c>
      <c r="N2675" s="108" t="s">
        <v>20261</v>
      </c>
      <c r="O2675" s="117">
        <v>2</v>
      </c>
      <c r="P2675" s="111" t="s">
        <v>46</v>
      </c>
      <c r="Q2675" s="108" t="s">
        <v>20264</v>
      </c>
      <c r="R2675" s="116">
        <v>1</v>
      </c>
      <c r="S2675" s="113"/>
      <c r="T2675" s="108" t="s">
        <v>20265</v>
      </c>
      <c r="U2675" s="116">
        <v>1</v>
      </c>
      <c r="V2675" s="113"/>
      <c r="W2675" s="108" t="s">
        <v>47</v>
      </c>
      <c r="X2675" s="114"/>
      <c r="Y2675" s="113"/>
      <c r="Z2675" s="108" t="s">
        <v>47</v>
      </c>
      <c r="AA2675" s="114"/>
      <c r="AB2675" s="113"/>
      <c r="AC2675" s="105" t="s">
        <v>6026</v>
      </c>
      <c r="AD2675" s="115" t="s">
        <v>49</v>
      </c>
    </row>
    <row r="2676" spans="1:30" x14ac:dyDescent="0.2">
      <c r="A2676" s="104" t="s">
        <v>6027</v>
      </c>
      <c r="B2676" s="105" t="s">
        <v>42</v>
      </c>
      <c r="C2676" s="105" t="s">
        <v>43</v>
      </c>
      <c r="D2676" s="106"/>
      <c r="E2676" s="107"/>
      <c r="F2676" s="108" t="s">
        <v>20266</v>
      </c>
      <c r="G2676" s="120">
        <v>2</v>
      </c>
      <c r="H2676" s="108" t="s">
        <v>20267</v>
      </c>
      <c r="I2676" s="112">
        <v>4</v>
      </c>
      <c r="J2676" s="111" t="s">
        <v>55</v>
      </c>
      <c r="K2676" s="108" t="s">
        <v>20268</v>
      </c>
      <c r="L2676" s="112">
        <v>4</v>
      </c>
      <c r="M2676" s="111" t="s">
        <v>44</v>
      </c>
      <c r="N2676" s="108" t="s">
        <v>20266</v>
      </c>
      <c r="O2676" s="117">
        <v>2</v>
      </c>
      <c r="P2676" s="111" t="s">
        <v>46</v>
      </c>
      <c r="Q2676" s="108" t="s">
        <v>20269</v>
      </c>
      <c r="R2676" s="116">
        <v>1</v>
      </c>
      <c r="S2676" s="113"/>
      <c r="T2676" s="108" t="s">
        <v>20270</v>
      </c>
      <c r="U2676" s="117">
        <v>2</v>
      </c>
      <c r="V2676" s="113"/>
      <c r="W2676" s="108" t="s">
        <v>20271</v>
      </c>
      <c r="X2676" s="117">
        <v>2</v>
      </c>
      <c r="Y2676" s="113"/>
      <c r="Z2676" s="108" t="s">
        <v>47</v>
      </c>
      <c r="AA2676" s="114"/>
      <c r="AB2676" s="113"/>
      <c r="AC2676" s="105" t="s">
        <v>6028</v>
      </c>
      <c r="AD2676" s="115" t="s">
        <v>49</v>
      </c>
    </row>
    <row r="2677" spans="1:30" x14ac:dyDescent="0.2">
      <c r="A2677" s="104" t="s">
        <v>6029</v>
      </c>
      <c r="B2677" s="105" t="s">
        <v>42</v>
      </c>
      <c r="C2677" s="105" t="s">
        <v>43</v>
      </c>
      <c r="D2677" s="106"/>
      <c r="E2677" s="107"/>
      <c r="F2677" s="108" t="s">
        <v>20272</v>
      </c>
      <c r="G2677" s="119">
        <v>1</v>
      </c>
      <c r="H2677" s="108" t="s">
        <v>20273</v>
      </c>
      <c r="I2677" s="112">
        <v>4</v>
      </c>
      <c r="J2677" s="111" t="s">
        <v>44</v>
      </c>
      <c r="K2677" s="108" t="s">
        <v>20274</v>
      </c>
      <c r="L2677" s="110">
        <v>3</v>
      </c>
      <c r="M2677" s="111" t="s">
        <v>55</v>
      </c>
      <c r="N2677" s="108" t="s">
        <v>20272</v>
      </c>
      <c r="O2677" s="116">
        <v>1</v>
      </c>
      <c r="P2677" s="113"/>
      <c r="Q2677" s="108" t="s">
        <v>20275</v>
      </c>
      <c r="R2677" s="116">
        <v>1</v>
      </c>
      <c r="S2677" s="113"/>
      <c r="T2677" s="108" t="s">
        <v>20276</v>
      </c>
      <c r="U2677" s="117">
        <v>2</v>
      </c>
      <c r="V2677" s="113"/>
      <c r="W2677" s="108" t="s">
        <v>20277</v>
      </c>
      <c r="X2677" s="116">
        <v>1</v>
      </c>
      <c r="Y2677" s="113"/>
      <c r="Z2677" s="108" t="s">
        <v>47</v>
      </c>
      <c r="AA2677" s="114"/>
      <c r="AB2677" s="113"/>
      <c r="AC2677" s="105" t="s">
        <v>6030</v>
      </c>
      <c r="AD2677" s="115" t="s">
        <v>49</v>
      </c>
    </row>
    <row r="2678" spans="1:30" x14ac:dyDescent="0.2">
      <c r="A2678" s="104" t="s">
        <v>6031</v>
      </c>
      <c r="B2678" s="105" t="s">
        <v>42</v>
      </c>
      <c r="C2678" s="105" t="s">
        <v>43</v>
      </c>
      <c r="D2678" s="106"/>
      <c r="E2678" s="107"/>
      <c r="F2678" s="108" t="s">
        <v>20278</v>
      </c>
      <c r="G2678" s="119">
        <v>1</v>
      </c>
      <c r="H2678" s="108" t="s">
        <v>20279</v>
      </c>
      <c r="I2678" s="112">
        <v>4</v>
      </c>
      <c r="J2678" s="111" t="s">
        <v>44</v>
      </c>
      <c r="K2678" s="108" t="s">
        <v>20280</v>
      </c>
      <c r="L2678" s="112">
        <v>4</v>
      </c>
      <c r="M2678" s="111" t="s">
        <v>44</v>
      </c>
      <c r="N2678" s="108" t="s">
        <v>20278</v>
      </c>
      <c r="O2678" s="116">
        <v>1</v>
      </c>
      <c r="P2678" s="113"/>
      <c r="Q2678" s="108" t="s">
        <v>20281</v>
      </c>
      <c r="R2678" s="116">
        <v>1</v>
      </c>
      <c r="S2678" s="113"/>
      <c r="T2678" s="108" t="s">
        <v>20282</v>
      </c>
      <c r="U2678" s="117">
        <v>2</v>
      </c>
      <c r="V2678" s="113"/>
      <c r="W2678" s="108" t="s">
        <v>20283</v>
      </c>
      <c r="X2678" s="116">
        <v>1</v>
      </c>
      <c r="Y2678" s="113"/>
      <c r="Z2678" s="108" t="s">
        <v>47</v>
      </c>
      <c r="AA2678" s="114"/>
      <c r="AB2678" s="113"/>
      <c r="AC2678" s="105" t="s">
        <v>6032</v>
      </c>
      <c r="AD2678" s="115" t="s">
        <v>49</v>
      </c>
    </row>
    <row r="2679" spans="1:30" x14ac:dyDescent="0.2">
      <c r="A2679" s="104" t="s">
        <v>6033</v>
      </c>
      <c r="B2679" s="105" t="s">
        <v>42</v>
      </c>
      <c r="C2679" s="105" t="s">
        <v>43</v>
      </c>
      <c r="D2679" s="106"/>
      <c r="E2679" s="107"/>
      <c r="F2679" s="108" t="s">
        <v>20284</v>
      </c>
      <c r="G2679" s="119">
        <v>1</v>
      </c>
      <c r="H2679" s="108" t="s">
        <v>20285</v>
      </c>
      <c r="I2679" s="112">
        <v>4</v>
      </c>
      <c r="J2679" s="111" t="s">
        <v>44</v>
      </c>
      <c r="K2679" s="108" t="s">
        <v>20286</v>
      </c>
      <c r="L2679" s="110">
        <v>3</v>
      </c>
      <c r="M2679" s="111" t="s">
        <v>55</v>
      </c>
      <c r="N2679" s="108" t="s">
        <v>20284</v>
      </c>
      <c r="O2679" s="116">
        <v>1</v>
      </c>
      <c r="P2679" s="113"/>
      <c r="Q2679" s="108" t="s">
        <v>20287</v>
      </c>
      <c r="R2679" s="116">
        <v>1</v>
      </c>
      <c r="S2679" s="113"/>
      <c r="T2679" s="108" t="s">
        <v>20288</v>
      </c>
      <c r="U2679" s="116">
        <v>1</v>
      </c>
      <c r="V2679" s="113"/>
      <c r="W2679" s="108" t="s">
        <v>20289</v>
      </c>
      <c r="X2679" s="116">
        <v>1</v>
      </c>
      <c r="Y2679" s="113"/>
      <c r="Z2679" s="108" t="s">
        <v>47</v>
      </c>
      <c r="AA2679" s="114"/>
      <c r="AB2679" s="113"/>
      <c r="AC2679" s="105" t="s">
        <v>6034</v>
      </c>
      <c r="AD2679" s="115" t="s">
        <v>49</v>
      </c>
    </row>
    <row r="2680" spans="1:30" x14ac:dyDescent="0.2">
      <c r="A2680" s="104" t="s">
        <v>6035</v>
      </c>
      <c r="B2680" s="105" t="s">
        <v>42</v>
      </c>
      <c r="C2680" s="105" t="s">
        <v>43</v>
      </c>
      <c r="D2680" s="106"/>
      <c r="E2680" s="107"/>
      <c r="F2680" s="108" t="s">
        <v>20290</v>
      </c>
      <c r="G2680" s="119">
        <v>1</v>
      </c>
      <c r="H2680" s="108" t="s">
        <v>20291</v>
      </c>
      <c r="I2680" s="112">
        <v>4</v>
      </c>
      <c r="J2680" s="111" t="s">
        <v>55</v>
      </c>
      <c r="K2680" s="108" t="s">
        <v>20292</v>
      </c>
      <c r="L2680" s="112">
        <v>4</v>
      </c>
      <c r="M2680" s="111" t="s">
        <v>44</v>
      </c>
      <c r="N2680" s="108" t="s">
        <v>20290</v>
      </c>
      <c r="O2680" s="116">
        <v>1</v>
      </c>
      <c r="P2680" s="113"/>
      <c r="Q2680" s="108" t="s">
        <v>20293</v>
      </c>
      <c r="R2680" s="116">
        <v>1</v>
      </c>
      <c r="S2680" s="113"/>
      <c r="T2680" s="108" t="s">
        <v>20294</v>
      </c>
      <c r="U2680" s="116">
        <v>1</v>
      </c>
      <c r="V2680" s="113"/>
      <c r="W2680" s="108" t="s">
        <v>6036</v>
      </c>
      <c r="X2680" s="116">
        <v>1</v>
      </c>
      <c r="Y2680" s="113"/>
      <c r="Z2680" s="108" t="s">
        <v>47</v>
      </c>
      <c r="AA2680" s="114"/>
      <c r="AB2680" s="113"/>
      <c r="AC2680" s="105" t="s">
        <v>6037</v>
      </c>
      <c r="AD2680" s="115" t="s">
        <v>49</v>
      </c>
    </row>
    <row r="2681" spans="1:30" x14ac:dyDescent="0.2">
      <c r="A2681" s="104" t="s">
        <v>6038</v>
      </c>
      <c r="B2681" s="105" t="s">
        <v>42</v>
      </c>
      <c r="C2681" s="105" t="s">
        <v>43</v>
      </c>
      <c r="D2681" s="106"/>
      <c r="E2681" s="107"/>
      <c r="F2681" s="108" t="s">
        <v>20295</v>
      </c>
      <c r="G2681" s="119">
        <v>1</v>
      </c>
      <c r="H2681" s="108" t="s">
        <v>20296</v>
      </c>
      <c r="I2681" s="112">
        <v>4</v>
      </c>
      <c r="J2681" s="111" t="s">
        <v>44</v>
      </c>
      <c r="K2681" s="108" t="s">
        <v>20297</v>
      </c>
      <c r="L2681" s="112">
        <v>4</v>
      </c>
      <c r="M2681" s="111" t="s">
        <v>44</v>
      </c>
      <c r="N2681" s="108" t="s">
        <v>20295</v>
      </c>
      <c r="O2681" s="116">
        <v>1</v>
      </c>
      <c r="P2681" s="113"/>
      <c r="Q2681" s="108" t="s">
        <v>20298</v>
      </c>
      <c r="R2681" s="116">
        <v>1</v>
      </c>
      <c r="S2681" s="113"/>
      <c r="T2681" s="108" t="s">
        <v>20299</v>
      </c>
      <c r="U2681" s="116">
        <v>1</v>
      </c>
      <c r="V2681" s="113"/>
      <c r="W2681" s="108" t="s">
        <v>47</v>
      </c>
      <c r="X2681" s="114"/>
      <c r="Y2681" s="113"/>
      <c r="Z2681" s="108" t="s">
        <v>47</v>
      </c>
      <c r="AA2681" s="114"/>
      <c r="AB2681" s="113"/>
      <c r="AC2681" s="105" t="s">
        <v>6039</v>
      </c>
      <c r="AD2681" s="115" t="s">
        <v>49</v>
      </c>
    </row>
    <row r="2682" spans="1:30" x14ac:dyDescent="0.2">
      <c r="A2682" s="104" t="s">
        <v>6040</v>
      </c>
      <c r="B2682" s="105" t="s">
        <v>42</v>
      </c>
      <c r="C2682" s="105" t="s">
        <v>43</v>
      </c>
      <c r="D2682" s="106"/>
      <c r="E2682" s="107"/>
      <c r="F2682" s="108" t="s">
        <v>20300</v>
      </c>
      <c r="G2682" s="119">
        <v>1</v>
      </c>
      <c r="H2682" s="108" t="s">
        <v>20301</v>
      </c>
      <c r="I2682" s="112">
        <v>4</v>
      </c>
      <c r="J2682" s="111" t="s">
        <v>44</v>
      </c>
      <c r="K2682" s="108" t="s">
        <v>20302</v>
      </c>
      <c r="L2682" s="110">
        <v>3</v>
      </c>
      <c r="M2682" s="111" t="s">
        <v>55</v>
      </c>
      <c r="N2682" s="108" t="s">
        <v>20300</v>
      </c>
      <c r="O2682" s="116">
        <v>1</v>
      </c>
      <c r="P2682" s="113"/>
      <c r="Q2682" s="108" t="s">
        <v>20303</v>
      </c>
      <c r="R2682" s="116">
        <v>1</v>
      </c>
      <c r="S2682" s="113"/>
      <c r="T2682" s="108" t="s">
        <v>20304</v>
      </c>
      <c r="U2682" s="116">
        <v>1</v>
      </c>
      <c r="V2682" s="113"/>
      <c r="W2682" s="108" t="s">
        <v>47</v>
      </c>
      <c r="X2682" s="114"/>
      <c r="Y2682" s="113"/>
      <c r="Z2682" s="108" t="s">
        <v>47</v>
      </c>
      <c r="AA2682" s="114"/>
      <c r="AB2682" s="113"/>
      <c r="AC2682" s="105" t="s">
        <v>6041</v>
      </c>
      <c r="AD2682" s="115" t="s">
        <v>49</v>
      </c>
    </row>
    <row r="2683" spans="1:30" x14ac:dyDescent="0.2">
      <c r="A2683" s="104" t="s">
        <v>6042</v>
      </c>
      <c r="B2683" s="105" t="s">
        <v>42</v>
      </c>
      <c r="C2683" s="105" t="s">
        <v>43</v>
      </c>
      <c r="D2683" s="106"/>
      <c r="E2683" s="107"/>
      <c r="F2683" s="108" t="s">
        <v>20305</v>
      </c>
      <c r="G2683" s="120">
        <v>2</v>
      </c>
      <c r="H2683" s="108" t="s">
        <v>20306</v>
      </c>
      <c r="I2683" s="112">
        <v>4</v>
      </c>
      <c r="J2683" s="111" t="s">
        <v>55</v>
      </c>
      <c r="K2683" s="108" t="s">
        <v>20307</v>
      </c>
      <c r="L2683" s="112">
        <v>4</v>
      </c>
      <c r="M2683" s="111" t="s">
        <v>44</v>
      </c>
      <c r="N2683" s="108" t="s">
        <v>20305</v>
      </c>
      <c r="O2683" s="117">
        <v>2</v>
      </c>
      <c r="P2683" s="111" t="s">
        <v>46</v>
      </c>
      <c r="Q2683" s="108" t="s">
        <v>20308</v>
      </c>
      <c r="R2683" s="116">
        <v>1</v>
      </c>
      <c r="S2683" s="113"/>
      <c r="T2683" s="108" t="s">
        <v>20309</v>
      </c>
      <c r="U2683" s="116">
        <v>1</v>
      </c>
      <c r="V2683" s="113"/>
      <c r="W2683" s="108" t="s">
        <v>47</v>
      </c>
      <c r="X2683" s="114"/>
      <c r="Y2683" s="113"/>
      <c r="Z2683" s="108" t="s">
        <v>47</v>
      </c>
      <c r="AA2683" s="114"/>
      <c r="AB2683" s="113"/>
      <c r="AC2683" s="105" t="s">
        <v>6043</v>
      </c>
      <c r="AD2683" s="115" t="s">
        <v>49</v>
      </c>
    </row>
    <row r="2684" spans="1:30" x14ac:dyDescent="0.2">
      <c r="A2684" s="104" t="s">
        <v>6044</v>
      </c>
      <c r="B2684" s="105" t="s">
        <v>42</v>
      </c>
      <c r="C2684" s="105" t="s">
        <v>43</v>
      </c>
      <c r="D2684" s="106"/>
      <c r="E2684" s="107"/>
      <c r="F2684" s="108" t="s">
        <v>20310</v>
      </c>
      <c r="G2684" s="118">
        <v>3</v>
      </c>
      <c r="H2684" s="108" t="s">
        <v>20311</v>
      </c>
      <c r="I2684" s="112">
        <v>4</v>
      </c>
      <c r="J2684" s="111" t="s">
        <v>46</v>
      </c>
      <c r="K2684" s="108" t="s">
        <v>20312</v>
      </c>
      <c r="L2684" s="112">
        <v>4</v>
      </c>
      <c r="M2684" s="111" t="s">
        <v>55</v>
      </c>
      <c r="N2684" s="108" t="s">
        <v>20310</v>
      </c>
      <c r="O2684" s="110">
        <v>3</v>
      </c>
      <c r="P2684" s="111" t="s">
        <v>55</v>
      </c>
      <c r="Q2684" s="108" t="s">
        <v>20313</v>
      </c>
      <c r="R2684" s="116">
        <v>1</v>
      </c>
      <c r="S2684" s="113"/>
      <c r="T2684" s="108" t="s">
        <v>20314</v>
      </c>
      <c r="U2684" s="116">
        <v>1</v>
      </c>
      <c r="V2684" s="113"/>
      <c r="W2684" s="108" t="s">
        <v>47</v>
      </c>
      <c r="X2684" s="114"/>
      <c r="Y2684" s="113"/>
      <c r="Z2684" s="108" t="s">
        <v>47</v>
      </c>
      <c r="AA2684" s="114"/>
      <c r="AB2684" s="113"/>
      <c r="AC2684" s="105" t="s">
        <v>6045</v>
      </c>
      <c r="AD2684" s="115" t="s">
        <v>49</v>
      </c>
    </row>
    <row r="2685" spans="1:30" x14ac:dyDescent="0.2">
      <c r="A2685" s="104" t="s">
        <v>6046</v>
      </c>
      <c r="B2685" s="105" t="s">
        <v>805</v>
      </c>
      <c r="C2685" s="105" t="s">
        <v>6047</v>
      </c>
      <c r="D2685" s="106"/>
      <c r="E2685" s="107"/>
      <c r="F2685" s="108" t="s">
        <v>47</v>
      </c>
      <c r="G2685" s="113"/>
      <c r="H2685" s="108" t="s">
        <v>47</v>
      </c>
      <c r="I2685" s="114"/>
      <c r="J2685" s="113"/>
      <c r="K2685" s="108" t="s">
        <v>47</v>
      </c>
      <c r="L2685" s="114"/>
      <c r="M2685" s="113"/>
      <c r="N2685" s="108" t="s">
        <v>47</v>
      </c>
      <c r="O2685" s="114"/>
      <c r="P2685" s="113"/>
      <c r="Q2685" s="108" t="s">
        <v>47</v>
      </c>
      <c r="R2685" s="114"/>
      <c r="S2685" s="113"/>
      <c r="T2685" s="108" t="s">
        <v>47</v>
      </c>
      <c r="U2685" s="114"/>
      <c r="V2685" s="113"/>
      <c r="W2685" s="108" t="s">
        <v>47</v>
      </c>
      <c r="X2685" s="114"/>
      <c r="Y2685" s="113"/>
      <c r="Z2685" s="108" t="s">
        <v>47</v>
      </c>
      <c r="AA2685" s="114"/>
      <c r="AB2685" s="113"/>
      <c r="AC2685" s="105" t="s">
        <v>6048</v>
      </c>
      <c r="AD2685" s="115" t="s">
        <v>107</v>
      </c>
    </row>
    <row r="2686" spans="1:30" x14ac:dyDescent="0.2">
      <c r="A2686" s="104" t="s">
        <v>6049</v>
      </c>
      <c r="B2686" s="105" t="s">
        <v>805</v>
      </c>
      <c r="C2686" s="105" t="s">
        <v>6047</v>
      </c>
      <c r="D2686" s="106"/>
      <c r="E2686" s="107"/>
      <c r="F2686" s="108" t="s">
        <v>47</v>
      </c>
      <c r="G2686" s="113"/>
      <c r="H2686" s="108" t="s">
        <v>47</v>
      </c>
      <c r="I2686" s="114"/>
      <c r="J2686" s="113"/>
      <c r="K2686" s="108" t="s">
        <v>47</v>
      </c>
      <c r="L2686" s="114"/>
      <c r="M2686" s="113"/>
      <c r="N2686" s="108" t="s">
        <v>47</v>
      </c>
      <c r="O2686" s="114"/>
      <c r="P2686" s="113"/>
      <c r="Q2686" s="108" t="s">
        <v>47</v>
      </c>
      <c r="R2686" s="114"/>
      <c r="S2686" s="113"/>
      <c r="T2686" s="108" t="s">
        <v>47</v>
      </c>
      <c r="U2686" s="114"/>
      <c r="V2686" s="113"/>
      <c r="W2686" s="108" t="s">
        <v>47</v>
      </c>
      <c r="X2686" s="114"/>
      <c r="Y2686" s="113"/>
      <c r="Z2686" s="108" t="s">
        <v>47</v>
      </c>
      <c r="AA2686" s="114"/>
      <c r="AB2686" s="113"/>
      <c r="AC2686" s="105" t="s">
        <v>6050</v>
      </c>
      <c r="AD2686" s="115" t="s">
        <v>107</v>
      </c>
    </row>
    <row r="2687" spans="1:30" x14ac:dyDescent="0.2">
      <c r="A2687" s="104" t="s">
        <v>6051</v>
      </c>
      <c r="B2687" s="105" t="s">
        <v>805</v>
      </c>
      <c r="C2687" s="105" t="s">
        <v>6047</v>
      </c>
      <c r="D2687" s="106"/>
      <c r="E2687" s="107"/>
      <c r="F2687" s="108" t="s">
        <v>20315</v>
      </c>
      <c r="G2687" s="120">
        <v>2</v>
      </c>
      <c r="H2687" s="108" t="s">
        <v>20316</v>
      </c>
      <c r="I2687" s="117">
        <v>2</v>
      </c>
      <c r="J2687" s="111" t="s">
        <v>46</v>
      </c>
      <c r="K2687" s="108" t="s">
        <v>20317</v>
      </c>
      <c r="L2687" s="116">
        <v>1</v>
      </c>
      <c r="M2687" s="111" t="s">
        <v>40</v>
      </c>
      <c r="N2687" s="108" t="s">
        <v>20315</v>
      </c>
      <c r="O2687" s="117">
        <v>2</v>
      </c>
      <c r="P2687" s="113"/>
      <c r="Q2687" s="108" t="s">
        <v>47</v>
      </c>
      <c r="R2687" s="114"/>
      <c r="S2687" s="113"/>
      <c r="T2687" s="108" t="s">
        <v>47</v>
      </c>
      <c r="U2687" s="114"/>
      <c r="V2687" s="113"/>
      <c r="W2687" s="108" t="s">
        <v>47</v>
      </c>
      <c r="X2687" s="114"/>
      <c r="Y2687" s="113"/>
      <c r="Z2687" s="108" t="s">
        <v>47</v>
      </c>
      <c r="AA2687" s="114"/>
      <c r="AB2687" s="113"/>
      <c r="AC2687" s="105" t="s">
        <v>6052</v>
      </c>
      <c r="AD2687" s="115" t="s">
        <v>107</v>
      </c>
    </row>
    <row r="2688" spans="1:30" x14ac:dyDescent="0.2">
      <c r="A2688" s="104" t="s">
        <v>6053</v>
      </c>
      <c r="B2688" s="105" t="s">
        <v>805</v>
      </c>
      <c r="C2688" s="105" t="s">
        <v>6047</v>
      </c>
      <c r="D2688" s="106"/>
      <c r="E2688" s="107"/>
      <c r="F2688" s="108" t="s">
        <v>20318</v>
      </c>
      <c r="G2688" s="109">
        <v>4</v>
      </c>
      <c r="H2688" s="108" t="s">
        <v>20319</v>
      </c>
      <c r="I2688" s="110">
        <v>3</v>
      </c>
      <c r="J2688" s="111" t="s">
        <v>40</v>
      </c>
      <c r="K2688" s="108" t="s">
        <v>20320</v>
      </c>
      <c r="L2688" s="112">
        <v>4</v>
      </c>
      <c r="M2688" s="113"/>
      <c r="N2688" s="108" t="s">
        <v>20318</v>
      </c>
      <c r="O2688" s="112">
        <v>4</v>
      </c>
      <c r="P2688" s="113"/>
      <c r="Q2688" s="108" t="s">
        <v>20321</v>
      </c>
      <c r="R2688" s="110">
        <v>3</v>
      </c>
      <c r="S2688" s="113"/>
      <c r="T2688" s="108" t="s">
        <v>47</v>
      </c>
      <c r="U2688" s="114"/>
      <c r="V2688" s="113"/>
      <c r="W2688" s="108" t="s">
        <v>47</v>
      </c>
      <c r="X2688" s="114"/>
      <c r="Y2688" s="113"/>
      <c r="Z2688" s="108" t="s">
        <v>47</v>
      </c>
      <c r="AA2688" s="114"/>
      <c r="AB2688" s="113"/>
      <c r="AC2688" s="105" t="s">
        <v>6054</v>
      </c>
      <c r="AD2688" s="115" t="s">
        <v>107</v>
      </c>
    </row>
    <row r="2689" spans="1:30" x14ac:dyDescent="0.2">
      <c r="A2689" s="104" t="s">
        <v>6055</v>
      </c>
      <c r="B2689" s="105" t="s">
        <v>805</v>
      </c>
      <c r="C2689" s="105" t="s">
        <v>2716</v>
      </c>
      <c r="D2689" s="106"/>
      <c r="E2689" s="107"/>
      <c r="F2689" s="108" t="s">
        <v>20322</v>
      </c>
      <c r="G2689" s="118">
        <v>3</v>
      </c>
      <c r="H2689" s="108" t="s">
        <v>20323</v>
      </c>
      <c r="I2689" s="117">
        <v>2</v>
      </c>
      <c r="J2689" s="111" t="s">
        <v>40</v>
      </c>
      <c r="K2689" s="108" t="s">
        <v>20324</v>
      </c>
      <c r="L2689" s="117">
        <v>2</v>
      </c>
      <c r="M2689" s="111" t="s">
        <v>40</v>
      </c>
      <c r="N2689" s="108" t="s">
        <v>20322</v>
      </c>
      <c r="O2689" s="110">
        <v>3</v>
      </c>
      <c r="P2689" s="113"/>
      <c r="Q2689" s="108" t="s">
        <v>20325</v>
      </c>
      <c r="R2689" s="110">
        <v>3</v>
      </c>
      <c r="S2689" s="113"/>
      <c r="T2689" s="108" t="s">
        <v>47</v>
      </c>
      <c r="U2689" s="114"/>
      <c r="V2689" s="113"/>
      <c r="W2689" s="108" t="s">
        <v>47</v>
      </c>
      <c r="X2689" s="114"/>
      <c r="Y2689" s="113"/>
      <c r="Z2689" s="108" t="s">
        <v>47</v>
      </c>
      <c r="AA2689" s="114"/>
      <c r="AB2689" s="113"/>
      <c r="AC2689" s="105" t="s">
        <v>6056</v>
      </c>
      <c r="AD2689" s="115" t="s">
        <v>107</v>
      </c>
    </row>
    <row r="2690" spans="1:30" x14ac:dyDescent="0.2">
      <c r="A2690" s="104" t="s">
        <v>6057</v>
      </c>
      <c r="B2690" s="105" t="s">
        <v>805</v>
      </c>
      <c r="C2690" s="105" t="s">
        <v>112</v>
      </c>
      <c r="D2690" s="106"/>
      <c r="E2690" s="107"/>
      <c r="F2690" s="108" t="s">
        <v>20326</v>
      </c>
      <c r="G2690" s="109">
        <v>4</v>
      </c>
      <c r="H2690" s="108" t="s">
        <v>20327</v>
      </c>
      <c r="I2690" s="110">
        <v>3</v>
      </c>
      <c r="J2690" s="111" t="s">
        <v>40</v>
      </c>
      <c r="K2690" s="108" t="s">
        <v>20328</v>
      </c>
      <c r="L2690" s="112">
        <v>4</v>
      </c>
      <c r="M2690" s="113"/>
      <c r="N2690" s="108" t="s">
        <v>20326</v>
      </c>
      <c r="O2690" s="112">
        <v>4</v>
      </c>
      <c r="P2690" s="113"/>
      <c r="Q2690" s="108" t="s">
        <v>20329</v>
      </c>
      <c r="R2690" s="112">
        <v>4</v>
      </c>
      <c r="S2690" s="113"/>
      <c r="T2690" s="108" t="s">
        <v>47</v>
      </c>
      <c r="U2690" s="114"/>
      <c r="V2690" s="113"/>
      <c r="W2690" s="108" t="s">
        <v>47</v>
      </c>
      <c r="X2690" s="114"/>
      <c r="Y2690" s="113"/>
      <c r="Z2690" s="108" t="s">
        <v>47</v>
      </c>
      <c r="AA2690" s="114"/>
      <c r="AB2690" s="113"/>
      <c r="AC2690" s="105" t="s">
        <v>6058</v>
      </c>
      <c r="AD2690" s="115" t="s">
        <v>107</v>
      </c>
    </row>
    <row r="2691" spans="1:30" x14ac:dyDescent="0.2">
      <c r="A2691" s="104" t="s">
        <v>6059</v>
      </c>
      <c r="B2691" s="105" t="s">
        <v>805</v>
      </c>
      <c r="C2691" s="105" t="s">
        <v>6047</v>
      </c>
      <c r="D2691" s="106"/>
      <c r="E2691" s="107"/>
      <c r="F2691" s="108" t="s">
        <v>20330</v>
      </c>
      <c r="G2691" s="109">
        <v>4</v>
      </c>
      <c r="H2691" s="108" t="s">
        <v>20331</v>
      </c>
      <c r="I2691" s="110">
        <v>3</v>
      </c>
      <c r="J2691" s="111" t="s">
        <v>40</v>
      </c>
      <c r="K2691" s="108" t="s">
        <v>20332</v>
      </c>
      <c r="L2691" s="112">
        <v>4</v>
      </c>
      <c r="M2691" s="113"/>
      <c r="N2691" s="108" t="s">
        <v>20330</v>
      </c>
      <c r="O2691" s="112">
        <v>4</v>
      </c>
      <c r="P2691" s="113"/>
      <c r="Q2691" s="108" t="s">
        <v>20333</v>
      </c>
      <c r="R2691" s="110">
        <v>3</v>
      </c>
      <c r="S2691" s="113"/>
      <c r="T2691" s="108" t="s">
        <v>47</v>
      </c>
      <c r="U2691" s="114"/>
      <c r="V2691" s="113"/>
      <c r="W2691" s="108" t="s">
        <v>47</v>
      </c>
      <c r="X2691" s="114"/>
      <c r="Y2691" s="113"/>
      <c r="Z2691" s="108" t="s">
        <v>47</v>
      </c>
      <c r="AA2691" s="114"/>
      <c r="AB2691" s="113"/>
      <c r="AC2691" s="105" t="s">
        <v>6060</v>
      </c>
      <c r="AD2691" s="115" t="s">
        <v>107</v>
      </c>
    </row>
    <row r="2692" spans="1:30" x14ac:dyDescent="0.2">
      <c r="A2692" s="104" t="s">
        <v>6061</v>
      </c>
      <c r="B2692" s="105" t="s">
        <v>111</v>
      </c>
      <c r="C2692" s="105" t="s">
        <v>112</v>
      </c>
      <c r="D2692" s="106"/>
      <c r="E2692" s="107"/>
      <c r="F2692" s="108" t="s">
        <v>20334</v>
      </c>
      <c r="G2692" s="119">
        <v>1</v>
      </c>
      <c r="H2692" s="108" t="s">
        <v>20335</v>
      </c>
      <c r="I2692" s="112">
        <v>4</v>
      </c>
      <c r="J2692" s="111" t="s">
        <v>44</v>
      </c>
      <c r="K2692" s="108" t="s">
        <v>20336</v>
      </c>
      <c r="L2692" s="110">
        <v>3</v>
      </c>
      <c r="M2692" s="111" t="s">
        <v>55</v>
      </c>
      <c r="N2692" s="108" t="s">
        <v>20334</v>
      </c>
      <c r="O2692" s="116">
        <v>1</v>
      </c>
      <c r="P2692" s="113"/>
      <c r="Q2692" s="108" t="s">
        <v>20337</v>
      </c>
      <c r="R2692" s="116">
        <v>1</v>
      </c>
      <c r="S2692" s="113"/>
      <c r="T2692" s="108" t="s">
        <v>20338</v>
      </c>
      <c r="U2692" s="110">
        <v>3</v>
      </c>
      <c r="V2692" s="113"/>
      <c r="W2692" s="108" t="s">
        <v>20339</v>
      </c>
      <c r="X2692" s="116">
        <v>1</v>
      </c>
      <c r="Y2692" s="113"/>
      <c r="Z2692" s="108" t="s">
        <v>20340</v>
      </c>
      <c r="AA2692" s="117">
        <v>2</v>
      </c>
      <c r="AB2692" s="113"/>
      <c r="AC2692" s="105" t="s">
        <v>6062</v>
      </c>
      <c r="AD2692" s="115" t="s">
        <v>114</v>
      </c>
    </row>
    <row r="2693" spans="1:30" x14ac:dyDescent="0.2">
      <c r="A2693" s="104" t="s">
        <v>6063</v>
      </c>
      <c r="B2693" s="105" t="s">
        <v>42</v>
      </c>
      <c r="C2693" s="105" t="s">
        <v>93</v>
      </c>
      <c r="D2693" s="106" t="s">
        <v>94</v>
      </c>
      <c r="E2693" s="107"/>
      <c r="F2693" s="108" t="s">
        <v>20341</v>
      </c>
      <c r="G2693" s="118">
        <v>3</v>
      </c>
      <c r="H2693" s="108" t="s">
        <v>20342</v>
      </c>
      <c r="I2693" s="112">
        <v>4</v>
      </c>
      <c r="J2693" s="111" t="s">
        <v>55</v>
      </c>
      <c r="K2693" s="108" t="s">
        <v>20343</v>
      </c>
      <c r="L2693" s="110">
        <v>3</v>
      </c>
      <c r="M2693" s="111" t="s">
        <v>55</v>
      </c>
      <c r="N2693" s="108" t="s">
        <v>20341</v>
      </c>
      <c r="O2693" s="110">
        <v>3</v>
      </c>
      <c r="P2693" s="111" t="s">
        <v>55</v>
      </c>
      <c r="Q2693" s="108" t="s">
        <v>20344</v>
      </c>
      <c r="R2693" s="117">
        <v>2</v>
      </c>
      <c r="S2693" s="113"/>
      <c r="T2693" s="108" t="s">
        <v>20345</v>
      </c>
      <c r="U2693" s="110">
        <v>3</v>
      </c>
      <c r="V2693" s="111" t="s">
        <v>46</v>
      </c>
      <c r="W2693" s="108" t="s">
        <v>20346</v>
      </c>
      <c r="X2693" s="116">
        <v>1</v>
      </c>
      <c r="Y2693" s="113"/>
      <c r="Z2693" s="108" t="s">
        <v>20347</v>
      </c>
      <c r="AA2693" s="117">
        <v>2</v>
      </c>
      <c r="AB2693" s="113"/>
      <c r="AC2693" s="105" t="s">
        <v>6064</v>
      </c>
      <c r="AD2693" s="115" t="s">
        <v>49</v>
      </c>
    </row>
    <row r="2694" spans="1:30" x14ac:dyDescent="0.2">
      <c r="A2694" s="104" t="s">
        <v>6065</v>
      </c>
      <c r="B2694" s="105" t="s">
        <v>42</v>
      </c>
      <c r="C2694" s="105" t="s">
        <v>93</v>
      </c>
      <c r="D2694" s="106" t="s">
        <v>125</v>
      </c>
      <c r="E2694" s="107"/>
      <c r="F2694" s="108" t="s">
        <v>20348</v>
      </c>
      <c r="G2694" s="109">
        <v>4</v>
      </c>
      <c r="H2694" s="108" t="s">
        <v>20349</v>
      </c>
      <c r="I2694" s="112">
        <v>4</v>
      </c>
      <c r="J2694" s="111" t="s">
        <v>55</v>
      </c>
      <c r="K2694" s="108" t="s">
        <v>20350</v>
      </c>
      <c r="L2694" s="110">
        <v>3</v>
      </c>
      <c r="M2694" s="111" t="s">
        <v>46</v>
      </c>
      <c r="N2694" s="108" t="s">
        <v>20348</v>
      </c>
      <c r="O2694" s="112">
        <v>4</v>
      </c>
      <c r="P2694" s="111" t="s">
        <v>46</v>
      </c>
      <c r="Q2694" s="108" t="s">
        <v>20351</v>
      </c>
      <c r="R2694" s="112">
        <v>4</v>
      </c>
      <c r="S2694" s="111" t="s">
        <v>46</v>
      </c>
      <c r="T2694" s="108" t="s">
        <v>20352</v>
      </c>
      <c r="U2694" s="110">
        <v>3</v>
      </c>
      <c r="V2694" s="111" t="s">
        <v>46</v>
      </c>
      <c r="W2694" s="108" t="s">
        <v>20353</v>
      </c>
      <c r="X2694" s="117">
        <v>2</v>
      </c>
      <c r="Y2694" s="113"/>
      <c r="Z2694" s="108" t="s">
        <v>20354</v>
      </c>
      <c r="AA2694" s="117">
        <v>2</v>
      </c>
      <c r="AB2694" s="113"/>
      <c r="AC2694" s="105" t="s">
        <v>6066</v>
      </c>
      <c r="AD2694" s="115" t="s">
        <v>49</v>
      </c>
    </row>
    <row r="2695" spans="1:30" x14ac:dyDescent="0.2">
      <c r="A2695" s="104" t="s">
        <v>6067</v>
      </c>
      <c r="B2695" s="105" t="s">
        <v>42</v>
      </c>
      <c r="C2695" s="105" t="s">
        <v>93</v>
      </c>
      <c r="D2695" s="106" t="s">
        <v>94</v>
      </c>
      <c r="E2695" s="107"/>
      <c r="F2695" s="108" t="s">
        <v>20355</v>
      </c>
      <c r="G2695" s="109">
        <v>4</v>
      </c>
      <c r="H2695" s="108" t="s">
        <v>20356</v>
      </c>
      <c r="I2695" s="112">
        <v>4</v>
      </c>
      <c r="J2695" s="111" t="s">
        <v>55</v>
      </c>
      <c r="K2695" s="108" t="s">
        <v>20357</v>
      </c>
      <c r="L2695" s="110">
        <v>3</v>
      </c>
      <c r="M2695" s="111" t="s">
        <v>46</v>
      </c>
      <c r="N2695" s="108" t="s">
        <v>20355</v>
      </c>
      <c r="O2695" s="112">
        <v>4</v>
      </c>
      <c r="P2695" s="111" t="s">
        <v>46</v>
      </c>
      <c r="Q2695" s="108" t="s">
        <v>20358</v>
      </c>
      <c r="R2695" s="112">
        <v>4</v>
      </c>
      <c r="S2695" s="111" t="s">
        <v>46</v>
      </c>
      <c r="T2695" s="108" t="s">
        <v>20359</v>
      </c>
      <c r="U2695" s="117">
        <v>2</v>
      </c>
      <c r="V2695" s="113"/>
      <c r="W2695" s="108" t="s">
        <v>20360</v>
      </c>
      <c r="X2695" s="117">
        <v>2</v>
      </c>
      <c r="Y2695" s="111" t="s">
        <v>46</v>
      </c>
      <c r="Z2695" s="108" t="s">
        <v>20361</v>
      </c>
      <c r="AA2695" s="117">
        <v>2</v>
      </c>
      <c r="AB2695" s="113"/>
      <c r="AC2695" s="105" t="s">
        <v>6068</v>
      </c>
      <c r="AD2695" s="115" t="s">
        <v>49</v>
      </c>
    </row>
    <row r="2696" spans="1:30" x14ac:dyDescent="0.2">
      <c r="A2696" s="104" t="s">
        <v>6069</v>
      </c>
      <c r="B2696" s="105" t="s">
        <v>42</v>
      </c>
      <c r="C2696" s="105" t="s">
        <v>2741</v>
      </c>
      <c r="D2696" s="106" t="s">
        <v>514</v>
      </c>
      <c r="E2696" s="107"/>
      <c r="F2696" s="108" t="s">
        <v>20362</v>
      </c>
      <c r="G2696" s="109">
        <v>4</v>
      </c>
      <c r="H2696" s="108" t="s">
        <v>20363</v>
      </c>
      <c r="I2696" s="112">
        <v>4</v>
      </c>
      <c r="J2696" s="111" t="s">
        <v>44</v>
      </c>
      <c r="K2696" s="108" t="s">
        <v>20364</v>
      </c>
      <c r="L2696" s="117">
        <v>2</v>
      </c>
      <c r="M2696" s="113"/>
      <c r="N2696" s="108" t="s">
        <v>20362</v>
      </c>
      <c r="O2696" s="112">
        <v>4</v>
      </c>
      <c r="P2696" s="111" t="s">
        <v>55</v>
      </c>
      <c r="Q2696" s="108" t="s">
        <v>20365</v>
      </c>
      <c r="R2696" s="112">
        <v>4</v>
      </c>
      <c r="S2696" s="111" t="s">
        <v>46</v>
      </c>
      <c r="T2696" s="108" t="s">
        <v>20366</v>
      </c>
      <c r="U2696" s="116">
        <v>1</v>
      </c>
      <c r="V2696" s="113"/>
      <c r="W2696" s="108" t="s">
        <v>20367</v>
      </c>
      <c r="X2696" s="116">
        <v>1</v>
      </c>
      <c r="Y2696" s="113"/>
      <c r="Z2696" s="108" t="s">
        <v>20368</v>
      </c>
      <c r="AA2696" s="116">
        <v>1</v>
      </c>
      <c r="AB2696" s="113"/>
      <c r="AC2696" s="105" t="s">
        <v>6070</v>
      </c>
      <c r="AD2696" s="115" t="s">
        <v>49</v>
      </c>
    </row>
    <row r="2697" spans="1:30" x14ac:dyDescent="0.2">
      <c r="A2697" s="104" t="s">
        <v>6071</v>
      </c>
      <c r="B2697" s="105" t="s">
        <v>42</v>
      </c>
      <c r="C2697" s="105" t="s">
        <v>2741</v>
      </c>
      <c r="D2697" s="106" t="s">
        <v>514</v>
      </c>
      <c r="E2697" s="107"/>
      <c r="F2697" s="108" t="s">
        <v>20369</v>
      </c>
      <c r="G2697" s="118">
        <v>3</v>
      </c>
      <c r="H2697" s="108" t="s">
        <v>20370</v>
      </c>
      <c r="I2697" s="112">
        <v>4</v>
      </c>
      <c r="J2697" s="111" t="s">
        <v>44</v>
      </c>
      <c r="K2697" s="108" t="s">
        <v>20371</v>
      </c>
      <c r="L2697" s="117">
        <v>2</v>
      </c>
      <c r="M2697" s="111" t="s">
        <v>46</v>
      </c>
      <c r="N2697" s="108" t="s">
        <v>20369</v>
      </c>
      <c r="O2697" s="110">
        <v>3</v>
      </c>
      <c r="P2697" s="111" t="s">
        <v>46</v>
      </c>
      <c r="Q2697" s="108" t="s">
        <v>20372</v>
      </c>
      <c r="R2697" s="110">
        <v>3</v>
      </c>
      <c r="S2697" s="113"/>
      <c r="T2697" s="108" t="s">
        <v>20373</v>
      </c>
      <c r="U2697" s="116">
        <v>1</v>
      </c>
      <c r="V2697" s="113"/>
      <c r="W2697" s="108" t="s">
        <v>20374</v>
      </c>
      <c r="X2697" s="116">
        <v>1</v>
      </c>
      <c r="Y2697" s="113"/>
      <c r="Z2697" s="108" t="s">
        <v>20375</v>
      </c>
      <c r="AA2697" s="116">
        <v>1</v>
      </c>
      <c r="AB2697" s="113"/>
      <c r="AC2697" s="105" t="s">
        <v>6072</v>
      </c>
      <c r="AD2697" s="115" t="s">
        <v>49</v>
      </c>
    </row>
    <row r="2698" spans="1:30" x14ac:dyDescent="0.2">
      <c r="A2698" s="104" t="s">
        <v>6073</v>
      </c>
      <c r="B2698" s="105" t="s">
        <v>42</v>
      </c>
      <c r="C2698" s="105" t="s">
        <v>43</v>
      </c>
      <c r="D2698" s="106"/>
      <c r="E2698" s="107"/>
      <c r="F2698" s="108" t="s">
        <v>20376</v>
      </c>
      <c r="G2698" s="109">
        <v>4</v>
      </c>
      <c r="H2698" s="108" t="s">
        <v>20377</v>
      </c>
      <c r="I2698" s="110">
        <v>3</v>
      </c>
      <c r="J2698" s="113"/>
      <c r="K2698" s="108" t="s">
        <v>20378</v>
      </c>
      <c r="L2698" s="116">
        <v>1</v>
      </c>
      <c r="M2698" s="111" t="s">
        <v>53</v>
      </c>
      <c r="N2698" s="108" t="s">
        <v>20376</v>
      </c>
      <c r="O2698" s="112">
        <v>4</v>
      </c>
      <c r="P2698" s="111" t="s">
        <v>46</v>
      </c>
      <c r="Q2698" s="108" t="s">
        <v>20379</v>
      </c>
      <c r="R2698" s="110">
        <v>3</v>
      </c>
      <c r="S2698" s="113"/>
      <c r="T2698" s="108" t="s">
        <v>20380</v>
      </c>
      <c r="U2698" s="117">
        <v>2</v>
      </c>
      <c r="V2698" s="113"/>
      <c r="W2698" s="108" t="s">
        <v>20381</v>
      </c>
      <c r="X2698" s="117">
        <v>2</v>
      </c>
      <c r="Y2698" s="113"/>
      <c r="Z2698" s="108" t="s">
        <v>47</v>
      </c>
      <c r="AA2698" s="114"/>
      <c r="AB2698" s="113"/>
      <c r="AC2698" s="105" t="s">
        <v>6074</v>
      </c>
      <c r="AD2698" s="115" t="s">
        <v>49</v>
      </c>
    </row>
    <row r="2699" spans="1:30" x14ac:dyDescent="0.2">
      <c r="A2699" s="104" t="s">
        <v>20382</v>
      </c>
      <c r="B2699" s="105" t="s">
        <v>111</v>
      </c>
      <c r="C2699" s="105" t="s">
        <v>112</v>
      </c>
      <c r="D2699" s="106"/>
      <c r="E2699" s="107"/>
      <c r="F2699" s="108" t="s">
        <v>47</v>
      </c>
      <c r="G2699" s="113"/>
      <c r="H2699" s="108" t="s">
        <v>47</v>
      </c>
      <c r="I2699" s="114"/>
      <c r="J2699" s="113"/>
      <c r="K2699" s="108" t="s">
        <v>47</v>
      </c>
      <c r="L2699" s="114"/>
      <c r="M2699" s="113"/>
      <c r="N2699" s="108" t="s">
        <v>47</v>
      </c>
      <c r="O2699" s="114"/>
      <c r="P2699" s="113"/>
      <c r="Q2699" s="108" t="s">
        <v>47</v>
      </c>
      <c r="R2699" s="114"/>
      <c r="S2699" s="113"/>
      <c r="T2699" s="108" t="s">
        <v>47</v>
      </c>
      <c r="U2699" s="114"/>
      <c r="V2699" s="113"/>
      <c r="W2699" s="108" t="s">
        <v>47</v>
      </c>
      <c r="X2699" s="114"/>
      <c r="Y2699" s="113"/>
      <c r="Z2699" s="108" t="s">
        <v>47</v>
      </c>
      <c r="AA2699" s="114"/>
      <c r="AB2699" s="113"/>
      <c r="AC2699" s="105" t="s">
        <v>20383</v>
      </c>
      <c r="AD2699" s="115" t="s">
        <v>114</v>
      </c>
    </row>
    <row r="2700" spans="1:30" x14ac:dyDescent="0.2">
      <c r="A2700" s="104" t="s">
        <v>6075</v>
      </c>
      <c r="B2700" s="105" t="s">
        <v>111</v>
      </c>
      <c r="C2700" s="105" t="s">
        <v>112</v>
      </c>
      <c r="D2700" s="106"/>
      <c r="E2700" s="107"/>
      <c r="F2700" s="108" t="s">
        <v>20384</v>
      </c>
      <c r="G2700" s="119">
        <v>1</v>
      </c>
      <c r="H2700" s="108" t="s">
        <v>20385</v>
      </c>
      <c r="I2700" s="110">
        <v>3</v>
      </c>
      <c r="J2700" s="111" t="s">
        <v>55</v>
      </c>
      <c r="K2700" s="108" t="s">
        <v>20386</v>
      </c>
      <c r="L2700" s="116">
        <v>1</v>
      </c>
      <c r="M2700" s="113"/>
      <c r="N2700" s="108" t="s">
        <v>20384</v>
      </c>
      <c r="O2700" s="116">
        <v>1</v>
      </c>
      <c r="P2700" s="113"/>
      <c r="Q2700" s="108" t="s">
        <v>20387</v>
      </c>
      <c r="R2700" s="116">
        <v>1</v>
      </c>
      <c r="S2700" s="113"/>
      <c r="T2700" s="108" t="s">
        <v>20388</v>
      </c>
      <c r="U2700" s="112">
        <v>4</v>
      </c>
      <c r="V2700" s="111" t="s">
        <v>46</v>
      </c>
      <c r="W2700" s="108" t="s">
        <v>20389</v>
      </c>
      <c r="X2700" s="110">
        <v>3</v>
      </c>
      <c r="Y2700" s="113"/>
      <c r="Z2700" s="108" t="s">
        <v>20390</v>
      </c>
      <c r="AA2700" s="110">
        <v>3</v>
      </c>
      <c r="AB2700" s="113"/>
      <c r="AC2700" s="105" t="s">
        <v>6076</v>
      </c>
      <c r="AD2700" s="115" t="s">
        <v>114</v>
      </c>
    </row>
    <row r="2701" spans="1:30" x14ac:dyDescent="0.2">
      <c r="A2701" s="104" t="s">
        <v>6077</v>
      </c>
      <c r="B2701" s="105" t="s">
        <v>42</v>
      </c>
      <c r="C2701" s="105" t="s">
        <v>51</v>
      </c>
      <c r="D2701" s="106"/>
      <c r="E2701" s="107"/>
      <c r="F2701" s="108" t="s">
        <v>20391</v>
      </c>
      <c r="G2701" s="119">
        <v>1</v>
      </c>
      <c r="H2701" s="108" t="s">
        <v>20392</v>
      </c>
      <c r="I2701" s="117">
        <v>2</v>
      </c>
      <c r="J2701" s="113"/>
      <c r="K2701" s="108" t="s">
        <v>6078</v>
      </c>
      <c r="L2701" s="116">
        <v>1</v>
      </c>
      <c r="M2701" s="113"/>
      <c r="N2701" s="108" t="s">
        <v>20391</v>
      </c>
      <c r="O2701" s="116">
        <v>1</v>
      </c>
      <c r="P2701" s="113"/>
      <c r="Q2701" s="108" t="s">
        <v>20393</v>
      </c>
      <c r="R2701" s="116">
        <v>1</v>
      </c>
      <c r="S2701" s="113"/>
      <c r="T2701" s="108" t="s">
        <v>47</v>
      </c>
      <c r="U2701" s="114"/>
      <c r="V2701" s="113"/>
      <c r="W2701" s="108" t="s">
        <v>47</v>
      </c>
      <c r="X2701" s="114"/>
      <c r="Y2701" s="113"/>
      <c r="Z2701" s="108" t="s">
        <v>47</v>
      </c>
      <c r="AA2701" s="114"/>
      <c r="AB2701" s="113"/>
      <c r="AC2701" s="105" t="s">
        <v>6079</v>
      </c>
      <c r="AD2701" s="115" t="s">
        <v>49</v>
      </c>
    </row>
    <row r="2702" spans="1:30" x14ac:dyDescent="0.2">
      <c r="A2702" s="104" t="s">
        <v>6080</v>
      </c>
      <c r="B2702" s="105" t="s">
        <v>42</v>
      </c>
      <c r="C2702" s="105" t="s">
        <v>51</v>
      </c>
      <c r="D2702" s="106"/>
      <c r="E2702" s="107"/>
      <c r="F2702" s="108" t="s">
        <v>20394</v>
      </c>
      <c r="G2702" s="119">
        <v>1</v>
      </c>
      <c r="H2702" s="108" t="s">
        <v>20395</v>
      </c>
      <c r="I2702" s="117">
        <v>2</v>
      </c>
      <c r="J2702" s="113"/>
      <c r="K2702" s="108" t="s">
        <v>20396</v>
      </c>
      <c r="L2702" s="116">
        <v>1</v>
      </c>
      <c r="M2702" s="113"/>
      <c r="N2702" s="108" t="s">
        <v>20394</v>
      </c>
      <c r="O2702" s="116">
        <v>1</v>
      </c>
      <c r="P2702" s="113"/>
      <c r="Q2702" s="108" t="s">
        <v>20397</v>
      </c>
      <c r="R2702" s="116">
        <v>1</v>
      </c>
      <c r="S2702" s="113"/>
      <c r="T2702" s="108" t="s">
        <v>47</v>
      </c>
      <c r="U2702" s="114"/>
      <c r="V2702" s="113"/>
      <c r="W2702" s="108" t="s">
        <v>47</v>
      </c>
      <c r="X2702" s="114"/>
      <c r="Y2702" s="113"/>
      <c r="Z2702" s="108" t="s">
        <v>47</v>
      </c>
      <c r="AA2702" s="114"/>
      <c r="AB2702" s="113"/>
      <c r="AC2702" s="105" t="s">
        <v>6081</v>
      </c>
      <c r="AD2702" s="115" t="s">
        <v>49</v>
      </c>
    </row>
    <row r="2703" spans="1:30" x14ac:dyDescent="0.2">
      <c r="A2703" s="104" t="s">
        <v>6082</v>
      </c>
      <c r="B2703" s="105" t="s">
        <v>42</v>
      </c>
      <c r="C2703" s="105" t="s">
        <v>3841</v>
      </c>
      <c r="D2703" s="106"/>
      <c r="E2703" s="107"/>
      <c r="F2703" s="108" t="s">
        <v>18993</v>
      </c>
      <c r="G2703" s="119">
        <v>1</v>
      </c>
      <c r="H2703" s="108" t="s">
        <v>19281</v>
      </c>
      <c r="I2703" s="112">
        <v>4</v>
      </c>
      <c r="J2703" s="113"/>
      <c r="K2703" s="108" t="s">
        <v>19238</v>
      </c>
      <c r="L2703" s="116">
        <v>1</v>
      </c>
      <c r="M2703" s="113"/>
      <c r="N2703" s="108" t="s">
        <v>18993</v>
      </c>
      <c r="O2703" s="116">
        <v>1</v>
      </c>
      <c r="P2703" s="113"/>
      <c r="Q2703" s="108" t="s">
        <v>18991</v>
      </c>
      <c r="R2703" s="116">
        <v>1</v>
      </c>
      <c r="S2703" s="113"/>
      <c r="T2703" s="108" t="s">
        <v>47</v>
      </c>
      <c r="U2703" s="114"/>
      <c r="V2703" s="113"/>
      <c r="W2703" s="108" t="s">
        <v>47</v>
      </c>
      <c r="X2703" s="114"/>
      <c r="Y2703" s="113"/>
      <c r="Z2703" s="108" t="s">
        <v>47</v>
      </c>
      <c r="AA2703" s="114"/>
      <c r="AB2703" s="113"/>
      <c r="AC2703" s="105" t="s">
        <v>6083</v>
      </c>
      <c r="AD2703" s="115" t="s">
        <v>49</v>
      </c>
    </row>
    <row r="2704" spans="1:30" x14ac:dyDescent="0.2">
      <c r="A2704" s="104" t="s">
        <v>6084</v>
      </c>
      <c r="B2704" s="105" t="s">
        <v>42</v>
      </c>
      <c r="C2704" s="105" t="s">
        <v>51</v>
      </c>
      <c r="D2704" s="106"/>
      <c r="E2704" s="107"/>
      <c r="F2704" s="108" t="s">
        <v>20398</v>
      </c>
      <c r="G2704" s="119">
        <v>1</v>
      </c>
      <c r="H2704" s="108" t="s">
        <v>20399</v>
      </c>
      <c r="I2704" s="116">
        <v>1</v>
      </c>
      <c r="J2704" s="111" t="s">
        <v>40</v>
      </c>
      <c r="K2704" s="108" t="s">
        <v>20400</v>
      </c>
      <c r="L2704" s="116">
        <v>1</v>
      </c>
      <c r="M2704" s="113"/>
      <c r="N2704" s="108" t="s">
        <v>20398</v>
      </c>
      <c r="O2704" s="116">
        <v>1</v>
      </c>
      <c r="P2704" s="113"/>
      <c r="Q2704" s="108" t="s">
        <v>20401</v>
      </c>
      <c r="R2704" s="117">
        <v>2</v>
      </c>
      <c r="S2704" s="113"/>
      <c r="T2704" s="108" t="s">
        <v>47</v>
      </c>
      <c r="U2704" s="114"/>
      <c r="V2704" s="113"/>
      <c r="W2704" s="108" t="s">
        <v>47</v>
      </c>
      <c r="X2704" s="114"/>
      <c r="Y2704" s="113"/>
      <c r="Z2704" s="108" t="s">
        <v>47</v>
      </c>
      <c r="AA2704" s="114"/>
      <c r="AB2704" s="113"/>
      <c r="AC2704" s="105" t="s">
        <v>6085</v>
      </c>
      <c r="AD2704" s="115" t="s">
        <v>49</v>
      </c>
    </row>
    <row r="2705" spans="1:30" x14ac:dyDescent="0.2">
      <c r="A2705" s="104" t="s">
        <v>6086</v>
      </c>
      <c r="B2705" s="105" t="s">
        <v>42</v>
      </c>
      <c r="C2705" s="105" t="s">
        <v>51</v>
      </c>
      <c r="D2705" s="106"/>
      <c r="E2705" s="107"/>
      <c r="F2705" s="108" t="s">
        <v>20402</v>
      </c>
      <c r="G2705" s="119">
        <v>1</v>
      </c>
      <c r="H2705" s="108" t="s">
        <v>20403</v>
      </c>
      <c r="I2705" s="117">
        <v>2</v>
      </c>
      <c r="J2705" s="113"/>
      <c r="K2705" s="108" t="s">
        <v>20404</v>
      </c>
      <c r="L2705" s="117">
        <v>2</v>
      </c>
      <c r="M2705" s="111" t="s">
        <v>46</v>
      </c>
      <c r="N2705" s="108" t="s">
        <v>20402</v>
      </c>
      <c r="O2705" s="116">
        <v>1</v>
      </c>
      <c r="P2705" s="111" t="s">
        <v>40</v>
      </c>
      <c r="Q2705" s="108" t="s">
        <v>47</v>
      </c>
      <c r="R2705" s="114"/>
      <c r="S2705" s="113"/>
      <c r="T2705" s="108" t="s">
        <v>47</v>
      </c>
      <c r="U2705" s="114"/>
      <c r="V2705" s="113"/>
      <c r="W2705" s="108" t="s">
        <v>47</v>
      </c>
      <c r="X2705" s="114"/>
      <c r="Y2705" s="113"/>
      <c r="Z2705" s="108" t="s">
        <v>47</v>
      </c>
      <c r="AA2705" s="114"/>
      <c r="AB2705" s="113"/>
      <c r="AC2705" s="105" t="s">
        <v>6087</v>
      </c>
      <c r="AD2705" s="115" t="s">
        <v>49</v>
      </c>
    </row>
    <row r="2706" spans="1:30" x14ac:dyDescent="0.2">
      <c r="A2706" s="104" t="s">
        <v>6088</v>
      </c>
      <c r="B2706" s="105" t="s">
        <v>42</v>
      </c>
      <c r="C2706" s="105" t="s">
        <v>51</v>
      </c>
      <c r="D2706" s="106"/>
      <c r="E2706" s="107"/>
      <c r="F2706" s="108" t="s">
        <v>20405</v>
      </c>
      <c r="G2706" s="119">
        <v>1</v>
      </c>
      <c r="H2706" s="108" t="s">
        <v>20406</v>
      </c>
      <c r="I2706" s="110">
        <v>3</v>
      </c>
      <c r="J2706" s="111" t="s">
        <v>46</v>
      </c>
      <c r="K2706" s="108" t="s">
        <v>20407</v>
      </c>
      <c r="L2706" s="110">
        <v>3</v>
      </c>
      <c r="M2706" s="111" t="s">
        <v>55</v>
      </c>
      <c r="N2706" s="108" t="s">
        <v>20405</v>
      </c>
      <c r="O2706" s="116">
        <v>1</v>
      </c>
      <c r="P2706" s="113"/>
      <c r="Q2706" s="108" t="s">
        <v>20408</v>
      </c>
      <c r="R2706" s="116">
        <v>1</v>
      </c>
      <c r="S2706" s="113"/>
      <c r="T2706" s="108" t="s">
        <v>47</v>
      </c>
      <c r="U2706" s="114"/>
      <c r="V2706" s="113"/>
      <c r="W2706" s="108" t="s">
        <v>47</v>
      </c>
      <c r="X2706" s="114"/>
      <c r="Y2706" s="113"/>
      <c r="Z2706" s="108" t="s">
        <v>47</v>
      </c>
      <c r="AA2706" s="114"/>
      <c r="AB2706" s="113"/>
      <c r="AC2706" s="105" t="s">
        <v>6089</v>
      </c>
      <c r="AD2706" s="115" t="s">
        <v>49</v>
      </c>
    </row>
    <row r="2707" spans="1:30" x14ac:dyDescent="0.2">
      <c r="A2707" s="104" t="s">
        <v>6090</v>
      </c>
      <c r="B2707" s="105" t="s">
        <v>42</v>
      </c>
      <c r="C2707" s="105" t="s">
        <v>51</v>
      </c>
      <c r="D2707" s="106"/>
      <c r="E2707" s="107"/>
      <c r="F2707" s="108" t="s">
        <v>20409</v>
      </c>
      <c r="G2707" s="109">
        <v>4</v>
      </c>
      <c r="H2707" s="108" t="s">
        <v>20410</v>
      </c>
      <c r="I2707" s="112">
        <v>4</v>
      </c>
      <c r="J2707" s="113"/>
      <c r="K2707" s="108" t="s">
        <v>20411</v>
      </c>
      <c r="L2707" s="112">
        <v>4</v>
      </c>
      <c r="M2707" s="113"/>
      <c r="N2707" s="108" t="s">
        <v>20409</v>
      </c>
      <c r="O2707" s="112">
        <v>4</v>
      </c>
      <c r="P2707" s="113"/>
      <c r="Q2707" s="108" t="s">
        <v>47</v>
      </c>
      <c r="R2707" s="114"/>
      <c r="S2707" s="113"/>
      <c r="T2707" s="108" t="s">
        <v>47</v>
      </c>
      <c r="U2707" s="114"/>
      <c r="V2707" s="113"/>
      <c r="W2707" s="108" t="s">
        <v>47</v>
      </c>
      <c r="X2707" s="114"/>
      <c r="Y2707" s="113"/>
      <c r="Z2707" s="108" t="s">
        <v>47</v>
      </c>
      <c r="AA2707" s="114"/>
      <c r="AB2707" s="113"/>
      <c r="AC2707" s="105" t="s">
        <v>6091</v>
      </c>
      <c r="AD2707" s="115" t="s">
        <v>49</v>
      </c>
    </row>
    <row r="2708" spans="1:30" x14ac:dyDescent="0.2">
      <c r="A2708" s="104" t="s">
        <v>20412</v>
      </c>
      <c r="B2708" s="105" t="s">
        <v>42</v>
      </c>
      <c r="C2708" s="105" t="s">
        <v>51</v>
      </c>
      <c r="D2708" s="106"/>
      <c r="E2708" s="107"/>
      <c r="F2708" s="108" t="s">
        <v>47</v>
      </c>
      <c r="G2708" s="113"/>
      <c r="H2708" s="108" t="s">
        <v>7636</v>
      </c>
      <c r="I2708" s="116">
        <v>1</v>
      </c>
      <c r="J2708" s="111" t="s">
        <v>53</v>
      </c>
      <c r="K2708" s="108" t="s">
        <v>47</v>
      </c>
      <c r="L2708" s="114"/>
      <c r="M2708" s="113"/>
      <c r="N2708" s="108" t="s">
        <v>47</v>
      </c>
      <c r="O2708" s="114"/>
      <c r="P2708" s="113"/>
      <c r="Q2708" s="108" t="s">
        <v>47</v>
      </c>
      <c r="R2708" s="114"/>
      <c r="S2708" s="113"/>
      <c r="T2708" s="108" t="s">
        <v>47</v>
      </c>
      <c r="U2708" s="114"/>
      <c r="V2708" s="113"/>
      <c r="W2708" s="108" t="s">
        <v>47</v>
      </c>
      <c r="X2708" s="114"/>
      <c r="Y2708" s="113"/>
      <c r="Z2708" s="108" t="s">
        <v>47</v>
      </c>
      <c r="AA2708" s="114"/>
      <c r="AB2708" s="113"/>
      <c r="AC2708" s="105" t="s">
        <v>20413</v>
      </c>
      <c r="AD2708" s="115" t="s">
        <v>49</v>
      </c>
    </row>
    <row r="2709" spans="1:30" x14ac:dyDescent="0.2">
      <c r="A2709" s="104" t="s">
        <v>6092</v>
      </c>
      <c r="B2709" s="105" t="s">
        <v>111</v>
      </c>
      <c r="C2709" s="105" t="s">
        <v>112</v>
      </c>
      <c r="D2709" s="106"/>
      <c r="E2709" s="107"/>
      <c r="F2709" s="108" t="s">
        <v>20414</v>
      </c>
      <c r="G2709" s="120">
        <v>2</v>
      </c>
      <c r="H2709" s="108" t="s">
        <v>20415</v>
      </c>
      <c r="I2709" s="117">
        <v>2</v>
      </c>
      <c r="J2709" s="111" t="s">
        <v>40</v>
      </c>
      <c r="K2709" s="108" t="s">
        <v>20416</v>
      </c>
      <c r="L2709" s="117">
        <v>2</v>
      </c>
      <c r="M2709" s="113"/>
      <c r="N2709" s="108" t="s">
        <v>20414</v>
      </c>
      <c r="O2709" s="117">
        <v>2</v>
      </c>
      <c r="P2709" s="111" t="s">
        <v>40</v>
      </c>
      <c r="Q2709" s="108" t="s">
        <v>20417</v>
      </c>
      <c r="R2709" s="110">
        <v>3</v>
      </c>
      <c r="S2709" s="113"/>
      <c r="T2709" s="108" t="s">
        <v>20418</v>
      </c>
      <c r="U2709" s="112">
        <v>4</v>
      </c>
      <c r="V2709" s="113"/>
      <c r="W2709" s="108" t="s">
        <v>20419</v>
      </c>
      <c r="X2709" s="112">
        <v>4</v>
      </c>
      <c r="Y2709" s="113"/>
      <c r="Z2709" s="108" t="s">
        <v>20420</v>
      </c>
      <c r="AA2709" s="112">
        <v>4</v>
      </c>
      <c r="AB2709" s="111" t="s">
        <v>55</v>
      </c>
      <c r="AC2709" s="105" t="s">
        <v>6093</v>
      </c>
      <c r="AD2709" s="115" t="s">
        <v>114</v>
      </c>
    </row>
    <row r="2710" spans="1:30" x14ac:dyDescent="0.2">
      <c r="A2710" s="104" t="s">
        <v>6094</v>
      </c>
      <c r="B2710" s="105" t="s">
        <v>97</v>
      </c>
      <c r="C2710" s="105" t="s">
        <v>4914</v>
      </c>
      <c r="D2710" s="106" t="s">
        <v>125</v>
      </c>
      <c r="E2710" s="107"/>
      <c r="F2710" s="108" t="s">
        <v>6095</v>
      </c>
      <c r="G2710" s="109">
        <v>4</v>
      </c>
      <c r="H2710" s="108" t="s">
        <v>6096</v>
      </c>
      <c r="I2710" s="112">
        <v>4</v>
      </c>
      <c r="J2710" s="113"/>
      <c r="K2710" s="108" t="s">
        <v>6095</v>
      </c>
      <c r="L2710" s="112">
        <v>4</v>
      </c>
      <c r="M2710" s="113"/>
      <c r="N2710" s="108" t="s">
        <v>6095</v>
      </c>
      <c r="O2710" s="112">
        <v>4</v>
      </c>
      <c r="P2710" s="113"/>
      <c r="Q2710" s="108" t="s">
        <v>20421</v>
      </c>
      <c r="R2710" s="112">
        <v>4</v>
      </c>
      <c r="S2710" s="113"/>
      <c r="T2710" s="108" t="s">
        <v>6097</v>
      </c>
      <c r="U2710" s="116">
        <v>1</v>
      </c>
      <c r="V2710" s="113"/>
      <c r="W2710" s="108" t="s">
        <v>6098</v>
      </c>
      <c r="X2710" s="117">
        <v>2</v>
      </c>
      <c r="Y2710" s="111" t="s">
        <v>40</v>
      </c>
      <c r="Z2710" s="108" t="s">
        <v>20422</v>
      </c>
      <c r="AA2710" s="117">
        <v>2</v>
      </c>
      <c r="AB2710" s="111" t="s">
        <v>46</v>
      </c>
      <c r="AC2710" s="105" t="s">
        <v>6099</v>
      </c>
      <c r="AD2710" s="115" t="s">
        <v>101</v>
      </c>
    </row>
    <row r="2711" spans="1:30" x14ac:dyDescent="0.2">
      <c r="A2711" s="104" t="s">
        <v>6100</v>
      </c>
      <c r="B2711" s="105" t="s">
        <v>97</v>
      </c>
      <c r="C2711" s="105" t="s">
        <v>4914</v>
      </c>
      <c r="D2711" s="106" t="s">
        <v>125</v>
      </c>
      <c r="E2711" s="107"/>
      <c r="F2711" s="108" t="s">
        <v>20423</v>
      </c>
      <c r="G2711" s="109">
        <v>4</v>
      </c>
      <c r="H2711" s="108" t="s">
        <v>6101</v>
      </c>
      <c r="I2711" s="112">
        <v>4</v>
      </c>
      <c r="J2711" s="113"/>
      <c r="K2711" s="108" t="s">
        <v>20423</v>
      </c>
      <c r="L2711" s="112">
        <v>4</v>
      </c>
      <c r="M2711" s="113"/>
      <c r="N2711" s="108" t="s">
        <v>20423</v>
      </c>
      <c r="O2711" s="112">
        <v>4</v>
      </c>
      <c r="P2711" s="113"/>
      <c r="Q2711" s="108" t="s">
        <v>4915</v>
      </c>
      <c r="R2711" s="112">
        <v>4</v>
      </c>
      <c r="S2711" s="113"/>
      <c r="T2711" s="108" t="s">
        <v>6102</v>
      </c>
      <c r="U2711" s="116">
        <v>1</v>
      </c>
      <c r="V2711" s="113"/>
      <c r="W2711" s="108" t="s">
        <v>20424</v>
      </c>
      <c r="X2711" s="117">
        <v>2</v>
      </c>
      <c r="Y2711" s="111" t="s">
        <v>40</v>
      </c>
      <c r="Z2711" s="108" t="s">
        <v>20425</v>
      </c>
      <c r="AA2711" s="117">
        <v>2</v>
      </c>
      <c r="AB2711" s="111" t="s">
        <v>46</v>
      </c>
      <c r="AC2711" s="105" t="s">
        <v>6103</v>
      </c>
      <c r="AD2711" s="115" t="s">
        <v>101</v>
      </c>
    </row>
    <row r="2712" spans="1:30" x14ac:dyDescent="0.2">
      <c r="A2712" s="104" t="s">
        <v>6104</v>
      </c>
      <c r="B2712" s="105" t="s">
        <v>42</v>
      </c>
      <c r="C2712" s="105" t="s">
        <v>582</v>
      </c>
      <c r="D2712" s="106" t="s">
        <v>125</v>
      </c>
      <c r="E2712" s="107"/>
      <c r="F2712" s="108" t="s">
        <v>20426</v>
      </c>
      <c r="G2712" s="120">
        <v>2</v>
      </c>
      <c r="H2712" s="108" t="s">
        <v>20427</v>
      </c>
      <c r="I2712" s="116">
        <v>1</v>
      </c>
      <c r="J2712" s="113"/>
      <c r="K2712" s="108" t="s">
        <v>20428</v>
      </c>
      <c r="L2712" s="116">
        <v>1</v>
      </c>
      <c r="M2712" s="113"/>
      <c r="N2712" s="108" t="s">
        <v>20426</v>
      </c>
      <c r="O2712" s="117">
        <v>2</v>
      </c>
      <c r="P2712" s="113"/>
      <c r="Q2712" s="108" t="s">
        <v>20429</v>
      </c>
      <c r="R2712" s="117">
        <v>2</v>
      </c>
      <c r="S2712" s="111" t="s">
        <v>40</v>
      </c>
      <c r="T2712" s="108" t="s">
        <v>20430</v>
      </c>
      <c r="U2712" s="110">
        <v>3</v>
      </c>
      <c r="V2712" s="113"/>
      <c r="W2712" s="108" t="s">
        <v>20431</v>
      </c>
      <c r="X2712" s="116">
        <v>1</v>
      </c>
      <c r="Y2712" s="113"/>
      <c r="Z2712" s="108" t="s">
        <v>20432</v>
      </c>
      <c r="AA2712" s="110">
        <v>3</v>
      </c>
      <c r="AB2712" s="111" t="s">
        <v>46</v>
      </c>
      <c r="AC2712" s="105" t="s">
        <v>6105</v>
      </c>
      <c r="AD2712" s="115" t="s">
        <v>49</v>
      </c>
    </row>
    <row r="2713" spans="1:30" x14ac:dyDescent="0.2">
      <c r="A2713" s="104" t="s">
        <v>6106</v>
      </c>
      <c r="B2713" s="105" t="s">
        <v>42</v>
      </c>
      <c r="C2713" s="105" t="s">
        <v>582</v>
      </c>
      <c r="D2713" s="106" t="s">
        <v>125</v>
      </c>
      <c r="E2713" s="107"/>
      <c r="F2713" s="108" t="s">
        <v>20433</v>
      </c>
      <c r="G2713" s="120">
        <v>2</v>
      </c>
      <c r="H2713" s="108" t="s">
        <v>20434</v>
      </c>
      <c r="I2713" s="116">
        <v>1</v>
      </c>
      <c r="J2713" s="113"/>
      <c r="K2713" s="108" t="s">
        <v>20435</v>
      </c>
      <c r="L2713" s="116">
        <v>1</v>
      </c>
      <c r="M2713" s="113"/>
      <c r="N2713" s="108" t="s">
        <v>20433</v>
      </c>
      <c r="O2713" s="117">
        <v>2</v>
      </c>
      <c r="P2713" s="113"/>
      <c r="Q2713" s="108" t="s">
        <v>20436</v>
      </c>
      <c r="R2713" s="117">
        <v>2</v>
      </c>
      <c r="S2713" s="111" t="s">
        <v>40</v>
      </c>
      <c r="T2713" s="108" t="s">
        <v>20437</v>
      </c>
      <c r="U2713" s="110">
        <v>3</v>
      </c>
      <c r="V2713" s="113"/>
      <c r="W2713" s="108" t="s">
        <v>20438</v>
      </c>
      <c r="X2713" s="116">
        <v>1</v>
      </c>
      <c r="Y2713" s="113"/>
      <c r="Z2713" s="108" t="s">
        <v>20439</v>
      </c>
      <c r="AA2713" s="110">
        <v>3</v>
      </c>
      <c r="AB2713" s="111" t="s">
        <v>46</v>
      </c>
      <c r="AC2713" s="105" t="s">
        <v>6107</v>
      </c>
      <c r="AD2713" s="115" t="s">
        <v>49</v>
      </c>
    </row>
    <row r="2714" spans="1:30" x14ac:dyDescent="0.2">
      <c r="A2714" s="104" t="s">
        <v>6108</v>
      </c>
      <c r="B2714" s="105" t="s">
        <v>111</v>
      </c>
      <c r="C2714" s="105" t="s">
        <v>112</v>
      </c>
      <c r="D2714" s="106"/>
      <c r="E2714" s="107"/>
      <c r="F2714" s="108" t="s">
        <v>20440</v>
      </c>
      <c r="G2714" s="118">
        <v>3</v>
      </c>
      <c r="H2714" s="108" t="s">
        <v>20441</v>
      </c>
      <c r="I2714" s="116">
        <v>1</v>
      </c>
      <c r="J2714" s="111" t="s">
        <v>53</v>
      </c>
      <c r="K2714" s="108" t="s">
        <v>20442</v>
      </c>
      <c r="L2714" s="112">
        <v>4</v>
      </c>
      <c r="M2714" s="113"/>
      <c r="N2714" s="108" t="s">
        <v>20440</v>
      </c>
      <c r="O2714" s="110">
        <v>3</v>
      </c>
      <c r="P2714" s="113"/>
      <c r="Q2714" s="108" t="s">
        <v>20443</v>
      </c>
      <c r="R2714" s="110">
        <v>3</v>
      </c>
      <c r="S2714" s="111" t="s">
        <v>46</v>
      </c>
      <c r="T2714" s="108" t="s">
        <v>20444</v>
      </c>
      <c r="U2714" s="110">
        <v>3</v>
      </c>
      <c r="V2714" s="113"/>
      <c r="W2714" s="108" t="s">
        <v>20445</v>
      </c>
      <c r="X2714" s="112">
        <v>4</v>
      </c>
      <c r="Y2714" s="113"/>
      <c r="Z2714" s="108" t="s">
        <v>20446</v>
      </c>
      <c r="AA2714" s="112">
        <v>4</v>
      </c>
      <c r="AB2714" s="111" t="s">
        <v>46</v>
      </c>
      <c r="AC2714" s="105" t="s">
        <v>6109</v>
      </c>
      <c r="AD2714" s="115" t="s">
        <v>114</v>
      </c>
    </row>
    <row r="2715" spans="1:30" x14ac:dyDescent="0.2">
      <c r="A2715" s="104" t="s">
        <v>6110</v>
      </c>
      <c r="B2715" s="105" t="s">
        <v>97</v>
      </c>
      <c r="C2715" s="105" t="s">
        <v>2716</v>
      </c>
      <c r="D2715" s="106"/>
      <c r="E2715" s="107"/>
      <c r="F2715" s="108" t="s">
        <v>47</v>
      </c>
      <c r="G2715" s="113"/>
      <c r="H2715" s="108" t="s">
        <v>47</v>
      </c>
      <c r="I2715" s="114"/>
      <c r="J2715" s="113"/>
      <c r="K2715" s="108" t="s">
        <v>47</v>
      </c>
      <c r="L2715" s="114"/>
      <c r="M2715" s="113"/>
      <c r="N2715" s="108" t="s">
        <v>47</v>
      </c>
      <c r="O2715" s="114"/>
      <c r="P2715" s="113"/>
      <c r="Q2715" s="108" t="s">
        <v>47</v>
      </c>
      <c r="R2715" s="114"/>
      <c r="S2715" s="113"/>
      <c r="T2715" s="108" t="s">
        <v>47</v>
      </c>
      <c r="U2715" s="114"/>
      <c r="V2715" s="113"/>
      <c r="W2715" s="108" t="s">
        <v>47</v>
      </c>
      <c r="X2715" s="114"/>
      <c r="Y2715" s="113"/>
      <c r="Z2715" s="108" t="s">
        <v>47</v>
      </c>
      <c r="AA2715" s="114"/>
      <c r="AB2715" s="113"/>
      <c r="AC2715" s="105" t="s">
        <v>6111</v>
      </c>
      <c r="AD2715" s="115" t="s">
        <v>101</v>
      </c>
    </row>
    <row r="2716" spans="1:30" x14ac:dyDescent="0.2">
      <c r="A2716" s="104" t="s">
        <v>6112</v>
      </c>
      <c r="B2716" s="105" t="s">
        <v>97</v>
      </c>
      <c r="C2716" s="105" t="s">
        <v>2716</v>
      </c>
      <c r="D2716" s="106"/>
      <c r="E2716" s="107"/>
      <c r="F2716" s="108" t="s">
        <v>47</v>
      </c>
      <c r="G2716" s="113"/>
      <c r="H2716" s="108" t="s">
        <v>47</v>
      </c>
      <c r="I2716" s="114"/>
      <c r="J2716" s="113"/>
      <c r="K2716" s="108" t="s">
        <v>47</v>
      </c>
      <c r="L2716" s="114"/>
      <c r="M2716" s="113"/>
      <c r="N2716" s="108" t="s">
        <v>47</v>
      </c>
      <c r="O2716" s="114"/>
      <c r="P2716" s="113"/>
      <c r="Q2716" s="108" t="s">
        <v>47</v>
      </c>
      <c r="R2716" s="114"/>
      <c r="S2716" s="113"/>
      <c r="T2716" s="108" t="s">
        <v>47</v>
      </c>
      <c r="U2716" s="114"/>
      <c r="V2716" s="113"/>
      <c r="W2716" s="108" t="s">
        <v>47</v>
      </c>
      <c r="X2716" s="114"/>
      <c r="Y2716" s="113"/>
      <c r="Z2716" s="108" t="s">
        <v>47</v>
      </c>
      <c r="AA2716" s="114"/>
      <c r="AB2716" s="113"/>
      <c r="AC2716" s="105" t="s">
        <v>6113</v>
      </c>
      <c r="AD2716" s="115" t="s">
        <v>101</v>
      </c>
    </row>
    <row r="2717" spans="1:30" x14ac:dyDescent="0.2">
      <c r="A2717" s="104" t="s">
        <v>6114</v>
      </c>
      <c r="B2717" s="105" t="s">
        <v>97</v>
      </c>
      <c r="C2717" s="105"/>
      <c r="D2717" s="106"/>
      <c r="E2717" s="107"/>
      <c r="F2717" s="108" t="s">
        <v>47</v>
      </c>
      <c r="G2717" s="113"/>
      <c r="H2717" s="108" t="s">
        <v>47</v>
      </c>
      <c r="I2717" s="114"/>
      <c r="J2717" s="113"/>
      <c r="K2717" s="108" t="s">
        <v>47</v>
      </c>
      <c r="L2717" s="114"/>
      <c r="M2717" s="113"/>
      <c r="N2717" s="108" t="s">
        <v>47</v>
      </c>
      <c r="O2717" s="114"/>
      <c r="P2717" s="113"/>
      <c r="Q2717" s="108" t="s">
        <v>47</v>
      </c>
      <c r="R2717" s="114"/>
      <c r="S2717" s="113"/>
      <c r="T2717" s="108" t="s">
        <v>47</v>
      </c>
      <c r="U2717" s="114"/>
      <c r="V2717" s="113"/>
      <c r="W2717" s="108" t="s">
        <v>47</v>
      </c>
      <c r="X2717" s="114"/>
      <c r="Y2717" s="113"/>
      <c r="Z2717" s="108" t="s">
        <v>47</v>
      </c>
      <c r="AA2717" s="114"/>
      <c r="AB2717" s="113"/>
      <c r="AC2717" s="105" t="s">
        <v>6115</v>
      </c>
      <c r="AD2717" s="115" t="s">
        <v>101</v>
      </c>
    </row>
    <row r="2718" spans="1:30" x14ac:dyDescent="0.2">
      <c r="A2718" s="104" t="s">
        <v>6116</v>
      </c>
      <c r="B2718" s="105" t="s">
        <v>97</v>
      </c>
      <c r="C2718" s="105" t="s">
        <v>2821</v>
      </c>
      <c r="D2718" s="106"/>
      <c r="E2718" s="107"/>
      <c r="F2718" s="108" t="s">
        <v>47</v>
      </c>
      <c r="G2718" s="113"/>
      <c r="H2718" s="108" t="s">
        <v>47</v>
      </c>
      <c r="I2718" s="114"/>
      <c r="J2718" s="113"/>
      <c r="K2718" s="108" t="s">
        <v>47</v>
      </c>
      <c r="L2718" s="114"/>
      <c r="M2718" s="113"/>
      <c r="N2718" s="108" t="s">
        <v>47</v>
      </c>
      <c r="O2718" s="114"/>
      <c r="P2718" s="113"/>
      <c r="Q2718" s="108" t="s">
        <v>47</v>
      </c>
      <c r="R2718" s="114"/>
      <c r="S2718" s="113"/>
      <c r="T2718" s="108" t="s">
        <v>47</v>
      </c>
      <c r="U2718" s="114"/>
      <c r="V2718" s="113"/>
      <c r="W2718" s="108" t="s">
        <v>47</v>
      </c>
      <c r="X2718" s="114"/>
      <c r="Y2718" s="113"/>
      <c r="Z2718" s="108" t="s">
        <v>47</v>
      </c>
      <c r="AA2718" s="114"/>
      <c r="AB2718" s="113"/>
      <c r="AC2718" s="105" t="s">
        <v>6117</v>
      </c>
      <c r="AD2718" s="115" t="s">
        <v>101</v>
      </c>
    </row>
    <row r="2719" spans="1:30" x14ac:dyDescent="0.2">
      <c r="A2719" s="104" t="s">
        <v>6118</v>
      </c>
      <c r="B2719" s="105" t="s">
        <v>97</v>
      </c>
      <c r="C2719" s="105"/>
      <c r="D2719" s="106"/>
      <c r="E2719" s="107"/>
      <c r="F2719" s="108" t="s">
        <v>47</v>
      </c>
      <c r="G2719" s="113"/>
      <c r="H2719" s="108" t="s">
        <v>47</v>
      </c>
      <c r="I2719" s="114"/>
      <c r="J2719" s="113"/>
      <c r="K2719" s="108" t="s">
        <v>47</v>
      </c>
      <c r="L2719" s="114"/>
      <c r="M2719" s="113"/>
      <c r="N2719" s="108" t="s">
        <v>47</v>
      </c>
      <c r="O2719" s="114"/>
      <c r="P2719" s="113"/>
      <c r="Q2719" s="108" t="s">
        <v>47</v>
      </c>
      <c r="R2719" s="114"/>
      <c r="S2719" s="113"/>
      <c r="T2719" s="108" t="s">
        <v>47</v>
      </c>
      <c r="U2719" s="114"/>
      <c r="V2719" s="113"/>
      <c r="W2719" s="108" t="s">
        <v>47</v>
      </c>
      <c r="X2719" s="114"/>
      <c r="Y2719" s="113"/>
      <c r="Z2719" s="108" t="s">
        <v>47</v>
      </c>
      <c r="AA2719" s="114"/>
      <c r="AB2719" s="113"/>
      <c r="AC2719" s="105" t="s">
        <v>6119</v>
      </c>
      <c r="AD2719" s="115" t="s">
        <v>101</v>
      </c>
    </row>
    <row r="2720" spans="1:30" ht="12" thickBot="1" x14ac:dyDescent="0.25">
      <c r="A2720" s="121" t="s">
        <v>6120</v>
      </c>
      <c r="B2720" s="122" t="s">
        <v>97</v>
      </c>
      <c r="C2720" s="122" t="s">
        <v>112</v>
      </c>
      <c r="D2720" s="123"/>
      <c r="E2720" s="124"/>
      <c r="F2720" s="125" t="s">
        <v>47</v>
      </c>
      <c r="G2720" s="126"/>
      <c r="H2720" s="125" t="s">
        <v>47</v>
      </c>
      <c r="I2720" s="127"/>
      <c r="J2720" s="126"/>
      <c r="K2720" s="125" t="s">
        <v>47</v>
      </c>
      <c r="L2720" s="127"/>
      <c r="M2720" s="126"/>
      <c r="N2720" s="125" t="s">
        <v>47</v>
      </c>
      <c r="O2720" s="127"/>
      <c r="P2720" s="126"/>
      <c r="Q2720" s="125" t="s">
        <v>47</v>
      </c>
      <c r="R2720" s="127"/>
      <c r="S2720" s="126"/>
      <c r="T2720" s="125" t="s">
        <v>47</v>
      </c>
      <c r="U2720" s="127"/>
      <c r="V2720" s="126"/>
      <c r="W2720" s="125" t="s">
        <v>47</v>
      </c>
      <c r="X2720" s="127"/>
      <c r="Y2720" s="126"/>
      <c r="Z2720" s="125" t="s">
        <v>47</v>
      </c>
      <c r="AA2720" s="127"/>
      <c r="AB2720" s="126"/>
      <c r="AC2720" s="122" t="s">
        <v>6121</v>
      </c>
      <c r="AD2720" s="128" t="s">
        <v>101</v>
      </c>
    </row>
  </sheetData>
  <autoFilter ref="A5:AD5"/>
  <mergeCells count="9">
    <mergeCell ref="F3:AB3"/>
    <mergeCell ref="F4:G4"/>
    <mergeCell ref="H4:J4"/>
    <mergeCell ref="K4:M4"/>
    <mergeCell ref="N4:P4"/>
    <mergeCell ref="Q4:S4"/>
    <mergeCell ref="T4:V4"/>
    <mergeCell ref="W4:Y4"/>
    <mergeCell ref="Z4:AB4"/>
  </mergeCells>
  <pageMargins left="0.78740157499999996" right="0.78740157499999996" top="0.984251969" bottom="0.984251969" header="0.4921259845" footer="0.4921259845"/>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Y3"/>
  <sheetViews>
    <sheetView zoomScaleNormal="100" workbookViewId="0">
      <selection activeCell="A4" sqref="A4:Y4"/>
    </sheetView>
  </sheetViews>
  <sheetFormatPr baseColWidth="10" defaultColWidth="10.85546875" defaultRowHeight="15" x14ac:dyDescent="0.25"/>
  <cols>
    <col min="1" max="1" width="10.85546875" style="172"/>
    <col min="2" max="2" width="12" style="172" customWidth="1"/>
    <col min="3" max="3" width="8.7109375" style="172" customWidth="1"/>
    <col min="4" max="4" width="5.7109375" style="172" customWidth="1"/>
    <col min="5" max="5" width="8.7109375" style="172" customWidth="1"/>
    <col min="6" max="7" width="3.85546875" style="172" customWidth="1"/>
    <col min="8" max="8" width="8.7109375" style="172" customWidth="1"/>
    <col min="9" max="10" width="3.85546875" style="172" customWidth="1"/>
    <col min="11" max="11" width="8.7109375" style="172" customWidth="1"/>
    <col min="12" max="13" width="3.85546875" style="172" customWidth="1"/>
    <col min="14" max="14" width="8.7109375" style="172" customWidth="1"/>
    <col min="15" max="16" width="3.85546875" style="172" customWidth="1"/>
    <col min="17" max="17" width="8.7109375" style="172" customWidth="1"/>
    <col min="18" max="19" width="3.85546875" style="172" customWidth="1"/>
    <col min="20" max="20" width="8.7109375" style="172" customWidth="1"/>
    <col min="21" max="22" width="3.85546875" style="172" customWidth="1"/>
    <col min="23" max="23" width="5.7109375" style="172" customWidth="1"/>
    <col min="24" max="25" width="3.85546875" style="172" customWidth="1"/>
    <col min="26" max="16384" width="10.85546875" style="172"/>
  </cols>
  <sheetData>
    <row r="1" spans="1:25" x14ac:dyDescent="0.25">
      <c r="A1" s="277" t="s">
        <v>24711</v>
      </c>
      <c r="B1" s="280" t="s">
        <v>24712</v>
      </c>
      <c r="C1" s="283" t="s">
        <v>22</v>
      </c>
      <c r="D1" s="284"/>
      <c r="E1" s="284"/>
      <c r="F1" s="284"/>
      <c r="G1" s="284"/>
      <c r="H1" s="284"/>
      <c r="I1" s="284"/>
      <c r="J1" s="284"/>
      <c r="K1" s="284"/>
      <c r="L1" s="284"/>
      <c r="M1" s="284"/>
      <c r="N1" s="284"/>
      <c r="O1" s="284"/>
      <c r="P1" s="284"/>
      <c r="Q1" s="284"/>
      <c r="R1" s="284"/>
      <c r="S1" s="284"/>
      <c r="T1" s="284"/>
      <c r="U1" s="284"/>
      <c r="V1" s="284"/>
      <c r="W1" s="284"/>
      <c r="X1" s="284"/>
      <c r="Y1" s="285"/>
    </row>
    <row r="2" spans="1:25" x14ac:dyDescent="0.25">
      <c r="A2" s="278"/>
      <c r="B2" s="281"/>
      <c r="C2" s="286" t="s">
        <v>5</v>
      </c>
      <c r="D2" s="287"/>
      <c r="E2" s="286" t="s">
        <v>28</v>
      </c>
      <c r="F2" s="288"/>
      <c r="G2" s="287"/>
      <c r="H2" s="286" t="s">
        <v>29</v>
      </c>
      <c r="I2" s="288"/>
      <c r="J2" s="287"/>
      <c r="K2" s="286" t="s">
        <v>30</v>
      </c>
      <c r="L2" s="288"/>
      <c r="M2" s="287"/>
      <c r="N2" s="286" t="s">
        <v>31</v>
      </c>
      <c r="O2" s="288"/>
      <c r="P2" s="287"/>
      <c r="Q2" s="286" t="s">
        <v>32</v>
      </c>
      <c r="R2" s="288"/>
      <c r="S2" s="287"/>
      <c r="T2" s="286" t="s">
        <v>33</v>
      </c>
      <c r="U2" s="288"/>
      <c r="V2" s="287"/>
      <c r="W2" s="286" t="s">
        <v>34</v>
      </c>
      <c r="X2" s="288"/>
      <c r="Y2" s="287"/>
    </row>
    <row r="3" spans="1:25" x14ac:dyDescent="0.25">
      <c r="A3" s="279"/>
      <c r="B3" s="282"/>
      <c r="C3" s="173" t="s">
        <v>38</v>
      </c>
      <c r="D3" s="176" t="s">
        <v>39</v>
      </c>
      <c r="E3" s="174" t="s">
        <v>38</v>
      </c>
      <c r="F3" s="176" t="s">
        <v>39</v>
      </c>
      <c r="G3" s="175" t="s">
        <v>40</v>
      </c>
      <c r="H3" s="173" t="s">
        <v>38</v>
      </c>
      <c r="I3" s="176" t="s">
        <v>39</v>
      </c>
      <c r="J3" s="175" t="s">
        <v>40</v>
      </c>
      <c r="K3" s="173" t="s">
        <v>38</v>
      </c>
      <c r="L3" s="176" t="s">
        <v>39</v>
      </c>
      <c r="M3" s="175" t="s">
        <v>40</v>
      </c>
      <c r="N3" s="173" t="s">
        <v>38</v>
      </c>
      <c r="O3" s="176" t="s">
        <v>39</v>
      </c>
      <c r="P3" s="175" t="s">
        <v>40</v>
      </c>
      <c r="Q3" s="173" t="s">
        <v>38</v>
      </c>
      <c r="R3" s="176" t="s">
        <v>39</v>
      </c>
      <c r="S3" s="175" t="s">
        <v>40</v>
      </c>
      <c r="T3" s="173" t="s">
        <v>38</v>
      </c>
      <c r="U3" s="176" t="s">
        <v>39</v>
      </c>
      <c r="V3" s="175" t="s">
        <v>40</v>
      </c>
      <c r="W3" s="173" t="s">
        <v>38</v>
      </c>
      <c r="X3" s="176" t="s">
        <v>39</v>
      </c>
      <c r="Y3" s="175" t="s">
        <v>40</v>
      </c>
    </row>
  </sheetData>
  <mergeCells count="11">
    <mergeCell ref="A1:A3"/>
    <mergeCell ref="B1:B3"/>
    <mergeCell ref="C1:Y1"/>
    <mergeCell ref="C2:D2"/>
    <mergeCell ref="E2:G2"/>
    <mergeCell ref="H2:J2"/>
    <mergeCell ref="K2:M2"/>
    <mergeCell ref="N2:P2"/>
    <mergeCell ref="Q2:S2"/>
    <mergeCell ref="T2:V2"/>
    <mergeCell ref="W2:Y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19</vt:i4>
      </vt:variant>
    </vt:vector>
  </HeadingPairs>
  <TitlesOfParts>
    <vt:vector size="25" baseType="lpstr">
      <vt:lpstr>League Table Import</vt:lpstr>
      <vt:lpstr>Dashboard</vt:lpstr>
      <vt:lpstr>Lists</vt:lpstr>
      <vt:lpstr>Lipper</vt:lpstr>
      <vt:lpstr>Morningstar</vt:lpstr>
      <vt:lpstr>Rework</vt:lpstr>
      <vt:lpstr>actual</vt:lpstr>
      <vt:lpstr>arrow_clr</vt:lpstr>
      <vt:lpstr>caption</vt:lpstr>
      <vt:lpstr>ceil</vt:lpstr>
      <vt:lpstr>floor</vt:lpstr>
      <vt:lpstr>increment</vt:lpstr>
      <vt:lpstr>lipper_ptf</vt:lpstr>
      <vt:lpstr>lvl_0</vt:lpstr>
      <vt:lpstr>lvl_1</vt:lpstr>
      <vt:lpstr>lvl_2</vt:lpstr>
      <vt:lpstr>lvl_3</vt:lpstr>
      <vt:lpstr>lvl_4</vt:lpstr>
      <vt:lpstr>lvl_5</vt:lpstr>
      <vt:lpstr>lvl_actual</vt:lpstr>
      <vt:lpstr>lvl_max</vt:lpstr>
      <vt:lpstr>lvl_min</vt:lpstr>
      <vt:lpstr>month_txt</vt:lpstr>
      <vt:lpstr>morningstar_ptf</vt:lpstr>
      <vt:lpstr>year_txt</vt:lpstr>
    </vt:vector>
  </TitlesOfParts>
  <Company>AMUNDI-ITS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derenty</dc:creator>
  <cp:lastModifiedBy>derenty</cp:lastModifiedBy>
  <dcterms:created xsi:type="dcterms:W3CDTF">2017-07-10T16:13:23Z</dcterms:created>
  <dcterms:modified xsi:type="dcterms:W3CDTF">2017-07-28T17:41:17Z</dcterms:modified>
</cp:coreProperties>
</file>